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spreadsheetml.comments+xml" PartName="/xl/comments4.xml"/>
  <Override ContentType="application/vnd.openxmlformats-officedocument.spreadsheetml.comments+xml" PartName="/xl/comments3.xml"/>
  <Override ContentType="application/vnd.openxmlformats-officedocument.spreadsheetml.comments+xml" PartName="/xl/comments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YoY Viz Data" sheetId="1" r:id="rId5"/>
    <sheet state="visible" name="S24" sheetId="2" r:id="rId6"/>
    <sheet state="visible" name="F24" sheetId="3" r:id="rId7"/>
    <sheet state="visible" name="S25" sheetId="4" r:id="rId8"/>
    <sheet state="visible" name="F25" sheetId="5" r:id="rId9"/>
    <sheet state="visible" name="S26" sheetId="6" r:id="rId10"/>
  </sheets>
  <definedNames/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B2">
      <text>
        <t xml:space="preserve">composting begun halfway through the semester, this informs clalculations</t>
      </text>
    </comment>
  </commentList>
</comments>
</file>

<file path=xl/comments2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B2">
      <text>
        <t xml:space="preserve">Semester begins
this adjusts calculations</t>
      </text>
    </comment>
    <comment authorId="0" ref="B3">
      <text>
        <t xml:space="preserve">Semester begins
this adjusts calculations</t>
      </text>
    </comment>
  </commentList>
</comments>
</file>

<file path=xl/comments3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W2">
      <text>
        <t xml:space="preserve">weighted</t>
      </text>
    </comment>
    <comment authorId="0" ref="X2">
      <text>
        <t xml:space="preserve">unweighted</t>
      </text>
    </comment>
  </commentList>
</comments>
</file>

<file path=xl/comments4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W2">
      <text>
        <t xml:space="preserve">weighted</t>
      </text>
    </comment>
    <comment authorId="0" ref="X2">
      <text>
        <t xml:space="preserve">unweighted</t>
      </text>
    </comment>
  </commentList>
</comments>
</file>

<file path=xl/sharedStrings.xml><?xml version="1.0" encoding="utf-8"?>
<sst xmlns="http://schemas.openxmlformats.org/spreadsheetml/2006/main" count="2604" uniqueCount="177">
  <si>
    <t>Bulk Tab →</t>
  </si>
  <si>
    <t>S24</t>
  </si>
  <si>
    <t>F24</t>
  </si>
  <si>
    <t>S25</t>
  </si>
  <si>
    <t>F25</t>
  </si>
  <si>
    <t>S26</t>
  </si>
  <si>
    <t>Sem Start Date →</t>
  </si>
  <si>
    <t>T8 · lbs by Period per Semester  →  stacked bar chart</t>
  </si>
  <si>
    <t>Period</t>
  </si>
  <si>
    <t>S26*</t>
  </si>
  <si>
    <t>Breakfast</t>
  </si>
  <si>
    <t>Lunch</t>
  </si>
  <si>
    <t>Dinner</t>
  </si>
  <si>
    <t>Breakfast/Lunch</t>
  </si>
  <si>
    <t>Total</t>
  </si>
  <si>
    <t>† S24: period approximated from timestamp hour (B: 6–11am, L: 11am–4pm, D: 4–10pm). Dining Hall unavailable for S24.</t>
  </si>
  <si>
    <t>T9 · lbs by Period × Hall per Semester  →  grouped bar / heatmap</t>
  </si>
  <si>
    <t>Hall</t>
  </si>
  <si>
    <t>MF</t>
  </si>
  <si>
    <t>BF</t>
  </si>
  <si>
    <t>† S24: Dining Hall not collected — all S24 values are 0. Rows with &lt; 50 lbs total pruned.</t>
  </si>
  <si>
    <t>T10 · Weekly lbs within Semester  →  multi-line overlay chart</t>
  </si>
  <si>
    <t>Week</t>
  </si>
  <si>
    <t>Average</t>
  </si>
  <si>
    <t>S24 date</t>
  </si>
  <si>
    <t>S24 notes</t>
  </si>
  <si>
    <t>F24 date</t>
  </si>
  <si>
    <t>F24 notes</t>
  </si>
  <si>
    <t>S25 date</t>
  </si>
  <si>
    <t>S25 notes</t>
  </si>
  <si>
    <t>F25 date</t>
  </si>
  <si>
    <t>F25 notes</t>
  </si>
  <si>
    <t>S26* date</t>
  </si>
  <si>
    <t>S26* notes</t>
  </si>
  <si>
    <t>S24 · Jan 22, 2024</t>
  </si>
  <si>
    <t>F24 · Sep 9, 2024</t>
  </si>
  <si>
    <t>S25 · Jan 20, 2025</t>
  </si>
  <si>
    <t>F25 · Sep 8, 2025</t>
  </si>
  <si>
    <t>S26* · Jan 19, 2026</t>
  </si>
  <si>
    <t>S24 · Jan 29, 2024</t>
  </si>
  <si>
    <t>F24 · Sep 16, 2024</t>
  </si>
  <si>
    <t>S25 · Jan 27, 2025</t>
  </si>
  <si>
    <t>F25 · Sep 15, 2025</t>
  </si>
  <si>
    <t>S26* · Jan 26, 2026</t>
  </si>
  <si>
    <t>S24 · Feb 5, 2024</t>
  </si>
  <si>
    <t>F24 · Sep 23, 2024</t>
  </si>
  <si>
    <t>S25 · Feb 3, 2025</t>
  </si>
  <si>
    <t>F25 · Sep 22, 2025</t>
  </si>
  <si>
    <t>S26* · Feb 2, 2026</t>
  </si>
  <si>
    <t>S24 · Feb 12, 2024</t>
  </si>
  <si>
    <t>F24 · Sep 30, 2024</t>
  </si>
  <si>
    <t>S25 · Feb 10, 2025</t>
  </si>
  <si>
    <t>F25 · Sep 29, 2025</t>
  </si>
  <si>
    <t>S26* · Feb 9, 2026</t>
  </si>
  <si>
    <t>S24 · Feb 19, 2024</t>
  </si>
  <si>
    <t>F24 · Oct 7, 2024</t>
  </si>
  <si>
    <t>S25 · Feb 17, 2025</t>
  </si>
  <si>
    <t>F25 · Oct 6, 2025</t>
  </si>
  <si>
    <t>S26* · Feb 16, 2026</t>
  </si>
  <si>
    <t>S24 · Feb 26, 2024</t>
  </si>
  <si>
    <t>F24 · Oct 14, 2024</t>
  </si>
  <si>
    <t>Columbus Day</t>
  </si>
  <si>
    <t>S25 · Feb 24, 2025</t>
  </si>
  <si>
    <t>F25 · Oct 13, 2025</t>
  </si>
  <si>
    <t>S26* · Feb 23, 2026</t>
  </si>
  <si>
    <t>3 snow days</t>
  </si>
  <si>
    <t>S24 · Mar 4, 2024</t>
  </si>
  <si>
    <t>F24 · Oct 21, 2024</t>
  </si>
  <si>
    <t>S25 · Mar 3, 2025</t>
  </si>
  <si>
    <t>F25 · Oct 20, 2025</t>
  </si>
  <si>
    <t>S26* · Mar 2, 2026</t>
  </si>
  <si>
    <t>S24 · Mar 11, 2024</t>
  </si>
  <si>
    <t>F24 · Oct 28, 2024</t>
  </si>
  <si>
    <t>S25 · Mar 10, 2025</t>
  </si>
  <si>
    <t>spring break</t>
  </si>
  <si>
    <t>F25 · Oct 27, 2025</t>
  </si>
  <si>
    <t>S26* · Mar 9, 2026</t>
  </si>
  <si>
    <t>S24 · Mar 18, 2024</t>
  </si>
  <si>
    <t>F24 · Oct 29, 2024</t>
  </si>
  <si>
    <t>S25 · Mar 17, 2025</t>
  </si>
  <si>
    <t>F25 · Oct 28, 2025</t>
  </si>
  <si>
    <t>S26* · Mar 16, 2026</t>
  </si>
  <si>
    <t>S24 · Mar 25, 2024</t>
  </si>
  <si>
    <t>F24 · Nov 4, 2024</t>
  </si>
  <si>
    <t>S25 · Mar 24, 2025</t>
  </si>
  <si>
    <t>F25 · Nov 3, 2025</t>
  </si>
  <si>
    <t>S26* · Mar 23, 2026</t>
  </si>
  <si>
    <t>S24 · Apr 1, 2024</t>
  </si>
  <si>
    <t>F24 · Nov 11, 2024</t>
  </si>
  <si>
    <t>S25 · Mar 31, 2025</t>
  </si>
  <si>
    <t>F25 · Nov 10, 2025</t>
  </si>
  <si>
    <t>S26* · Mar 30, 2026</t>
  </si>
  <si>
    <t>S24 · Apr 8, 2024</t>
  </si>
  <si>
    <t>F24 · Nov 18, 2024</t>
  </si>
  <si>
    <t>Thanksgiving</t>
  </si>
  <si>
    <t>S25 · Apr 7, 2025</t>
  </si>
  <si>
    <t>F25 · Nov 17, 2025</t>
  </si>
  <si>
    <t>S26* · Apr 6, 2026</t>
  </si>
  <si>
    <t>S24 · Apr 15, 2024</t>
  </si>
  <si>
    <t>F24 · Nov 25, 2024</t>
  </si>
  <si>
    <t>S25 · Apr 14, 2025</t>
  </si>
  <si>
    <t>F25 · Nov 24, 2025</t>
  </si>
  <si>
    <t>S26* · Apr 13, 2026</t>
  </si>
  <si>
    <t>S24 · Apr 22, 2024</t>
  </si>
  <si>
    <t>F24 · Dec 2, 2024</t>
  </si>
  <si>
    <t>S25 · Apr 21, 2025</t>
  </si>
  <si>
    <t>F25 · Dec 1, 2025</t>
  </si>
  <si>
    <t>S26* · Apr 20, 2026</t>
  </si>
  <si>
    <t>† Tooltip date cols (italic headers) show the actual calendar date per semester per week. In chart editor: select each "[sem] date" column → Column role → Tooltip.</t>
  </si>
  <si>
    <t>T11 · Program Progress  →  color-coded scatter by semester</t>
  </si>
  <si>
    <t>lifetime lbs  ──▶</t>
  </si>
  <si>
    <t>lbs this week  ──▶</t>
  </si>
  <si>
    <t>† Each semester has its own column pair (lifetime + weekly) — blank rows belong to other semesters. Select col A + cols B–F for the lifetime scatter; col A + cols G–K for the weekly scatter. Sheets will color each semester automatically.</t>
  </si>
  <si>
    <t>⚙  To add a semester: create a tab named S## or F## (e.g. F26), then use DaRP Data → 🔄 I added a new semester.</t>
  </si>
  <si>
    <t>Script last run: March 28, 2026</t>
  </si>
  <si>
    <t>Timestamp</t>
  </si>
  <si>
    <t>Name</t>
  </si>
  <si>
    <t>double name</t>
  </si>
  <si>
    <t>start hour</t>
  </si>
  <si>
    <t>hours worked</t>
  </si>
  <si>
    <t>end hour</t>
  </si>
  <si>
    <t>hours pp</t>
  </si>
  <si>
    <t>Derived Weight</t>
  </si>
  <si>
    <t>lb/hr per shift</t>
  </si>
  <si>
    <t>period</t>
  </si>
  <si>
    <t>Date</t>
  </si>
  <si>
    <t>Weekday</t>
  </si>
  <si>
    <t>lbs td</t>
  </si>
  <si>
    <t>N/A</t>
  </si>
  <si>
    <t>Monday</t>
  </si>
  <si>
    <t>Westin Palumbo</t>
  </si>
  <si>
    <t>Kayleigh O’Mealia</t>
  </si>
  <si>
    <t>Tuesday</t>
  </si>
  <si>
    <t>Bitanya</t>
  </si>
  <si>
    <t>Bitanya Hailu</t>
  </si>
  <si>
    <t>Wednesday</t>
  </si>
  <si>
    <t>Skyler Bobinski</t>
  </si>
  <si>
    <t>Thursday</t>
  </si>
  <si>
    <t>Friday</t>
  </si>
  <si>
    <t>Kayleigh Omealia</t>
  </si>
  <si>
    <t>Rushil Nepal</t>
  </si>
  <si>
    <t>Katie Field</t>
  </si>
  <si>
    <t>Katherine Field</t>
  </si>
  <si>
    <t>Katie field</t>
  </si>
  <si>
    <t>Katie  Field</t>
  </si>
  <si>
    <t>dining hall</t>
  </si>
  <si>
    <t>MF lbs td</t>
  </si>
  <si>
    <t>BF lbs td</t>
  </si>
  <si>
    <t>Lizzie Welch</t>
  </si>
  <si>
    <t>Kaya Pernini</t>
  </si>
  <si>
    <t>Cassidy Haskell</t>
  </si>
  <si>
    <t>astou dieng</t>
  </si>
  <si>
    <t>Lucas Meier</t>
  </si>
  <si>
    <t>Tyson Enes</t>
  </si>
  <si>
    <t>Skyler bobinski</t>
  </si>
  <si>
    <t>Lizzie Welxh</t>
  </si>
  <si>
    <t>Bitanya (Lost Record Weight #2)</t>
  </si>
  <si>
    <t>99.0</t>
  </si>
  <si>
    <t>Bitanya (Lost Record Weight #3)</t>
  </si>
  <si>
    <t>Lizzie welch</t>
  </si>
  <si>
    <t>Bitanya (Lost Record Weight #4)</t>
  </si>
  <si>
    <t>Bitanya (Lost Record Weight #1)</t>
  </si>
  <si>
    <t>Kaya Permini</t>
  </si>
  <si>
    <t>Kaya Pernii</t>
  </si>
  <si>
    <t>Kayleigh O’mealia</t>
  </si>
  <si>
    <t>Kaya pernini</t>
  </si>
  <si>
    <t>Marley Ahlijanian</t>
  </si>
  <si>
    <t>marley ahlijanian</t>
  </si>
  <si>
    <t>Maureen Surgot</t>
  </si>
  <si>
    <t>Anna Cunha</t>
  </si>
  <si>
    <t>Kaitlyn Deierlein</t>
  </si>
  <si>
    <t>Leisly Aceituno</t>
  </si>
  <si>
    <t>Kate Stanwood</t>
  </si>
  <si>
    <t>Brynn Hornig</t>
  </si>
  <si>
    <t>Sarah Wilme</t>
  </si>
  <si>
    <t>Lizzle Welch</t>
  </si>
  <si>
    <t>Tyson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</si>
</sst>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9">
    <numFmt numFmtId="164" formatCode="yyyy-mm-dd"/>
    <numFmt numFmtId="165" formatCode="mmm d, yyyy"/>
    <numFmt numFmtId="166" formatCode="m/d/yyyy"/>
    <numFmt numFmtId="167" formatCode="yyyy-mm-dd h:mm:ss"/>
    <numFmt numFmtId="168" formatCode="#,#0#.00"/>
    <numFmt numFmtId="169" formatCode="#,#0#"/>
    <numFmt numFmtId="170" formatCode="#,###"/>
    <numFmt numFmtId="171" formatCode="m/d/yyyy h:mm:ss"/>
    <numFmt numFmtId="172" formatCode="h:mm:ss am/pm"/>
  </numFmts>
  <fonts count="16">
    <font>
      <sz val="10.0"/>
      <color rgb="FF000000"/>
      <name val="Arial"/>
      <scheme val="minor"/>
    </font>
    <font>
      <b/>
      <sz val="8.0"/>
      <color rgb="FF495057"/>
      <name val="Arial"/>
      <scheme val="minor"/>
    </font>
    <font>
      <sz val="8.0"/>
      <color rgb="FF495057"/>
      <name val="Arial"/>
      <scheme val="minor"/>
    </font>
    <font>
      <color theme="1"/>
      <name val="Arial"/>
      <scheme val="minor"/>
    </font>
    <font>
      <b/>
      <sz val="9.0"/>
      <color rgb="FF1B4332"/>
      <name val="Arial"/>
      <scheme val="minor"/>
    </font>
    <font>
      <b/>
      <sz val="9.0"/>
      <color rgb="FFFFFFFF"/>
      <name val="Arial"/>
      <scheme val="minor"/>
    </font>
    <font>
      <b/>
      <color theme="1"/>
      <name val="Arial"/>
      <scheme val="minor"/>
    </font>
    <font>
      <i/>
      <sz val="8.0"/>
      <color rgb="FF868E96"/>
      <name val="Arial"/>
      <scheme val="minor"/>
    </font>
    <font>
      <b/>
      <sz val="9.0"/>
      <color rgb="FF1A5276"/>
      <name val="Arial"/>
      <scheme val="minor"/>
    </font>
    <font>
      <i/>
      <sz val="9.0"/>
      <color rgb="FF868E96"/>
      <name val="Arial"/>
      <scheme val="minor"/>
    </font>
    <font>
      <color rgb="FF1A5276"/>
      <name val="Arial"/>
      <scheme val="minor"/>
    </font>
    <font>
      <sz val="9.0"/>
      <color rgb="FF868E96"/>
      <name val="Arial"/>
      <scheme val="minor"/>
    </font>
    <font>
      <b/>
      <sz val="8.0"/>
      <color rgb="FF1B4332"/>
      <name val="Arial"/>
      <scheme val="minor"/>
    </font>
    <font>
      <color rgb="FFFFFFFF"/>
      <name val="Arial"/>
      <scheme val="minor"/>
    </font>
    <font>
      <color theme="1"/>
      <name val="Arial"/>
    </font>
    <font>
      <color rgb="FFF3F3F3"/>
      <name val="Arial"/>
      <scheme val="minor"/>
    </font>
  </fonts>
  <fills count="15">
    <fill>
      <patternFill patternType="none"/>
    </fill>
    <fill>
      <patternFill patternType="lightGray"/>
    </fill>
    <fill>
      <patternFill patternType="solid">
        <fgColor rgb="FFF8F9FA"/>
        <bgColor rgb="FFF8F9FA"/>
      </patternFill>
    </fill>
    <fill>
      <patternFill patternType="solid">
        <fgColor rgb="FFD8F3DC"/>
        <bgColor rgb="FFD8F3DC"/>
      </patternFill>
    </fill>
    <fill>
      <patternFill patternType="solid">
        <fgColor rgb="FF2D6A4F"/>
        <bgColor rgb="FF2D6A4F"/>
      </patternFill>
    </fill>
    <fill>
      <patternFill patternType="solid">
        <fgColor rgb="FFFFFFFF"/>
        <bgColor rgb="FFFFFFFF"/>
      </patternFill>
    </fill>
    <fill>
      <patternFill patternType="solid">
        <fgColor rgb="FFF0F7F4"/>
        <bgColor rgb="FFF0F7F4"/>
      </patternFill>
    </fill>
    <fill>
      <patternFill patternType="solid">
        <fgColor rgb="FFE9ECEF"/>
        <bgColor rgb="FFE9ECEF"/>
      </patternFill>
    </fill>
    <fill>
      <patternFill patternType="solid">
        <fgColor rgb="FFDEE2E6"/>
        <bgColor rgb="FFDEE2E6"/>
      </patternFill>
    </fill>
    <fill>
      <patternFill patternType="solid">
        <fgColor rgb="FFEAF4FB"/>
        <bgColor rgb="FFEAF4FB"/>
      </patternFill>
    </fill>
    <fill>
      <patternFill patternType="solid">
        <fgColor rgb="FFD0E0E3"/>
        <bgColor rgb="FFD0E0E3"/>
      </patternFill>
    </fill>
    <fill>
      <patternFill patternType="solid">
        <fgColor rgb="FFCCCCCC"/>
        <bgColor rgb="FFCCCCCC"/>
      </patternFill>
    </fill>
    <fill>
      <patternFill patternType="solid">
        <fgColor rgb="FFC9DAF8"/>
        <bgColor rgb="FFC9DAF8"/>
      </patternFill>
    </fill>
    <fill>
      <patternFill patternType="solid">
        <fgColor rgb="FFF4CCCC"/>
        <bgColor rgb="FFF4CCCC"/>
      </patternFill>
    </fill>
    <fill>
      <patternFill patternType="solid">
        <fgColor rgb="FFD9D2E9"/>
        <bgColor rgb="FFD9D2E9"/>
      </patternFill>
    </fill>
  </fills>
  <borders count="9">
    <border/>
    <border>
      <left style="thin">
        <color rgb="FFCED4DA"/>
      </left>
      <top style="thin">
        <color rgb="FFCED4DA"/>
      </top>
    </border>
    <border>
      <top style="thin">
        <color rgb="FFCED4DA"/>
      </top>
    </border>
    <border>
      <right style="thin">
        <color rgb="FFCED4DA"/>
      </right>
      <top style="thin">
        <color rgb="FFCED4DA"/>
      </top>
    </border>
    <border>
      <left style="thin">
        <color rgb="FFCED4DA"/>
      </left>
    </border>
    <border>
      <right style="thin">
        <color rgb="FFCED4DA"/>
      </right>
    </border>
    <border>
      <left style="thin">
        <color rgb="FFCED4DA"/>
      </left>
      <bottom style="thin">
        <color rgb="FFCED4DA"/>
      </bottom>
    </border>
    <border>
      <bottom style="thin">
        <color rgb="FFCED4DA"/>
      </bottom>
    </border>
    <border>
      <right style="thin">
        <color rgb="FFCED4DA"/>
      </right>
      <bottom style="thin">
        <color rgb="FFCED4DA"/>
      </bottom>
    </border>
  </borders>
  <cellStyleXfs count="1">
    <xf borderId="0" fillId="0" fontId="0" numFmtId="0" applyAlignment="1" applyFont="1"/>
  </cellStyleXfs>
  <cellXfs count="151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readingOrder="0"/>
    </xf>
    <xf borderId="0" fillId="2" fontId="1" numFmtId="0" xfId="0" applyAlignment="1" applyFont="1">
      <alignment horizontal="center" readingOrder="0"/>
    </xf>
    <xf borderId="0" fillId="2" fontId="2" numFmtId="164" xfId="0" applyAlignment="1" applyFont="1" applyNumberFormat="1">
      <alignment horizontal="center"/>
    </xf>
    <xf borderId="0" fillId="2" fontId="3" numFmtId="0" xfId="0" applyFont="1"/>
    <xf borderId="0" fillId="3" fontId="4" numFmtId="0" xfId="0" applyAlignment="1" applyFill="1" applyFont="1">
      <alignment readingOrder="0"/>
    </xf>
    <xf borderId="0" fillId="3" fontId="3" numFmtId="0" xfId="0" applyFont="1"/>
    <xf borderId="1" fillId="4" fontId="5" numFmtId="0" xfId="0" applyAlignment="1" applyBorder="1" applyFill="1" applyFont="1">
      <alignment horizontal="center" readingOrder="0" vertical="center"/>
    </xf>
    <xf borderId="2" fillId="4" fontId="5" numFmtId="0" xfId="0" applyAlignment="1" applyBorder="1" applyFont="1">
      <alignment horizontal="center" readingOrder="0" vertical="center"/>
    </xf>
    <xf borderId="3" fillId="4" fontId="5" numFmtId="0" xfId="0" applyAlignment="1" applyBorder="1" applyFont="1">
      <alignment horizontal="center" readingOrder="0" vertical="center"/>
    </xf>
    <xf borderId="4" fillId="5" fontId="3" numFmtId="0" xfId="0" applyAlignment="1" applyBorder="1" applyFill="1" applyFont="1">
      <alignment readingOrder="0"/>
    </xf>
    <xf borderId="0" fillId="5" fontId="3" numFmtId="3" xfId="0" applyFont="1" applyNumberFormat="1"/>
    <xf borderId="5" fillId="5" fontId="3" numFmtId="3" xfId="0" applyBorder="1" applyFont="1" applyNumberFormat="1"/>
    <xf borderId="4" fillId="6" fontId="3" numFmtId="0" xfId="0" applyAlignment="1" applyBorder="1" applyFill="1" applyFont="1">
      <alignment readingOrder="0"/>
    </xf>
    <xf borderId="0" fillId="6" fontId="3" numFmtId="3" xfId="0" applyFont="1" applyNumberFormat="1"/>
    <xf borderId="5" fillId="6" fontId="3" numFmtId="3" xfId="0" applyBorder="1" applyFont="1" applyNumberFormat="1"/>
    <xf borderId="6" fillId="7" fontId="6" numFmtId="0" xfId="0" applyAlignment="1" applyBorder="1" applyFill="1" applyFont="1">
      <alignment readingOrder="0"/>
    </xf>
    <xf borderId="7" fillId="7" fontId="6" numFmtId="3" xfId="0" applyBorder="1" applyFont="1" applyNumberFormat="1"/>
    <xf borderId="8" fillId="7" fontId="6" numFmtId="3" xfId="0" applyBorder="1" applyFont="1" applyNumberFormat="1"/>
    <xf borderId="0" fillId="0" fontId="7" numFmtId="0" xfId="0" applyAlignment="1" applyFont="1">
      <alignment readingOrder="0"/>
    </xf>
    <xf borderId="0" fillId="8" fontId="3" numFmtId="0" xfId="0" applyFill="1" applyFont="1"/>
    <xf borderId="0" fillId="5" fontId="3" numFmtId="0" xfId="0" applyAlignment="1" applyFont="1">
      <alignment readingOrder="0"/>
    </xf>
    <xf borderId="0" fillId="6" fontId="3" numFmtId="0" xfId="0" applyAlignment="1" applyFont="1">
      <alignment readingOrder="0"/>
    </xf>
    <xf borderId="6" fillId="6" fontId="3" numFmtId="0" xfId="0" applyAlignment="1" applyBorder="1" applyFont="1">
      <alignment readingOrder="0"/>
    </xf>
    <xf borderId="7" fillId="6" fontId="3" numFmtId="0" xfId="0" applyAlignment="1" applyBorder="1" applyFont="1">
      <alignment readingOrder="0"/>
    </xf>
    <xf borderId="7" fillId="6" fontId="3" numFmtId="3" xfId="0" applyBorder="1" applyFont="1" applyNumberFormat="1"/>
    <xf borderId="8" fillId="6" fontId="3" numFmtId="3" xfId="0" applyBorder="1" applyFont="1" applyNumberFormat="1"/>
    <xf borderId="2" fillId="9" fontId="8" numFmtId="0" xfId="0" applyAlignment="1" applyBorder="1" applyFill="1" applyFont="1">
      <alignment horizontal="center" readingOrder="0" vertical="center"/>
    </xf>
    <xf borderId="2" fillId="4" fontId="9" numFmtId="0" xfId="0" applyAlignment="1" applyBorder="1" applyFont="1">
      <alignment horizontal="center" readingOrder="0" vertical="center"/>
    </xf>
    <xf borderId="3" fillId="4" fontId="9" numFmtId="0" xfId="0" applyAlignment="1" applyBorder="1" applyFont="1">
      <alignment horizontal="center" readingOrder="0" vertical="center"/>
    </xf>
    <xf borderId="4" fillId="5" fontId="3" numFmtId="0" xfId="0" applyAlignment="1" applyBorder="1" applyFont="1">
      <alignment readingOrder="0"/>
    </xf>
    <xf borderId="0" fillId="9" fontId="10" numFmtId="3" xfId="0" applyFont="1" applyNumberFormat="1"/>
    <xf borderId="0" fillId="5" fontId="7" numFmtId="0" xfId="0" applyAlignment="1" applyFont="1">
      <alignment readingOrder="0"/>
    </xf>
    <xf borderId="0" fillId="5" fontId="11" numFmtId="0" xfId="0" applyFont="1"/>
    <xf borderId="5" fillId="5" fontId="11" numFmtId="0" xfId="0" applyBorder="1" applyFont="1"/>
    <xf borderId="4" fillId="6" fontId="3" numFmtId="0" xfId="0" applyAlignment="1" applyBorder="1" applyFont="1">
      <alignment readingOrder="0"/>
    </xf>
    <xf borderId="0" fillId="6" fontId="7" numFmtId="0" xfId="0" applyAlignment="1" applyFont="1">
      <alignment readingOrder="0"/>
    </xf>
    <xf borderId="0" fillId="6" fontId="11" numFmtId="0" xfId="0" applyFont="1"/>
    <xf borderId="5" fillId="6" fontId="11" numFmtId="0" xfId="0" applyBorder="1" applyFont="1"/>
    <xf borderId="0" fillId="6" fontId="11" numFmtId="0" xfId="0" applyAlignment="1" applyFont="1">
      <alignment readingOrder="0"/>
    </xf>
    <xf borderId="5" fillId="6" fontId="11" numFmtId="0" xfId="0" applyAlignment="1" applyBorder="1" applyFont="1">
      <alignment readingOrder="0"/>
    </xf>
    <xf borderId="5" fillId="5" fontId="11" numFmtId="0" xfId="0" applyAlignment="1" applyBorder="1" applyFont="1">
      <alignment readingOrder="0"/>
    </xf>
    <xf borderId="6" fillId="6" fontId="3" numFmtId="0" xfId="0" applyAlignment="1" applyBorder="1" applyFont="1">
      <alignment readingOrder="0"/>
    </xf>
    <xf borderId="7" fillId="9" fontId="10" numFmtId="3" xfId="0" applyBorder="1" applyFont="1" applyNumberFormat="1"/>
    <xf borderId="7" fillId="6" fontId="7" numFmtId="0" xfId="0" applyAlignment="1" applyBorder="1" applyFont="1">
      <alignment readingOrder="0"/>
    </xf>
    <xf borderId="7" fillId="6" fontId="11" numFmtId="0" xfId="0" applyBorder="1" applyFont="1"/>
    <xf borderId="8" fillId="6" fontId="11" numFmtId="0" xfId="0" applyBorder="1" applyFont="1"/>
    <xf borderId="0" fillId="3" fontId="12" numFmtId="0" xfId="0" applyAlignment="1" applyFont="1">
      <alignment horizontal="center" readingOrder="0"/>
    </xf>
    <xf borderId="4" fillId="5" fontId="3" numFmtId="165" xfId="0" applyAlignment="1" applyBorder="1" applyFont="1" applyNumberFormat="1">
      <alignment readingOrder="0"/>
    </xf>
    <xf borderId="4" fillId="6" fontId="3" numFmtId="165" xfId="0" applyAlignment="1" applyBorder="1" applyFont="1" applyNumberFormat="1">
      <alignment readingOrder="0"/>
    </xf>
    <xf borderId="6" fillId="6" fontId="3" numFmtId="165" xfId="0" applyAlignment="1" applyBorder="1" applyFont="1" applyNumberFormat="1">
      <alignment readingOrder="0"/>
    </xf>
    <xf borderId="0" fillId="10" fontId="3" numFmtId="0" xfId="0" applyFill="1" applyFont="1"/>
    <xf borderId="0" fillId="0" fontId="3" numFmtId="0" xfId="0" applyFont="1"/>
    <xf borderId="0" fillId="0" fontId="3" numFmtId="166" xfId="0" applyAlignment="1" applyFont="1" applyNumberFormat="1">
      <alignment readingOrder="0"/>
    </xf>
    <xf borderId="0" fillId="0" fontId="3" numFmtId="0" xfId="0" applyAlignment="1" applyFont="1">
      <alignment readingOrder="0"/>
    </xf>
    <xf borderId="0" fillId="11" fontId="3" numFmtId="0" xfId="0" applyFill="1" applyFont="1"/>
    <xf borderId="0" fillId="0" fontId="3" numFmtId="164" xfId="0" applyAlignment="1" applyFont="1" applyNumberFormat="1">
      <alignment readingOrder="0"/>
    </xf>
    <xf borderId="0" fillId="0" fontId="13" numFmtId="4" xfId="0" applyAlignment="1" applyFont="1" applyNumberFormat="1">
      <alignment horizontal="center" readingOrder="0"/>
    </xf>
    <xf borderId="0" fillId="0" fontId="3" numFmtId="167" xfId="0" applyFont="1" applyNumberFormat="1"/>
    <xf borderId="0" fillId="0" fontId="3" numFmtId="164" xfId="0" applyFont="1" applyNumberFormat="1"/>
    <xf borderId="0" fillId="0" fontId="14" numFmtId="0" xfId="0" applyAlignment="1" applyFont="1">
      <alignment horizontal="right" vertical="bottom"/>
    </xf>
    <xf borderId="0" fillId="0" fontId="3" numFmtId="4" xfId="0" applyAlignment="1" applyFont="1" applyNumberFormat="1">
      <alignment readingOrder="0"/>
    </xf>
    <xf borderId="0" fillId="0" fontId="3" numFmtId="4" xfId="0" applyFont="1" applyNumberFormat="1"/>
    <xf borderId="0" fillId="10" fontId="14" numFmtId="0" xfId="0" applyAlignment="1" applyFont="1">
      <alignment vertical="bottom"/>
    </xf>
    <xf borderId="0" fillId="10" fontId="14" numFmtId="46" xfId="0" applyAlignment="1" applyFont="1" applyNumberFormat="1">
      <alignment vertical="bottom"/>
    </xf>
    <xf borderId="0" fillId="10" fontId="14" numFmtId="1" xfId="0" applyAlignment="1" applyFont="1" applyNumberFormat="1">
      <alignment vertical="bottom"/>
    </xf>
    <xf borderId="0" fillId="10" fontId="14" numFmtId="168" xfId="0" applyAlignment="1" applyFont="1" applyNumberFormat="1">
      <alignment vertical="bottom"/>
    </xf>
    <xf borderId="0" fillId="0" fontId="14" numFmtId="0" xfId="0" applyAlignment="1" applyFont="1">
      <alignment vertical="bottom"/>
    </xf>
    <xf borderId="0" fillId="0" fontId="14" numFmtId="166" xfId="0" applyAlignment="1" applyFont="1" applyNumberFormat="1">
      <alignment readingOrder="0" vertical="bottom"/>
    </xf>
    <xf borderId="0" fillId="0" fontId="14" numFmtId="164" xfId="0" applyAlignment="1" applyFont="1" applyNumberFormat="1">
      <alignment readingOrder="0" vertical="bottom"/>
    </xf>
    <xf borderId="0" fillId="0" fontId="14" numFmtId="0" xfId="0" applyAlignment="1" applyFont="1">
      <alignment vertical="bottom"/>
    </xf>
    <xf borderId="0" fillId="0" fontId="3" numFmtId="0" xfId="0" applyFont="1"/>
    <xf borderId="0" fillId="0" fontId="14" numFmtId="167" xfId="0" applyAlignment="1" applyFont="1" applyNumberFormat="1">
      <alignment vertical="bottom"/>
    </xf>
    <xf borderId="0" fillId="0" fontId="14" numFmtId="46" xfId="0" applyAlignment="1" applyFont="1" applyNumberFormat="1">
      <alignment vertical="bottom"/>
    </xf>
    <xf borderId="0" fillId="0" fontId="14" numFmtId="1" xfId="0" applyAlignment="1" applyFont="1" applyNumberFormat="1">
      <alignment vertical="bottom"/>
    </xf>
    <xf borderId="0" fillId="0" fontId="14" numFmtId="168" xfId="0" applyAlignment="1" applyFont="1" applyNumberFormat="1">
      <alignment vertical="bottom"/>
    </xf>
    <xf borderId="0" fillId="11" fontId="14" numFmtId="0" xfId="0" applyAlignment="1" applyFont="1">
      <alignment vertical="bottom"/>
    </xf>
    <xf borderId="0" fillId="0" fontId="14" numFmtId="164" xfId="0" applyAlignment="1" applyFont="1" applyNumberFormat="1">
      <alignment vertical="bottom"/>
    </xf>
    <xf borderId="0" fillId="0" fontId="3" numFmtId="46" xfId="0" applyFont="1" applyNumberFormat="1"/>
    <xf borderId="0" fillId="0" fontId="3" numFmtId="169" xfId="0" applyFont="1" applyNumberFormat="1"/>
    <xf borderId="0" fillId="0" fontId="3" numFmtId="168" xfId="0" applyFont="1" applyNumberFormat="1"/>
    <xf borderId="0" fillId="10" fontId="3" numFmtId="0" xfId="0" applyAlignment="1" applyFont="1">
      <alignment readingOrder="0"/>
    </xf>
    <xf borderId="0" fillId="10" fontId="3" numFmtId="1" xfId="0" applyAlignment="1" applyFont="1" applyNumberFormat="1">
      <alignment readingOrder="0"/>
    </xf>
    <xf borderId="0" fillId="10" fontId="3" numFmtId="2" xfId="0" applyAlignment="1" applyFont="1" applyNumberFormat="1">
      <alignment readingOrder="0"/>
    </xf>
    <xf borderId="0" fillId="10" fontId="3" numFmtId="10" xfId="0" applyAlignment="1" applyFont="1" applyNumberFormat="1">
      <alignment readingOrder="0"/>
    </xf>
    <xf borderId="0" fillId="10" fontId="3" numFmtId="46" xfId="0" applyAlignment="1" applyFont="1" applyNumberFormat="1">
      <alignment readingOrder="0"/>
    </xf>
    <xf borderId="0" fillId="10" fontId="3" numFmtId="4" xfId="0" applyAlignment="1" applyFont="1" applyNumberFormat="1">
      <alignment readingOrder="0"/>
    </xf>
    <xf borderId="0" fillId="10" fontId="3" numFmtId="170" xfId="0" applyAlignment="1" applyFont="1" applyNumberFormat="1">
      <alignment readingOrder="0"/>
    </xf>
    <xf borderId="0" fillId="0" fontId="3" numFmtId="46" xfId="0" applyAlignment="1" applyFont="1" applyNumberFormat="1">
      <alignment readingOrder="0"/>
    </xf>
    <xf borderId="0" fillId="11" fontId="3" numFmtId="1" xfId="0" applyAlignment="1" applyFont="1" applyNumberFormat="1">
      <alignment readingOrder="0"/>
    </xf>
    <xf borderId="0" fillId="11" fontId="3" numFmtId="2" xfId="0" applyAlignment="1" applyFont="1" applyNumberFormat="1">
      <alignment readingOrder="0"/>
    </xf>
    <xf borderId="0" fillId="11" fontId="3" numFmtId="0" xfId="0" applyAlignment="1" applyFont="1">
      <alignment readingOrder="0"/>
    </xf>
    <xf borderId="0" fillId="0" fontId="3" numFmtId="10" xfId="0" applyAlignment="1" applyFont="1" applyNumberFormat="1">
      <alignment readingOrder="0"/>
    </xf>
    <xf borderId="0" fillId="12" fontId="3" numFmtId="0" xfId="0" applyAlignment="1" applyFill="1" applyFont="1">
      <alignment readingOrder="0"/>
    </xf>
    <xf borderId="0" fillId="13" fontId="3" numFmtId="0" xfId="0" applyAlignment="1" applyFill="1" applyFont="1">
      <alignment readingOrder="0"/>
    </xf>
    <xf borderId="0" fillId="12" fontId="3" numFmtId="46" xfId="0" applyAlignment="1" applyFont="1" applyNumberFormat="1">
      <alignment readingOrder="0"/>
    </xf>
    <xf borderId="0" fillId="13" fontId="3" numFmtId="46" xfId="0" applyAlignment="1" applyFont="1" applyNumberFormat="1">
      <alignment readingOrder="0"/>
    </xf>
    <xf borderId="0" fillId="12" fontId="3" numFmtId="4" xfId="0" applyAlignment="1" applyFont="1" applyNumberFormat="1">
      <alignment readingOrder="0"/>
    </xf>
    <xf borderId="0" fillId="13" fontId="3" numFmtId="4" xfId="0" applyAlignment="1" applyFont="1" applyNumberFormat="1">
      <alignment readingOrder="0"/>
    </xf>
    <xf borderId="0" fillId="14" fontId="3" numFmtId="0" xfId="0" applyAlignment="1" applyFill="1" applyFont="1">
      <alignment readingOrder="0"/>
    </xf>
    <xf borderId="0" fillId="14" fontId="3" numFmtId="46" xfId="0" applyAlignment="1" applyFont="1" applyNumberFormat="1">
      <alignment readingOrder="0"/>
    </xf>
    <xf borderId="0" fillId="12" fontId="3" numFmtId="170" xfId="0" applyAlignment="1" applyFont="1" applyNumberFormat="1">
      <alignment horizontal="center" readingOrder="0"/>
    </xf>
    <xf borderId="0" fillId="13" fontId="3" numFmtId="170" xfId="0" applyAlignment="1" applyFont="1" applyNumberFormat="1">
      <alignment horizontal="center" readingOrder="0"/>
    </xf>
    <xf borderId="0" fillId="14" fontId="3" numFmtId="0" xfId="0" applyAlignment="1" applyFont="1">
      <alignment horizontal="center" readingOrder="0"/>
    </xf>
    <xf borderId="0" fillId="0" fontId="13" numFmtId="0" xfId="0" applyAlignment="1" applyFont="1">
      <alignment horizontal="center" readingOrder="0"/>
    </xf>
    <xf borderId="0" fillId="0" fontId="3" numFmtId="171" xfId="0" applyFont="1" applyNumberFormat="1"/>
    <xf borderId="0" fillId="0" fontId="3" numFmtId="14" xfId="0" applyFont="1" applyNumberFormat="1"/>
    <xf borderId="0" fillId="0" fontId="14" numFmtId="1" xfId="0" applyAlignment="1" applyFont="1" applyNumberFormat="1">
      <alignment horizontal="right" vertical="bottom"/>
    </xf>
    <xf borderId="0" fillId="0" fontId="3" numFmtId="2" xfId="0" applyFont="1" applyNumberFormat="1"/>
    <xf borderId="0" fillId="0" fontId="3" numFmtId="10" xfId="0" applyFont="1" applyNumberFormat="1"/>
    <xf borderId="0" fillId="0" fontId="3" numFmtId="1" xfId="0" applyFont="1" applyNumberFormat="1"/>
    <xf borderId="0" fillId="0" fontId="3" numFmtId="2" xfId="0" applyAlignment="1" applyFont="1" applyNumberFormat="1">
      <alignment readingOrder="0"/>
    </xf>
    <xf borderId="0" fillId="0" fontId="13" numFmtId="4" xfId="0" applyAlignment="1" applyFont="1" applyNumberFormat="1">
      <alignment readingOrder="0"/>
    </xf>
    <xf borderId="0" fillId="0" fontId="3" numFmtId="170" xfId="0" applyFont="1" applyNumberFormat="1"/>
    <xf borderId="0" fillId="0" fontId="3" numFmtId="170" xfId="0" applyAlignment="1" applyFont="1" applyNumberFormat="1">
      <alignment readingOrder="0"/>
    </xf>
    <xf borderId="0" fillId="0" fontId="3" numFmtId="172" xfId="0" applyAlignment="1" applyFont="1" applyNumberFormat="1">
      <alignment readingOrder="0"/>
    </xf>
    <xf borderId="0" fillId="0" fontId="13" numFmtId="170" xfId="0" applyAlignment="1" applyFont="1" applyNumberFormat="1">
      <alignment horizontal="center" readingOrder="0"/>
    </xf>
    <xf borderId="0" fillId="0" fontId="15" numFmtId="4" xfId="0" applyAlignment="1" applyFont="1" applyNumberFormat="1">
      <alignment readingOrder="0"/>
    </xf>
    <xf borderId="0" fillId="0" fontId="3" numFmtId="171" xfId="0" applyFont="1" applyNumberFormat="1"/>
    <xf borderId="0" fillId="10" fontId="3" numFmtId="171" xfId="0" applyFont="1" applyNumberFormat="1"/>
    <xf borderId="0" fillId="10" fontId="3" numFmtId="0" xfId="0" applyFont="1"/>
    <xf borderId="0" fillId="10" fontId="3" numFmtId="19" xfId="0" applyAlignment="1" applyFont="1" applyNumberFormat="1">
      <alignment readingOrder="0"/>
    </xf>
    <xf borderId="0" fillId="10" fontId="3" numFmtId="46" xfId="0" applyFont="1" applyNumberFormat="1"/>
    <xf borderId="0" fillId="10" fontId="3" numFmtId="19" xfId="0" applyFont="1" applyNumberFormat="1"/>
    <xf borderId="0" fillId="10" fontId="3" numFmtId="1" xfId="0" applyFont="1" applyNumberFormat="1"/>
    <xf borderId="0" fillId="10" fontId="3" numFmtId="2" xfId="0" applyFont="1" applyNumberFormat="1"/>
    <xf borderId="0" fillId="10" fontId="3" numFmtId="0" xfId="0" applyAlignment="1" applyFont="1">
      <alignment readingOrder="0"/>
    </xf>
    <xf borderId="0" fillId="10" fontId="3" numFmtId="14" xfId="0" applyFont="1" applyNumberFormat="1"/>
    <xf borderId="0" fillId="10" fontId="14" numFmtId="46" xfId="0" applyAlignment="1" applyFont="1" applyNumberFormat="1">
      <alignment horizontal="center" vertical="bottom"/>
    </xf>
    <xf borderId="0" fillId="10" fontId="14" numFmtId="2" xfId="0" applyAlignment="1" applyFont="1" applyNumberFormat="1">
      <alignment vertical="bottom"/>
    </xf>
    <xf borderId="0" fillId="10" fontId="3" numFmtId="4" xfId="0" applyFont="1" applyNumberFormat="1"/>
    <xf borderId="0" fillId="10" fontId="3" numFmtId="10" xfId="0" applyFont="1" applyNumberFormat="1"/>
    <xf borderId="0" fillId="0" fontId="3" numFmtId="19" xfId="0" applyFont="1" applyNumberFormat="1"/>
    <xf borderId="0" fillId="0" fontId="3" numFmtId="2" xfId="0" applyFont="1" applyNumberFormat="1"/>
    <xf borderId="0" fillId="10" fontId="14" numFmtId="46" xfId="0" applyAlignment="1" applyFont="1" applyNumberFormat="1">
      <alignment readingOrder="0" vertical="bottom"/>
    </xf>
    <xf borderId="0" fillId="10" fontId="14" numFmtId="168" xfId="0" applyAlignment="1" applyFont="1" applyNumberFormat="1">
      <alignment readingOrder="0" vertical="bottom"/>
    </xf>
    <xf borderId="0" fillId="10" fontId="14" numFmtId="10" xfId="0" applyAlignment="1" applyFont="1" applyNumberFormat="1">
      <alignment vertical="bottom"/>
    </xf>
    <xf borderId="0" fillId="10" fontId="14" numFmtId="0" xfId="0" applyAlignment="1" applyFont="1">
      <alignment readingOrder="0" vertical="bottom"/>
    </xf>
    <xf borderId="0" fillId="10" fontId="14" numFmtId="170" xfId="0" applyAlignment="1" applyFont="1" applyNumberFormat="1">
      <alignment vertical="bottom"/>
    </xf>
    <xf borderId="0" fillId="10" fontId="14" numFmtId="4" xfId="0" applyAlignment="1" applyFont="1" applyNumberFormat="1">
      <alignment vertical="bottom"/>
    </xf>
    <xf borderId="0" fillId="0" fontId="14" numFmtId="4" xfId="0" applyAlignment="1" applyFont="1" applyNumberFormat="1">
      <alignment vertical="bottom"/>
    </xf>
    <xf borderId="0" fillId="0" fontId="14" numFmtId="166" xfId="0" applyAlignment="1" applyFont="1" applyNumberFormat="1">
      <alignment vertical="bottom"/>
    </xf>
    <xf borderId="0" fillId="0" fontId="14" numFmtId="0" xfId="0" applyAlignment="1" applyFont="1">
      <alignment readingOrder="0" vertical="bottom"/>
    </xf>
    <xf borderId="0" fillId="0" fontId="14" numFmtId="46" xfId="0" applyAlignment="1" applyFont="1" applyNumberFormat="1">
      <alignment readingOrder="0" vertical="bottom"/>
    </xf>
    <xf borderId="0" fillId="0" fontId="14" numFmtId="168" xfId="0" applyAlignment="1" applyFont="1" applyNumberFormat="1">
      <alignment readingOrder="0" vertical="bottom"/>
    </xf>
    <xf borderId="0" fillId="11" fontId="14" numFmtId="0" xfId="0" applyAlignment="1" applyFont="1">
      <alignment readingOrder="0" vertical="bottom"/>
    </xf>
    <xf borderId="0" fillId="0" fontId="14" numFmtId="14" xfId="0" applyAlignment="1" applyFont="1" applyNumberFormat="1">
      <alignment vertical="bottom"/>
    </xf>
    <xf borderId="0" fillId="0" fontId="14" numFmtId="10" xfId="0" applyAlignment="1" applyFont="1" applyNumberFormat="1">
      <alignment readingOrder="0" vertical="bottom"/>
    </xf>
    <xf borderId="0" fillId="0" fontId="14" numFmtId="170" xfId="0" applyAlignment="1" applyFont="1" applyNumberFormat="1">
      <alignment horizontal="center" readingOrder="0" vertical="bottom"/>
    </xf>
    <xf borderId="0" fillId="0" fontId="14" numFmtId="0" xfId="0" applyAlignment="1" applyFont="1">
      <alignment horizontal="center" vertical="bottom"/>
    </xf>
    <xf borderId="0" fillId="0" fontId="14" numFmtId="10" xfId="0" applyAlignment="1" applyFont="1" applyNumberFormat="1">
      <alignment vertical="bottom"/>
    </xf>
  </cellXfs>
  <cellStyles count="1">
    <cellStyle xfId="0" name="Normal" builtinId="0"/>
  </cellStyles>
  <dxfs count="24">
    <dxf>
      <font/>
      <fill>
        <patternFill patternType="solid">
          <fgColor rgb="FFB7E1CD"/>
          <bgColor rgb="FFB7E1CD"/>
        </patternFill>
      </fill>
      <border/>
    </dxf>
    <dxf>
      <font/>
      <fill>
        <patternFill patternType="solid">
          <fgColor rgb="FF6AA84F"/>
          <bgColor rgb="FF6AA84F"/>
        </patternFill>
      </fill>
      <border/>
    </dxf>
    <dxf>
      <font/>
      <fill>
        <patternFill patternType="solid">
          <fgColor rgb="FFB6D7A8"/>
          <bgColor rgb="FFB6D7A8"/>
        </patternFill>
      </fill>
      <border/>
    </dxf>
    <dxf>
      <font/>
      <fill>
        <patternFill patternType="solid">
          <fgColor rgb="FFE06666"/>
          <bgColor rgb="FFE06666"/>
        </patternFill>
      </fill>
      <border/>
    </dxf>
    <dxf>
      <font/>
      <fill>
        <patternFill patternType="solid">
          <fgColor rgb="FFE69138"/>
          <bgColor rgb="FFE69138"/>
        </patternFill>
      </fill>
      <border/>
    </dxf>
    <dxf>
      <font/>
      <fill>
        <patternFill patternType="solid">
          <fgColor rgb="FFF9CB9C"/>
          <bgColor rgb="FFF9CB9C"/>
        </patternFill>
      </fill>
      <border/>
    </dxf>
    <dxf>
      <font/>
      <fill>
        <patternFill patternType="solid">
          <fgColor rgb="FFFFF2CC"/>
          <bgColor rgb="FFFFF2CC"/>
        </patternFill>
      </fill>
      <border/>
    </dxf>
    <dxf>
      <font/>
      <fill>
        <patternFill patternType="solid">
          <fgColor rgb="FFF1C232"/>
          <bgColor rgb="FFF1C232"/>
        </patternFill>
      </fill>
      <border/>
    </dxf>
    <dxf>
      <font/>
      <fill>
        <patternFill patternType="solid">
          <fgColor rgb="FFD9EAD3"/>
          <bgColor rgb="FFD9EAD3"/>
        </patternFill>
      </fill>
      <border/>
    </dxf>
    <dxf>
      <font>
        <color rgb="FFFFFFFF"/>
      </font>
      <fill>
        <patternFill patternType="solid">
          <fgColor rgb="FFB8834B"/>
          <bgColor rgb="FFB8834B"/>
        </patternFill>
      </fill>
      <border/>
    </dxf>
    <dxf>
      <font>
        <color rgb="FFFFFFFF"/>
      </font>
      <fill>
        <patternFill patternType="solid">
          <fgColor rgb="FF9D4736"/>
          <bgColor rgb="FF9D4736"/>
        </patternFill>
      </fill>
      <border/>
    </dxf>
    <dxf>
      <font/>
      <fill>
        <patternFill patternType="solid">
          <fgColor rgb="FFFFEFEF"/>
          <bgColor rgb="FFFFEFEF"/>
        </patternFill>
      </fill>
      <border/>
    </dxf>
    <dxf>
      <font/>
      <fill>
        <patternFill patternType="solid">
          <fgColor rgb="FFFFF8F1"/>
          <bgColor rgb="FFFFF8F1"/>
        </patternFill>
      </fill>
      <border/>
    </dxf>
    <dxf>
      <font/>
      <fill>
        <patternFill patternType="solid">
          <fgColor rgb="FFF0FFEA"/>
          <bgColor rgb="FFF0FFEA"/>
        </patternFill>
      </fill>
      <border/>
    </dxf>
    <dxf>
      <font/>
      <fill>
        <patternFill patternType="solid">
          <fgColor rgb="FFE8FBFF"/>
          <bgColor rgb="FFE8FBFF"/>
        </patternFill>
      </fill>
      <border/>
    </dxf>
    <dxf>
      <font/>
      <fill>
        <patternFill patternType="solid">
          <fgColor rgb="FFEAF5FF"/>
          <bgColor rgb="FFEAF5FF"/>
        </patternFill>
      </fill>
      <border/>
    </dxf>
    <dxf>
      <font/>
      <fill>
        <patternFill patternType="solid">
          <fgColor rgb="FFEFEFEF"/>
          <bgColor rgb="FFEFEFEF"/>
        </patternFill>
      </fill>
      <border/>
    </dxf>
    <dxf>
      <font/>
      <fill>
        <patternFill patternType="solid">
          <fgColor rgb="FFC9DAF8"/>
          <bgColor rgb="FFC9DAF8"/>
        </patternFill>
      </fill>
      <border/>
    </dxf>
    <dxf>
      <font/>
      <fill>
        <patternFill patternType="solid">
          <fgColor rgb="FFF4CCCC"/>
          <bgColor rgb="FFF4CCCC"/>
        </patternFill>
      </fill>
      <border/>
    </dxf>
    <dxf>
      <font>
        <color rgb="FF000000"/>
      </font>
      <fill>
        <patternFill patternType="solid">
          <fgColor rgb="FFBD8B6D"/>
          <bgColor rgb="FFBD8B6D"/>
        </patternFill>
      </fill>
      <border/>
    </dxf>
    <dxf>
      <font>
        <color rgb="FFFFFFFF"/>
      </font>
      <fill>
        <patternFill patternType="solid">
          <fgColor rgb="FF7C421F"/>
          <bgColor rgb="FF7C421F"/>
        </patternFill>
      </fill>
      <border/>
    </dxf>
    <dxf>
      <font/>
      <fill>
        <patternFill patternType="solid">
          <fgColor rgb="FFEEEAFF"/>
          <bgColor rgb="FFEEEAFF"/>
        </patternFill>
      </fill>
      <border/>
    </dxf>
    <dxf>
      <font/>
      <fill>
        <patternFill patternType="solid">
          <fgColor rgb="FFFF0000"/>
          <bgColor rgb="FFFF0000"/>
        </patternFill>
      </fill>
      <border/>
    </dxf>
    <dxf>
      <font/>
      <fill>
        <patternFill patternType="solid">
          <fgColor rgb="FFD9D2E9"/>
          <bgColor rgb="FFD9D2E9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0" Type="http://schemas.openxmlformats.org/officeDocument/2006/relationships/worksheet" Target="worksheets/sheet6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2.xml"/><Relationship Id="rId3" Type="http://schemas.openxmlformats.org/officeDocument/2006/relationships/vmlDrawing" Target="../drawings/vmlDrawing1.v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drawing" Target="../drawings/drawing4.xml"/><Relationship Id="rId3" Type="http://schemas.openxmlformats.org/officeDocument/2006/relationships/vmlDrawing" Target="../drawings/vmlDrawing2.v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comments" Target="../comments3.xml"/><Relationship Id="rId2" Type="http://schemas.openxmlformats.org/officeDocument/2006/relationships/drawing" Target="../drawings/drawing5.xml"/><Relationship Id="rId3" Type="http://schemas.openxmlformats.org/officeDocument/2006/relationships/vmlDrawing" Target="../drawings/vmlDrawing3.v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comments" Target="../comments4.xml"/><Relationship Id="rId2" Type="http://schemas.openxmlformats.org/officeDocument/2006/relationships/drawing" Target="../drawings/drawing6.xml"/><Relationship Id="rId3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cols>
    <col customWidth="1" min="1" max="1" width="16.38"/>
    <col customWidth="1" min="2" max="2" width="6.63"/>
    <col customWidth="1" min="3" max="14" width="10.13"/>
    <col customWidth="1" min="17" max="17" width="20.13"/>
  </cols>
  <sheetData>
    <row r="1" ht="12.0" customHeight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</row>
    <row r="2" ht="12.0" customHeight="1">
      <c r="A2" s="1" t="s">
        <v>6</v>
      </c>
      <c r="B2" s="3">
        <f>MIN('S24'!$K:$K)</f>
        <v>45313</v>
      </c>
      <c r="C2" s="3">
        <f>MIN('F24'!$K:$K)</f>
        <v>45544</v>
      </c>
      <c r="D2" s="3">
        <f>MIN('S25'!$K:$K)</f>
        <v>45677</v>
      </c>
      <c r="E2" s="3">
        <f>MIN('F25'!$K:$K)</f>
        <v>45908</v>
      </c>
      <c r="F2" s="3">
        <f>MIN('S26'!$K:$K)</f>
        <v>46041</v>
      </c>
    </row>
    <row r="3" ht="4.5" customHeight="1">
      <c r="A3" s="4"/>
      <c r="B3" s="4"/>
      <c r="C3" s="4"/>
      <c r="D3" s="4"/>
      <c r="E3" s="4"/>
      <c r="F3" s="4"/>
      <c r="G3" s="4"/>
      <c r="H3" s="4"/>
    </row>
    <row r="4" ht="16.5" customHeight="1">
      <c r="A4" s="5" t="s">
        <v>7</v>
      </c>
      <c r="B4" s="6"/>
      <c r="C4" s="6"/>
      <c r="D4" s="6"/>
      <c r="E4" s="6"/>
      <c r="F4" s="6"/>
    </row>
    <row r="5" ht="18.0" customHeight="1">
      <c r="A5" s="7" t="s">
        <v>8</v>
      </c>
      <c r="B5" s="8" t="s">
        <v>1</v>
      </c>
      <c r="C5" s="8" t="s">
        <v>2</v>
      </c>
      <c r="D5" s="8" t="s">
        <v>3</v>
      </c>
      <c r="E5" s="8" t="s">
        <v>4</v>
      </c>
      <c r="F5" s="9" t="s">
        <v>9</v>
      </c>
    </row>
    <row r="6">
      <c r="A6" s="10" t="s">
        <v>10</v>
      </c>
      <c r="B6" s="11">
        <f>IFERROR(SUMIF('S24'!$J:$J,"Breakfast",'S24'!$H:$H),0)</f>
        <v>727.18</v>
      </c>
      <c r="C6" s="11">
        <f>IFERROR(SUMIF('F24'!$J:$J,"Breakfast",'F24'!$H:$H),0)</f>
        <v>2685</v>
      </c>
      <c r="D6" s="11">
        <f>IFERROR(SUMIF('S25'!$J:$J,"Breakfast",'S25'!$H:$H),0)</f>
        <v>4199</v>
      </c>
      <c r="E6" s="11">
        <f>IFERROR(SUMIF('F25'!$J:$J,"Breakfast",'F25'!$H:$H),0)</f>
        <v>1851</v>
      </c>
      <c r="F6" s="12">
        <f>IFERROR(SUMIF('S26'!$J:$J,"Breakfast",'S26'!$H:$H),0)</f>
        <v>3054</v>
      </c>
    </row>
    <row r="7">
      <c r="A7" s="13" t="s">
        <v>11</v>
      </c>
      <c r="B7" s="14">
        <f>IFERROR(SUMIF('S24'!$J:$J,"Lunch",'S24'!$H:$H),0)</f>
        <v>3951.78</v>
      </c>
      <c r="C7" s="14">
        <f>IFERROR(SUMIF('F24'!$J:$J,"Lunch",'F24'!$H:$H),0)</f>
        <v>12163</v>
      </c>
      <c r="D7" s="14">
        <f>IFERROR(SUMIF('S25'!$J:$J,"Lunch",'S25'!$H:$H),0)</f>
        <v>13311</v>
      </c>
      <c r="E7" s="14">
        <f>IFERROR(SUMIF('F25'!$J:$J,"Lunch",'F25'!$H:$H),0)</f>
        <v>14184.5</v>
      </c>
      <c r="F7" s="15">
        <f>IFERROR(SUMIF('S26'!$J:$J,"Lunch",'S26'!$H:$H),0)</f>
        <v>11015</v>
      </c>
    </row>
    <row r="8">
      <c r="A8" s="10" t="s">
        <v>12</v>
      </c>
      <c r="B8" s="11">
        <f>IFERROR(SUMIF('S24'!$J:$J,"Dinner",'S24'!$H:$H),0)</f>
        <v>2431.9</v>
      </c>
      <c r="C8" s="11">
        <f>IFERROR(SUMIF('F24'!$J:$J,"Dinner",'F24'!$H:$H),0)</f>
        <v>10619</v>
      </c>
      <c r="D8" s="11">
        <f>IFERROR(SUMIF('S25'!$J:$J,"Dinner",'S25'!$H:$H),0)</f>
        <v>13563</v>
      </c>
      <c r="E8" s="11">
        <f>IFERROR(SUMIF('F25'!$J:$J,"Dinner",'F25'!$H:$H),0)</f>
        <v>15726.5</v>
      </c>
      <c r="F8" s="12">
        <f>IFERROR(SUMIF('S26'!$J:$J,"Dinner",'S26'!$H:$H),0)</f>
        <v>14881</v>
      </c>
    </row>
    <row r="9">
      <c r="A9" s="13" t="s">
        <v>13</v>
      </c>
      <c r="B9" s="14">
        <f>IFERROR(SUMIF('S24'!$J:$J,"Breakfast/Lunch",'S24'!$H:$H),0)</f>
        <v>0</v>
      </c>
      <c r="C9" s="14">
        <f>IFERROR(SUMIF('F24'!$J:$J,"Breakfast/Lunch",'F24'!$H:$H),0)</f>
        <v>919</v>
      </c>
      <c r="D9" s="14">
        <f>IFERROR(SUMIF('S25'!$J:$J,"Breakfast/Lunch",'S25'!$H:$H),0)</f>
        <v>0</v>
      </c>
      <c r="E9" s="14">
        <f>IFERROR(SUMIF('F25'!$J:$J,"Breakfast/Lunch",'F25'!$H:$H),0)</f>
        <v>1675</v>
      </c>
      <c r="F9" s="15">
        <f>IFERROR(SUMIF('S26'!$J:$J,"Breakfast/Lunch",'S26'!$H:$H),0)</f>
        <v>2395</v>
      </c>
    </row>
    <row r="10">
      <c r="A10" s="16" t="s">
        <v>14</v>
      </c>
      <c r="B10" s="17">
        <f>SUM('YoY Viz Data'!$B$6:$B$9)</f>
        <v>7110.86</v>
      </c>
      <c r="C10" s="17">
        <f>SUM('YoY Viz Data'!$C$6:$C$9)</f>
        <v>26386</v>
      </c>
      <c r="D10" s="17">
        <f>SUM('YoY Viz Data'!$D$6:$D$9)</f>
        <v>31073</v>
      </c>
      <c r="E10" s="17">
        <f>SUM('YoY Viz Data'!$E$6:$E$9)</f>
        <v>33437</v>
      </c>
      <c r="F10" s="18">
        <f>SUM('YoY Viz Data'!$F$6:$F$9)</f>
        <v>31345</v>
      </c>
    </row>
    <row r="11" ht="10.5" customHeight="1">
      <c r="A11" s="19" t="s">
        <v>15</v>
      </c>
    </row>
    <row r="12" ht="3.75" customHeight="1">
      <c r="A12" s="20"/>
      <c r="B12" s="20"/>
      <c r="C12" s="20"/>
      <c r="D12" s="20"/>
      <c r="E12" s="20"/>
      <c r="F12" s="20"/>
      <c r="G12" s="20"/>
      <c r="H12" s="20"/>
      <c r="I12" s="20"/>
    </row>
    <row r="13" ht="16.5" customHeight="1">
      <c r="A13" s="5" t="s">
        <v>16</v>
      </c>
      <c r="B13" s="6"/>
      <c r="C13" s="6"/>
      <c r="D13" s="6"/>
      <c r="E13" s="6"/>
      <c r="F13" s="6"/>
      <c r="G13" s="6"/>
    </row>
    <row r="14" ht="18.0" customHeight="1">
      <c r="A14" s="7" t="s">
        <v>8</v>
      </c>
      <c r="B14" s="8" t="s">
        <v>17</v>
      </c>
      <c r="C14" s="8" t="s">
        <v>1</v>
      </c>
      <c r="D14" s="8" t="s">
        <v>2</v>
      </c>
      <c r="E14" s="8" t="s">
        <v>3</v>
      </c>
      <c r="F14" s="8" t="s">
        <v>4</v>
      </c>
      <c r="G14" s="9" t="s">
        <v>9</v>
      </c>
    </row>
    <row r="15">
      <c r="A15" s="10" t="s">
        <v>12</v>
      </c>
      <c r="B15" s="21" t="s">
        <v>18</v>
      </c>
      <c r="C15" s="11">
        <f>IFERROR(SUMIFS('S24'!$H:$H,'S24'!$J:$J,"Dinner",'S24'!$M:$M,"MF"),0)</f>
        <v>0</v>
      </c>
      <c r="D15" s="11">
        <f>IFERROR(SUMIFS('F24'!$H:$H,'F24'!$J:$J,"Dinner",'F24'!$M:$M,"MF"),0)</f>
        <v>5145</v>
      </c>
      <c r="E15" s="11">
        <f>IFERROR(SUMIFS('S25'!$H:$H,'S25'!$J:$J,"Dinner",'S25'!$M:$M,"MF"),0)</f>
        <v>7476</v>
      </c>
      <c r="F15" s="11">
        <f>IFERROR(SUMIFS('F25'!$H:$H,'F25'!$J:$J,"Dinner",'F25'!$M:$M,"MF"),0)</f>
        <v>8260</v>
      </c>
      <c r="G15" s="12">
        <f>IFERROR(SUMIFS('S26'!$H:$H,'S26'!$J:$J,"Dinner",'S26'!$M:$M,"MF"),0)</f>
        <v>9252</v>
      </c>
    </row>
    <row r="16">
      <c r="A16" s="13" t="s">
        <v>12</v>
      </c>
      <c r="B16" s="22" t="s">
        <v>19</v>
      </c>
      <c r="C16" s="14">
        <f>IFERROR(SUMIFS('S24'!$H:$H,'S24'!$J:$J,"Dinner",'S24'!$M:$M,"BF"),0)</f>
        <v>0</v>
      </c>
      <c r="D16" s="14">
        <f>IFERROR(SUMIFS('F24'!$H:$H,'F24'!$J:$J,"Dinner",'F24'!$M:$M,"BF"),0)</f>
        <v>5474</v>
      </c>
      <c r="E16" s="14">
        <f>IFERROR(SUMIFS('S25'!$H:$H,'S25'!$J:$J,"Dinner",'S25'!$M:$M,"BF"),0)</f>
        <v>6087</v>
      </c>
      <c r="F16" s="14">
        <f>IFERROR(SUMIFS('F25'!$H:$H,'F25'!$J:$J,"Dinner",'F25'!$M:$M,"BF"),0)</f>
        <v>7466.5</v>
      </c>
      <c r="G16" s="15">
        <f>IFERROR(SUMIFS('S26'!$H:$H,'S26'!$J:$J,"Dinner",'S26'!$M:$M,"BF"),0)</f>
        <v>5629</v>
      </c>
    </row>
    <row r="17">
      <c r="A17" s="10" t="s">
        <v>11</v>
      </c>
      <c r="B17" s="21" t="s">
        <v>18</v>
      </c>
      <c r="C17" s="11">
        <f>IFERROR(SUMIFS('S24'!$H:$H,'S24'!$J:$J,"Lunch",'S24'!$M:$M,"MF"),0)</f>
        <v>0</v>
      </c>
      <c r="D17" s="11">
        <f>IFERROR(SUMIFS('F24'!$H:$H,'F24'!$J:$J,"Lunch",'F24'!$M:$M,"MF"),0)</f>
        <v>6636</v>
      </c>
      <c r="E17" s="11">
        <f>IFERROR(SUMIFS('S25'!$H:$H,'S25'!$J:$J,"Lunch",'S25'!$M:$M,"MF"),0)</f>
        <v>6793</v>
      </c>
      <c r="F17" s="11">
        <f>IFERROR(SUMIFS('F25'!$H:$H,'F25'!$J:$J,"Lunch",'F25'!$M:$M,"MF"),0)</f>
        <v>9189</v>
      </c>
      <c r="G17" s="12">
        <f>IFERROR(SUMIFS('S26'!$H:$H,'S26'!$J:$J,"Lunch",'S26'!$M:$M,"MF"),0)</f>
        <v>7023</v>
      </c>
    </row>
    <row r="18">
      <c r="A18" s="13" t="s">
        <v>11</v>
      </c>
      <c r="B18" s="22" t="s">
        <v>19</v>
      </c>
      <c r="C18" s="14">
        <f>IFERROR(SUMIFS('S24'!$H:$H,'S24'!$J:$J,"Lunch",'S24'!$M:$M,"BF"),0)</f>
        <v>0</v>
      </c>
      <c r="D18" s="14">
        <f>IFERROR(SUMIFS('F24'!$H:$H,'F24'!$J:$J,"Lunch",'F24'!$M:$M,"BF"),0)</f>
        <v>5527</v>
      </c>
      <c r="E18" s="14">
        <f>IFERROR(SUMIFS('S25'!$H:$H,'S25'!$J:$J,"Lunch",'S25'!$M:$M,"BF"),0)</f>
        <v>6518</v>
      </c>
      <c r="F18" s="14">
        <f>IFERROR(SUMIFS('F25'!$H:$H,'F25'!$J:$J,"Lunch",'F25'!$M:$M,"BF"),0)</f>
        <v>4995.5</v>
      </c>
      <c r="G18" s="15">
        <f>IFERROR(SUMIFS('S26'!$H:$H,'S26'!$J:$J,"Lunch",'S26'!$M:$M,"BF"),0)</f>
        <v>3992</v>
      </c>
    </row>
    <row r="19">
      <c r="A19" s="10" t="s">
        <v>10</v>
      </c>
      <c r="B19" s="21" t="s">
        <v>19</v>
      </c>
      <c r="C19" s="11">
        <f>IFERROR(SUMIFS('S24'!$H:$H,'S24'!$J:$J,"Breakfast",'S24'!$M:$M,"BF"),0)</f>
        <v>0</v>
      </c>
      <c r="D19" s="11">
        <f>IFERROR(SUMIFS('F24'!$H:$H,'F24'!$J:$J,"Breakfast",'F24'!$M:$M,"BF"),0)</f>
        <v>2685</v>
      </c>
      <c r="E19" s="11">
        <f>IFERROR(SUMIFS('S25'!$H:$H,'S25'!$J:$J,"Breakfast",'S25'!$M:$M,"BF"),0)</f>
        <v>4199</v>
      </c>
      <c r="F19" s="11">
        <f>IFERROR(SUMIFS('F25'!$H:$H,'F25'!$J:$J,"Breakfast",'F25'!$M:$M,"BF"),0)</f>
        <v>1851</v>
      </c>
      <c r="G19" s="12">
        <f>IFERROR(SUMIFS('S26'!$H:$H,'S26'!$J:$J,"Breakfast",'S26'!$M:$M,"BF"),0)</f>
        <v>3030</v>
      </c>
    </row>
    <row r="20">
      <c r="A20" s="23" t="s">
        <v>13</v>
      </c>
      <c r="B20" s="24" t="s">
        <v>19</v>
      </c>
      <c r="C20" s="25">
        <f>IFERROR(SUMIFS('S24'!$H:$H,'S24'!$J:$J,"Breakfast/Lunch",'S24'!$M:$M,"BF"),0)</f>
        <v>0</v>
      </c>
      <c r="D20" s="25">
        <f>IFERROR(SUMIFS('F24'!$H:$H,'F24'!$J:$J,"Breakfast/Lunch",'F24'!$M:$M,"BF"),0)</f>
        <v>919</v>
      </c>
      <c r="E20" s="25">
        <f>IFERROR(SUMIFS('S25'!$H:$H,'S25'!$J:$J,"Breakfast/Lunch",'S25'!$M:$M,"BF"),0)</f>
        <v>0</v>
      </c>
      <c r="F20" s="25">
        <f>IFERROR(SUMIFS('F25'!$H:$H,'F25'!$J:$J,"Breakfast/Lunch",'F25'!$M:$M,"BF"),0)</f>
        <v>1675</v>
      </c>
      <c r="G20" s="26">
        <f>IFERROR(SUMIFS('S26'!$H:$H,'S26'!$J:$J,"Breakfast/Lunch",'S26'!$M:$M,"BF"),0)</f>
        <v>2395</v>
      </c>
    </row>
    <row r="21" ht="10.5" customHeight="1">
      <c r="A21" s="19" t="s">
        <v>20</v>
      </c>
    </row>
    <row r="22" ht="3.75" customHeight="1">
      <c r="A22" s="20"/>
      <c r="B22" s="20"/>
      <c r="C22" s="20"/>
      <c r="D22" s="20"/>
      <c r="E22" s="20"/>
      <c r="F22" s="20"/>
      <c r="G22" s="20"/>
      <c r="H22" s="20"/>
      <c r="I22" s="20"/>
    </row>
    <row r="23" ht="16.5" customHeight="1">
      <c r="A23" s="5" t="s">
        <v>21</v>
      </c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</row>
    <row r="24" ht="18.0" customHeight="1">
      <c r="A24" s="7" t="s">
        <v>22</v>
      </c>
      <c r="B24" s="27" t="s">
        <v>23</v>
      </c>
      <c r="C24" s="8" t="s">
        <v>1</v>
      </c>
      <c r="D24" s="28" t="s">
        <v>24</v>
      </c>
      <c r="E24" s="28" t="s">
        <v>25</v>
      </c>
      <c r="F24" s="8" t="s">
        <v>2</v>
      </c>
      <c r="G24" s="28" t="s">
        <v>26</v>
      </c>
      <c r="H24" s="28" t="s">
        <v>27</v>
      </c>
      <c r="I24" s="8" t="s">
        <v>3</v>
      </c>
      <c r="J24" s="28" t="s">
        <v>28</v>
      </c>
      <c r="K24" s="28" t="s">
        <v>29</v>
      </c>
      <c r="L24" s="8" t="s">
        <v>4</v>
      </c>
      <c r="M24" s="28" t="s">
        <v>30</v>
      </c>
      <c r="N24" s="28" t="s">
        <v>31</v>
      </c>
      <c r="O24" s="8" t="s">
        <v>9</v>
      </c>
      <c r="P24" s="28" t="s">
        <v>32</v>
      </c>
      <c r="Q24" s="29" t="s">
        <v>33</v>
      </c>
    </row>
    <row r="25">
      <c r="A25" s="30">
        <v>1.0</v>
      </c>
      <c r="B25" s="31">
        <f t="shared" ref="B25:B38" si="1">IFERROR((IF(ISNUMBER(C25),C25,0)+IF(ISNUMBER(F25),F25,0)+IF(ISNUMBER(I25),I25,0)+IF(ISNUMBER(L25),L25,0)+IF(ISNUMBER(O25),O25,0))/(ISNUMBER(C25)*1+ISNUMBER(F25)*1+ISNUMBER(I25)*1+ISNUMBER(L25)*1+ISNUMBER(O25)*1),"")</f>
        <v>1201.666667</v>
      </c>
      <c r="C25" s="11" t="str">
        <f>IFERROR(IF(SUMPRODUCT(('S24'!$K$3:$K$600&gt;=$B$2+0)*('S24'!$K$3:$K$600&lt;$B$2+7)*('S24'!$H$3:$H$600))=0,"",SUMPRODUCT(('S24'!$K$3:$K$600&gt;=$B$2+0)*('S24'!$K$3:$K$600&lt;$B$2+7)*('S24'!$H$3:$H$600))),"")</f>
        <v/>
      </c>
      <c r="D25" s="32" t="s">
        <v>34</v>
      </c>
      <c r="E25" s="33"/>
      <c r="F25" s="11">
        <f>IFERROR(IF(SUMPRODUCT(('F24'!$K$3:$K$600&gt;=$C$2+0)*('F24'!$K$3:$K$600&lt;$C$2+7)*('F24'!$H$3:$H$600))=0,"",SUMPRODUCT(('F24'!$K$3:$K$600&gt;=$C$2+0)*('F24'!$K$3:$K$600&lt;$C$2+7)*('F24'!$H$3:$H$600))),"")</f>
        <v>1079</v>
      </c>
      <c r="G25" s="32" t="s">
        <v>35</v>
      </c>
      <c r="H25" s="33"/>
      <c r="I25" s="11" t="str">
        <f>IFERROR(IF(SUMPRODUCT(('S25'!$K$3:$K$600&gt;=$D$2+0)*('S25'!$K$3:$K$600&lt;$D$2+7)*('S25'!$H$3:$H$600))=0,"",SUMPRODUCT(('S25'!$K$3:$K$600&gt;=$D$2+0)*('S25'!$K$3:$K$600&lt;$D$2+7)*('S25'!$H$3:$H$600))),"")</f>
        <v/>
      </c>
      <c r="J25" s="32" t="s">
        <v>36</v>
      </c>
      <c r="K25" s="33"/>
      <c r="L25" s="11">
        <f>IFERROR(IF(SUMPRODUCT(('F25'!$K$3:$K$600&gt;=$E$2+0)*('F25'!$K$3:$K$600&lt;$E$2+7)*('F25'!$H$3:$H$600))=0,"",SUMPRODUCT(('F25'!$K$3:$K$600&gt;=$E$2+0)*('F25'!$K$3:$K$600&lt;$E$2+7)*('F25'!$H$3:$H$600))),"")</f>
        <v>2036</v>
      </c>
      <c r="M25" s="32" t="s">
        <v>37</v>
      </c>
      <c r="N25" s="33"/>
      <c r="O25" s="11">
        <f>IFERROR(IF(SUMPRODUCT(('S26'!$K$3:$K$2800&gt;=$F$2+0)*('S26'!$K$3:$K$2800&lt;$F$2+7)*('S26'!$H$3:$H$2800))=0,"",SUMPRODUCT(('S26'!$K$3:$K$2800&gt;=$F$2+0)*('S26'!$K$3:$K$2800&lt;$F$2+7)*('S26'!$H$3:$H$2800))),"")</f>
        <v>490</v>
      </c>
      <c r="P25" s="32" t="s">
        <v>38</v>
      </c>
      <c r="Q25" s="34"/>
    </row>
    <row r="26">
      <c r="A26" s="35">
        <v>2.0</v>
      </c>
      <c r="B26" s="31">
        <f t="shared" si="1"/>
        <v>1950.25</v>
      </c>
      <c r="C26" s="14" t="str">
        <f>IFERROR(IF(SUMPRODUCT(('S24'!$K$3:$K$600&gt;=$B$2+7)*('S24'!$K$3:$K$600&lt;$B$2+14)*('S24'!$H$3:$H$600))=0,"",SUMPRODUCT(('S24'!$K$3:$K$600&gt;=$B$2+7)*('S24'!$K$3:$K$600&lt;$B$2+14)*('S24'!$H$3:$H$600))),"")</f>
        <v/>
      </c>
      <c r="D26" s="36" t="s">
        <v>39</v>
      </c>
      <c r="E26" s="37"/>
      <c r="F26" s="14">
        <f>IFERROR(IF(SUMPRODUCT(('F24'!$K$3:$K$600&gt;=$C$2+7)*('F24'!$K$3:$K$600&lt;$C$2+14)*('F24'!$H$3:$H$600))=0,"",SUMPRODUCT(('F24'!$K$3:$K$600&gt;=$C$2+7)*('F24'!$K$3:$K$600&lt;$C$2+14)*('F24'!$H$3:$H$600))),"")</f>
        <v>1634</v>
      </c>
      <c r="G26" s="36" t="s">
        <v>40</v>
      </c>
      <c r="H26" s="37"/>
      <c r="I26" s="14">
        <f>IFERROR(IF(SUMPRODUCT(('S25'!$K$3:$K$600&gt;=$D$2+7)*('S25'!$K$3:$K$600&lt;$D$2+14)*('S25'!$H$3:$H$600))=0,"",SUMPRODUCT(('S25'!$K$3:$K$600&gt;=$D$2+7)*('S25'!$K$3:$K$600&lt;$D$2+14)*('S25'!$H$3:$H$600))),"")</f>
        <v>2292</v>
      </c>
      <c r="J26" s="36" t="s">
        <v>41</v>
      </c>
      <c r="K26" s="37"/>
      <c r="L26" s="14">
        <f>IFERROR(IF(SUMPRODUCT(('F25'!$K$3:$K$600&gt;=$E$2+7)*('F25'!$K$3:$K$600&lt;$E$2+14)*('F25'!$H$3:$H$600))=0,"",SUMPRODUCT(('F25'!$K$3:$K$600&gt;=$E$2+7)*('F25'!$K$3:$K$600&lt;$E$2+14)*('F25'!$H$3:$H$600))),"")</f>
        <v>2521</v>
      </c>
      <c r="M26" s="36" t="s">
        <v>42</v>
      </c>
      <c r="N26" s="37"/>
      <c r="O26" s="14">
        <f>IFERROR(IF(SUMPRODUCT(('S26'!$K$3:$K$2800&gt;=$F$2+7)*('S26'!$K$3:$K$2800&lt;$F$2+14)*('S26'!$H$3:$H$2800))=0,"",SUMPRODUCT(('S26'!$K$3:$K$2800&gt;=$F$2+7)*('S26'!$K$3:$K$2800&lt;$F$2+14)*('S26'!$H$3:$H$2800))),"")</f>
        <v>1354</v>
      </c>
      <c r="P26" s="36" t="s">
        <v>43</v>
      </c>
      <c r="Q26" s="38"/>
    </row>
    <row r="27">
      <c r="A27" s="30">
        <v>3.0</v>
      </c>
      <c r="B27" s="31">
        <f t="shared" si="1"/>
        <v>2583.5</v>
      </c>
      <c r="C27" s="11" t="str">
        <f>IFERROR(IF(SUMPRODUCT(('S24'!$K$3:$K$600&gt;=$B$2+14)*('S24'!$K$3:$K$600&lt;$B$2+21)*('S24'!$H$3:$H$600))=0,"",SUMPRODUCT(('S24'!$K$3:$K$600&gt;=$B$2+14)*('S24'!$K$3:$K$600&lt;$B$2+21)*('S24'!$H$3:$H$600))),"")</f>
        <v/>
      </c>
      <c r="D27" s="32" t="s">
        <v>44</v>
      </c>
      <c r="E27" s="33"/>
      <c r="F27" s="11">
        <f>IFERROR(IF(SUMPRODUCT(('F24'!$K$3:$K$600&gt;=$C$2+14)*('F24'!$K$3:$K$600&lt;$C$2+21)*('F24'!$H$3:$H$600))=0,"",SUMPRODUCT(('F24'!$K$3:$K$600&gt;=$C$2+14)*('F24'!$K$3:$K$600&lt;$C$2+21)*('F24'!$H$3:$H$600))),"")</f>
        <v>1502</v>
      </c>
      <c r="G27" s="32" t="s">
        <v>45</v>
      </c>
      <c r="H27" s="33"/>
      <c r="I27" s="11">
        <f>IFERROR(IF(SUMPRODUCT(('S25'!$K$3:$K$600&gt;=$D$2+14)*('S25'!$K$3:$K$600&lt;$D$2+21)*('S25'!$H$3:$H$600))=0,"",SUMPRODUCT(('S25'!$K$3:$K$600&gt;=$D$2+14)*('S25'!$K$3:$K$600&lt;$D$2+21)*('S25'!$H$3:$H$600))),"")</f>
        <v>2581</v>
      </c>
      <c r="J27" s="32" t="s">
        <v>46</v>
      </c>
      <c r="K27" s="33"/>
      <c r="L27" s="11">
        <f>IFERROR(IF(SUMPRODUCT(('F25'!$K$3:$K$600&gt;=$E$2+14)*('F25'!$K$3:$K$600&lt;$E$2+21)*('F25'!$H$3:$H$600))=0,"",SUMPRODUCT(('F25'!$K$3:$K$600&gt;=$E$2+14)*('F25'!$K$3:$K$600&lt;$E$2+21)*('F25'!$H$3:$H$600))),"")</f>
        <v>2807</v>
      </c>
      <c r="M27" s="32" t="s">
        <v>47</v>
      </c>
      <c r="N27" s="33"/>
      <c r="O27" s="11">
        <f>IFERROR(IF(SUMPRODUCT(('S26'!$K$3:$K$2800&gt;=$F$2+14)*('S26'!$K$3:$K$2800&lt;$F$2+21)*('S26'!$H$3:$H$2800))=0,"",SUMPRODUCT(('S26'!$K$3:$K$2800&gt;=$F$2+14)*('S26'!$K$3:$K$2800&lt;$F$2+21)*('S26'!$H$3:$H$2800))),"")</f>
        <v>3444</v>
      </c>
      <c r="P27" s="32" t="s">
        <v>48</v>
      </c>
      <c r="Q27" s="34"/>
    </row>
    <row r="28">
      <c r="A28" s="35">
        <v>4.0</v>
      </c>
      <c r="B28" s="31">
        <f t="shared" si="1"/>
        <v>2654</v>
      </c>
      <c r="C28" s="14" t="str">
        <f>IFERROR(IF(SUMPRODUCT(('S24'!$K$3:$K$600&gt;=$B$2+21)*('S24'!$K$3:$K$600&lt;$B$2+28)*('S24'!$H$3:$H$600))=0,"",SUMPRODUCT(('S24'!$K$3:$K$600&gt;=$B$2+21)*('S24'!$K$3:$K$600&lt;$B$2+28)*('S24'!$H$3:$H$600))),"")</f>
        <v/>
      </c>
      <c r="D28" s="36" t="s">
        <v>49</v>
      </c>
      <c r="E28" s="37"/>
      <c r="F28" s="14">
        <f>IFERROR(IF(SUMPRODUCT(('F24'!$K$3:$K$600&gt;=$C$2+21)*('F24'!$K$3:$K$600&lt;$C$2+28)*('F24'!$H$3:$H$600))=0,"",SUMPRODUCT(('F24'!$K$3:$K$600&gt;=$C$2+21)*('F24'!$K$3:$K$600&lt;$C$2+28)*('F24'!$H$3:$H$600))),"")</f>
        <v>2521</v>
      </c>
      <c r="G28" s="36" t="s">
        <v>50</v>
      </c>
      <c r="H28" s="37"/>
      <c r="I28" s="14">
        <f>IFERROR(IF(SUMPRODUCT(('S25'!$K$3:$K$600&gt;=$D$2+21)*('S25'!$K$3:$K$600&lt;$D$2+28)*('S25'!$H$3:$H$600))=0,"",SUMPRODUCT(('S25'!$K$3:$K$600&gt;=$D$2+21)*('S25'!$K$3:$K$600&lt;$D$2+28)*('S25'!$H$3:$H$600))),"")</f>
        <v>2857</v>
      </c>
      <c r="J28" s="36" t="s">
        <v>51</v>
      </c>
      <c r="K28" s="37"/>
      <c r="L28" s="14">
        <f>IFERROR(IF(SUMPRODUCT(('F25'!$K$3:$K$600&gt;=$E$2+21)*('F25'!$K$3:$K$600&lt;$E$2+28)*('F25'!$H$3:$H$600))=0,"",SUMPRODUCT(('F25'!$K$3:$K$600&gt;=$E$2+21)*('F25'!$K$3:$K$600&lt;$E$2+28)*('F25'!$H$3:$H$600))),"")</f>
        <v>2637</v>
      </c>
      <c r="M28" s="36" t="s">
        <v>52</v>
      </c>
      <c r="N28" s="37"/>
      <c r="O28" s="14">
        <f>IFERROR(IF(SUMPRODUCT(('S26'!$K$3:$K$2800&gt;=$F$2+21)*('S26'!$K$3:$K$2800&lt;$F$2+28)*('S26'!$H$3:$H$2800))=0,"",SUMPRODUCT(('S26'!$K$3:$K$2800&gt;=$F$2+21)*('S26'!$K$3:$K$2800&lt;$F$2+28)*('S26'!$H$3:$H$2800))),"")</f>
        <v>2601</v>
      </c>
      <c r="P28" s="36" t="s">
        <v>53</v>
      </c>
      <c r="Q28" s="38"/>
    </row>
    <row r="29">
      <c r="A29" s="30">
        <v>5.0</v>
      </c>
      <c r="B29" s="31">
        <f t="shared" si="1"/>
        <v>2372</v>
      </c>
      <c r="C29" s="11" t="str">
        <f>IFERROR(IF(SUMPRODUCT(('S24'!$K$3:$K$600&gt;=$B$2+28)*('S24'!$K$3:$K$600&lt;$B$2+35)*('S24'!$H$3:$H$600))=0,"",SUMPRODUCT(('S24'!$K$3:$K$600&gt;=$B$2+28)*('S24'!$K$3:$K$600&lt;$B$2+35)*('S24'!$H$3:$H$600))),"")</f>
        <v/>
      </c>
      <c r="D29" s="32" t="s">
        <v>54</v>
      </c>
      <c r="E29" s="33"/>
      <c r="F29" s="11">
        <f>IFERROR(IF(SUMPRODUCT(('F24'!$K$3:$K$600&gt;=$C$2+28)*('F24'!$K$3:$K$600&lt;$C$2+35)*('F24'!$H$3:$H$600))=0,"",SUMPRODUCT(('F24'!$K$3:$K$600&gt;=$C$2+28)*('F24'!$K$3:$K$600&lt;$C$2+35)*('F24'!$H$3:$H$600))),"")</f>
        <v>2246</v>
      </c>
      <c r="G29" s="32" t="s">
        <v>55</v>
      </c>
      <c r="H29" s="33"/>
      <c r="I29" s="11">
        <f>IFERROR(IF(SUMPRODUCT(('S25'!$K$3:$K$600&gt;=$D$2+28)*('S25'!$K$3:$K$600&lt;$D$2+35)*('S25'!$H$3:$H$600))=0,"",SUMPRODUCT(('S25'!$K$3:$K$600&gt;=$D$2+28)*('S25'!$K$3:$K$600&lt;$D$2+35)*('S25'!$H$3:$H$600))),"")</f>
        <v>2372</v>
      </c>
      <c r="J29" s="32" t="s">
        <v>56</v>
      </c>
      <c r="K29" s="33"/>
      <c r="L29" s="11">
        <f>IFERROR(IF(SUMPRODUCT(('F25'!$K$3:$K$600&gt;=$E$2+28)*('F25'!$K$3:$K$600&lt;$E$2+35)*('F25'!$H$3:$H$600))=0,"",SUMPRODUCT(('F25'!$K$3:$K$600&gt;=$E$2+28)*('F25'!$K$3:$K$600&lt;$E$2+35)*('F25'!$H$3:$H$600))),"")</f>
        <v>2198</v>
      </c>
      <c r="M29" s="32" t="s">
        <v>57</v>
      </c>
      <c r="N29" s="33"/>
      <c r="O29" s="11">
        <f>IFERROR(IF(SUMPRODUCT(('S26'!$K$3:$K$2800&gt;=$F$2+28)*('S26'!$K$3:$K$2800&lt;$F$2+35)*('S26'!$H$3:$H$2800))=0,"",SUMPRODUCT(('S26'!$K$3:$K$2800&gt;=$F$2+28)*('S26'!$K$3:$K$2800&lt;$F$2+35)*('S26'!$H$3:$H$2800))),"")</f>
        <v>2672</v>
      </c>
      <c r="P29" s="32" t="s">
        <v>58</v>
      </c>
      <c r="Q29" s="34"/>
    </row>
    <row r="30">
      <c r="A30" s="35">
        <v>6.0</v>
      </c>
      <c r="B30" s="31">
        <f t="shared" si="1"/>
        <v>1751</v>
      </c>
      <c r="C30" s="14" t="str">
        <f>IFERROR(IF(SUMPRODUCT(('S24'!$K$3:$K$600&gt;=$B$2+35)*('S24'!$K$3:$K$600&lt;$B$2+42)*('S24'!$H$3:$H$600))=0,"",SUMPRODUCT(('S24'!$K$3:$K$600&gt;=$B$2+35)*('S24'!$K$3:$K$600&lt;$B$2+42)*('S24'!$H$3:$H$600))),"")</f>
        <v/>
      </c>
      <c r="D30" s="36" t="s">
        <v>59</v>
      </c>
      <c r="E30" s="37"/>
      <c r="F30" s="14">
        <f>IFERROR(IF(SUMPRODUCT(('F24'!$K$3:$K$600&gt;=$C$2+35)*('F24'!$K$3:$K$600&lt;$C$2+42)*('F24'!$H$3:$H$600))=0,"",SUMPRODUCT(('F24'!$K$3:$K$600&gt;=$C$2+35)*('F24'!$K$3:$K$600&lt;$C$2+42)*('F24'!$H$3:$H$600))),"")</f>
        <v>1921</v>
      </c>
      <c r="G30" s="36" t="s">
        <v>60</v>
      </c>
      <c r="H30" s="39" t="s">
        <v>61</v>
      </c>
      <c r="I30" s="14">
        <f>IFERROR(IF(SUMPRODUCT(('S25'!$K$3:$K$600&gt;=$D$2+35)*('S25'!$K$3:$K$600&lt;$D$2+42)*('S25'!$H$3:$H$600))=0,"",SUMPRODUCT(('S25'!$K$3:$K$600&gt;=$D$2+35)*('S25'!$K$3:$K$600&lt;$D$2+42)*('S25'!$H$3:$H$600))),"")</f>
        <v>2607</v>
      </c>
      <c r="J30" s="36" t="s">
        <v>62</v>
      </c>
      <c r="K30" s="37"/>
      <c r="L30" s="14">
        <f>IFERROR(IF(SUMPRODUCT(('F25'!$K$3:$K$600&gt;=$E$2+35)*('F25'!$K$3:$K$600&lt;$E$2+42)*('F25'!$H$3:$H$600))=0,"",SUMPRODUCT(('F25'!$K$3:$K$600&gt;=$E$2+35)*('F25'!$K$3:$K$600&lt;$E$2+42)*('F25'!$H$3:$H$600))),"")</f>
        <v>1860</v>
      </c>
      <c r="M30" s="36" t="s">
        <v>63</v>
      </c>
      <c r="N30" s="39" t="s">
        <v>61</v>
      </c>
      <c r="O30" s="14">
        <f>IFERROR(IF(SUMPRODUCT(('S26'!$K$3:$K$2800&gt;=$F$2+35)*('S26'!$K$3:$K$2800&lt;$F$2+42)*('S26'!$H$3:$H$2800))=0,"",SUMPRODUCT(('S26'!$K$3:$K$2800&gt;=$F$2+35)*('S26'!$K$3:$K$2800&lt;$F$2+42)*('S26'!$H$3:$H$2800))),"")</f>
        <v>616</v>
      </c>
      <c r="P30" s="36" t="s">
        <v>64</v>
      </c>
      <c r="Q30" s="40" t="s">
        <v>65</v>
      </c>
    </row>
    <row r="31">
      <c r="A31" s="30">
        <v>7.0</v>
      </c>
      <c r="B31" s="31">
        <f t="shared" si="1"/>
        <v>2558.75</v>
      </c>
      <c r="C31" s="11" t="str">
        <f>IFERROR(IF(SUMPRODUCT(('S24'!$K$3:$K$600&gt;=$B$2+42)*('S24'!$K$3:$K$600&lt;$B$2+49)*('S24'!$H$3:$H$600))=0,"",SUMPRODUCT(('S24'!$K$3:$K$600&gt;=$B$2+42)*('S24'!$K$3:$K$600&lt;$B$2+49)*('S24'!$H$3:$H$600))),"")</f>
        <v/>
      </c>
      <c r="D31" s="32" t="s">
        <v>66</v>
      </c>
      <c r="E31" s="33"/>
      <c r="F31" s="11">
        <f>IFERROR(IF(SUMPRODUCT(('F24'!$K$3:$K$600&gt;=$C$2+42)*('F24'!$K$3:$K$600&lt;$C$2+49)*('F24'!$H$3:$H$600))=0,"",SUMPRODUCT(('F24'!$K$3:$K$600&gt;=$C$2+42)*('F24'!$K$3:$K$600&lt;$C$2+49)*('F24'!$H$3:$H$600))),"")</f>
        <v>2697</v>
      </c>
      <c r="G31" s="32" t="s">
        <v>67</v>
      </c>
      <c r="H31" s="33"/>
      <c r="I31" s="11">
        <f>IFERROR(IF(SUMPRODUCT(('S25'!$K$3:$K$600&gt;=$D$2+42)*('S25'!$K$3:$K$600&lt;$D$2+49)*('S25'!$H$3:$H$600))=0,"",SUMPRODUCT(('S25'!$K$3:$K$600&gt;=$D$2+42)*('S25'!$K$3:$K$600&lt;$D$2+49)*('S25'!$H$3:$H$600))),"")</f>
        <v>2059</v>
      </c>
      <c r="J31" s="32" t="s">
        <v>68</v>
      </c>
      <c r="K31" s="33"/>
      <c r="L31" s="11">
        <f>IFERROR(IF(SUMPRODUCT(('F25'!$K$3:$K$600&gt;=$E$2+42)*('F25'!$K$3:$K$600&lt;$E$2+49)*('F25'!$H$3:$H$600))=0,"",SUMPRODUCT(('F25'!$K$3:$K$600&gt;=$E$2+42)*('F25'!$K$3:$K$600&lt;$E$2+49)*('F25'!$H$3:$H$600))),"")</f>
        <v>2852</v>
      </c>
      <c r="M31" s="32" t="s">
        <v>69</v>
      </c>
      <c r="N31" s="33"/>
      <c r="O31" s="11">
        <f>IFERROR(IF(SUMPRODUCT(('S26'!$K$3:$K$2800&gt;=$F$2+42)*('S26'!$K$3:$K$2800&lt;$F$2+49)*('S26'!$H$3:$H$2800))=0,"",SUMPRODUCT(('S26'!$K$3:$K$2800&gt;=$F$2+42)*('S26'!$K$3:$K$2800&lt;$F$2+49)*('S26'!$H$3:$H$2800))),"")</f>
        <v>2627</v>
      </c>
      <c r="P31" s="32" t="s">
        <v>70</v>
      </c>
      <c r="Q31" s="34"/>
    </row>
    <row r="32">
      <c r="A32" s="35">
        <v>8.0</v>
      </c>
      <c r="B32" s="31">
        <f t="shared" si="1"/>
        <v>2717</v>
      </c>
      <c r="C32" s="14" t="str">
        <f>IFERROR(IF(SUMPRODUCT(('S24'!$K$3:$K$600&gt;=$B$2+49)*('S24'!$K$3:$K$600&lt;$B$2+56)*('S24'!$H$3:$H$600))=0,"",SUMPRODUCT(('S24'!$K$3:$K$600&gt;=$B$2+49)*('S24'!$K$3:$K$600&lt;$B$2+56)*('S24'!$H$3:$H$600))),"")</f>
        <v/>
      </c>
      <c r="D32" s="36" t="s">
        <v>71</v>
      </c>
      <c r="E32" s="37"/>
      <c r="F32" s="14">
        <f>IFERROR(IF(SUMPRODUCT(('F24'!$K$3:$K$600&gt;=$C$2+49)*('F24'!$K$3:$K$600&lt;$C$2+56)*('F24'!$H$3:$H$600))=0,"",SUMPRODUCT(('F24'!$K$3:$K$600&gt;=$C$2+49)*('F24'!$K$3:$K$600&lt;$C$2+56)*('F24'!$H$3:$H$600))),"")</f>
        <v>2343</v>
      </c>
      <c r="G32" s="36" t="s">
        <v>72</v>
      </c>
      <c r="H32" s="37"/>
      <c r="I32" s="14" t="str">
        <f>IFERROR(IF(SUMPRODUCT(('S25'!$K$3:$K$600&gt;=$D$2+49)*('S25'!$K$3:$K$600&lt;$D$2+56)*('S25'!$H$3:$H$600))=0,"",SUMPRODUCT(('S25'!$K$3:$K$600&gt;=$D$2+49)*('S25'!$K$3:$K$600&lt;$D$2+56)*('S25'!$H$3:$H$600))),"")</f>
        <v/>
      </c>
      <c r="J32" s="36" t="s">
        <v>73</v>
      </c>
      <c r="K32" s="37" t="s">
        <v>74</v>
      </c>
      <c r="L32" s="14">
        <f>IFERROR(IF(SUMPRODUCT(('F25'!$K$3:$K$600&gt;=$E$2+49)*('F25'!$K$3:$K$600&lt;$E$2+56)*('F25'!$H$3:$H$600))=0,"",SUMPRODUCT(('F25'!$K$3:$K$600&gt;=$E$2+49)*('F25'!$K$3:$K$600&lt;$E$2+56)*('F25'!$H$3:$H$600))),"")</f>
        <v>3078</v>
      </c>
      <c r="M32" s="36" t="s">
        <v>75</v>
      </c>
      <c r="N32" s="37"/>
      <c r="O32" s="14">
        <f>IFERROR(IF(SUMPRODUCT(('S26'!$K$3:$K$2800&gt;=$F$2+49)*('S26'!$K$3:$K$2800&lt;$F$2+56)*('S26'!$H$3:$H$2800))=0,"",SUMPRODUCT(('S26'!$K$3:$K$2800&gt;=$F$2+49)*('S26'!$K$3:$K$2800&lt;$F$2+56)*('S26'!$H$3:$H$2800))),"")</f>
        <v>2730</v>
      </c>
      <c r="P32" s="36" t="s">
        <v>76</v>
      </c>
      <c r="Q32" s="38"/>
    </row>
    <row r="33">
      <c r="A33" s="30">
        <v>9.0</v>
      </c>
      <c r="B33" s="31">
        <f t="shared" si="1"/>
        <v>2023.115</v>
      </c>
      <c r="C33" s="11">
        <f>IFERROR(IF(SUMPRODUCT(('S24'!$K$3:$K$600&gt;=$B$2+56)*('S24'!$K$3:$K$600&lt;$B$2+63)*('S24'!$H$3:$H$600))=0,"",SUMPRODUCT(('S24'!$K$3:$K$600&gt;=$B$2+56)*('S24'!$K$3:$K$600&lt;$B$2+63)*('S24'!$H$3:$H$600))),"")</f>
        <v>744.46</v>
      </c>
      <c r="D33" s="32" t="s">
        <v>77</v>
      </c>
      <c r="E33" s="33"/>
      <c r="F33" s="11">
        <f>IFERROR(IF(SUMPRODUCT(('F24'!$K$3:$K$600&gt;=$C$2+56)*('F24'!$K$3:$K$600&lt;$C$2+63)*('F24'!$H$3:$H$600))=0,"",SUMPRODUCT(('F24'!$K$3:$K$600&gt;=$C$2+56)*('F24'!$K$3:$K$600&lt;$C$2+63)*('F24'!$H$3:$H$600))),"")</f>
        <v>2007</v>
      </c>
      <c r="G33" s="32" t="s">
        <v>78</v>
      </c>
      <c r="H33" s="33"/>
      <c r="I33" s="11">
        <f>IFERROR(IF(SUMPRODUCT(('S25'!$K$3:$K$600&gt;=$D$2+56)*('S25'!$K$3:$K$600&lt;$D$2+63)*('S25'!$H$3:$H$600))=0,"",SUMPRODUCT(('S25'!$K$3:$K$600&gt;=$D$2+56)*('S25'!$K$3:$K$600&lt;$D$2+63)*('S25'!$H$3:$H$600))),"")</f>
        <v>2401</v>
      </c>
      <c r="J33" s="32" t="s">
        <v>79</v>
      </c>
      <c r="K33" s="33"/>
      <c r="L33" s="11">
        <f>IFERROR(IF(SUMPRODUCT(('F25'!$K$3:$K$600&gt;=$E$2+56)*('F25'!$K$3:$K$600&lt;$E$2+63)*('F25'!$H$3:$H$600))=0,"",SUMPRODUCT(('F25'!$K$3:$K$600&gt;=$E$2+56)*('F25'!$K$3:$K$600&lt;$E$2+63)*('F25'!$H$3:$H$600))),"")</f>
        <v>2940</v>
      </c>
      <c r="M33" s="32" t="s">
        <v>80</v>
      </c>
      <c r="N33" s="33"/>
      <c r="O33" s="11" t="str">
        <f>IFERROR(IF(SUMPRODUCT(('S26'!$K$3:$K$2800&gt;=$F$2+56)*('S26'!$K$3:$K$2800&lt;$F$2+63)*('S26'!$H$3:$H$2800))=0,"",SUMPRODUCT(('S26'!$K$3:$K$2800&gt;=$F$2+56)*('S26'!$K$3:$K$2800&lt;$F$2+63)*('S26'!$H$3:$H$2800))),"")</f>
        <v/>
      </c>
      <c r="P33" s="32" t="s">
        <v>81</v>
      </c>
      <c r="Q33" s="41" t="s">
        <v>74</v>
      </c>
    </row>
    <row r="34">
      <c r="A34" s="35">
        <v>10.0</v>
      </c>
      <c r="B34" s="31">
        <f t="shared" si="1"/>
        <v>2111.02</v>
      </c>
      <c r="C34" s="14">
        <f>IFERROR(IF(SUMPRODUCT(('S24'!$K$3:$K$600&gt;=$B$2+63)*('S24'!$K$3:$K$600&lt;$B$2+70)*('S24'!$H$3:$H$600))=0,"",SUMPRODUCT(('S24'!$K$3:$K$600&gt;=$B$2+63)*('S24'!$K$3:$K$600&lt;$B$2+70)*('S24'!$H$3:$H$600))),"")</f>
        <v>1473.1</v>
      </c>
      <c r="D34" s="36" t="s">
        <v>82</v>
      </c>
      <c r="E34" s="37"/>
      <c r="F34" s="14">
        <f>IFERROR(IF(SUMPRODUCT(('F24'!$K$3:$K$600&gt;=$C$2+63)*('F24'!$K$3:$K$600&lt;$C$2+70)*('F24'!$H$3:$H$600))=0,"",SUMPRODUCT(('F24'!$K$3:$K$600&gt;=$C$2+63)*('F24'!$K$3:$K$600&lt;$C$2+70)*('F24'!$H$3:$H$600))),"")</f>
        <v>1977</v>
      </c>
      <c r="G34" s="36" t="s">
        <v>83</v>
      </c>
      <c r="H34" s="37"/>
      <c r="I34" s="14">
        <f>IFERROR(IF(SUMPRODUCT(('S25'!$K$3:$K$600&gt;=$D$2+63)*('S25'!$K$3:$K$600&lt;$D$2+70)*('S25'!$H$3:$H$600))=0,"",SUMPRODUCT(('S25'!$K$3:$K$600&gt;=$D$2+63)*('S25'!$K$3:$K$600&lt;$D$2+70)*('S25'!$H$3:$H$600))),"")</f>
        <v>2181</v>
      </c>
      <c r="J34" s="36" t="s">
        <v>84</v>
      </c>
      <c r="K34" s="37"/>
      <c r="L34" s="14">
        <f>IFERROR(IF(SUMPRODUCT(('F25'!$K$3:$K$600&gt;=$E$2+63)*('F25'!$K$3:$K$600&lt;$E$2+70)*('F25'!$H$3:$H$600))=0,"",SUMPRODUCT(('F25'!$K$3:$K$600&gt;=$E$2+63)*('F25'!$K$3:$K$600&lt;$E$2+70)*('F25'!$H$3:$H$600))),"")</f>
        <v>2468</v>
      </c>
      <c r="M34" s="36" t="s">
        <v>85</v>
      </c>
      <c r="N34" s="37"/>
      <c r="O34" s="14">
        <f>IFERROR(IF(SUMPRODUCT(('S26'!$K$3:$K$2800&gt;=$F$2+63)*('S26'!$K$3:$K$2800&lt;$F$2+70)*('S26'!$H$3:$H$2800))=0,"",SUMPRODUCT(('S26'!$K$3:$K$2800&gt;=$F$2+63)*('S26'!$K$3:$K$2800&lt;$F$2+70)*('S26'!$H$3:$H$2800))),"")</f>
        <v>2456</v>
      </c>
      <c r="P34" s="36" t="s">
        <v>86</v>
      </c>
      <c r="Q34" s="38"/>
    </row>
    <row r="35">
      <c r="A35" s="30">
        <v>11.0</v>
      </c>
      <c r="B35" s="31">
        <f t="shared" si="1"/>
        <v>2227.6</v>
      </c>
      <c r="C35" s="11">
        <f>IFERROR(IF(SUMPRODUCT(('S24'!$K$3:$K$600&gt;=$B$2+70)*('S24'!$K$3:$K$600&lt;$B$2+77)*('S24'!$H$3:$H$600))=0,"",SUMPRODUCT(('S24'!$K$3:$K$600&gt;=$B$2+70)*('S24'!$K$3:$K$600&lt;$B$2+77)*('S24'!$H$3:$H$600))),"")</f>
        <v>877</v>
      </c>
      <c r="D35" s="32" t="s">
        <v>87</v>
      </c>
      <c r="E35" s="33"/>
      <c r="F35" s="11">
        <f>IFERROR(IF(SUMPRODUCT(('F24'!$K$3:$K$600&gt;=$C$2+70)*('F24'!$K$3:$K$600&lt;$C$2+77)*('F24'!$H$3:$H$600))=0,"",SUMPRODUCT(('F24'!$K$3:$K$600&gt;=$C$2+70)*('F24'!$K$3:$K$600&lt;$C$2+77)*('F24'!$H$3:$H$600))),"")</f>
        <v>2065</v>
      </c>
      <c r="G35" s="32" t="s">
        <v>88</v>
      </c>
      <c r="H35" s="33"/>
      <c r="I35" s="11">
        <f>IFERROR(IF(SUMPRODUCT(('S25'!$K$3:$K$600&gt;=$D$2+70)*('S25'!$K$3:$K$600&lt;$D$2+77)*('S25'!$H$3:$H$600))=0,"",SUMPRODUCT(('S25'!$K$3:$K$600&gt;=$D$2+70)*('S25'!$K$3:$K$600&lt;$D$2+77)*('S25'!$H$3:$H$600))),"")</f>
        <v>2134</v>
      </c>
      <c r="J35" s="32" t="s">
        <v>89</v>
      </c>
      <c r="K35" s="33"/>
      <c r="L35" s="11">
        <f>IFERROR(IF(SUMPRODUCT(('F25'!$K$3:$K$600&gt;=$E$2+70)*('F25'!$K$3:$K$600&lt;$E$2+77)*('F25'!$H$3:$H$600))=0,"",SUMPRODUCT(('F25'!$K$3:$K$600&gt;=$E$2+70)*('F25'!$K$3:$K$600&lt;$E$2+77)*('F25'!$H$3:$H$600))),"")</f>
        <v>3196</v>
      </c>
      <c r="M35" s="32" t="s">
        <v>90</v>
      </c>
      <c r="N35" s="33"/>
      <c r="O35" s="11">
        <f>IFERROR(IF(SUMPRODUCT(('S26'!$K$3:$K$2800&gt;=$F$2+70)*('S26'!$K$3:$K$2800&lt;$F$2+77)*('S26'!$H$3:$H$2800))=0,"",SUMPRODUCT(('S26'!$K$3:$K$2800&gt;=$F$2+70)*('S26'!$K$3:$K$2800&lt;$F$2+77)*('S26'!$H$3:$H$2800))),"")</f>
        <v>2866</v>
      </c>
      <c r="P35" s="32" t="s">
        <v>91</v>
      </c>
      <c r="Q35" s="34"/>
    </row>
    <row r="36">
      <c r="A36" s="35">
        <v>12.0</v>
      </c>
      <c r="B36" s="31">
        <f t="shared" si="1"/>
        <v>1567.88</v>
      </c>
      <c r="C36" s="14">
        <f>IFERROR(IF(SUMPRODUCT(('S24'!$K$3:$K$600&gt;=$B$2+77)*('S24'!$K$3:$K$600&lt;$B$2+84)*('S24'!$H$3:$H$600))=0,"",SUMPRODUCT(('S24'!$K$3:$K$600&gt;=$B$2+77)*('S24'!$K$3:$K$600&lt;$B$2+84)*('S24'!$H$3:$H$600))),"")</f>
        <v>1328.4</v>
      </c>
      <c r="D36" s="36" t="s">
        <v>92</v>
      </c>
      <c r="E36" s="37"/>
      <c r="F36" s="14">
        <f>IFERROR(IF(SUMPRODUCT(('F24'!$K$3:$K$600&gt;=$C$2+77)*('F24'!$K$3:$K$600&lt;$C$2+84)*('F24'!$H$3:$H$600))=0,"",SUMPRODUCT(('F24'!$K$3:$K$600&gt;=$C$2+77)*('F24'!$K$3:$K$600&lt;$C$2+84)*('F24'!$H$3:$H$600))),"")</f>
        <v>322</v>
      </c>
      <c r="G36" s="36" t="s">
        <v>93</v>
      </c>
      <c r="H36" s="39" t="s">
        <v>94</v>
      </c>
      <c r="I36" s="14">
        <f>IFERROR(IF(SUMPRODUCT(('S25'!$K$3:$K$600&gt;=$D$2+77)*('S25'!$K$3:$K$600&lt;$D$2+84)*('S25'!$H$3:$H$600))=0,"",SUMPRODUCT(('S25'!$K$3:$K$600&gt;=$D$2+77)*('S25'!$K$3:$K$600&lt;$D$2+84)*('S25'!$H$3:$H$600))),"")</f>
        <v>2389</v>
      </c>
      <c r="J36" s="36" t="s">
        <v>95</v>
      </c>
      <c r="K36" s="37"/>
      <c r="L36" s="14">
        <f>IFERROR(IF(SUMPRODUCT(('F25'!$K$3:$K$600&gt;=$E$2+77)*('F25'!$K$3:$K$600&lt;$E$2+84)*('F25'!$H$3:$H$600))=0,"",SUMPRODUCT(('F25'!$K$3:$K$600&gt;=$E$2+77)*('F25'!$K$3:$K$600&lt;$E$2+84)*('F25'!$H$3:$H$600))),"")</f>
        <v>674</v>
      </c>
      <c r="M36" s="36" t="s">
        <v>96</v>
      </c>
      <c r="N36" s="39" t="s">
        <v>94</v>
      </c>
      <c r="O36" s="14">
        <f>IFERROR(IF(SUMPRODUCT(('S26'!$K$3:$K$2800&gt;=$F$2+77)*('S26'!$K$3:$K$2800&lt;$F$2+84)*('S26'!$H$3:$H$2800))=0,"",SUMPRODUCT(('S26'!$K$3:$K$2800&gt;=$F$2+77)*('S26'!$K$3:$K$2800&lt;$F$2+84)*('S26'!$H$3:$H$2800))),"")</f>
        <v>3126</v>
      </c>
      <c r="P36" s="36" t="s">
        <v>97</v>
      </c>
      <c r="Q36" s="38"/>
    </row>
    <row r="37">
      <c r="A37" s="30">
        <v>13.0</v>
      </c>
      <c r="B37" s="31">
        <f t="shared" si="1"/>
        <v>2323.58</v>
      </c>
      <c r="C37" s="11">
        <f>IFERROR(IF(SUMPRODUCT(('S24'!$K$3:$K$600&gt;=$B$2+84)*('S24'!$K$3:$K$600&lt;$B$2+91)*('S24'!$H$3:$H$600))=0,"",SUMPRODUCT(('S24'!$K$3:$K$600&gt;=$B$2+84)*('S24'!$K$3:$K$600&lt;$B$2+91)*('S24'!$H$3:$H$600))),"")</f>
        <v>1418.9</v>
      </c>
      <c r="D37" s="32" t="s">
        <v>98</v>
      </c>
      <c r="E37" s="33"/>
      <c r="F37" s="11">
        <f>IFERROR(IF(SUMPRODUCT(('F24'!$K$3:$K$600&gt;=$C$2+84)*('F24'!$K$3:$K$600&lt;$C$2+91)*('F24'!$H$3:$H$600))=0,"",SUMPRODUCT(('F24'!$K$3:$K$600&gt;=$C$2+84)*('F24'!$K$3:$K$600&lt;$C$2+91)*('F24'!$H$3:$H$600))),"")</f>
        <v>2408</v>
      </c>
      <c r="G37" s="32" t="s">
        <v>99</v>
      </c>
      <c r="H37" s="33"/>
      <c r="I37" s="11">
        <f>IFERROR(IF(SUMPRODUCT(('S25'!$K$3:$K$600&gt;=$D$2+84)*('S25'!$K$3:$K$600&lt;$D$2+91)*('S25'!$H$3:$H$600))=0,"",SUMPRODUCT(('S25'!$K$3:$K$600&gt;=$D$2+84)*('S25'!$K$3:$K$600&lt;$D$2+91)*('S25'!$H$3:$H$600))),"")</f>
        <v>2647</v>
      </c>
      <c r="J37" s="32" t="s">
        <v>100</v>
      </c>
      <c r="K37" s="33"/>
      <c r="L37" s="11">
        <f>IFERROR(IF(SUMPRODUCT(('F25'!$K$3:$K$600&gt;=$E$2+84)*('F25'!$K$3:$K$600&lt;$E$2+91)*('F25'!$H$3:$H$600))=0,"",SUMPRODUCT(('F25'!$K$3:$K$600&gt;=$E$2+84)*('F25'!$K$3:$K$600&lt;$E$2+91)*('F25'!$H$3:$H$600))),"")</f>
        <v>2701</v>
      </c>
      <c r="M37" s="32" t="s">
        <v>101</v>
      </c>
      <c r="N37" s="33"/>
      <c r="O37" s="11">
        <f>IFERROR(IF(SUMPRODUCT(('S26'!$K$3:$K$2800&gt;=$F$2+84)*('S26'!$K$3:$K$2800&lt;$F$2+91)*('S26'!$H$3:$H$2800))=0,"",SUMPRODUCT(('S26'!$K$3:$K$2800&gt;=$F$2+84)*('S26'!$K$3:$K$2800&lt;$F$2+91)*('S26'!$H$3:$H$2800))),"")</f>
        <v>2443</v>
      </c>
      <c r="P37" s="32" t="s">
        <v>102</v>
      </c>
      <c r="Q37" s="34"/>
    </row>
    <row r="38">
      <c r="A38" s="42">
        <v>14.0</v>
      </c>
      <c r="B38" s="43">
        <f t="shared" si="1"/>
        <v>1802.6</v>
      </c>
      <c r="C38" s="25">
        <f>IFERROR(IF(SUMPRODUCT(('S24'!$K$3:$K$600&gt;=$B$2+91)*('S24'!$K$3:$K$600&lt;$B$2+98)*('S24'!$H$3:$H$600))=0,"",SUMPRODUCT(('S24'!$K$3:$K$600&gt;=$B$2+91)*('S24'!$K$3:$K$600&lt;$B$2+98)*('S24'!$H$3:$H$600))),"")</f>
        <v>1116</v>
      </c>
      <c r="D38" s="44" t="s">
        <v>103</v>
      </c>
      <c r="E38" s="45"/>
      <c r="F38" s="25">
        <f>IFERROR(IF(SUMPRODUCT(('F24'!$K$3:$K$600&gt;=$C$2+91)*('F24'!$K$3:$K$600&lt;$C$2+98)*('F24'!$H$3:$H$600))=0,"",SUMPRODUCT(('F24'!$K$3:$K$600&gt;=$C$2+91)*('F24'!$K$3:$K$600&lt;$C$2+98)*('F24'!$H$3:$H$600))),"")</f>
        <v>1577</v>
      </c>
      <c r="G38" s="44" t="s">
        <v>104</v>
      </c>
      <c r="H38" s="45"/>
      <c r="I38" s="25">
        <f>IFERROR(IF(SUMPRODUCT(('S25'!$K$3:$K$600&gt;=$D$2+91)*('S25'!$K$3:$K$600&lt;$D$2+98)*('S25'!$H$3:$H$600))=0,"",SUMPRODUCT(('S25'!$K$3:$K$600&gt;=$D$2+91)*('S25'!$K$3:$K$600&lt;$D$2+98)*('S25'!$H$3:$H$600))),"")</f>
        <v>2700</v>
      </c>
      <c r="J38" s="44" t="s">
        <v>105</v>
      </c>
      <c r="K38" s="45"/>
      <c r="L38" s="25">
        <f>IFERROR(IF(SUMPRODUCT(('F25'!$K$3:$K$600&gt;=$E$2+91)*('F25'!$K$3:$K$600&lt;$E$2+98)*('F25'!$H$3:$H$600))=0,"",SUMPRODUCT(('F25'!$K$3:$K$600&gt;=$E$2+91)*('F25'!$K$3:$K$600&lt;$E$2+98)*('F25'!$H$3:$H$600))),"")</f>
        <v>1469</v>
      </c>
      <c r="M38" s="44" t="s">
        <v>106</v>
      </c>
      <c r="N38" s="45"/>
      <c r="O38" s="25">
        <f>IFERROR(IF(SUMPRODUCT(('S26'!$K$3:$K$2800&gt;=$F$2+91)*('S26'!$K$3:$K$2800&lt;$F$2+98)*('S26'!$H$3:$H$2800))=0,"",SUMPRODUCT(('S26'!$K$3:$K$2800&gt;=$F$2+91)*('S26'!$K$3:$K$2800&lt;$F$2+98)*('S26'!$H$3:$H$2800))),"")</f>
        <v>2151</v>
      </c>
      <c r="P38" s="44" t="s">
        <v>107</v>
      </c>
      <c r="Q38" s="46"/>
    </row>
    <row r="39" ht="10.5" customHeight="1">
      <c r="A39" s="19" t="s">
        <v>108</v>
      </c>
    </row>
    <row r="40" ht="3.75" customHeight="1">
      <c r="A40" s="20"/>
      <c r="B40" s="20"/>
      <c r="C40" s="20"/>
      <c r="D40" s="20"/>
      <c r="E40" s="20"/>
      <c r="F40" s="20"/>
      <c r="G40" s="20"/>
      <c r="H40" s="20"/>
      <c r="I40" s="20"/>
    </row>
    <row r="41" ht="16.5" customHeight="1">
      <c r="A41" s="5" t="s">
        <v>109</v>
      </c>
      <c r="B41" s="6"/>
      <c r="C41" s="6"/>
      <c r="D41" s="6"/>
      <c r="E41" s="6"/>
      <c r="F41" s="6"/>
      <c r="G41" s="6"/>
      <c r="H41" s="6"/>
      <c r="I41" s="6"/>
      <c r="J41" s="6"/>
      <c r="K41" s="6"/>
    </row>
    <row r="42" ht="13.5" customHeight="1">
      <c r="B42" s="47" t="s">
        <v>110</v>
      </c>
      <c r="G42" s="47" t="s">
        <v>111</v>
      </c>
    </row>
    <row r="43" ht="18.0" customHeight="1">
      <c r="A43" s="7" t="s">
        <v>22</v>
      </c>
      <c r="B43" s="8" t="s">
        <v>1</v>
      </c>
      <c r="C43" s="8" t="s">
        <v>2</v>
      </c>
      <c r="D43" s="8" t="s">
        <v>3</v>
      </c>
      <c r="E43" s="8" t="s">
        <v>4</v>
      </c>
      <c r="F43" s="8" t="s">
        <v>9</v>
      </c>
      <c r="G43" s="8" t="s">
        <v>1</v>
      </c>
      <c r="H43" s="8" t="s">
        <v>2</v>
      </c>
      <c r="I43" s="8" t="s">
        <v>3</v>
      </c>
      <c r="J43" s="8" t="s">
        <v>4</v>
      </c>
      <c r="K43" s="9" t="s">
        <v>9</v>
      </c>
    </row>
    <row r="44">
      <c r="A44" s="48">
        <v>45313.0</v>
      </c>
      <c r="B44" s="11" t="str">
        <f>IFERROR(IF(SUMPRODUCT(('S24'!$K$3:$K$600&gt;=$B$2+0)*('S24'!$K$3:$K$600&lt;$B$2+7)*('S24'!$H$3:$H$600))=0,"",SUMPRODUCT(('S24'!$K$3:$K$600&gt;=$B$2+0)*('S24'!$K$3:$K$600&lt;$B$2+7)*('S24'!$H$3:$H$600))),"")</f>
        <v/>
      </c>
      <c r="C44" s="11"/>
      <c r="D44" s="11"/>
      <c r="E44" s="11"/>
      <c r="F44" s="11"/>
      <c r="G44" s="11" t="str">
        <f>IFERROR(IF(SUMPRODUCT(('S24'!$K$3:$K$600&gt;=$B$2+0)*('S24'!$K$3:$K$600&lt;$B$2+7)*('S24'!$H$3:$H$600))=0,"",SUMPRODUCT(('S24'!$K$3:$K$600&gt;=$B$2+0)*('S24'!$K$3:$K$600&lt;$B$2+7)*('S24'!$H$3:$H$600))),"")</f>
        <v/>
      </c>
      <c r="H44" s="11"/>
      <c r="I44" s="11"/>
      <c r="J44" s="11"/>
      <c r="K44" s="12"/>
    </row>
    <row r="45">
      <c r="A45" s="49">
        <v>45320.0</v>
      </c>
      <c r="B45" s="14" t="str">
        <f>IFERROR(IF(SUMPRODUCT(('S24'!$K$3:$K$600&gt;=$B$2+0)*('S24'!$K$3:$K$600&lt;$B$2+14)*('S24'!$H$3:$H$600))=0,"",SUMPRODUCT(('S24'!$K$3:$K$600&gt;=$B$2+0)*('S24'!$K$3:$K$600&lt;$B$2+14)*('S24'!$H$3:$H$600))),"")</f>
        <v/>
      </c>
      <c r="C45" s="14"/>
      <c r="D45" s="14"/>
      <c r="E45" s="14"/>
      <c r="F45" s="14"/>
      <c r="G45" s="14" t="str">
        <f>IFERROR(IF(SUMPRODUCT(('S24'!$K$3:$K$600&gt;=$B$2+7)*('S24'!$K$3:$K$600&lt;$B$2+14)*('S24'!$H$3:$H$600))=0,"",SUMPRODUCT(('S24'!$K$3:$K$600&gt;=$B$2+7)*('S24'!$K$3:$K$600&lt;$B$2+14)*('S24'!$H$3:$H$600))),"")</f>
        <v/>
      </c>
      <c r="H45" s="14"/>
      <c r="I45" s="14"/>
      <c r="J45" s="14"/>
      <c r="K45" s="15"/>
    </row>
    <row r="46">
      <c r="A46" s="48">
        <v>45327.0</v>
      </c>
      <c r="B46" s="11" t="str">
        <f>IFERROR(IF(SUMPRODUCT(('S24'!$K$3:$K$600&gt;=$B$2+0)*('S24'!$K$3:$K$600&lt;$B$2+21)*('S24'!$H$3:$H$600))=0,"",SUMPRODUCT(('S24'!$K$3:$K$600&gt;=$B$2+0)*('S24'!$K$3:$K$600&lt;$B$2+21)*('S24'!$H$3:$H$600))),"")</f>
        <v/>
      </c>
      <c r="C46" s="11"/>
      <c r="D46" s="11"/>
      <c r="E46" s="11"/>
      <c r="F46" s="11"/>
      <c r="G46" s="11" t="str">
        <f>IFERROR(IF(SUMPRODUCT(('S24'!$K$3:$K$600&gt;=$B$2+14)*('S24'!$K$3:$K$600&lt;$B$2+21)*('S24'!$H$3:$H$600))=0,"",SUMPRODUCT(('S24'!$K$3:$K$600&gt;=$B$2+14)*('S24'!$K$3:$K$600&lt;$B$2+21)*('S24'!$H$3:$H$600))),"")</f>
        <v/>
      </c>
      <c r="H46" s="11"/>
      <c r="I46" s="11"/>
      <c r="J46" s="11"/>
      <c r="K46" s="12"/>
    </row>
    <row r="47">
      <c r="A47" s="49">
        <v>45334.0</v>
      </c>
      <c r="B47" s="14" t="str">
        <f>IFERROR(IF(SUMPRODUCT(('S24'!$K$3:$K$600&gt;=$B$2+0)*('S24'!$K$3:$K$600&lt;$B$2+28)*('S24'!$H$3:$H$600))=0,"",SUMPRODUCT(('S24'!$K$3:$K$600&gt;=$B$2+0)*('S24'!$K$3:$K$600&lt;$B$2+28)*('S24'!$H$3:$H$600))),"")</f>
        <v/>
      </c>
      <c r="C47" s="14"/>
      <c r="D47" s="14"/>
      <c r="E47" s="14"/>
      <c r="F47" s="14"/>
      <c r="G47" s="14" t="str">
        <f>IFERROR(IF(SUMPRODUCT(('S24'!$K$3:$K$600&gt;=$B$2+21)*('S24'!$K$3:$K$600&lt;$B$2+28)*('S24'!$H$3:$H$600))=0,"",SUMPRODUCT(('S24'!$K$3:$K$600&gt;=$B$2+21)*('S24'!$K$3:$K$600&lt;$B$2+28)*('S24'!$H$3:$H$600))),"")</f>
        <v/>
      </c>
      <c r="H47" s="14"/>
      <c r="I47" s="14"/>
      <c r="J47" s="14"/>
      <c r="K47" s="15"/>
    </row>
    <row r="48">
      <c r="A48" s="48">
        <v>45341.0</v>
      </c>
      <c r="B48" s="11" t="str">
        <f>IFERROR(IF(SUMPRODUCT(('S24'!$K$3:$K$600&gt;=$B$2+0)*('S24'!$K$3:$K$600&lt;$B$2+35)*('S24'!$H$3:$H$600))=0,"",SUMPRODUCT(('S24'!$K$3:$K$600&gt;=$B$2+0)*('S24'!$K$3:$K$600&lt;$B$2+35)*('S24'!$H$3:$H$600))),"")</f>
        <v/>
      </c>
      <c r="C48" s="11"/>
      <c r="D48" s="11"/>
      <c r="E48" s="11"/>
      <c r="F48" s="11"/>
      <c r="G48" s="11" t="str">
        <f>IFERROR(IF(SUMPRODUCT(('S24'!$K$3:$K$600&gt;=$B$2+28)*('S24'!$K$3:$K$600&lt;$B$2+35)*('S24'!$H$3:$H$600))=0,"",SUMPRODUCT(('S24'!$K$3:$K$600&gt;=$B$2+28)*('S24'!$K$3:$K$600&lt;$B$2+35)*('S24'!$H$3:$H$600))),"")</f>
        <v/>
      </c>
      <c r="H48" s="11"/>
      <c r="I48" s="11"/>
      <c r="J48" s="11"/>
      <c r="K48" s="12"/>
    </row>
    <row r="49">
      <c r="A49" s="49">
        <v>45348.0</v>
      </c>
      <c r="B49" s="14" t="str">
        <f>IFERROR(IF(SUMPRODUCT(('S24'!$K$3:$K$600&gt;=$B$2+0)*('S24'!$K$3:$K$600&lt;$B$2+42)*('S24'!$H$3:$H$600))=0,"",SUMPRODUCT(('S24'!$K$3:$K$600&gt;=$B$2+0)*('S24'!$K$3:$K$600&lt;$B$2+42)*('S24'!$H$3:$H$600))),"")</f>
        <v/>
      </c>
      <c r="C49" s="14"/>
      <c r="D49" s="14"/>
      <c r="E49" s="14"/>
      <c r="F49" s="14"/>
      <c r="G49" s="14" t="str">
        <f>IFERROR(IF(SUMPRODUCT(('S24'!$K$3:$K$600&gt;=$B$2+35)*('S24'!$K$3:$K$600&lt;$B$2+42)*('S24'!$H$3:$H$600))=0,"",SUMPRODUCT(('S24'!$K$3:$K$600&gt;=$B$2+35)*('S24'!$K$3:$K$600&lt;$B$2+42)*('S24'!$H$3:$H$600))),"")</f>
        <v/>
      </c>
      <c r="H49" s="14"/>
      <c r="I49" s="14"/>
      <c r="J49" s="14"/>
      <c r="K49" s="15"/>
    </row>
    <row r="50">
      <c r="A50" s="48">
        <v>45355.0</v>
      </c>
      <c r="B50" s="11" t="str">
        <f>IFERROR(IF(SUMPRODUCT(('S24'!$K$3:$K$600&gt;=$B$2+0)*('S24'!$K$3:$K$600&lt;$B$2+49)*('S24'!$H$3:$H$600))=0,"",SUMPRODUCT(('S24'!$K$3:$K$600&gt;=$B$2+0)*('S24'!$K$3:$K$600&lt;$B$2+49)*('S24'!$H$3:$H$600))),"")</f>
        <v/>
      </c>
      <c r="C50" s="11"/>
      <c r="D50" s="11"/>
      <c r="E50" s="11"/>
      <c r="F50" s="11"/>
      <c r="G50" s="11" t="str">
        <f>IFERROR(IF(SUMPRODUCT(('S24'!$K$3:$K$600&gt;=$B$2+42)*('S24'!$K$3:$K$600&lt;$B$2+49)*('S24'!$H$3:$H$600))=0,"",SUMPRODUCT(('S24'!$K$3:$K$600&gt;=$B$2+42)*('S24'!$K$3:$K$600&lt;$B$2+49)*('S24'!$H$3:$H$600))),"")</f>
        <v/>
      </c>
      <c r="H50" s="11"/>
      <c r="I50" s="11"/>
      <c r="J50" s="11"/>
      <c r="K50" s="12"/>
    </row>
    <row r="51">
      <c r="A51" s="49">
        <v>45362.0</v>
      </c>
      <c r="B51" s="14" t="str">
        <f>IFERROR(IF(SUMPRODUCT(('S24'!$K$3:$K$600&gt;=$B$2+0)*('S24'!$K$3:$K$600&lt;$B$2+56)*('S24'!$H$3:$H$600))=0,"",SUMPRODUCT(('S24'!$K$3:$K$600&gt;=$B$2+0)*('S24'!$K$3:$K$600&lt;$B$2+56)*('S24'!$H$3:$H$600))),"")</f>
        <v/>
      </c>
      <c r="C51" s="14"/>
      <c r="D51" s="14"/>
      <c r="E51" s="14"/>
      <c r="F51" s="14"/>
      <c r="G51" s="14" t="str">
        <f>IFERROR(IF(SUMPRODUCT(('S24'!$K$3:$K$600&gt;=$B$2+49)*('S24'!$K$3:$K$600&lt;$B$2+56)*('S24'!$H$3:$H$600))=0,"",SUMPRODUCT(('S24'!$K$3:$K$600&gt;=$B$2+49)*('S24'!$K$3:$K$600&lt;$B$2+56)*('S24'!$H$3:$H$600))),"")</f>
        <v/>
      </c>
      <c r="H51" s="14"/>
      <c r="I51" s="14"/>
      <c r="J51" s="14"/>
      <c r="K51" s="15"/>
    </row>
    <row r="52">
      <c r="A52" s="48">
        <v>45369.0</v>
      </c>
      <c r="B52" s="11">
        <f>IFERROR(IF(SUMPRODUCT(('S24'!$K$3:$K$600&gt;=$B$2+0)*('S24'!$K$3:$K$600&lt;$B$2+63)*('S24'!$H$3:$H$600))=0,"",SUMPRODUCT(('S24'!$K$3:$K$600&gt;=$B$2+0)*('S24'!$K$3:$K$600&lt;$B$2+63)*('S24'!$H$3:$H$600))),"")</f>
        <v>744.46</v>
      </c>
      <c r="C52" s="11"/>
      <c r="D52" s="11"/>
      <c r="E52" s="11"/>
      <c r="F52" s="11"/>
      <c r="G52" s="11">
        <f>IFERROR(IF(SUMPRODUCT(('S24'!$K$3:$K$600&gt;=$B$2+56)*('S24'!$K$3:$K$600&lt;$B$2+63)*('S24'!$H$3:$H$600))=0,"",SUMPRODUCT(('S24'!$K$3:$K$600&gt;=$B$2+56)*('S24'!$K$3:$K$600&lt;$B$2+63)*('S24'!$H$3:$H$600))),"")</f>
        <v>744.46</v>
      </c>
      <c r="H52" s="11"/>
      <c r="I52" s="11"/>
      <c r="J52" s="11"/>
      <c r="K52" s="12"/>
    </row>
    <row r="53">
      <c r="A53" s="49">
        <v>45376.0</v>
      </c>
      <c r="B53" s="14">
        <f>IFERROR(IF(SUMPRODUCT(('S24'!$K$3:$K$600&gt;=$B$2+0)*('S24'!$K$3:$K$600&lt;$B$2+70)*('S24'!$H$3:$H$600))=0,"",SUMPRODUCT(('S24'!$K$3:$K$600&gt;=$B$2+0)*('S24'!$K$3:$K$600&lt;$B$2+70)*('S24'!$H$3:$H$600))),"")</f>
        <v>2217.56</v>
      </c>
      <c r="C53" s="14"/>
      <c r="D53" s="14"/>
      <c r="E53" s="14"/>
      <c r="F53" s="14"/>
      <c r="G53" s="14">
        <f>IFERROR(IF(SUMPRODUCT(('S24'!$K$3:$K$600&gt;=$B$2+63)*('S24'!$K$3:$K$600&lt;$B$2+70)*('S24'!$H$3:$H$600))=0,"",SUMPRODUCT(('S24'!$K$3:$K$600&gt;=$B$2+63)*('S24'!$K$3:$K$600&lt;$B$2+70)*('S24'!$H$3:$H$600))),"")</f>
        <v>1473.1</v>
      </c>
      <c r="H53" s="14"/>
      <c r="I53" s="14"/>
      <c r="J53" s="14"/>
      <c r="K53" s="15"/>
    </row>
    <row r="54">
      <c r="A54" s="48">
        <v>45383.0</v>
      </c>
      <c r="B54" s="11">
        <f>IFERROR(IF(SUMPRODUCT(('S24'!$K$3:$K$600&gt;=$B$2+0)*('S24'!$K$3:$K$600&lt;$B$2+77)*('S24'!$H$3:$H$600))=0,"",SUMPRODUCT(('S24'!$K$3:$K$600&gt;=$B$2+0)*('S24'!$K$3:$K$600&lt;$B$2+77)*('S24'!$H$3:$H$600))),"")</f>
        <v>3094.56</v>
      </c>
      <c r="C54" s="11"/>
      <c r="D54" s="11"/>
      <c r="E54" s="11"/>
      <c r="F54" s="11"/>
      <c r="G54" s="11">
        <f>IFERROR(IF(SUMPRODUCT(('S24'!$K$3:$K$600&gt;=$B$2+70)*('S24'!$K$3:$K$600&lt;$B$2+77)*('S24'!$H$3:$H$600))=0,"",SUMPRODUCT(('S24'!$K$3:$K$600&gt;=$B$2+70)*('S24'!$K$3:$K$600&lt;$B$2+77)*('S24'!$H$3:$H$600))),"")</f>
        <v>877</v>
      </c>
      <c r="H54" s="11"/>
      <c r="I54" s="11"/>
      <c r="J54" s="11"/>
      <c r="K54" s="12"/>
    </row>
    <row r="55">
      <c r="A55" s="49">
        <v>45390.0</v>
      </c>
      <c r="B55" s="14">
        <f>IFERROR(IF(SUMPRODUCT(('S24'!$K$3:$K$600&gt;=$B$2+0)*('S24'!$K$3:$K$600&lt;$B$2+84)*('S24'!$H$3:$H$600))=0,"",SUMPRODUCT(('S24'!$K$3:$K$600&gt;=$B$2+0)*('S24'!$K$3:$K$600&lt;$B$2+84)*('S24'!$H$3:$H$600))),"")</f>
        <v>4422.96</v>
      </c>
      <c r="C55" s="14"/>
      <c r="D55" s="14"/>
      <c r="E55" s="14"/>
      <c r="F55" s="14"/>
      <c r="G55" s="14">
        <f>IFERROR(IF(SUMPRODUCT(('S24'!$K$3:$K$600&gt;=$B$2+77)*('S24'!$K$3:$K$600&lt;$B$2+84)*('S24'!$H$3:$H$600))=0,"",SUMPRODUCT(('S24'!$K$3:$K$600&gt;=$B$2+77)*('S24'!$K$3:$K$600&lt;$B$2+84)*('S24'!$H$3:$H$600))),"")</f>
        <v>1328.4</v>
      </c>
      <c r="H55" s="14"/>
      <c r="I55" s="14"/>
      <c r="J55" s="14"/>
      <c r="K55" s="15"/>
    </row>
    <row r="56">
      <c r="A56" s="48">
        <v>45397.0</v>
      </c>
      <c r="B56" s="11">
        <f>IFERROR(IF(SUMPRODUCT(('S24'!$K$3:$K$600&gt;=$B$2+0)*('S24'!$K$3:$K$600&lt;$B$2+91)*('S24'!$H$3:$H$600))=0,"",SUMPRODUCT(('S24'!$K$3:$K$600&gt;=$B$2+0)*('S24'!$K$3:$K$600&lt;$B$2+91)*('S24'!$H$3:$H$600))),"")</f>
        <v>5841.86</v>
      </c>
      <c r="C56" s="11"/>
      <c r="D56" s="11"/>
      <c r="E56" s="11"/>
      <c r="F56" s="11"/>
      <c r="G56" s="11">
        <f>IFERROR(IF(SUMPRODUCT(('S24'!$K$3:$K$600&gt;=$B$2+84)*('S24'!$K$3:$K$600&lt;$B$2+91)*('S24'!$H$3:$H$600))=0,"",SUMPRODUCT(('S24'!$K$3:$K$600&gt;=$B$2+84)*('S24'!$K$3:$K$600&lt;$B$2+91)*('S24'!$H$3:$H$600))),"")</f>
        <v>1418.9</v>
      </c>
      <c r="H56" s="11"/>
      <c r="I56" s="11"/>
      <c r="J56" s="11"/>
      <c r="K56" s="12"/>
    </row>
    <row r="57">
      <c r="A57" s="49">
        <v>45404.0</v>
      </c>
      <c r="B57" s="14">
        <f>IFERROR(IF(SUMPRODUCT(('S24'!$K$3:$K$600&gt;=$B$2+0)*('S24'!$K$3:$K$600&lt;$B$2+98)*('S24'!$H$3:$H$600))=0,"",SUMPRODUCT(('S24'!$K$3:$K$600&gt;=$B$2+0)*('S24'!$K$3:$K$600&lt;$B$2+98)*('S24'!$H$3:$H$600))),"")</f>
        <v>6957.86</v>
      </c>
      <c r="C57" s="14"/>
      <c r="D57" s="14"/>
      <c r="E57" s="14"/>
      <c r="F57" s="14"/>
      <c r="G57" s="14">
        <f>IFERROR(IF(SUMPRODUCT(('S24'!$K$3:$K$600&gt;=$B$2+91)*('S24'!$K$3:$K$600&lt;$B$2+98)*('S24'!$H$3:$H$600))=0,"",SUMPRODUCT(('S24'!$K$3:$K$600&gt;=$B$2+91)*('S24'!$K$3:$K$600&lt;$B$2+98)*('S24'!$H$3:$H$600))),"")</f>
        <v>1116</v>
      </c>
      <c r="H57" s="14"/>
      <c r="I57" s="14"/>
      <c r="J57" s="14"/>
      <c r="K57" s="15"/>
    </row>
    <row r="58">
      <c r="A58" s="48">
        <v>45544.0</v>
      </c>
      <c r="B58" s="11"/>
      <c r="C58" s="11">
        <f>IFERROR(IF(SUM('S24'!$H:$H)+SUMPRODUCT(('F24'!$K$3:$K$600&gt;=$C$2+0)*('F24'!$K$3:$K$600&lt;$C$2+7)*('F24'!$H$3:$H$600))=0,"",SUM('S24'!$H:$H)+SUMPRODUCT(('F24'!$K$3:$K$600&gt;=$C$2+0)*('F24'!$K$3:$K$600&lt;$C$2+7)*('F24'!$H$3:$H$600))),"")</f>
        <v>8189.86</v>
      </c>
      <c r="D58" s="11"/>
      <c r="E58" s="11"/>
      <c r="F58" s="11"/>
      <c r="G58" s="11"/>
      <c r="H58" s="11">
        <f>IFERROR(IF(SUMPRODUCT(('F24'!$K$3:$K$600&gt;=$C$2+0)*('F24'!$K$3:$K$600&lt;$C$2+7)*('F24'!$H$3:$H$600))=0,"",SUMPRODUCT(('F24'!$K$3:$K$600&gt;=$C$2+0)*('F24'!$K$3:$K$600&lt;$C$2+7)*('F24'!$H$3:$H$600))),"")</f>
        <v>1079</v>
      </c>
      <c r="I58" s="11"/>
      <c r="J58" s="11"/>
      <c r="K58" s="12"/>
    </row>
    <row r="59">
      <c r="A59" s="49">
        <v>45551.0</v>
      </c>
      <c r="B59" s="14"/>
      <c r="C59" s="14">
        <f>IFERROR(IF(SUM('S24'!$H:$H)+SUMPRODUCT(('F24'!$K$3:$K$600&gt;=$C$2+0)*('F24'!$K$3:$K$600&lt;$C$2+14)*('F24'!$H$3:$H$600))=0,"",SUM('S24'!$H:$H)+SUMPRODUCT(('F24'!$K$3:$K$600&gt;=$C$2+0)*('F24'!$K$3:$K$600&lt;$C$2+14)*('F24'!$H$3:$H$600))),"")</f>
        <v>9823.86</v>
      </c>
      <c r="D59" s="14"/>
      <c r="E59" s="14"/>
      <c r="F59" s="14"/>
      <c r="G59" s="14"/>
      <c r="H59" s="14">
        <f>IFERROR(IF(SUMPRODUCT(('F24'!$K$3:$K$600&gt;=$C$2+7)*('F24'!$K$3:$K$600&lt;$C$2+14)*('F24'!$H$3:$H$600))=0,"",SUMPRODUCT(('F24'!$K$3:$K$600&gt;=$C$2+7)*('F24'!$K$3:$K$600&lt;$C$2+14)*('F24'!$H$3:$H$600))),"")</f>
        <v>1634</v>
      </c>
      <c r="I59" s="14"/>
      <c r="J59" s="14"/>
      <c r="K59" s="15"/>
    </row>
    <row r="60">
      <c r="A60" s="48">
        <v>45558.0</v>
      </c>
      <c r="B60" s="11"/>
      <c r="C60" s="11">
        <f>IFERROR(IF(SUM('S24'!$H:$H)+SUMPRODUCT(('F24'!$K$3:$K$600&gt;=$C$2+0)*('F24'!$K$3:$K$600&lt;$C$2+21)*('F24'!$H$3:$H$600))=0,"",SUM('S24'!$H:$H)+SUMPRODUCT(('F24'!$K$3:$K$600&gt;=$C$2+0)*('F24'!$K$3:$K$600&lt;$C$2+21)*('F24'!$H$3:$H$600))),"")</f>
        <v>11325.86</v>
      </c>
      <c r="D60" s="11"/>
      <c r="E60" s="11"/>
      <c r="F60" s="11"/>
      <c r="G60" s="11"/>
      <c r="H60" s="11">
        <f>IFERROR(IF(SUMPRODUCT(('F24'!$K$3:$K$600&gt;=$C$2+14)*('F24'!$K$3:$K$600&lt;$C$2+21)*('F24'!$H$3:$H$600))=0,"",SUMPRODUCT(('F24'!$K$3:$K$600&gt;=$C$2+14)*('F24'!$K$3:$K$600&lt;$C$2+21)*('F24'!$H$3:$H$600))),"")</f>
        <v>1502</v>
      </c>
      <c r="I60" s="11"/>
      <c r="J60" s="11"/>
      <c r="K60" s="12"/>
    </row>
    <row r="61">
      <c r="A61" s="49">
        <v>45565.0</v>
      </c>
      <c r="B61" s="14"/>
      <c r="C61" s="14">
        <f>IFERROR(IF(SUM('S24'!$H:$H)+SUMPRODUCT(('F24'!$K$3:$K$600&gt;=$C$2+0)*('F24'!$K$3:$K$600&lt;$C$2+28)*('F24'!$H$3:$H$600))=0,"",SUM('S24'!$H:$H)+SUMPRODUCT(('F24'!$K$3:$K$600&gt;=$C$2+0)*('F24'!$K$3:$K$600&lt;$C$2+28)*('F24'!$H$3:$H$600))),"")</f>
        <v>13846.86</v>
      </c>
      <c r="D61" s="14"/>
      <c r="E61" s="14"/>
      <c r="F61" s="14"/>
      <c r="G61" s="14"/>
      <c r="H61" s="14">
        <f>IFERROR(IF(SUMPRODUCT(('F24'!$K$3:$K$600&gt;=$C$2+21)*('F24'!$K$3:$K$600&lt;$C$2+28)*('F24'!$H$3:$H$600))=0,"",SUMPRODUCT(('F24'!$K$3:$K$600&gt;=$C$2+21)*('F24'!$K$3:$K$600&lt;$C$2+28)*('F24'!$H$3:$H$600))),"")</f>
        <v>2521</v>
      </c>
      <c r="I61" s="14"/>
      <c r="J61" s="14"/>
      <c r="K61" s="15"/>
    </row>
    <row r="62">
      <c r="A62" s="48">
        <v>45572.0</v>
      </c>
      <c r="B62" s="11"/>
      <c r="C62" s="11">
        <f>IFERROR(IF(SUM('S24'!$H:$H)+SUMPRODUCT(('F24'!$K$3:$K$600&gt;=$C$2+0)*('F24'!$K$3:$K$600&lt;$C$2+35)*('F24'!$H$3:$H$600))=0,"",SUM('S24'!$H:$H)+SUMPRODUCT(('F24'!$K$3:$K$600&gt;=$C$2+0)*('F24'!$K$3:$K$600&lt;$C$2+35)*('F24'!$H$3:$H$600))),"")</f>
        <v>16092.86</v>
      </c>
      <c r="D62" s="11"/>
      <c r="E62" s="11"/>
      <c r="F62" s="11"/>
      <c r="G62" s="11"/>
      <c r="H62" s="11">
        <f>IFERROR(IF(SUMPRODUCT(('F24'!$K$3:$K$600&gt;=$C$2+28)*('F24'!$K$3:$K$600&lt;$C$2+35)*('F24'!$H$3:$H$600))=0,"",SUMPRODUCT(('F24'!$K$3:$K$600&gt;=$C$2+28)*('F24'!$K$3:$K$600&lt;$C$2+35)*('F24'!$H$3:$H$600))),"")</f>
        <v>2246</v>
      </c>
      <c r="I62" s="11"/>
      <c r="J62" s="11"/>
      <c r="K62" s="12"/>
    </row>
    <row r="63">
      <c r="A63" s="49">
        <v>45579.0</v>
      </c>
      <c r="B63" s="14"/>
      <c r="C63" s="14">
        <f>IFERROR(IF(SUM('S24'!$H:$H)+SUMPRODUCT(('F24'!$K$3:$K$600&gt;=$C$2+0)*('F24'!$K$3:$K$600&lt;$C$2+42)*('F24'!$H$3:$H$600))=0,"",SUM('S24'!$H:$H)+SUMPRODUCT(('F24'!$K$3:$K$600&gt;=$C$2+0)*('F24'!$K$3:$K$600&lt;$C$2+42)*('F24'!$H$3:$H$600))),"")</f>
        <v>18013.86</v>
      </c>
      <c r="D63" s="14"/>
      <c r="E63" s="14"/>
      <c r="F63" s="14"/>
      <c r="G63" s="14"/>
      <c r="H63" s="14">
        <f>IFERROR(IF(SUMPRODUCT(('F24'!$K$3:$K$600&gt;=$C$2+35)*('F24'!$K$3:$K$600&lt;$C$2+42)*('F24'!$H$3:$H$600))=0,"",SUMPRODUCT(('F24'!$K$3:$K$600&gt;=$C$2+35)*('F24'!$K$3:$K$600&lt;$C$2+42)*('F24'!$H$3:$H$600))),"")</f>
        <v>1921</v>
      </c>
      <c r="I63" s="14"/>
      <c r="J63" s="14"/>
      <c r="K63" s="15"/>
    </row>
    <row r="64">
      <c r="A64" s="48">
        <v>45586.0</v>
      </c>
      <c r="B64" s="11"/>
      <c r="C64" s="11">
        <f>IFERROR(IF(SUM('S24'!$H:$H)+SUMPRODUCT(('F24'!$K$3:$K$600&gt;=$C$2+0)*('F24'!$K$3:$K$600&lt;$C$2+49)*('F24'!$H$3:$H$600))=0,"",SUM('S24'!$H:$H)+SUMPRODUCT(('F24'!$K$3:$K$600&gt;=$C$2+0)*('F24'!$K$3:$K$600&lt;$C$2+49)*('F24'!$H$3:$H$600))),"")</f>
        <v>20710.86</v>
      </c>
      <c r="D64" s="11"/>
      <c r="E64" s="11"/>
      <c r="F64" s="11"/>
      <c r="G64" s="11"/>
      <c r="H64" s="11">
        <f>IFERROR(IF(SUMPRODUCT(('F24'!$K$3:$K$600&gt;=$C$2+42)*('F24'!$K$3:$K$600&lt;$C$2+49)*('F24'!$H$3:$H$600))=0,"",SUMPRODUCT(('F24'!$K$3:$K$600&gt;=$C$2+42)*('F24'!$K$3:$K$600&lt;$C$2+49)*('F24'!$H$3:$H$600))),"")</f>
        <v>2697</v>
      </c>
      <c r="I64" s="11"/>
      <c r="J64" s="11"/>
      <c r="K64" s="12"/>
    </row>
    <row r="65">
      <c r="A65" s="49">
        <v>45593.0</v>
      </c>
      <c r="B65" s="14"/>
      <c r="C65" s="14">
        <f>IFERROR(IF(SUM('S24'!$H:$H)+SUMPRODUCT(('F24'!$K$3:$K$600&gt;=$C$2+0)*('F24'!$K$3:$K$600&lt;$C$2+56)*('F24'!$H$3:$H$600))=0,"",SUM('S24'!$H:$H)+SUMPRODUCT(('F24'!$K$3:$K$600&gt;=$C$2+0)*('F24'!$K$3:$K$600&lt;$C$2+56)*('F24'!$H$3:$H$600))),"")</f>
        <v>23053.86</v>
      </c>
      <c r="D65" s="14"/>
      <c r="E65" s="14"/>
      <c r="F65" s="14"/>
      <c r="G65" s="14"/>
      <c r="H65" s="14">
        <f>IFERROR(IF(SUMPRODUCT(('F24'!$K$3:$K$600&gt;=$C$2+49)*('F24'!$K$3:$K$600&lt;$C$2+56)*('F24'!$H$3:$H$600))=0,"",SUMPRODUCT(('F24'!$K$3:$K$600&gt;=$C$2+49)*('F24'!$K$3:$K$600&lt;$C$2+56)*('F24'!$H$3:$H$600))),"")</f>
        <v>2343</v>
      </c>
      <c r="I65" s="14"/>
      <c r="J65" s="14"/>
      <c r="K65" s="15"/>
    </row>
    <row r="66">
      <c r="A66" s="48">
        <v>45594.0</v>
      </c>
      <c r="B66" s="11"/>
      <c r="C66" s="11">
        <f>IFERROR(IF(SUM('S24'!$H:$H)+SUMPRODUCT(('F24'!$K$3:$K$600&gt;=$C$2+0)*('F24'!$K$3:$K$600&lt;$C$2+63)*('F24'!$H$3:$H$600))=0,"",SUM('S24'!$H:$H)+SUMPRODUCT(('F24'!$K$3:$K$600&gt;=$C$2+0)*('F24'!$K$3:$K$600&lt;$C$2+63)*('F24'!$H$3:$H$600))),"")</f>
        <v>25060.86</v>
      </c>
      <c r="D66" s="11"/>
      <c r="E66" s="11"/>
      <c r="F66" s="11"/>
      <c r="G66" s="11"/>
      <c r="H66" s="11">
        <f>IFERROR(IF(SUMPRODUCT(('F24'!$K$3:$K$600&gt;=$C$2+56)*('F24'!$K$3:$K$600&lt;$C$2+63)*('F24'!$H$3:$H$600))=0,"",SUMPRODUCT(('F24'!$K$3:$K$600&gt;=$C$2+56)*('F24'!$K$3:$K$600&lt;$C$2+63)*('F24'!$H$3:$H$600))),"")</f>
        <v>2007</v>
      </c>
      <c r="I66" s="11"/>
      <c r="J66" s="11"/>
      <c r="K66" s="12"/>
    </row>
    <row r="67">
      <c r="A67" s="49">
        <v>45600.0</v>
      </c>
      <c r="B67" s="14"/>
      <c r="C67" s="14">
        <f>IFERROR(IF(SUM('S24'!$H:$H)+SUMPRODUCT(('F24'!$K$3:$K$600&gt;=$C$2+0)*('F24'!$K$3:$K$600&lt;$C$2+70)*('F24'!$H$3:$H$600))=0,"",SUM('S24'!$H:$H)+SUMPRODUCT(('F24'!$K$3:$K$600&gt;=$C$2+0)*('F24'!$K$3:$K$600&lt;$C$2+70)*('F24'!$H$3:$H$600))),"")</f>
        <v>27037.86</v>
      </c>
      <c r="D67" s="14"/>
      <c r="E67" s="14"/>
      <c r="F67" s="14"/>
      <c r="G67" s="14"/>
      <c r="H67" s="14">
        <f>IFERROR(IF(SUMPRODUCT(('F24'!$K$3:$K$600&gt;=$C$2+63)*('F24'!$K$3:$K$600&lt;$C$2+70)*('F24'!$H$3:$H$600))=0,"",SUMPRODUCT(('F24'!$K$3:$K$600&gt;=$C$2+63)*('F24'!$K$3:$K$600&lt;$C$2+70)*('F24'!$H$3:$H$600))),"")</f>
        <v>1977</v>
      </c>
      <c r="I67" s="14"/>
      <c r="J67" s="14"/>
      <c r="K67" s="15"/>
    </row>
    <row r="68">
      <c r="A68" s="48">
        <v>45607.0</v>
      </c>
      <c r="B68" s="11"/>
      <c r="C68" s="11">
        <f>IFERROR(IF(SUM('S24'!$H:$H)+SUMPRODUCT(('F24'!$K$3:$K$600&gt;=$C$2+0)*('F24'!$K$3:$K$600&lt;$C$2+77)*('F24'!$H$3:$H$600))=0,"",SUM('S24'!$H:$H)+SUMPRODUCT(('F24'!$K$3:$K$600&gt;=$C$2+0)*('F24'!$K$3:$K$600&lt;$C$2+77)*('F24'!$H$3:$H$600))),"")</f>
        <v>29102.86</v>
      </c>
      <c r="D68" s="11"/>
      <c r="E68" s="11"/>
      <c r="F68" s="11"/>
      <c r="G68" s="11"/>
      <c r="H68" s="11">
        <f>IFERROR(IF(SUMPRODUCT(('F24'!$K$3:$K$600&gt;=$C$2+70)*('F24'!$K$3:$K$600&lt;$C$2+77)*('F24'!$H$3:$H$600))=0,"",SUMPRODUCT(('F24'!$K$3:$K$600&gt;=$C$2+70)*('F24'!$K$3:$K$600&lt;$C$2+77)*('F24'!$H$3:$H$600))),"")</f>
        <v>2065</v>
      </c>
      <c r="I68" s="11"/>
      <c r="J68" s="11"/>
      <c r="K68" s="12"/>
    </row>
    <row r="69">
      <c r="A69" s="49">
        <v>45614.0</v>
      </c>
      <c r="B69" s="14"/>
      <c r="C69" s="14">
        <f>IFERROR(IF(SUM('S24'!$H:$H)+SUMPRODUCT(('F24'!$K$3:$K$600&gt;=$C$2+0)*('F24'!$K$3:$K$600&lt;$C$2+84)*('F24'!$H$3:$H$600))=0,"",SUM('S24'!$H:$H)+SUMPRODUCT(('F24'!$K$3:$K$600&gt;=$C$2+0)*('F24'!$K$3:$K$600&lt;$C$2+84)*('F24'!$H$3:$H$600))),"")</f>
        <v>29424.86</v>
      </c>
      <c r="D69" s="14"/>
      <c r="E69" s="14"/>
      <c r="F69" s="14"/>
      <c r="G69" s="14"/>
      <c r="H69" s="14">
        <f>IFERROR(IF(SUMPRODUCT(('F24'!$K$3:$K$600&gt;=$C$2+77)*('F24'!$K$3:$K$600&lt;$C$2+84)*('F24'!$H$3:$H$600))=0,"",SUMPRODUCT(('F24'!$K$3:$K$600&gt;=$C$2+77)*('F24'!$K$3:$K$600&lt;$C$2+84)*('F24'!$H$3:$H$600))),"")</f>
        <v>322</v>
      </c>
      <c r="I69" s="14"/>
      <c r="J69" s="14"/>
      <c r="K69" s="15"/>
    </row>
    <row r="70">
      <c r="A70" s="48">
        <v>45621.0</v>
      </c>
      <c r="B70" s="11"/>
      <c r="C70" s="11">
        <f>IFERROR(IF(SUM('S24'!$H:$H)+SUMPRODUCT(('F24'!$K$3:$K$600&gt;=$C$2+0)*('F24'!$K$3:$K$600&lt;$C$2+91)*('F24'!$H$3:$H$600))=0,"",SUM('S24'!$H:$H)+SUMPRODUCT(('F24'!$K$3:$K$600&gt;=$C$2+0)*('F24'!$K$3:$K$600&lt;$C$2+91)*('F24'!$H$3:$H$600))),"")</f>
        <v>31832.86</v>
      </c>
      <c r="D70" s="11"/>
      <c r="E70" s="11"/>
      <c r="F70" s="11"/>
      <c r="G70" s="11"/>
      <c r="H70" s="11">
        <f>IFERROR(IF(SUMPRODUCT(('F24'!$K$3:$K$600&gt;=$C$2+84)*('F24'!$K$3:$K$600&lt;$C$2+91)*('F24'!$H$3:$H$600))=0,"",SUMPRODUCT(('F24'!$K$3:$K$600&gt;=$C$2+84)*('F24'!$K$3:$K$600&lt;$C$2+91)*('F24'!$H$3:$H$600))),"")</f>
        <v>2408</v>
      </c>
      <c r="I70" s="11"/>
      <c r="J70" s="11"/>
      <c r="K70" s="12"/>
    </row>
    <row r="71">
      <c r="A71" s="49">
        <v>45628.0</v>
      </c>
      <c r="B71" s="14"/>
      <c r="C71" s="14">
        <f>IFERROR(IF(SUM('S24'!$H:$H)+SUMPRODUCT(('F24'!$K$3:$K$600&gt;=$C$2+0)*('F24'!$K$3:$K$600&lt;$C$2+98)*('F24'!$H$3:$H$600))=0,"",SUM('S24'!$H:$H)+SUMPRODUCT(('F24'!$K$3:$K$600&gt;=$C$2+0)*('F24'!$K$3:$K$600&lt;$C$2+98)*('F24'!$H$3:$H$600))),"")</f>
        <v>33409.86</v>
      </c>
      <c r="D71" s="14"/>
      <c r="E71" s="14"/>
      <c r="F71" s="14"/>
      <c r="G71" s="14"/>
      <c r="H71" s="14">
        <f>IFERROR(IF(SUMPRODUCT(('F24'!$K$3:$K$600&gt;=$C$2+91)*('F24'!$K$3:$K$600&lt;$C$2+98)*('F24'!$H$3:$H$600))=0,"",SUMPRODUCT(('F24'!$K$3:$K$600&gt;=$C$2+91)*('F24'!$K$3:$K$600&lt;$C$2+98)*('F24'!$H$3:$H$600))),"")</f>
        <v>1577</v>
      </c>
      <c r="I71" s="14"/>
      <c r="J71" s="14"/>
      <c r="K71" s="15"/>
    </row>
    <row r="72">
      <c r="A72" s="48">
        <v>45677.0</v>
      </c>
      <c r="B72" s="11"/>
      <c r="C72" s="11"/>
      <c r="D72" s="11">
        <f>IFERROR(IF(SUM('S24'!$H:$H)+SUM('F24'!$H:$H)+SUMPRODUCT(('S25'!$K$3:$K$600&gt;=$D$2+0)*('S25'!$K$3:$K$600&lt;$D$2+7)*('S25'!$H$3:$H$600))=0,"",SUM('S24'!$H:$H)+SUM('F24'!$H:$H)+SUMPRODUCT(('S25'!$K$3:$K$600&gt;=$D$2+0)*('S25'!$K$3:$K$600&lt;$D$2+7)*('S25'!$H$3:$H$600))),"")</f>
        <v>33496.86</v>
      </c>
      <c r="E72" s="11"/>
      <c r="F72" s="11"/>
      <c r="G72" s="11"/>
      <c r="H72" s="11"/>
      <c r="I72" s="11" t="str">
        <f>IFERROR(IF(SUMPRODUCT(('S25'!$K$3:$K$600&gt;=$D$2+0)*('S25'!$K$3:$K$600&lt;$D$2+7)*('S25'!$H$3:$H$600))=0,"",SUMPRODUCT(('S25'!$K$3:$K$600&gt;=$D$2+0)*('S25'!$K$3:$K$600&lt;$D$2+7)*('S25'!$H$3:$H$600))),"")</f>
        <v/>
      </c>
      <c r="J72" s="11"/>
      <c r="K72" s="12"/>
    </row>
    <row r="73">
      <c r="A73" s="49">
        <v>45684.0</v>
      </c>
      <c r="B73" s="14"/>
      <c r="C73" s="14"/>
      <c r="D73" s="14">
        <f>IFERROR(IF(SUM('S24'!$H:$H)+SUM('F24'!$H:$H)+SUMPRODUCT(('S25'!$K$3:$K$600&gt;=$D$2+0)*('S25'!$K$3:$K$600&lt;$D$2+14)*('S25'!$H$3:$H$600))=0,"",SUM('S24'!$H:$H)+SUM('F24'!$H:$H)+SUMPRODUCT(('S25'!$K$3:$K$600&gt;=$D$2+0)*('S25'!$K$3:$K$600&lt;$D$2+14)*('S25'!$H$3:$H$600))),"")</f>
        <v>35788.86</v>
      </c>
      <c r="E73" s="14"/>
      <c r="F73" s="14"/>
      <c r="G73" s="14"/>
      <c r="H73" s="14"/>
      <c r="I73" s="14">
        <f>IFERROR(IF(SUMPRODUCT(('S25'!$K$3:$K$600&gt;=$D$2+7)*('S25'!$K$3:$K$600&lt;$D$2+14)*('S25'!$H$3:$H$600))=0,"",SUMPRODUCT(('S25'!$K$3:$K$600&gt;=$D$2+7)*('S25'!$K$3:$K$600&lt;$D$2+14)*('S25'!$H$3:$H$600))),"")</f>
        <v>2292</v>
      </c>
      <c r="J73" s="14"/>
      <c r="K73" s="15"/>
    </row>
    <row r="74">
      <c r="A74" s="48">
        <v>45691.0</v>
      </c>
      <c r="B74" s="11"/>
      <c r="C74" s="11"/>
      <c r="D74" s="11">
        <f>IFERROR(IF(SUM('S24'!$H:$H)+SUM('F24'!$H:$H)+SUMPRODUCT(('S25'!$K$3:$K$600&gt;=$D$2+0)*('S25'!$K$3:$K$600&lt;$D$2+21)*('S25'!$H$3:$H$600))=0,"",SUM('S24'!$H:$H)+SUM('F24'!$H:$H)+SUMPRODUCT(('S25'!$K$3:$K$600&gt;=$D$2+0)*('S25'!$K$3:$K$600&lt;$D$2+21)*('S25'!$H$3:$H$600))),"")</f>
        <v>38369.86</v>
      </c>
      <c r="E74" s="11"/>
      <c r="F74" s="11"/>
      <c r="G74" s="11"/>
      <c r="H74" s="11"/>
      <c r="I74" s="11">
        <f>IFERROR(IF(SUMPRODUCT(('S25'!$K$3:$K$600&gt;=$D$2+14)*('S25'!$K$3:$K$600&lt;$D$2+21)*('S25'!$H$3:$H$600))=0,"",SUMPRODUCT(('S25'!$K$3:$K$600&gt;=$D$2+14)*('S25'!$K$3:$K$600&lt;$D$2+21)*('S25'!$H$3:$H$600))),"")</f>
        <v>2581</v>
      </c>
      <c r="J74" s="11"/>
      <c r="K74" s="12"/>
    </row>
    <row r="75">
      <c r="A75" s="49">
        <v>45698.0</v>
      </c>
      <c r="B75" s="14"/>
      <c r="C75" s="14"/>
      <c r="D75" s="14">
        <f>IFERROR(IF(SUM('S24'!$H:$H)+SUM('F24'!$H:$H)+SUMPRODUCT(('S25'!$K$3:$K$600&gt;=$D$2+0)*('S25'!$K$3:$K$600&lt;$D$2+28)*('S25'!$H$3:$H$600))=0,"",SUM('S24'!$H:$H)+SUM('F24'!$H:$H)+SUMPRODUCT(('S25'!$K$3:$K$600&gt;=$D$2+0)*('S25'!$K$3:$K$600&lt;$D$2+28)*('S25'!$H$3:$H$600))),"")</f>
        <v>41226.86</v>
      </c>
      <c r="E75" s="14"/>
      <c r="F75" s="14"/>
      <c r="G75" s="14"/>
      <c r="H75" s="14"/>
      <c r="I75" s="14">
        <f>IFERROR(IF(SUMPRODUCT(('S25'!$K$3:$K$600&gt;=$D$2+21)*('S25'!$K$3:$K$600&lt;$D$2+28)*('S25'!$H$3:$H$600))=0,"",SUMPRODUCT(('S25'!$K$3:$K$600&gt;=$D$2+21)*('S25'!$K$3:$K$600&lt;$D$2+28)*('S25'!$H$3:$H$600))),"")</f>
        <v>2857</v>
      </c>
      <c r="J75" s="14"/>
      <c r="K75" s="15"/>
    </row>
    <row r="76">
      <c r="A76" s="48">
        <v>45705.0</v>
      </c>
      <c r="B76" s="11"/>
      <c r="C76" s="11"/>
      <c r="D76" s="11">
        <f>IFERROR(IF(SUM('S24'!$H:$H)+SUM('F24'!$H:$H)+SUMPRODUCT(('S25'!$K$3:$K$600&gt;=$D$2+0)*('S25'!$K$3:$K$600&lt;$D$2+35)*('S25'!$H$3:$H$600))=0,"",SUM('S24'!$H:$H)+SUM('F24'!$H:$H)+SUMPRODUCT(('S25'!$K$3:$K$600&gt;=$D$2+0)*('S25'!$K$3:$K$600&lt;$D$2+35)*('S25'!$H$3:$H$600))),"")</f>
        <v>43598.86</v>
      </c>
      <c r="E76" s="11"/>
      <c r="F76" s="11"/>
      <c r="G76" s="11"/>
      <c r="H76" s="11"/>
      <c r="I76" s="11">
        <f>IFERROR(IF(SUMPRODUCT(('S25'!$K$3:$K$600&gt;=$D$2+28)*('S25'!$K$3:$K$600&lt;$D$2+35)*('S25'!$H$3:$H$600))=0,"",SUMPRODUCT(('S25'!$K$3:$K$600&gt;=$D$2+28)*('S25'!$K$3:$K$600&lt;$D$2+35)*('S25'!$H$3:$H$600))),"")</f>
        <v>2372</v>
      </c>
      <c r="J76" s="11"/>
      <c r="K76" s="12"/>
    </row>
    <row r="77">
      <c r="A77" s="49">
        <v>45712.0</v>
      </c>
      <c r="B77" s="14"/>
      <c r="C77" s="14"/>
      <c r="D77" s="14">
        <f>IFERROR(IF(SUM('S24'!$H:$H)+SUM('F24'!$H:$H)+SUMPRODUCT(('S25'!$K$3:$K$600&gt;=$D$2+0)*('S25'!$K$3:$K$600&lt;$D$2+42)*('S25'!$H$3:$H$600))=0,"",SUM('S24'!$H:$H)+SUM('F24'!$H:$H)+SUMPRODUCT(('S25'!$K$3:$K$600&gt;=$D$2+0)*('S25'!$K$3:$K$600&lt;$D$2+42)*('S25'!$H$3:$H$600))),"")</f>
        <v>46205.86</v>
      </c>
      <c r="E77" s="14"/>
      <c r="F77" s="14"/>
      <c r="G77" s="14"/>
      <c r="H77" s="14"/>
      <c r="I77" s="14">
        <f>IFERROR(IF(SUMPRODUCT(('S25'!$K$3:$K$600&gt;=$D$2+35)*('S25'!$K$3:$K$600&lt;$D$2+42)*('S25'!$H$3:$H$600))=0,"",SUMPRODUCT(('S25'!$K$3:$K$600&gt;=$D$2+35)*('S25'!$K$3:$K$600&lt;$D$2+42)*('S25'!$H$3:$H$600))),"")</f>
        <v>2607</v>
      </c>
      <c r="J77" s="14"/>
      <c r="K77" s="15"/>
    </row>
    <row r="78">
      <c r="A78" s="48">
        <v>45719.0</v>
      </c>
      <c r="B78" s="11"/>
      <c r="C78" s="11"/>
      <c r="D78" s="11">
        <f>IFERROR(IF(SUM('S24'!$H:$H)+SUM('F24'!$H:$H)+SUMPRODUCT(('S25'!$K$3:$K$600&gt;=$D$2+0)*('S25'!$K$3:$K$600&lt;$D$2+49)*('S25'!$H$3:$H$600))=0,"",SUM('S24'!$H:$H)+SUM('F24'!$H:$H)+SUMPRODUCT(('S25'!$K$3:$K$600&gt;=$D$2+0)*('S25'!$K$3:$K$600&lt;$D$2+49)*('S25'!$H$3:$H$600))),"")</f>
        <v>48264.86</v>
      </c>
      <c r="E78" s="11"/>
      <c r="F78" s="11"/>
      <c r="G78" s="11"/>
      <c r="H78" s="11"/>
      <c r="I78" s="11">
        <f>IFERROR(IF(SUMPRODUCT(('S25'!$K$3:$K$600&gt;=$D$2+42)*('S25'!$K$3:$K$600&lt;$D$2+49)*('S25'!$H$3:$H$600))=0,"",SUMPRODUCT(('S25'!$K$3:$K$600&gt;=$D$2+42)*('S25'!$K$3:$K$600&lt;$D$2+49)*('S25'!$H$3:$H$600))),"")</f>
        <v>2059</v>
      </c>
      <c r="J78" s="11"/>
      <c r="K78" s="12"/>
    </row>
    <row r="79">
      <c r="A79" s="49">
        <v>45726.0</v>
      </c>
      <c r="B79" s="14"/>
      <c r="C79" s="14"/>
      <c r="D79" s="14">
        <f>IFERROR(IF(SUM('S24'!$H:$H)+SUM('F24'!$H:$H)+SUMPRODUCT(('S25'!$K$3:$K$600&gt;=$D$2+0)*('S25'!$K$3:$K$600&lt;$D$2+56)*('S25'!$H$3:$H$600))=0,"",SUM('S24'!$H:$H)+SUM('F24'!$H:$H)+SUMPRODUCT(('S25'!$K$3:$K$600&gt;=$D$2+0)*('S25'!$K$3:$K$600&lt;$D$2+56)*('S25'!$H$3:$H$600))),"")</f>
        <v>48264.86</v>
      </c>
      <c r="E79" s="14"/>
      <c r="F79" s="14"/>
      <c r="G79" s="14"/>
      <c r="H79" s="14"/>
      <c r="I79" s="14" t="str">
        <f>IFERROR(IF(SUMPRODUCT(('S25'!$K$3:$K$600&gt;=$D$2+49)*('S25'!$K$3:$K$600&lt;$D$2+56)*('S25'!$H$3:$H$600))=0,"",SUMPRODUCT(('S25'!$K$3:$K$600&gt;=$D$2+49)*('S25'!$K$3:$K$600&lt;$D$2+56)*('S25'!$H$3:$H$600))),"")</f>
        <v/>
      </c>
      <c r="J79" s="14"/>
      <c r="K79" s="15"/>
    </row>
    <row r="80">
      <c r="A80" s="48">
        <v>45733.0</v>
      </c>
      <c r="B80" s="11"/>
      <c r="C80" s="11"/>
      <c r="D80" s="11">
        <f>IFERROR(IF(SUM('S24'!$H:$H)+SUM('F24'!$H:$H)+SUMPRODUCT(('S25'!$K$3:$K$600&gt;=$D$2+0)*('S25'!$K$3:$K$600&lt;$D$2+63)*('S25'!$H$3:$H$600))=0,"",SUM('S24'!$H:$H)+SUM('F24'!$H:$H)+SUMPRODUCT(('S25'!$K$3:$K$600&gt;=$D$2+0)*('S25'!$K$3:$K$600&lt;$D$2+63)*('S25'!$H$3:$H$600))),"")</f>
        <v>50665.86</v>
      </c>
      <c r="E80" s="11"/>
      <c r="F80" s="11"/>
      <c r="G80" s="11"/>
      <c r="H80" s="11"/>
      <c r="I80" s="11">
        <f>IFERROR(IF(SUMPRODUCT(('S25'!$K$3:$K$600&gt;=$D$2+56)*('S25'!$K$3:$K$600&lt;$D$2+63)*('S25'!$H$3:$H$600))=0,"",SUMPRODUCT(('S25'!$K$3:$K$600&gt;=$D$2+56)*('S25'!$K$3:$K$600&lt;$D$2+63)*('S25'!$H$3:$H$600))),"")</f>
        <v>2401</v>
      </c>
      <c r="J80" s="11"/>
      <c r="K80" s="12"/>
    </row>
    <row r="81">
      <c r="A81" s="49">
        <v>45740.0</v>
      </c>
      <c r="B81" s="14"/>
      <c r="C81" s="14"/>
      <c r="D81" s="14">
        <f>IFERROR(IF(SUM('S24'!$H:$H)+SUM('F24'!$H:$H)+SUMPRODUCT(('S25'!$K$3:$K$600&gt;=$D$2+0)*('S25'!$K$3:$K$600&lt;$D$2+70)*('S25'!$H$3:$H$600))=0,"",SUM('S24'!$H:$H)+SUM('F24'!$H:$H)+SUMPRODUCT(('S25'!$K$3:$K$600&gt;=$D$2+0)*('S25'!$K$3:$K$600&lt;$D$2+70)*('S25'!$H$3:$H$600))),"")</f>
        <v>52846.86</v>
      </c>
      <c r="E81" s="14"/>
      <c r="F81" s="14"/>
      <c r="G81" s="14"/>
      <c r="H81" s="14"/>
      <c r="I81" s="14">
        <f>IFERROR(IF(SUMPRODUCT(('S25'!$K$3:$K$600&gt;=$D$2+63)*('S25'!$K$3:$K$600&lt;$D$2+70)*('S25'!$H$3:$H$600))=0,"",SUMPRODUCT(('S25'!$K$3:$K$600&gt;=$D$2+63)*('S25'!$K$3:$K$600&lt;$D$2+70)*('S25'!$H$3:$H$600))),"")</f>
        <v>2181</v>
      </c>
      <c r="J81" s="14"/>
      <c r="K81" s="15"/>
    </row>
    <row r="82">
      <c r="A82" s="48">
        <v>45747.0</v>
      </c>
      <c r="B82" s="11"/>
      <c r="C82" s="11"/>
      <c r="D82" s="11">
        <f>IFERROR(IF(SUM('S24'!$H:$H)+SUM('F24'!$H:$H)+SUMPRODUCT(('S25'!$K$3:$K$600&gt;=$D$2+0)*('S25'!$K$3:$K$600&lt;$D$2+77)*('S25'!$H$3:$H$600))=0,"",SUM('S24'!$H:$H)+SUM('F24'!$H:$H)+SUMPRODUCT(('S25'!$K$3:$K$600&gt;=$D$2+0)*('S25'!$K$3:$K$600&lt;$D$2+77)*('S25'!$H$3:$H$600))),"")</f>
        <v>54980.86</v>
      </c>
      <c r="E82" s="11"/>
      <c r="F82" s="11"/>
      <c r="G82" s="11"/>
      <c r="H82" s="11"/>
      <c r="I82" s="11">
        <f>IFERROR(IF(SUMPRODUCT(('S25'!$K$3:$K$600&gt;=$D$2+70)*('S25'!$K$3:$K$600&lt;$D$2+77)*('S25'!$H$3:$H$600))=0,"",SUMPRODUCT(('S25'!$K$3:$K$600&gt;=$D$2+70)*('S25'!$K$3:$K$600&lt;$D$2+77)*('S25'!$H$3:$H$600))),"")</f>
        <v>2134</v>
      </c>
      <c r="J82" s="11"/>
      <c r="K82" s="12"/>
    </row>
    <row r="83">
      <c r="A83" s="49">
        <v>45754.0</v>
      </c>
      <c r="B83" s="14"/>
      <c r="C83" s="14"/>
      <c r="D83" s="14">
        <f>IFERROR(IF(SUM('S24'!$H:$H)+SUM('F24'!$H:$H)+SUMPRODUCT(('S25'!$K$3:$K$600&gt;=$D$2+0)*('S25'!$K$3:$K$600&lt;$D$2+84)*('S25'!$H$3:$H$600))=0,"",SUM('S24'!$H:$H)+SUM('F24'!$H:$H)+SUMPRODUCT(('S25'!$K$3:$K$600&gt;=$D$2+0)*('S25'!$K$3:$K$600&lt;$D$2+84)*('S25'!$H$3:$H$600))),"")</f>
        <v>57369.86</v>
      </c>
      <c r="E83" s="14"/>
      <c r="F83" s="14"/>
      <c r="G83" s="14"/>
      <c r="H83" s="14"/>
      <c r="I83" s="14">
        <f>IFERROR(IF(SUMPRODUCT(('S25'!$K$3:$K$600&gt;=$D$2+77)*('S25'!$K$3:$K$600&lt;$D$2+84)*('S25'!$H$3:$H$600))=0,"",SUMPRODUCT(('S25'!$K$3:$K$600&gt;=$D$2+77)*('S25'!$K$3:$K$600&lt;$D$2+84)*('S25'!$H$3:$H$600))),"")</f>
        <v>2389</v>
      </c>
      <c r="J83" s="14"/>
      <c r="K83" s="15"/>
    </row>
    <row r="84">
      <c r="A84" s="48">
        <v>45761.0</v>
      </c>
      <c r="B84" s="11"/>
      <c r="C84" s="11"/>
      <c r="D84" s="11">
        <f>IFERROR(IF(SUM('S24'!$H:$H)+SUM('F24'!$H:$H)+SUMPRODUCT(('S25'!$K$3:$K$600&gt;=$D$2+0)*('S25'!$K$3:$K$600&lt;$D$2+91)*('S25'!$H$3:$H$600))=0,"",SUM('S24'!$H:$H)+SUM('F24'!$H:$H)+SUMPRODUCT(('S25'!$K$3:$K$600&gt;=$D$2+0)*('S25'!$K$3:$K$600&lt;$D$2+91)*('S25'!$H$3:$H$600))),"")</f>
        <v>60016.86</v>
      </c>
      <c r="E84" s="11"/>
      <c r="F84" s="11"/>
      <c r="G84" s="11"/>
      <c r="H84" s="11"/>
      <c r="I84" s="11">
        <f>IFERROR(IF(SUMPRODUCT(('S25'!$K$3:$K$600&gt;=$D$2+84)*('S25'!$K$3:$K$600&lt;$D$2+91)*('S25'!$H$3:$H$600))=0,"",SUMPRODUCT(('S25'!$K$3:$K$600&gt;=$D$2+84)*('S25'!$K$3:$K$600&lt;$D$2+91)*('S25'!$H$3:$H$600))),"")</f>
        <v>2647</v>
      </c>
      <c r="J84" s="11"/>
      <c r="K84" s="12"/>
    </row>
    <row r="85">
      <c r="A85" s="49">
        <v>45768.0</v>
      </c>
      <c r="B85" s="14"/>
      <c r="C85" s="14"/>
      <c r="D85" s="14">
        <f>IFERROR(IF(SUM('S24'!$H:$H)+SUM('F24'!$H:$H)+SUMPRODUCT(('S25'!$K$3:$K$600&gt;=$D$2+0)*('S25'!$K$3:$K$600&lt;$D$2+98)*('S25'!$H$3:$H$600))=0,"",SUM('S24'!$H:$H)+SUM('F24'!$H:$H)+SUMPRODUCT(('S25'!$K$3:$K$600&gt;=$D$2+0)*('S25'!$K$3:$K$600&lt;$D$2+98)*('S25'!$H$3:$H$600))),"")</f>
        <v>62716.86</v>
      </c>
      <c r="E85" s="14"/>
      <c r="F85" s="14"/>
      <c r="G85" s="14"/>
      <c r="H85" s="14"/>
      <c r="I85" s="14">
        <f>IFERROR(IF(SUMPRODUCT(('S25'!$K$3:$K$600&gt;=$D$2+91)*('S25'!$K$3:$K$600&lt;$D$2+98)*('S25'!$H$3:$H$600))=0,"",SUMPRODUCT(('S25'!$K$3:$K$600&gt;=$D$2+91)*('S25'!$K$3:$K$600&lt;$D$2+98)*('S25'!$H$3:$H$600))),"")</f>
        <v>2700</v>
      </c>
      <c r="J85" s="14"/>
      <c r="K85" s="15"/>
    </row>
    <row r="86">
      <c r="A86" s="48">
        <v>45908.0</v>
      </c>
      <c r="B86" s="11"/>
      <c r="C86" s="11"/>
      <c r="D86" s="11"/>
      <c r="E86" s="11">
        <f>IFERROR(IF(SUM('S24'!$H:$H)+SUM('F24'!$H:$H)+SUM('S25'!$H:$H)+SUMPRODUCT(('F25'!$K$3:$K$600&gt;=$E$2+0)*('F25'!$K$3:$K$600&lt;$E$2+7)*('F25'!$H$3:$H$600))=0,"",SUM('S24'!$H:$H)+SUM('F24'!$H:$H)+SUM('S25'!$H:$H)+SUMPRODUCT(('F25'!$K$3:$K$600&gt;=$E$2+0)*('F25'!$K$3:$K$600&lt;$E$2+7)*('F25'!$H$3:$H$600))),"")</f>
        <v>66605.86</v>
      </c>
      <c r="F86" s="11"/>
      <c r="G86" s="11"/>
      <c r="H86" s="11"/>
      <c r="I86" s="11"/>
      <c r="J86" s="11">
        <f>IFERROR(IF(SUMPRODUCT(('F25'!$K$3:$K$600&gt;=$E$2+0)*('F25'!$K$3:$K$600&lt;$E$2+7)*('F25'!$H$3:$H$600))=0,"",SUMPRODUCT(('F25'!$K$3:$K$600&gt;=$E$2+0)*('F25'!$K$3:$K$600&lt;$E$2+7)*('F25'!$H$3:$H$600))),"")</f>
        <v>2036</v>
      </c>
      <c r="K86" s="12"/>
    </row>
    <row r="87">
      <c r="A87" s="49">
        <v>45915.0</v>
      </c>
      <c r="B87" s="14"/>
      <c r="C87" s="14"/>
      <c r="D87" s="14"/>
      <c r="E87" s="14">
        <f>IFERROR(IF(SUM('S24'!$H:$H)+SUM('F24'!$H:$H)+SUM('S25'!$H:$H)+SUMPRODUCT(('F25'!$K$3:$K$600&gt;=$E$2+0)*('F25'!$K$3:$K$600&lt;$E$2+14)*('F25'!$H$3:$H$600))=0,"",SUM('S24'!$H:$H)+SUM('F24'!$H:$H)+SUM('S25'!$H:$H)+SUMPRODUCT(('F25'!$K$3:$K$600&gt;=$E$2+0)*('F25'!$K$3:$K$600&lt;$E$2+14)*('F25'!$H$3:$H$600))),"")</f>
        <v>69126.86</v>
      </c>
      <c r="F87" s="14"/>
      <c r="G87" s="14"/>
      <c r="H87" s="14"/>
      <c r="I87" s="14"/>
      <c r="J87" s="14">
        <f>IFERROR(IF(SUMPRODUCT(('F25'!$K$3:$K$600&gt;=$E$2+7)*('F25'!$K$3:$K$600&lt;$E$2+14)*('F25'!$H$3:$H$600))=0,"",SUMPRODUCT(('F25'!$K$3:$K$600&gt;=$E$2+7)*('F25'!$K$3:$K$600&lt;$E$2+14)*('F25'!$H$3:$H$600))),"")</f>
        <v>2521</v>
      </c>
      <c r="K87" s="15"/>
    </row>
    <row r="88">
      <c r="A88" s="48">
        <v>45922.0</v>
      </c>
      <c r="B88" s="11"/>
      <c r="C88" s="11"/>
      <c r="D88" s="11"/>
      <c r="E88" s="11">
        <f>IFERROR(IF(SUM('S24'!$H:$H)+SUM('F24'!$H:$H)+SUM('S25'!$H:$H)+SUMPRODUCT(('F25'!$K$3:$K$600&gt;=$E$2+0)*('F25'!$K$3:$K$600&lt;$E$2+21)*('F25'!$H$3:$H$600))=0,"",SUM('S24'!$H:$H)+SUM('F24'!$H:$H)+SUM('S25'!$H:$H)+SUMPRODUCT(('F25'!$K$3:$K$600&gt;=$E$2+0)*('F25'!$K$3:$K$600&lt;$E$2+21)*('F25'!$H$3:$H$600))),"")</f>
        <v>71933.86</v>
      </c>
      <c r="F88" s="11"/>
      <c r="G88" s="11"/>
      <c r="H88" s="11"/>
      <c r="I88" s="11"/>
      <c r="J88" s="11">
        <f>IFERROR(IF(SUMPRODUCT(('F25'!$K$3:$K$600&gt;=$E$2+14)*('F25'!$K$3:$K$600&lt;$E$2+21)*('F25'!$H$3:$H$600))=0,"",SUMPRODUCT(('F25'!$K$3:$K$600&gt;=$E$2+14)*('F25'!$K$3:$K$600&lt;$E$2+21)*('F25'!$H$3:$H$600))),"")</f>
        <v>2807</v>
      </c>
      <c r="K88" s="12"/>
    </row>
    <row r="89">
      <c r="A89" s="49">
        <v>45929.0</v>
      </c>
      <c r="B89" s="14"/>
      <c r="C89" s="14"/>
      <c r="D89" s="14"/>
      <c r="E89" s="14">
        <f>IFERROR(IF(SUM('S24'!$H:$H)+SUM('F24'!$H:$H)+SUM('S25'!$H:$H)+SUMPRODUCT(('F25'!$K$3:$K$600&gt;=$E$2+0)*('F25'!$K$3:$K$600&lt;$E$2+28)*('F25'!$H$3:$H$600))=0,"",SUM('S24'!$H:$H)+SUM('F24'!$H:$H)+SUM('S25'!$H:$H)+SUMPRODUCT(('F25'!$K$3:$K$600&gt;=$E$2+0)*('F25'!$K$3:$K$600&lt;$E$2+28)*('F25'!$H$3:$H$600))),"")</f>
        <v>74570.86</v>
      </c>
      <c r="F89" s="14"/>
      <c r="G89" s="14"/>
      <c r="H89" s="14"/>
      <c r="I89" s="14"/>
      <c r="J89" s="14">
        <f>IFERROR(IF(SUMPRODUCT(('F25'!$K$3:$K$600&gt;=$E$2+21)*('F25'!$K$3:$K$600&lt;$E$2+28)*('F25'!$H$3:$H$600))=0,"",SUMPRODUCT(('F25'!$K$3:$K$600&gt;=$E$2+21)*('F25'!$K$3:$K$600&lt;$E$2+28)*('F25'!$H$3:$H$600))),"")</f>
        <v>2637</v>
      </c>
      <c r="K89" s="15"/>
    </row>
    <row r="90">
      <c r="A90" s="48">
        <v>45936.0</v>
      </c>
      <c r="B90" s="11"/>
      <c r="C90" s="11"/>
      <c r="D90" s="11"/>
      <c r="E90" s="11">
        <f>IFERROR(IF(SUM('S24'!$H:$H)+SUM('F24'!$H:$H)+SUM('S25'!$H:$H)+SUMPRODUCT(('F25'!$K$3:$K$600&gt;=$E$2+0)*('F25'!$K$3:$K$600&lt;$E$2+35)*('F25'!$H$3:$H$600))=0,"",SUM('S24'!$H:$H)+SUM('F24'!$H:$H)+SUM('S25'!$H:$H)+SUMPRODUCT(('F25'!$K$3:$K$600&gt;=$E$2+0)*('F25'!$K$3:$K$600&lt;$E$2+35)*('F25'!$H$3:$H$600))),"")</f>
        <v>76768.86</v>
      </c>
      <c r="F90" s="11"/>
      <c r="G90" s="11"/>
      <c r="H90" s="11"/>
      <c r="I90" s="11"/>
      <c r="J90" s="11">
        <f>IFERROR(IF(SUMPRODUCT(('F25'!$K$3:$K$600&gt;=$E$2+28)*('F25'!$K$3:$K$600&lt;$E$2+35)*('F25'!$H$3:$H$600))=0,"",SUMPRODUCT(('F25'!$K$3:$K$600&gt;=$E$2+28)*('F25'!$K$3:$K$600&lt;$E$2+35)*('F25'!$H$3:$H$600))),"")</f>
        <v>2198</v>
      </c>
      <c r="K90" s="12"/>
    </row>
    <row r="91">
      <c r="A91" s="49">
        <v>45943.0</v>
      </c>
      <c r="B91" s="14"/>
      <c r="C91" s="14"/>
      <c r="D91" s="14"/>
      <c r="E91" s="14">
        <f>IFERROR(IF(SUM('S24'!$H:$H)+SUM('F24'!$H:$H)+SUM('S25'!$H:$H)+SUMPRODUCT(('F25'!$K$3:$K$600&gt;=$E$2+0)*('F25'!$K$3:$K$600&lt;$E$2+42)*('F25'!$H$3:$H$600))=0,"",SUM('S24'!$H:$H)+SUM('F24'!$H:$H)+SUM('S25'!$H:$H)+SUMPRODUCT(('F25'!$K$3:$K$600&gt;=$E$2+0)*('F25'!$K$3:$K$600&lt;$E$2+42)*('F25'!$H$3:$H$600))),"")</f>
        <v>78628.86</v>
      </c>
      <c r="F91" s="14"/>
      <c r="G91" s="14"/>
      <c r="H91" s="14"/>
      <c r="I91" s="14"/>
      <c r="J91" s="14">
        <f>IFERROR(IF(SUMPRODUCT(('F25'!$K$3:$K$600&gt;=$E$2+35)*('F25'!$K$3:$K$600&lt;$E$2+42)*('F25'!$H$3:$H$600))=0,"",SUMPRODUCT(('F25'!$K$3:$K$600&gt;=$E$2+35)*('F25'!$K$3:$K$600&lt;$E$2+42)*('F25'!$H$3:$H$600))),"")</f>
        <v>1860</v>
      </c>
      <c r="K91" s="15"/>
    </row>
    <row r="92">
      <c r="A92" s="48">
        <v>45950.0</v>
      </c>
      <c r="B92" s="11"/>
      <c r="C92" s="11"/>
      <c r="D92" s="11"/>
      <c r="E92" s="11">
        <f>IFERROR(IF(SUM('S24'!$H:$H)+SUM('F24'!$H:$H)+SUM('S25'!$H:$H)+SUMPRODUCT(('F25'!$K$3:$K$600&gt;=$E$2+0)*('F25'!$K$3:$K$600&lt;$E$2+49)*('F25'!$H$3:$H$600))=0,"",SUM('S24'!$H:$H)+SUM('F24'!$H:$H)+SUM('S25'!$H:$H)+SUMPRODUCT(('F25'!$K$3:$K$600&gt;=$E$2+0)*('F25'!$K$3:$K$600&lt;$E$2+49)*('F25'!$H$3:$H$600))),"")</f>
        <v>81480.86</v>
      </c>
      <c r="F92" s="11"/>
      <c r="G92" s="11"/>
      <c r="H92" s="11"/>
      <c r="I92" s="11"/>
      <c r="J92" s="11">
        <f>IFERROR(IF(SUMPRODUCT(('F25'!$K$3:$K$600&gt;=$E$2+42)*('F25'!$K$3:$K$600&lt;$E$2+49)*('F25'!$H$3:$H$600))=0,"",SUMPRODUCT(('F25'!$K$3:$K$600&gt;=$E$2+42)*('F25'!$K$3:$K$600&lt;$E$2+49)*('F25'!$H$3:$H$600))),"")</f>
        <v>2852</v>
      </c>
      <c r="K92" s="12"/>
    </row>
    <row r="93">
      <c r="A93" s="49">
        <v>45957.0</v>
      </c>
      <c r="B93" s="14"/>
      <c r="C93" s="14"/>
      <c r="D93" s="14"/>
      <c r="E93" s="14">
        <f>IFERROR(IF(SUM('S24'!$H:$H)+SUM('F24'!$H:$H)+SUM('S25'!$H:$H)+SUMPRODUCT(('F25'!$K$3:$K$600&gt;=$E$2+0)*('F25'!$K$3:$K$600&lt;$E$2+56)*('F25'!$H$3:$H$600))=0,"",SUM('S24'!$H:$H)+SUM('F24'!$H:$H)+SUM('S25'!$H:$H)+SUMPRODUCT(('F25'!$K$3:$K$600&gt;=$E$2+0)*('F25'!$K$3:$K$600&lt;$E$2+56)*('F25'!$H$3:$H$600))),"")</f>
        <v>84558.86</v>
      </c>
      <c r="F93" s="14"/>
      <c r="G93" s="14"/>
      <c r="H93" s="14"/>
      <c r="I93" s="14"/>
      <c r="J93" s="14">
        <f>IFERROR(IF(SUMPRODUCT(('F25'!$K$3:$K$600&gt;=$E$2+49)*('F25'!$K$3:$K$600&lt;$E$2+56)*('F25'!$H$3:$H$600))=0,"",SUMPRODUCT(('F25'!$K$3:$K$600&gt;=$E$2+49)*('F25'!$K$3:$K$600&lt;$E$2+56)*('F25'!$H$3:$H$600))),"")</f>
        <v>3078</v>
      </c>
      <c r="K93" s="15"/>
    </row>
    <row r="94">
      <c r="A94" s="48">
        <v>45958.0</v>
      </c>
      <c r="B94" s="11"/>
      <c r="C94" s="11"/>
      <c r="D94" s="11"/>
      <c r="E94" s="11">
        <f>IFERROR(IF(SUM('S24'!$H:$H)+SUM('F24'!$H:$H)+SUM('S25'!$H:$H)+SUMPRODUCT(('F25'!$K$3:$K$600&gt;=$E$2+0)*('F25'!$K$3:$K$600&lt;$E$2+63)*('F25'!$H$3:$H$600))=0,"",SUM('S24'!$H:$H)+SUM('F24'!$H:$H)+SUM('S25'!$H:$H)+SUMPRODUCT(('F25'!$K$3:$K$600&gt;=$E$2+0)*('F25'!$K$3:$K$600&lt;$E$2+63)*('F25'!$H$3:$H$600))),"")</f>
        <v>87498.86</v>
      </c>
      <c r="F94" s="11"/>
      <c r="G94" s="11"/>
      <c r="H94" s="11"/>
      <c r="I94" s="11"/>
      <c r="J94" s="11">
        <f>IFERROR(IF(SUMPRODUCT(('F25'!$K$3:$K$600&gt;=$E$2+56)*('F25'!$K$3:$K$600&lt;$E$2+63)*('F25'!$H$3:$H$600))=0,"",SUMPRODUCT(('F25'!$K$3:$K$600&gt;=$E$2+56)*('F25'!$K$3:$K$600&lt;$E$2+63)*('F25'!$H$3:$H$600))),"")</f>
        <v>2940</v>
      </c>
      <c r="K94" s="12"/>
    </row>
    <row r="95">
      <c r="A95" s="49">
        <v>45964.0</v>
      </c>
      <c r="B95" s="14"/>
      <c r="C95" s="14"/>
      <c r="D95" s="14"/>
      <c r="E95" s="14">
        <f>IFERROR(IF(SUM('S24'!$H:$H)+SUM('F24'!$H:$H)+SUM('S25'!$H:$H)+SUMPRODUCT(('F25'!$K$3:$K$600&gt;=$E$2+0)*('F25'!$K$3:$K$600&lt;$E$2+70)*('F25'!$H$3:$H$600))=0,"",SUM('S24'!$H:$H)+SUM('F24'!$H:$H)+SUM('S25'!$H:$H)+SUMPRODUCT(('F25'!$K$3:$K$600&gt;=$E$2+0)*('F25'!$K$3:$K$600&lt;$E$2+70)*('F25'!$H$3:$H$600))),"")</f>
        <v>89966.86</v>
      </c>
      <c r="F95" s="14"/>
      <c r="G95" s="14"/>
      <c r="H95" s="14"/>
      <c r="I95" s="14"/>
      <c r="J95" s="14">
        <f>IFERROR(IF(SUMPRODUCT(('F25'!$K$3:$K$600&gt;=$E$2+63)*('F25'!$K$3:$K$600&lt;$E$2+70)*('F25'!$H$3:$H$600))=0,"",SUMPRODUCT(('F25'!$K$3:$K$600&gt;=$E$2+63)*('F25'!$K$3:$K$600&lt;$E$2+70)*('F25'!$H$3:$H$600))),"")</f>
        <v>2468</v>
      </c>
      <c r="K95" s="15"/>
    </row>
    <row r="96">
      <c r="A96" s="48">
        <v>45971.0</v>
      </c>
      <c r="B96" s="11"/>
      <c r="C96" s="11"/>
      <c r="D96" s="11"/>
      <c r="E96" s="11">
        <f>IFERROR(IF(SUM('S24'!$H:$H)+SUM('F24'!$H:$H)+SUM('S25'!$H:$H)+SUMPRODUCT(('F25'!$K$3:$K$600&gt;=$E$2+0)*('F25'!$K$3:$K$600&lt;$E$2+77)*('F25'!$H$3:$H$600))=0,"",SUM('S24'!$H:$H)+SUM('F24'!$H:$H)+SUM('S25'!$H:$H)+SUMPRODUCT(('F25'!$K$3:$K$600&gt;=$E$2+0)*('F25'!$K$3:$K$600&lt;$E$2+77)*('F25'!$H$3:$H$600))),"")</f>
        <v>93162.86</v>
      </c>
      <c r="F96" s="11"/>
      <c r="G96" s="11"/>
      <c r="H96" s="11"/>
      <c r="I96" s="11"/>
      <c r="J96" s="11">
        <f>IFERROR(IF(SUMPRODUCT(('F25'!$K$3:$K$600&gt;=$E$2+70)*('F25'!$K$3:$K$600&lt;$E$2+77)*('F25'!$H$3:$H$600))=0,"",SUMPRODUCT(('F25'!$K$3:$K$600&gt;=$E$2+70)*('F25'!$K$3:$K$600&lt;$E$2+77)*('F25'!$H$3:$H$600))),"")</f>
        <v>3196</v>
      </c>
      <c r="K96" s="12"/>
    </row>
    <row r="97">
      <c r="A97" s="49">
        <v>45978.0</v>
      </c>
      <c r="B97" s="14"/>
      <c r="C97" s="14"/>
      <c r="D97" s="14"/>
      <c r="E97" s="14">
        <f>IFERROR(IF(SUM('S24'!$H:$H)+SUM('F24'!$H:$H)+SUM('S25'!$H:$H)+SUMPRODUCT(('F25'!$K$3:$K$600&gt;=$E$2+0)*('F25'!$K$3:$K$600&lt;$E$2+84)*('F25'!$H$3:$H$600))=0,"",SUM('S24'!$H:$H)+SUM('F24'!$H:$H)+SUM('S25'!$H:$H)+SUMPRODUCT(('F25'!$K$3:$K$600&gt;=$E$2+0)*('F25'!$K$3:$K$600&lt;$E$2+84)*('F25'!$H$3:$H$600))),"")</f>
        <v>93836.86</v>
      </c>
      <c r="F97" s="14"/>
      <c r="G97" s="14"/>
      <c r="H97" s="14"/>
      <c r="I97" s="14"/>
      <c r="J97" s="14">
        <f>IFERROR(IF(SUMPRODUCT(('F25'!$K$3:$K$600&gt;=$E$2+77)*('F25'!$K$3:$K$600&lt;$E$2+84)*('F25'!$H$3:$H$600))=0,"",SUMPRODUCT(('F25'!$K$3:$K$600&gt;=$E$2+77)*('F25'!$K$3:$K$600&lt;$E$2+84)*('F25'!$H$3:$H$600))),"")</f>
        <v>674</v>
      </c>
      <c r="K97" s="15"/>
    </row>
    <row r="98">
      <c r="A98" s="48">
        <v>45985.0</v>
      </c>
      <c r="B98" s="11"/>
      <c r="C98" s="11"/>
      <c r="D98" s="11"/>
      <c r="E98" s="11">
        <f>IFERROR(IF(SUM('S24'!$H:$H)+SUM('F24'!$H:$H)+SUM('S25'!$H:$H)+SUMPRODUCT(('F25'!$K$3:$K$600&gt;=$E$2+0)*('F25'!$K$3:$K$600&lt;$E$2+91)*('F25'!$H$3:$H$600))=0,"",SUM('S24'!$H:$H)+SUM('F24'!$H:$H)+SUM('S25'!$H:$H)+SUMPRODUCT(('F25'!$K$3:$K$600&gt;=$E$2+0)*('F25'!$K$3:$K$600&lt;$E$2+91)*('F25'!$H$3:$H$600))),"")</f>
        <v>96537.86</v>
      </c>
      <c r="F98" s="11"/>
      <c r="G98" s="11"/>
      <c r="H98" s="11"/>
      <c r="I98" s="11"/>
      <c r="J98" s="11">
        <f>IFERROR(IF(SUMPRODUCT(('F25'!$K$3:$K$600&gt;=$E$2+84)*('F25'!$K$3:$K$600&lt;$E$2+91)*('F25'!$H$3:$H$600))=0,"",SUMPRODUCT(('F25'!$K$3:$K$600&gt;=$E$2+84)*('F25'!$K$3:$K$600&lt;$E$2+91)*('F25'!$H$3:$H$600))),"")</f>
        <v>2701</v>
      </c>
      <c r="K98" s="12"/>
    </row>
    <row r="99">
      <c r="A99" s="49">
        <v>45992.0</v>
      </c>
      <c r="B99" s="14"/>
      <c r="C99" s="14"/>
      <c r="D99" s="14"/>
      <c r="E99" s="14">
        <f>IFERROR(IF(SUM('S24'!$H:$H)+SUM('F24'!$H:$H)+SUM('S25'!$H:$H)+SUMPRODUCT(('F25'!$K$3:$K$600&gt;=$E$2+0)*('F25'!$K$3:$K$600&lt;$E$2+98)*('F25'!$H$3:$H$600))=0,"",SUM('S24'!$H:$H)+SUM('F24'!$H:$H)+SUM('S25'!$H:$H)+SUMPRODUCT(('F25'!$K$3:$K$600&gt;=$E$2+0)*('F25'!$K$3:$K$600&lt;$E$2+98)*('F25'!$H$3:$H$600))),"")</f>
        <v>98006.86</v>
      </c>
      <c r="F99" s="14"/>
      <c r="G99" s="14"/>
      <c r="H99" s="14"/>
      <c r="I99" s="14"/>
      <c r="J99" s="14">
        <f>IFERROR(IF(SUMPRODUCT(('F25'!$K$3:$K$600&gt;=$E$2+91)*('F25'!$K$3:$K$600&lt;$E$2+98)*('F25'!$H$3:$H$600))=0,"",SUMPRODUCT(('F25'!$K$3:$K$600&gt;=$E$2+91)*('F25'!$K$3:$K$600&lt;$E$2+98)*('F25'!$H$3:$H$600))),"")</f>
        <v>1469</v>
      </c>
      <c r="K99" s="15"/>
    </row>
    <row r="100">
      <c r="A100" s="48">
        <v>46041.0</v>
      </c>
      <c r="B100" s="11"/>
      <c r="C100" s="11"/>
      <c r="D100" s="11"/>
      <c r="E100" s="11"/>
      <c r="F100" s="11">
        <f>IFERROR(IF(SUM('S24'!$H:$H)+SUM('F24'!$H:$H)+SUM('S25'!$H:$H)+SUM('F25'!$H:$H)+SUMPRODUCT(('S26'!$K$3:$K$2800&gt;=$F$2+0)*('S26'!$K$3:$K$2800&lt;$F$2+7)*('S26'!$H$3:$H$2800))=0,"",SUM('S24'!$H:$H)+SUM('F24'!$H:$H)+SUM('S25'!$H:$H)+SUM('F25'!$H:$H)+SUMPRODUCT(('S26'!$K$3:$K$2800&gt;=$F$2+0)*('S26'!$K$3:$K$2800&lt;$F$2+7)*('S26'!$H$3:$H$2800))),"")</f>
        <v>98496.86</v>
      </c>
      <c r="G100" s="11"/>
      <c r="H100" s="11"/>
      <c r="I100" s="11"/>
      <c r="J100" s="11"/>
      <c r="K100" s="12">
        <f>IFERROR(IF(SUMPRODUCT(('S26'!$K$3:$K$2800&gt;=$F$2+0)*('S26'!$K$3:$K$2800&lt;$F$2+7)*('S26'!$H$3:$H$2800))=0,"",SUMPRODUCT(('S26'!$K$3:$K$2800&gt;=$F$2+0)*('S26'!$K$3:$K$2800&lt;$F$2+7)*('S26'!$H$3:$H$2800))),"")</f>
        <v>490</v>
      </c>
    </row>
    <row r="101">
      <c r="A101" s="49">
        <v>46048.0</v>
      </c>
      <c r="B101" s="14"/>
      <c r="C101" s="14"/>
      <c r="D101" s="14"/>
      <c r="E101" s="14"/>
      <c r="F101" s="14">
        <f>IFERROR(IF(SUM('S24'!$H:$H)+SUM('F24'!$H:$H)+SUM('S25'!$H:$H)+SUM('F25'!$H:$H)+SUMPRODUCT(('S26'!$K$3:$K$2800&gt;=$F$2+0)*('S26'!$K$3:$K$2800&lt;$F$2+14)*('S26'!$H$3:$H$2800))=0,"",SUM('S24'!$H:$H)+SUM('F24'!$H:$H)+SUM('S25'!$H:$H)+SUM('F25'!$H:$H)+SUMPRODUCT(('S26'!$K$3:$K$2800&gt;=$F$2+0)*('S26'!$K$3:$K$2800&lt;$F$2+14)*('S26'!$H$3:$H$2800))),"")</f>
        <v>99850.86</v>
      </c>
      <c r="G101" s="14"/>
      <c r="H101" s="14"/>
      <c r="I101" s="14"/>
      <c r="J101" s="14"/>
      <c r="K101" s="15">
        <f>IFERROR(IF(SUMPRODUCT(('S26'!$K$3:$K$2800&gt;=$F$2+7)*('S26'!$K$3:$K$2800&lt;$F$2+14)*('S26'!$H$3:$H$2800))=0,"",SUMPRODUCT(('S26'!$K$3:$K$2800&gt;=$F$2+7)*('S26'!$K$3:$K$2800&lt;$F$2+14)*('S26'!$H$3:$H$2800))),"")</f>
        <v>1354</v>
      </c>
    </row>
    <row r="102">
      <c r="A102" s="48">
        <v>46055.0</v>
      </c>
      <c r="B102" s="11"/>
      <c r="C102" s="11"/>
      <c r="D102" s="11"/>
      <c r="E102" s="11"/>
      <c r="F102" s="11">
        <f>IFERROR(IF(SUM('S24'!$H:$H)+SUM('F24'!$H:$H)+SUM('S25'!$H:$H)+SUM('F25'!$H:$H)+SUMPRODUCT(('S26'!$K$3:$K$2800&gt;=$F$2+0)*('S26'!$K$3:$K$2800&lt;$F$2+21)*('S26'!$H$3:$H$2800))=0,"",SUM('S24'!$H:$H)+SUM('F24'!$H:$H)+SUM('S25'!$H:$H)+SUM('F25'!$H:$H)+SUMPRODUCT(('S26'!$K$3:$K$2800&gt;=$F$2+0)*('S26'!$K$3:$K$2800&lt;$F$2+21)*('S26'!$H$3:$H$2800))),"")</f>
        <v>103294.86</v>
      </c>
      <c r="G102" s="11"/>
      <c r="H102" s="11"/>
      <c r="I102" s="11"/>
      <c r="J102" s="11"/>
      <c r="K102" s="12">
        <f>IFERROR(IF(SUMPRODUCT(('S26'!$K$3:$K$2800&gt;=$F$2+14)*('S26'!$K$3:$K$2800&lt;$F$2+21)*('S26'!$H$3:$H$2800))=0,"",SUMPRODUCT(('S26'!$K$3:$K$2800&gt;=$F$2+14)*('S26'!$K$3:$K$2800&lt;$F$2+21)*('S26'!$H$3:$H$2800))),"")</f>
        <v>3444</v>
      </c>
    </row>
    <row r="103">
      <c r="A103" s="49">
        <v>46062.0</v>
      </c>
      <c r="B103" s="14"/>
      <c r="C103" s="14"/>
      <c r="D103" s="14"/>
      <c r="E103" s="14"/>
      <c r="F103" s="14">
        <f>IFERROR(IF(SUM('S24'!$H:$H)+SUM('F24'!$H:$H)+SUM('S25'!$H:$H)+SUM('F25'!$H:$H)+SUMPRODUCT(('S26'!$K$3:$K$2800&gt;=$F$2+0)*('S26'!$K$3:$K$2800&lt;$F$2+28)*('S26'!$H$3:$H$2800))=0,"",SUM('S24'!$H:$H)+SUM('F24'!$H:$H)+SUM('S25'!$H:$H)+SUM('F25'!$H:$H)+SUMPRODUCT(('S26'!$K$3:$K$2800&gt;=$F$2+0)*('S26'!$K$3:$K$2800&lt;$F$2+28)*('S26'!$H$3:$H$2800))),"")</f>
        <v>105895.86</v>
      </c>
      <c r="G103" s="14"/>
      <c r="H103" s="14"/>
      <c r="I103" s="14"/>
      <c r="J103" s="14"/>
      <c r="K103" s="15">
        <f>IFERROR(IF(SUMPRODUCT(('S26'!$K$3:$K$2800&gt;=$F$2+21)*('S26'!$K$3:$K$2800&lt;$F$2+28)*('S26'!$H$3:$H$2800))=0,"",SUMPRODUCT(('S26'!$K$3:$K$2800&gt;=$F$2+21)*('S26'!$K$3:$K$2800&lt;$F$2+28)*('S26'!$H$3:$H$2800))),"")</f>
        <v>2601</v>
      </c>
    </row>
    <row r="104">
      <c r="A104" s="48">
        <v>46069.0</v>
      </c>
      <c r="B104" s="11"/>
      <c r="C104" s="11"/>
      <c r="D104" s="11"/>
      <c r="E104" s="11"/>
      <c r="F104" s="11">
        <f>IFERROR(IF(SUM('S24'!$H:$H)+SUM('F24'!$H:$H)+SUM('S25'!$H:$H)+SUM('F25'!$H:$H)+SUMPRODUCT(('S26'!$K$3:$K$2800&gt;=$F$2+0)*('S26'!$K$3:$K$2800&lt;$F$2+35)*('S26'!$H$3:$H$2800))=0,"",SUM('S24'!$H:$H)+SUM('F24'!$H:$H)+SUM('S25'!$H:$H)+SUM('F25'!$H:$H)+SUMPRODUCT(('S26'!$K$3:$K$2800&gt;=$F$2+0)*('S26'!$K$3:$K$2800&lt;$F$2+35)*('S26'!$H$3:$H$2800))),"")</f>
        <v>108567.86</v>
      </c>
      <c r="G104" s="11"/>
      <c r="H104" s="11"/>
      <c r="I104" s="11"/>
      <c r="J104" s="11"/>
      <c r="K104" s="12">
        <f>IFERROR(IF(SUMPRODUCT(('S26'!$K$3:$K$2800&gt;=$F$2+28)*('S26'!$K$3:$K$2800&lt;$F$2+35)*('S26'!$H$3:$H$2800))=0,"",SUMPRODUCT(('S26'!$K$3:$K$2800&gt;=$F$2+28)*('S26'!$K$3:$K$2800&lt;$F$2+35)*('S26'!$H$3:$H$2800))),"")</f>
        <v>2672</v>
      </c>
    </row>
    <row r="105">
      <c r="A105" s="49">
        <v>46076.0</v>
      </c>
      <c r="B105" s="14"/>
      <c r="C105" s="14"/>
      <c r="D105" s="14"/>
      <c r="E105" s="14"/>
      <c r="F105" s="14">
        <f>IFERROR(IF(SUM('S24'!$H:$H)+SUM('F24'!$H:$H)+SUM('S25'!$H:$H)+SUM('F25'!$H:$H)+SUMPRODUCT(('S26'!$K$3:$K$2800&gt;=$F$2+0)*('S26'!$K$3:$K$2800&lt;$F$2+42)*('S26'!$H$3:$H$2800))=0,"",SUM('S24'!$H:$H)+SUM('F24'!$H:$H)+SUM('S25'!$H:$H)+SUM('F25'!$H:$H)+SUMPRODUCT(('S26'!$K$3:$K$2800&gt;=$F$2+0)*('S26'!$K$3:$K$2800&lt;$F$2+42)*('S26'!$H$3:$H$2800))),"")</f>
        <v>109183.86</v>
      </c>
      <c r="G105" s="14"/>
      <c r="H105" s="14"/>
      <c r="I105" s="14"/>
      <c r="J105" s="14"/>
      <c r="K105" s="15">
        <f>IFERROR(IF(SUMPRODUCT(('S26'!$K$3:$K$2800&gt;=$F$2+35)*('S26'!$K$3:$K$2800&lt;$F$2+42)*('S26'!$H$3:$H$2800))=0,"",SUMPRODUCT(('S26'!$K$3:$K$2800&gt;=$F$2+35)*('S26'!$K$3:$K$2800&lt;$F$2+42)*('S26'!$H$3:$H$2800))),"")</f>
        <v>616</v>
      </c>
    </row>
    <row r="106">
      <c r="A106" s="48">
        <v>46083.0</v>
      </c>
      <c r="B106" s="11"/>
      <c r="C106" s="11"/>
      <c r="D106" s="11"/>
      <c r="E106" s="11"/>
      <c r="F106" s="11">
        <f>IFERROR(IF(SUM('S24'!$H:$H)+SUM('F24'!$H:$H)+SUM('S25'!$H:$H)+SUM('F25'!$H:$H)+SUMPRODUCT(('S26'!$K$3:$K$2800&gt;=$F$2+0)*('S26'!$K$3:$K$2800&lt;$F$2+49)*('S26'!$H$3:$H$2800))=0,"",SUM('S24'!$H:$H)+SUM('F24'!$H:$H)+SUM('S25'!$H:$H)+SUM('F25'!$H:$H)+SUMPRODUCT(('S26'!$K$3:$K$2800&gt;=$F$2+0)*('S26'!$K$3:$K$2800&lt;$F$2+49)*('S26'!$H$3:$H$2800))),"")</f>
        <v>111810.86</v>
      </c>
      <c r="G106" s="11"/>
      <c r="H106" s="11"/>
      <c r="I106" s="11"/>
      <c r="J106" s="11"/>
      <c r="K106" s="12">
        <f>IFERROR(IF(SUMPRODUCT(('S26'!$K$3:$K$2800&gt;=$F$2+42)*('S26'!$K$3:$K$2800&lt;$F$2+49)*('S26'!$H$3:$H$2800))=0,"",SUMPRODUCT(('S26'!$K$3:$K$2800&gt;=$F$2+42)*('S26'!$K$3:$K$2800&lt;$F$2+49)*('S26'!$H$3:$H$2800))),"")</f>
        <v>2627</v>
      </c>
    </row>
    <row r="107">
      <c r="A107" s="49">
        <v>46090.0</v>
      </c>
      <c r="B107" s="14"/>
      <c r="C107" s="14"/>
      <c r="D107" s="14"/>
      <c r="E107" s="14"/>
      <c r="F107" s="14">
        <f>IFERROR(IF(SUM('S24'!$H:$H)+SUM('F24'!$H:$H)+SUM('S25'!$H:$H)+SUM('F25'!$H:$H)+SUMPRODUCT(('S26'!$K$3:$K$2800&gt;=$F$2+0)*('S26'!$K$3:$K$2800&lt;$F$2+56)*('S26'!$H$3:$H$2800))=0,"",SUM('S24'!$H:$H)+SUM('F24'!$H:$H)+SUM('S25'!$H:$H)+SUM('F25'!$H:$H)+SUMPRODUCT(('S26'!$K$3:$K$2800&gt;=$F$2+0)*('S26'!$K$3:$K$2800&lt;$F$2+56)*('S26'!$H$3:$H$2800))),"")</f>
        <v>114540.86</v>
      </c>
      <c r="G107" s="14"/>
      <c r="H107" s="14"/>
      <c r="I107" s="14"/>
      <c r="J107" s="14"/>
      <c r="K107" s="15">
        <f>IFERROR(IF(SUMPRODUCT(('S26'!$K$3:$K$2800&gt;=$F$2+49)*('S26'!$K$3:$K$2800&lt;$F$2+56)*('S26'!$H$3:$H$2800))=0,"",SUMPRODUCT(('S26'!$K$3:$K$2800&gt;=$F$2+49)*('S26'!$K$3:$K$2800&lt;$F$2+56)*('S26'!$H$3:$H$2800))),"")</f>
        <v>2730</v>
      </c>
    </row>
    <row r="108">
      <c r="A108" s="48">
        <v>46097.0</v>
      </c>
      <c r="B108" s="11"/>
      <c r="C108" s="11"/>
      <c r="D108" s="11"/>
      <c r="E108" s="11"/>
      <c r="F108" s="11">
        <f>IFERROR(IF(SUM('S24'!$H:$H)+SUM('F24'!$H:$H)+SUM('S25'!$H:$H)+SUM('F25'!$H:$H)+SUMPRODUCT(('S26'!$K$3:$K$2800&gt;=$F$2+0)*('S26'!$K$3:$K$2800&lt;$F$2+63)*('S26'!$H$3:$H$2800))=0,"",SUM('S24'!$H:$H)+SUM('F24'!$H:$H)+SUM('S25'!$H:$H)+SUM('F25'!$H:$H)+SUMPRODUCT(('S26'!$K$3:$K$2800&gt;=$F$2+0)*('S26'!$K$3:$K$2800&lt;$F$2+63)*('S26'!$H$3:$H$2800))),"")</f>
        <v>114540.86</v>
      </c>
      <c r="G108" s="11"/>
      <c r="H108" s="11"/>
      <c r="I108" s="11"/>
      <c r="J108" s="11"/>
      <c r="K108" s="12" t="str">
        <f>IFERROR(IF(SUMPRODUCT(('S26'!$K$3:$K$2800&gt;=$F$2+56)*('S26'!$K$3:$K$2800&lt;$F$2+63)*('S26'!$H$3:$H$2800))=0,"",SUMPRODUCT(('S26'!$K$3:$K$2800&gt;=$F$2+56)*('S26'!$K$3:$K$2800&lt;$F$2+63)*('S26'!$H$3:$H$2800))),"")</f>
        <v/>
      </c>
    </row>
    <row r="109">
      <c r="A109" s="49">
        <v>46104.0</v>
      </c>
      <c r="B109" s="14"/>
      <c r="C109" s="14"/>
      <c r="D109" s="14"/>
      <c r="E109" s="14"/>
      <c r="F109" s="14">
        <f>IFERROR(IF(SUM('S24'!$H:$H)+SUM('F24'!$H:$H)+SUM('S25'!$H:$H)+SUM('F25'!$H:$H)+SUMPRODUCT(('S26'!$K$3:$K$2800&gt;=$F$2+0)*('S26'!$K$3:$K$2800&lt;$F$2+70)*('S26'!$H$3:$H$2800))=0,"",SUM('S24'!$H:$H)+SUM('F24'!$H:$H)+SUM('S25'!$H:$H)+SUM('F25'!$H:$H)+SUMPRODUCT(('S26'!$K$3:$K$2800&gt;=$F$2+0)*('S26'!$K$3:$K$2800&lt;$F$2+70)*('S26'!$H$3:$H$2800))),"")</f>
        <v>116996.86</v>
      </c>
      <c r="G109" s="14"/>
      <c r="H109" s="14"/>
      <c r="I109" s="14"/>
      <c r="J109" s="14"/>
      <c r="K109" s="15">
        <f>IFERROR(IF(SUMPRODUCT(('S26'!$K$3:$K$2800&gt;=$F$2+63)*('S26'!$K$3:$K$2800&lt;$F$2+70)*('S26'!$H$3:$H$2800))=0,"",SUMPRODUCT(('S26'!$K$3:$K$2800&gt;=$F$2+63)*('S26'!$K$3:$K$2800&lt;$F$2+70)*('S26'!$H$3:$H$2800))),"")</f>
        <v>2456</v>
      </c>
    </row>
    <row r="110">
      <c r="A110" s="48">
        <v>46111.0</v>
      </c>
      <c r="B110" s="11"/>
      <c r="C110" s="11"/>
      <c r="D110" s="11"/>
      <c r="E110" s="11"/>
      <c r="F110" s="11">
        <f>IFERROR(IF(SUM('S24'!$H:$H)+SUM('F24'!$H:$H)+SUM('S25'!$H:$H)+SUM('F25'!$H:$H)+SUMPRODUCT(('S26'!$K$3:$K$2800&gt;=$F$2+0)*('S26'!$K$3:$K$2800&lt;$F$2+77)*('S26'!$H$3:$H$2800))=0,"",SUM('S24'!$H:$H)+SUM('F24'!$H:$H)+SUM('S25'!$H:$H)+SUM('F25'!$H:$H)+SUMPRODUCT(('S26'!$K$3:$K$2800&gt;=$F$2+0)*('S26'!$K$3:$K$2800&lt;$F$2+77)*('S26'!$H$3:$H$2800))),"")</f>
        <v>119862.86</v>
      </c>
      <c r="G110" s="11"/>
      <c r="H110" s="11"/>
      <c r="I110" s="11"/>
      <c r="J110" s="11"/>
      <c r="K110" s="12">
        <f>IFERROR(IF(SUMPRODUCT(('S26'!$K$3:$K$2800&gt;=$F$2+70)*('S26'!$K$3:$K$2800&lt;$F$2+77)*('S26'!$H$3:$H$2800))=0,"",SUMPRODUCT(('S26'!$K$3:$K$2800&gt;=$F$2+70)*('S26'!$K$3:$K$2800&lt;$F$2+77)*('S26'!$H$3:$H$2800))),"")</f>
        <v>2866</v>
      </c>
    </row>
    <row r="111">
      <c r="A111" s="49">
        <v>46118.0</v>
      </c>
      <c r="B111" s="14"/>
      <c r="C111" s="14"/>
      <c r="D111" s="14"/>
      <c r="E111" s="14"/>
      <c r="F111" s="14">
        <f>IFERROR(IF(SUM('S24'!$H:$H)+SUM('F24'!$H:$H)+SUM('S25'!$H:$H)+SUM('F25'!$H:$H)+SUMPRODUCT(('S26'!$K$3:$K$2800&gt;=$F$2+0)*('S26'!$K$3:$K$2800&lt;$F$2+84)*('S26'!$H$3:$H$2800))=0,"",SUM('S24'!$H:$H)+SUM('F24'!$H:$H)+SUM('S25'!$H:$H)+SUM('F25'!$H:$H)+SUMPRODUCT(('S26'!$K$3:$K$2800&gt;=$F$2+0)*('S26'!$K$3:$K$2800&lt;$F$2+84)*('S26'!$H$3:$H$2800))),"")</f>
        <v>122988.86</v>
      </c>
      <c r="G111" s="14"/>
      <c r="H111" s="14"/>
      <c r="I111" s="14"/>
      <c r="J111" s="14"/>
      <c r="K111" s="15">
        <f>IFERROR(IF(SUMPRODUCT(('S26'!$K$3:$K$2800&gt;=$F$2+77)*('S26'!$K$3:$K$2800&lt;$F$2+84)*('S26'!$H$3:$H$2800))=0,"",SUMPRODUCT(('S26'!$K$3:$K$2800&gt;=$F$2+77)*('S26'!$K$3:$K$2800&lt;$F$2+84)*('S26'!$H$3:$H$2800))),"")</f>
        <v>3126</v>
      </c>
    </row>
    <row r="112">
      <c r="A112" s="48">
        <v>46125.0</v>
      </c>
      <c r="B112" s="11"/>
      <c r="C112" s="11"/>
      <c r="D112" s="11"/>
      <c r="E112" s="11"/>
      <c r="F112" s="11">
        <f>IFERROR(IF(SUM('S24'!$H:$H)+SUM('F24'!$H:$H)+SUM('S25'!$H:$H)+SUM('F25'!$H:$H)+SUMPRODUCT(('S26'!$K$3:$K$2800&gt;=$F$2+0)*('S26'!$K$3:$K$2800&lt;$F$2+91)*('S26'!$H$3:$H$2800))=0,"",SUM('S24'!$H:$H)+SUM('F24'!$H:$H)+SUM('S25'!$H:$H)+SUM('F25'!$H:$H)+SUMPRODUCT(('S26'!$K$3:$K$2800&gt;=$F$2+0)*('S26'!$K$3:$K$2800&lt;$F$2+91)*('S26'!$H$3:$H$2800))),"")</f>
        <v>125431.86</v>
      </c>
      <c r="G112" s="11"/>
      <c r="H112" s="11"/>
      <c r="I112" s="11"/>
      <c r="J112" s="11"/>
      <c r="K112" s="12">
        <f>IFERROR(IF(SUMPRODUCT(('S26'!$K$3:$K$2800&gt;=$F$2+84)*('S26'!$K$3:$K$2800&lt;$F$2+91)*('S26'!$H$3:$H$2800))=0,"",SUMPRODUCT(('S26'!$K$3:$K$2800&gt;=$F$2+84)*('S26'!$K$3:$K$2800&lt;$F$2+91)*('S26'!$H$3:$H$2800))),"")</f>
        <v>2443</v>
      </c>
    </row>
    <row r="113">
      <c r="A113" s="50">
        <v>46132.0</v>
      </c>
      <c r="B113" s="25"/>
      <c r="C113" s="25"/>
      <c r="D113" s="25"/>
      <c r="E113" s="25"/>
      <c r="F113" s="25">
        <f>IFERROR(IF(SUM('S24'!$H:$H)+SUM('F24'!$H:$H)+SUM('S25'!$H:$H)+SUM('F25'!$H:$H)+SUMPRODUCT(('S26'!$K$3:$K$2800&gt;=$F$2+0)*('S26'!$K$3:$K$2800&lt;$F$2+98)*('S26'!$H$3:$H$2800))=0,"",SUM('S24'!$H:$H)+SUM('F24'!$H:$H)+SUM('S25'!$H:$H)+SUM('F25'!$H:$H)+SUMPRODUCT(('S26'!$K$3:$K$2800&gt;=$F$2+0)*('S26'!$K$3:$K$2800&lt;$F$2+98)*('S26'!$H$3:$H$2800))),"")</f>
        <v>127582.86</v>
      </c>
      <c r="G113" s="25"/>
      <c r="H113" s="25"/>
      <c r="I113" s="25"/>
      <c r="J113" s="25"/>
      <c r="K113" s="26">
        <f>IFERROR(IF(SUMPRODUCT(('S26'!$K$3:$K$2800&gt;=$F$2+91)*('S26'!$K$3:$K$2800&lt;$F$2+98)*('S26'!$H$3:$H$2800))=0,"",SUMPRODUCT(('S26'!$K$3:$K$2800&gt;=$F$2+91)*('S26'!$K$3:$K$2800&lt;$F$2+98)*('S26'!$H$3:$H$2800))),"")</f>
        <v>2151</v>
      </c>
    </row>
    <row r="114" ht="10.5" customHeight="1">
      <c r="A114" s="19" t="s">
        <v>112</v>
      </c>
    </row>
    <row r="116" ht="10.5" customHeight="1">
      <c r="A116" s="19" t="s">
        <v>113</v>
      </c>
    </row>
    <row r="117" ht="10.5" customHeight="1">
      <c r="A117" s="19" t="s">
        <v>114</v>
      </c>
    </row>
  </sheetData>
  <mergeCells count="2">
    <mergeCell ref="B42:F42"/>
    <mergeCell ref="G42:K42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9FC5E8"/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8" max="8" width="7.88"/>
    <col customWidth="1" min="12" max="12" width="9.75"/>
    <col customWidth="1" min="13" max="13" width="10.63"/>
    <col customWidth="1" min="14" max="16" width="21.63"/>
  </cols>
  <sheetData>
    <row r="1">
      <c r="A1" s="51" t="s">
        <v>115</v>
      </c>
      <c r="B1" s="51" t="s">
        <v>116</v>
      </c>
      <c r="C1" s="51" t="s">
        <v>117</v>
      </c>
      <c r="D1" s="51" t="s">
        <v>118</v>
      </c>
      <c r="E1" s="51" t="s">
        <v>119</v>
      </c>
      <c r="F1" s="51" t="s">
        <v>120</v>
      </c>
      <c r="G1" s="51" t="s">
        <v>121</v>
      </c>
      <c r="H1" s="51" t="s">
        <v>122</v>
      </c>
      <c r="I1" s="51" t="s">
        <v>123</v>
      </c>
      <c r="J1" s="51" t="s">
        <v>124</v>
      </c>
      <c r="K1" s="51" t="s">
        <v>125</v>
      </c>
      <c r="L1" s="51" t="s">
        <v>126</v>
      </c>
      <c r="M1" s="51" t="s">
        <v>127</v>
      </c>
      <c r="N1" s="52"/>
      <c r="O1" s="52"/>
      <c r="P1" s="52"/>
    </row>
    <row r="2">
      <c r="A2" s="53">
        <v>45313.0</v>
      </c>
      <c r="B2" s="54" t="s">
        <v>128</v>
      </c>
      <c r="C2" s="52" t="b">
        <v>0</v>
      </c>
      <c r="D2" s="52"/>
      <c r="E2" s="52"/>
      <c r="F2" s="52"/>
      <c r="G2" s="52"/>
      <c r="H2" s="54">
        <v>0.0</v>
      </c>
      <c r="I2" s="52"/>
      <c r="J2" s="55"/>
      <c r="K2" s="56">
        <v>45313.0</v>
      </c>
      <c r="L2" s="52" t="s">
        <v>129</v>
      </c>
      <c r="M2" s="57">
        <f>IFERROR(__xludf.DUMMYFUNCTION("BYROW('S24'!K2:K782, LAMBDA(r,
  IF(r="""","""",
    LET(
      nextVal, IFERROR(INDEX('S24'!K2:K782, ROW(r)-ROW('S24'!K2)+2), """"),
      IF(r &lt;&gt; nextVal,
         IFERROR(
           SUM(FILTER('S24'!H2:H782, 'S24'!K2:K782 = r)),
           """"
      "&amp;"   ),
         """"
      )
    )
  )
))
"),0.0)</f>
        <v>0</v>
      </c>
      <c r="N2" s="52"/>
      <c r="O2" s="52"/>
      <c r="P2" s="52"/>
    </row>
    <row r="3">
      <c r="A3" s="58">
        <v>45369.49062912037</v>
      </c>
      <c r="B3" s="52" t="s">
        <v>130</v>
      </c>
      <c r="C3" s="52" t="b">
        <v>0</v>
      </c>
      <c r="D3" s="52"/>
      <c r="E3" s="52"/>
      <c r="F3" s="52"/>
      <c r="G3" s="52"/>
      <c r="H3" s="52">
        <v>32.3</v>
      </c>
      <c r="I3" s="52"/>
      <c r="J3" s="55" t="s">
        <v>11</v>
      </c>
      <c r="K3" s="59">
        <v>45369.0</v>
      </c>
      <c r="L3" s="52" t="s">
        <v>129</v>
      </c>
      <c r="M3" s="52">
        <f>IFERROR(__xludf.DUMMYFUNCTION("""COMPUTED_VALUE"""),32.3)</f>
        <v>32.3</v>
      </c>
      <c r="N3" s="52"/>
      <c r="O3" s="52"/>
      <c r="P3" s="52"/>
    </row>
    <row r="4">
      <c r="A4" s="58">
        <v>45370.60435524306</v>
      </c>
      <c r="B4" s="52" t="s">
        <v>131</v>
      </c>
      <c r="C4" s="52" t="b">
        <v>0</v>
      </c>
      <c r="D4" s="52"/>
      <c r="E4" s="52"/>
      <c r="F4" s="52"/>
      <c r="G4" s="52"/>
      <c r="H4" s="60">
        <v>32.47</v>
      </c>
      <c r="I4" s="52"/>
      <c r="J4" s="52" t="s">
        <v>11</v>
      </c>
      <c r="K4" s="59">
        <v>45370.0</v>
      </c>
      <c r="L4" s="52" t="s">
        <v>132</v>
      </c>
      <c r="M4" s="52" t="str">
        <f>IFERROR(__xludf.DUMMYFUNCTION("""COMPUTED_VALUE"""),"")</f>
        <v/>
      </c>
      <c r="N4" s="52"/>
      <c r="O4" s="52"/>
      <c r="P4" s="52"/>
    </row>
    <row r="5">
      <c r="A5" s="58">
        <v>45370.87484373843</v>
      </c>
      <c r="B5" s="52" t="s">
        <v>133</v>
      </c>
      <c r="C5" s="52" t="b">
        <v>0</v>
      </c>
      <c r="D5" s="52"/>
      <c r="E5" s="52"/>
      <c r="F5" s="52"/>
      <c r="G5" s="52"/>
      <c r="H5" s="60">
        <v>101.0</v>
      </c>
      <c r="I5" s="52"/>
      <c r="J5" s="52" t="s">
        <v>12</v>
      </c>
      <c r="K5" s="59">
        <v>45370.0</v>
      </c>
      <c r="L5" s="52" t="s">
        <v>132</v>
      </c>
      <c r="M5" s="52" t="str">
        <f>IFERROR(__xludf.DUMMYFUNCTION("""COMPUTED_VALUE"""),"")</f>
        <v/>
      </c>
      <c r="N5" s="52"/>
      <c r="O5" s="52"/>
      <c r="P5" s="52"/>
    </row>
    <row r="6">
      <c r="A6" s="58">
        <v>45370.87556549768</v>
      </c>
      <c r="B6" s="52" t="s">
        <v>134</v>
      </c>
      <c r="C6" s="52" t="b">
        <v>0</v>
      </c>
      <c r="D6" s="52"/>
      <c r="E6" s="52"/>
      <c r="F6" s="52"/>
      <c r="G6" s="52"/>
      <c r="H6" s="60">
        <v>163.0</v>
      </c>
      <c r="I6" s="52"/>
      <c r="J6" s="52" t="s">
        <v>12</v>
      </c>
      <c r="K6" s="59">
        <v>45370.0</v>
      </c>
      <c r="L6" s="52" t="s">
        <v>132</v>
      </c>
      <c r="M6" s="52">
        <f>IFERROR(__xludf.DUMMYFUNCTION("""COMPUTED_VALUE"""),296.47)</f>
        <v>296.47</v>
      </c>
      <c r="N6" s="52"/>
      <c r="O6" s="52"/>
      <c r="P6" s="52"/>
    </row>
    <row r="7">
      <c r="A7" s="58">
        <v>45371.39529241898</v>
      </c>
      <c r="B7" s="52" t="s">
        <v>131</v>
      </c>
      <c r="C7" s="52" t="b">
        <v>0</v>
      </c>
      <c r="D7" s="52"/>
      <c r="E7" s="52"/>
      <c r="F7" s="52"/>
      <c r="G7" s="52"/>
      <c r="H7" s="60">
        <v>21.8</v>
      </c>
      <c r="I7" s="52"/>
      <c r="J7" s="52" t="s">
        <v>10</v>
      </c>
      <c r="K7" s="59">
        <v>45371.0</v>
      </c>
      <c r="L7" s="52" t="s">
        <v>135</v>
      </c>
      <c r="M7" s="52" t="str">
        <f>IFERROR(__xludf.DUMMYFUNCTION("""COMPUTED_VALUE"""),"")</f>
        <v/>
      </c>
      <c r="N7" s="52"/>
      <c r="O7" s="52"/>
      <c r="P7" s="52"/>
    </row>
    <row r="8">
      <c r="A8" s="58">
        <v>45371.47010603009</v>
      </c>
      <c r="B8" s="52" t="s">
        <v>130</v>
      </c>
      <c r="C8" s="52" t="b">
        <v>0</v>
      </c>
      <c r="D8" s="52"/>
      <c r="E8" s="52"/>
      <c r="F8" s="52"/>
      <c r="G8" s="52"/>
      <c r="H8" s="60">
        <v>45.8</v>
      </c>
      <c r="I8" s="52"/>
      <c r="J8" s="52" t="s">
        <v>11</v>
      </c>
      <c r="K8" s="59">
        <v>45371.0</v>
      </c>
      <c r="L8" s="52" t="s">
        <v>135</v>
      </c>
      <c r="M8" s="52" t="str">
        <f>IFERROR(__xludf.DUMMYFUNCTION("""COMPUTED_VALUE"""),"")</f>
        <v/>
      </c>
      <c r="N8" s="52"/>
      <c r="O8" s="52"/>
      <c r="P8" s="52"/>
    </row>
    <row r="9">
      <c r="A9" s="58">
        <v>45371.48729944444</v>
      </c>
      <c r="B9" s="52" t="s">
        <v>130</v>
      </c>
      <c r="C9" s="52" t="b">
        <v>0</v>
      </c>
      <c r="D9" s="52"/>
      <c r="E9" s="52"/>
      <c r="F9" s="52"/>
      <c r="G9" s="52"/>
      <c r="H9" s="60">
        <v>7.61</v>
      </c>
      <c r="I9" s="52"/>
      <c r="J9" s="52" t="s">
        <v>11</v>
      </c>
      <c r="K9" s="59">
        <v>45371.0</v>
      </c>
      <c r="L9" s="52" t="s">
        <v>135</v>
      </c>
      <c r="M9" s="52" t="str">
        <f>IFERROR(__xludf.DUMMYFUNCTION("""COMPUTED_VALUE"""),"")</f>
        <v/>
      </c>
      <c r="N9" s="52"/>
      <c r="O9" s="52"/>
      <c r="P9" s="52"/>
    </row>
    <row r="10">
      <c r="A10" s="58">
        <v>45371.6555088426</v>
      </c>
      <c r="B10" s="52" t="s">
        <v>134</v>
      </c>
      <c r="C10" s="52" t="b">
        <v>0</v>
      </c>
      <c r="D10" s="52"/>
      <c r="E10" s="52"/>
      <c r="F10" s="52"/>
      <c r="G10" s="52"/>
      <c r="H10" s="60">
        <v>113.0</v>
      </c>
      <c r="I10" s="52"/>
      <c r="J10" s="52" t="s">
        <v>11</v>
      </c>
      <c r="K10" s="59">
        <v>45371.0</v>
      </c>
      <c r="L10" s="52" t="s">
        <v>135</v>
      </c>
      <c r="M10" s="52" t="str">
        <f>IFERROR(__xludf.DUMMYFUNCTION("""COMPUTED_VALUE"""),"")</f>
        <v/>
      </c>
      <c r="N10" s="52"/>
      <c r="O10" s="52"/>
      <c r="P10" s="52"/>
    </row>
    <row r="11">
      <c r="A11" s="58">
        <v>45371.65593655092</v>
      </c>
      <c r="B11" s="52" t="s">
        <v>134</v>
      </c>
      <c r="C11" s="52" t="b">
        <v>0</v>
      </c>
      <c r="D11" s="52"/>
      <c r="E11" s="52"/>
      <c r="F11" s="52"/>
      <c r="G11" s="52"/>
      <c r="H11" s="60">
        <v>88.0</v>
      </c>
      <c r="I11" s="52"/>
      <c r="J11" s="52" t="s">
        <v>11</v>
      </c>
      <c r="K11" s="59">
        <v>45371.0</v>
      </c>
      <c r="L11" s="52" t="s">
        <v>135</v>
      </c>
      <c r="M11" s="52">
        <f>IFERROR(__xludf.DUMMYFUNCTION("""COMPUTED_VALUE"""),276.21)</f>
        <v>276.21</v>
      </c>
      <c r="N11" s="52"/>
      <c r="O11" s="52"/>
      <c r="P11" s="52"/>
    </row>
    <row r="12">
      <c r="A12" s="58">
        <v>45372.668875625</v>
      </c>
      <c r="B12" s="52" t="s">
        <v>136</v>
      </c>
      <c r="C12" s="52" t="b">
        <v>0</v>
      </c>
      <c r="D12" s="52"/>
      <c r="E12" s="52"/>
      <c r="F12" s="52"/>
      <c r="G12" s="52"/>
      <c r="H12" s="60">
        <v>93.1</v>
      </c>
      <c r="I12" s="52"/>
      <c r="J12" s="52" t="s">
        <v>12</v>
      </c>
      <c r="K12" s="59">
        <v>45372.0</v>
      </c>
      <c r="L12" s="52" t="s">
        <v>137</v>
      </c>
      <c r="M12" s="52">
        <f>IFERROR(__xludf.DUMMYFUNCTION("""COMPUTED_VALUE"""),93.1)</f>
        <v>93.1</v>
      </c>
      <c r="N12" s="52"/>
      <c r="O12" s="52"/>
      <c r="P12" s="52"/>
    </row>
    <row r="13">
      <c r="A13" s="58">
        <v>45373.39620662037</v>
      </c>
      <c r="B13" s="52" t="s">
        <v>131</v>
      </c>
      <c r="C13" s="52" t="b">
        <v>0</v>
      </c>
      <c r="D13" s="52"/>
      <c r="E13" s="52"/>
      <c r="F13" s="52"/>
      <c r="G13" s="52"/>
      <c r="H13" s="60">
        <v>46.38</v>
      </c>
      <c r="I13" s="52"/>
      <c r="J13" s="52" t="s">
        <v>10</v>
      </c>
      <c r="K13" s="59">
        <v>45373.0</v>
      </c>
      <c r="L13" s="52" t="s">
        <v>138</v>
      </c>
      <c r="M13" s="52">
        <f>IFERROR(__xludf.DUMMYFUNCTION("""COMPUTED_VALUE"""),46.38)</f>
        <v>46.38</v>
      </c>
      <c r="N13" s="52"/>
      <c r="O13" s="52"/>
      <c r="P13" s="52"/>
    </row>
    <row r="14">
      <c r="A14" s="58">
        <v>45376.39565631944</v>
      </c>
      <c r="B14" s="52" t="s">
        <v>139</v>
      </c>
      <c r="C14" s="52" t="b">
        <v>0</v>
      </c>
      <c r="D14" s="52"/>
      <c r="E14" s="52"/>
      <c r="F14" s="52"/>
      <c r="G14" s="52"/>
      <c r="H14" s="60">
        <v>50.0</v>
      </c>
      <c r="I14" s="52"/>
      <c r="J14" s="52" t="s">
        <v>10</v>
      </c>
      <c r="K14" s="59">
        <v>45376.0</v>
      </c>
      <c r="L14" s="52" t="s">
        <v>129</v>
      </c>
      <c r="M14" s="52" t="str">
        <f>IFERROR(__xludf.DUMMYFUNCTION("""COMPUTED_VALUE"""),"")</f>
        <v/>
      </c>
      <c r="N14" s="52"/>
      <c r="O14" s="52"/>
      <c r="P14" s="52"/>
    </row>
    <row r="15">
      <c r="A15" s="58">
        <v>45376.49150517361</v>
      </c>
      <c r="B15" s="52" t="s">
        <v>130</v>
      </c>
      <c r="C15" s="52" t="b">
        <v>0</v>
      </c>
      <c r="D15" s="52"/>
      <c r="E15" s="52"/>
      <c r="F15" s="52"/>
      <c r="G15" s="52"/>
      <c r="H15" s="60">
        <v>40.0</v>
      </c>
      <c r="I15" s="52"/>
      <c r="J15" s="52" t="s">
        <v>11</v>
      </c>
      <c r="K15" s="59">
        <v>45376.0</v>
      </c>
      <c r="L15" s="52" t="s">
        <v>129</v>
      </c>
      <c r="M15" s="52" t="str">
        <f>IFERROR(__xludf.DUMMYFUNCTION("""COMPUTED_VALUE"""),"")</f>
        <v/>
      </c>
      <c r="N15" s="52"/>
      <c r="O15" s="52"/>
      <c r="P15" s="52"/>
    </row>
    <row r="16">
      <c r="A16" s="58">
        <v>45376.58561177083</v>
      </c>
      <c r="B16" s="52" t="s">
        <v>136</v>
      </c>
      <c r="C16" s="52" t="b">
        <v>0</v>
      </c>
      <c r="D16" s="52"/>
      <c r="E16" s="52"/>
      <c r="F16" s="52"/>
      <c r="G16" s="52"/>
      <c r="H16" s="60">
        <v>134.3</v>
      </c>
      <c r="I16" s="52"/>
      <c r="J16" s="52" t="s">
        <v>11</v>
      </c>
      <c r="K16" s="59">
        <v>45376.0</v>
      </c>
      <c r="L16" s="52" t="s">
        <v>129</v>
      </c>
      <c r="M16" s="52" t="str">
        <f>IFERROR(__xludf.DUMMYFUNCTION("""COMPUTED_VALUE"""),"")</f>
        <v/>
      </c>
      <c r="N16" s="52"/>
      <c r="O16" s="52"/>
      <c r="P16" s="52"/>
    </row>
    <row r="17">
      <c r="A17" s="58">
        <v>45376.65090092592</v>
      </c>
      <c r="B17" s="52" t="s">
        <v>134</v>
      </c>
      <c r="C17" s="52" t="b">
        <v>0</v>
      </c>
      <c r="D17" s="52"/>
      <c r="E17" s="52"/>
      <c r="F17" s="52"/>
      <c r="G17" s="52"/>
      <c r="H17" s="60">
        <v>131.0</v>
      </c>
      <c r="I17" s="52"/>
      <c r="J17" s="52" t="s">
        <v>11</v>
      </c>
      <c r="K17" s="59">
        <v>45376.0</v>
      </c>
      <c r="L17" s="52" t="s">
        <v>129</v>
      </c>
      <c r="M17" s="52" t="str">
        <f>IFERROR(__xludf.DUMMYFUNCTION("""COMPUTED_VALUE"""),"")</f>
        <v/>
      </c>
      <c r="N17" s="52"/>
      <c r="O17" s="52"/>
      <c r="P17" s="52"/>
    </row>
    <row r="18">
      <c r="A18" s="58">
        <v>45376.65119013889</v>
      </c>
      <c r="B18" s="52" t="s">
        <v>134</v>
      </c>
      <c r="C18" s="52" t="b">
        <v>0</v>
      </c>
      <c r="D18" s="52"/>
      <c r="E18" s="52"/>
      <c r="F18" s="52"/>
      <c r="G18" s="52"/>
      <c r="H18" s="60">
        <v>75.0</v>
      </c>
      <c r="I18" s="52"/>
      <c r="J18" s="52" t="s">
        <v>11</v>
      </c>
      <c r="K18" s="59">
        <v>45376.0</v>
      </c>
      <c r="L18" s="52" t="s">
        <v>129</v>
      </c>
      <c r="M18" s="52" t="str">
        <f>IFERROR(__xludf.DUMMYFUNCTION("""COMPUTED_VALUE"""),"")</f>
        <v/>
      </c>
      <c r="N18" s="52"/>
      <c r="O18" s="52"/>
      <c r="P18" s="52"/>
    </row>
    <row r="19">
      <c r="A19" s="58">
        <v>45376.74698451389</v>
      </c>
      <c r="B19" s="52" t="s">
        <v>140</v>
      </c>
      <c r="C19" s="52" t="b">
        <v>0</v>
      </c>
      <c r="D19" s="52"/>
      <c r="E19" s="52"/>
      <c r="F19" s="52"/>
      <c r="G19" s="52"/>
      <c r="H19" s="60">
        <v>65.0</v>
      </c>
      <c r="I19" s="52"/>
      <c r="J19" s="52" t="s">
        <v>12</v>
      </c>
      <c r="K19" s="59">
        <v>45376.0</v>
      </c>
      <c r="L19" s="52" t="s">
        <v>129</v>
      </c>
      <c r="M19" s="52" t="str">
        <f>IFERROR(__xludf.DUMMYFUNCTION("""COMPUTED_VALUE"""),"")</f>
        <v/>
      </c>
      <c r="N19" s="52"/>
      <c r="O19" s="52"/>
      <c r="P19" s="52"/>
    </row>
    <row r="20">
      <c r="A20" s="58">
        <v>45376.87584413194</v>
      </c>
      <c r="B20" s="52" t="s">
        <v>140</v>
      </c>
      <c r="C20" s="52" t="b">
        <v>0</v>
      </c>
      <c r="D20" s="52"/>
      <c r="E20" s="52"/>
      <c r="F20" s="52"/>
      <c r="G20" s="52"/>
      <c r="H20" s="60">
        <v>167.0</v>
      </c>
      <c r="I20" s="52"/>
      <c r="J20" s="52" t="s">
        <v>12</v>
      </c>
      <c r="K20" s="59">
        <v>45376.0</v>
      </c>
      <c r="L20" s="52" t="s">
        <v>129</v>
      </c>
      <c r="M20" s="52">
        <f>IFERROR(__xludf.DUMMYFUNCTION("""COMPUTED_VALUE"""),662.3)</f>
        <v>662.3</v>
      </c>
      <c r="N20" s="52"/>
      <c r="O20" s="52"/>
      <c r="P20" s="52"/>
    </row>
    <row r="21">
      <c r="A21" s="58">
        <v>45377.49101190973</v>
      </c>
      <c r="B21" s="52" t="s">
        <v>141</v>
      </c>
      <c r="C21" s="52" t="b">
        <v>0</v>
      </c>
      <c r="D21" s="52"/>
      <c r="E21" s="52"/>
      <c r="F21" s="52"/>
      <c r="G21" s="52"/>
      <c r="H21" s="60">
        <v>104.0</v>
      </c>
      <c r="I21" s="52"/>
      <c r="J21" s="52" t="s">
        <v>11</v>
      </c>
      <c r="K21" s="59">
        <v>45377.0</v>
      </c>
      <c r="L21" s="52" t="s">
        <v>132</v>
      </c>
      <c r="M21" s="52" t="str">
        <f>IFERROR(__xludf.DUMMYFUNCTION("""COMPUTED_VALUE"""),"")</f>
        <v/>
      </c>
      <c r="N21" s="52"/>
      <c r="O21" s="52"/>
      <c r="P21" s="52"/>
    </row>
    <row r="22">
      <c r="A22" s="58">
        <v>45377.60448017361</v>
      </c>
      <c r="B22" s="52" t="s">
        <v>131</v>
      </c>
      <c r="C22" s="52" t="b">
        <v>0</v>
      </c>
      <c r="D22" s="52"/>
      <c r="E22" s="52"/>
      <c r="F22" s="52"/>
      <c r="G22" s="52"/>
      <c r="H22" s="60">
        <v>56.0</v>
      </c>
      <c r="I22" s="52"/>
      <c r="J22" s="52" t="s">
        <v>11</v>
      </c>
      <c r="K22" s="59">
        <v>45377.0</v>
      </c>
      <c r="L22" s="52" t="s">
        <v>132</v>
      </c>
      <c r="M22" s="52" t="str">
        <f>IFERROR(__xludf.DUMMYFUNCTION("""COMPUTED_VALUE"""),"")</f>
        <v/>
      </c>
      <c r="N22" s="52"/>
      <c r="O22" s="52"/>
      <c r="P22" s="52"/>
    </row>
    <row r="23">
      <c r="A23" s="58">
        <v>45377.83927986111</v>
      </c>
      <c r="B23" s="52" t="s">
        <v>134</v>
      </c>
      <c r="C23" s="52" t="b">
        <v>0</v>
      </c>
      <c r="D23" s="52"/>
      <c r="E23" s="52"/>
      <c r="F23" s="52"/>
      <c r="G23" s="52"/>
      <c r="H23" s="60">
        <v>115.0</v>
      </c>
      <c r="I23" s="52"/>
      <c r="J23" s="52" t="s">
        <v>12</v>
      </c>
      <c r="K23" s="59">
        <v>45377.0</v>
      </c>
      <c r="L23" s="52" t="s">
        <v>132</v>
      </c>
      <c r="M23" s="52">
        <f>IFERROR(__xludf.DUMMYFUNCTION("""COMPUTED_VALUE"""),275.0)</f>
        <v>275</v>
      </c>
      <c r="N23" s="52"/>
      <c r="O23" s="52"/>
      <c r="P23" s="52"/>
    </row>
    <row r="24">
      <c r="A24" s="58">
        <v>45378.39564537037</v>
      </c>
      <c r="B24" s="52" t="s">
        <v>131</v>
      </c>
      <c r="C24" s="52" t="b">
        <v>0</v>
      </c>
      <c r="D24" s="52"/>
      <c r="E24" s="52"/>
      <c r="F24" s="52"/>
      <c r="G24" s="52"/>
      <c r="H24" s="60">
        <v>24.0</v>
      </c>
      <c r="I24" s="52"/>
      <c r="J24" s="52" t="s">
        <v>10</v>
      </c>
      <c r="K24" s="59">
        <v>45378.0</v>
      </c>
      <c r="L24" s="52" t="s">
        <v>135</v>
      </c>
      <c r="M24" s="52" t="str">
        <f>IFERROR(__xludf.DUMMYFUNCTION("""COMPUTED_VALUE"""),"")</f>
        <v/>
      </c>
      <c r="N24" s="52"/>
      <c r="O24" s="52"/>
      <c r="P24" s="52"/>
    </row>
    <row r="25">
      <c r="A25" s="58">
        <v>45378.49489881944</v>
      </c>
      <c r="B25" s="52" t="s">
        <v>130</v>
      </c>
      <c r="C25" s="52" t="b">
        <v>0</v>
      </c>
      <c r="D25" s="52"/>
      <c r="E25" s="52"/>
      <c r="F25" s="52"/>
      <c r="G25" s="52"/>
      <c r="H25" s="60">
        <v>59.0</v>
      </c>
      <c r="I25" s="52"/>
      <c r="J25" s="52" t="s">
        <v>11</v>
      </c>
      <c r="K25" s="59">
        <v>45378.0</v>
      </c>
      <c r="L25" s="52" t="s">
        <v>135</v>
      </c>
      <c r="M25" s="52" t="str">
        <f>IFERROR(__xludf.DUMMYFUNCTION("""COMPUTED_VALUE"""),"")</f>
        <v/>
      </c>
      <c r="N25" s="52"/>
      <c r="O25" s="52"/>
      <c r="P25" s="52"/>
    </row>
    <row r="26">
      <c r="A26" s="58">
        <v>45378.94011658565</v>
      </c>
      <c r="B26" s="52" t="s">
        <v>134</v>
      </c>
      <c r="C26" s="52" t="b">
        <v>0</v>
      </c>
      <c r="D26" s="52"/>
      <c r="E26" s="52"/>
      <c r="F26" s="52"/>
      <c r="G26" s="52"/>
      <c r="H26" s="60">
        <v>204.0</v>
      </c>
      <c r="I26" s="52"/>
      <c r="J26" s="52" t="s">
        <v>11</v>
      </c>
      <c r="K26" s="59">
        <v>45378.0</v>
      </c>
      <c r="L26" s="52" t="s">
        <v>135</v>
      </c>
      <c r="M26" s="52">
        <f>IFERROR(__xludf.DUMMYFUNCTION("""COMPUTED_VALUE"""),287.0)</f>
        <v>287</v>
      </c>
      <c r="N26" s="52"/>
      <c r="O26" s="52"/>
      <c r="P26" s="52"/>
    </row>
    <row r="27">
      <c r="A27" s="58">
        <v>45379.49426673611</v>
      </c>
      <c r="B27" s="52" t="s">
        <v>141</v>
      </c>
      <c r="C27" s="52" t="b">
        <v>0</v>
      </c>
      <c r="D27" s="52"/>
      <c r="E27" s="52"/>
      <c r="F27" s="52"/>
      <c r="G27" s="52"/>
      <c r="H27" s="60">
        <v>107.0</v>
      </c>
      <c r="I27" s="52"/>
      <c r="J27" s="52" t="s">
        <v>11</v>
      </c>
      <c r="K27" s="59">
        <v>45379.0</v>
      </c>
      <c r="L27" s="52" t="s">
        <v>137</v>
      </c>
      <c r="M27" s="52" t="str">
        <f>IFERROR(__xludf.DUMMYFUNCTION("""COMPUTED_VALUE"""),"")</f>
        <v/>
      </c>
      <c r="N27" s="52"/>
      <c r="O27" s="52"/>
      <c r="P27" s="52"/>
    </row>
    <row r="28">
      <c r="A28" s="58">
        <v>45379.66752016204</v>
      </c>
      <c r="B28" s="52" t="s">
        <v>136</v>
      </c>
      <c r="C28" s="52" t="b">
        <v>0</v>
      </c>
      <c r="D28" s="52"/>
      <c r="E28" s="52"/>
      <c r="F28" s="52"/>
      <c r="G28" s="52"/>
      <c r="H28" s="60">
        <v>78.8</v>
      </c>
      <c r="I28" s="52"/>
      <c r="J28" s="52" t="s">
        <v>12</v>
      </c>
      <c r="K28" s="59">
        <v>45379.0</v>
      </c>
      <c r="L28" s="52" t="s">
        <v>137</v>
      </c>
      <c r="M28" s="52" t="str">
        <f>IFERROR(__xludf.DUMMYFUNCTION("""COMPUTED_VALUE"""),"")</f>
        <v/>
      </c>
      <c r="N28" s="52"/>
      <c r="O28" s="52"/>
      <c r="P28" s="52"/>
    </row>
    <row r="29">
      <c r="A29" s="58">
        <v>45379.73255434028</v>
      </c>
      <c r="B29" s="52" t="s">
        <v>136</v>
      </c>
      <c r="C29" s="52" t="b">
        <v>0</v>
      </c>
      <c r="D29" s="52"/>
      <c r="E29" s="52"/>
      <c r="F29" s="52"/>
      <c r="G29" s="52"/>
      <c r="H29" s="60">
        <v>25.0</v>
      </c>
      <c r="I29" s="52"/>
      <c r="J29" s="52" t="s">
        <v>12</v>
      </c>
      <c r="K29" s="59">
        <v>45379.0</v>
      </c>
      <c r="L29" s="52" t="s">
        <v>137</v>
      </c>
      <c r="M29" s="52">
        <f>IFERROR(__xludf.DUMMYFUNCTION("""COMPUTED_VALUE"""),210.8)</f>
        <v>210.8</v>
      </c>
      <c r="N29" s="52"/>
      <c r="O29" s="52"/>
      <c r="P29" s="52"/>
    </row>
    <row r="30">
      <c r="A30" s="58">
        <v>45380.39525326389</v>
      </c>
      <c r="B30" s="52" t="s">
        <v>131</v>
      </c>
      <c r="C30" s="52" t="b">
        <v>0</v>
      </c>
      <c r="D30" s="52"/>
      <c r="E30" s="52"/>
      <c r="F30" s="52"/>
      <c r="G30" s="52"/>
      <c r="H30" s="60">
        <v>38.0</v>
      </c>
      <c r="I30" s="52"/>
      <c r="J30" s="52" t="s">
        <v>10</v>
      </c>
      <c r="K30" s="59">
        <v>45380.0</v>
      </c>
      <c r="L30" s="52" t="s">
        <v>138</v>
      </c>
      <c r="M30" s="52">
        <f>IFERROR(__xludf.DUMMYFUNCTION("""COMPUTED_VALUE"""),38.0)</f>
        <v>38</v>
      </c>
      <c r="N30" s="52"/>
      <c r="O30" s="52"/>
      <c r="P30" s="52"/>
    </row>
    <row r="31">
      <c r="A31" s="58">
        <v>45383.39614152778</v>
      </c>
      <c r="B31" s="52" t="s">
        <v>131</v>
      </c>
      <c r="C31" s="52" t="b">
        <v>0</v>
      </c>
      <c r="D31" s="52"/>
      <c r="E31" s="52"/>
      <c r="F31" s="52"/>
      <c r="G31" s="52"/>
      <c r="H31" s="60">
        <v>49.0</v>
      </c>
      <c r="I31" s="52"/>
      <c r="J31" s="52" t="s">
        <v>10</v>
      </c>
      <c r="K31" s="59">
        <v>45383.0</v>
      </c>
      <c r="L31" s="52" t="s">
        <v>129</v>
      </c>
      <c r="M31" s="52" t="str">
        <f>IFERROR(__xludf.DUMMYFUNCTION("""COMPUTED_VALUE"""),"")</f>
        <v/>
      </c>
      <c r="N31" s="52"/>
      <c r="O31" s="52"/>
      <c r="P31" s="52"/>
    </row>
    <row r="32">
      <c r="A32" s="58">
        <v>45383.49135842593</v>
      </c>
      <c r="B32" s="52" t="s">
        <v>130</v>
      </c>
      <c r="C32" s="52" t="b">
        <v>0</v>
      </c>
      <c r="D32" s="52"/>
      <c r="E32" s="52"/>
      <c r="F32" s="52"/>
      <c r="G32" s="52"/>
      <c r="H32" s="60">
        <v>62.0</v>
      </c>
      <c r="I32" s="52"/>
      <c r="J32" s="52" t="s">
        <v>11</v>
      </c>
      <c r="K32" s="59">
        <v>45383.0</v>
      </c>
      <c r="L32" s="52" t="s">
        <v>129</v>
      </c>
      <c r="M32" s="52">
        <f>IFERROR(__xludf.DUMMYFUNCTION("""COMPUTED_VALUE"""),111.0)</f>
        <v>111</v>
      </c>
      <c r="N32" s="52"/>
      <c r="O32" s="52"/>
      <c r="P32" s="52"/>
    </row>
    <row r="33">
      <c r="A33" s="58">
        <v>45384.3123803125</v>
      </c>
      <c r="B33" s="52" t="s">
        <v>133</v>
      </c>
      <c r="C33" s="52" t="b">
        <v>0</v>
      </c>
      <c r="D33" s="52"/>
      <c r="E33" s="52"/>
      <c r="F33" s="52"/>
      <c r="G33" s="52"/>
      <c r="H33" s="60">
        <v>123.0</v>
      </c>
      <c r="I33" s="52"/>
      <c r="J33" s="52" t="s">
        <v>10</v>
      </c>
      <c r="K33" s="59">
        <v>45384.0</v>
      </c>
      <c r="L33" s="52" t="s">
        <v>132</v>
      </c>
      <c r="M33" s="52" t="str">
        <f>IFERROR(__xludf.DUMMYFUNCTION("""COMPUTED_VALUE"""),"")</f>
        <v/>
      </c>
      <c r="N33" s="52"/>
      <c r="O33" s="52"/>
      <c r="P33" s="52"/>
    </row>
    <row r="34">
      <c r="A34" s="58">
        <v>45384.49530072917</v>
      </c>
      <c r="B34" s="52" t="s">
        <v>142</v>
      </c>
      <c r="C34" s="52" t="b">
        <v>0</v>
      </c>
      <c r="D34" s="52"/>
      <c r="E34" s="52"/>
      <c r="F34" s="52"/>
      <c r="G34" s="52"/>
      <c r="H34" s="60">
        <v>123.0</v>
      </c>
      <c r="I34" s="52"/>
      <c r="J34" s="52" t="s">
        <v>11</v>
      </c>
      <c r="K34" s="59">
        <v>45384.0</v>
      </c>
      <c r="L34" s="52" t="s">
        <v>132</v>
      </c>
      <c r="M34" s="52" t="str">
        <f>IFERROR(__xludf.DUMMYFUNCTION("""COMPUTED_VALUE"""),"")</f>
        <v/>
      </c>
      <c r="N34" s="52"/>
      <c r="O34" s="52"/>
      <c r="P34" s="52"/>
    </row>
    <row r="35">
      <c r="A35" s="58">
        <v>45384.59996172454</v>
      </c>
      <c r="B35" s="52" t="s">
        <v>131</v>
      </c>
      <c r="C35" s="52" t="b">
        <v>0</v>
      </c>
      <c r="D35" s="52"/>
      <c r="E35" s="52"/>
      <c r="F35" s="52"/>
      <c r="G35" s="52"/>
      <c r="H35" s="60">
        <v>78.0</v>
      </c>
      <c r="I35" s="52"/>
      <c r="J35" s="52" t="s">
        <v>11</v>
      </c>
      <c r="K35" s="59">
        <v>45384.0</v>
      </c>
      <c r="L35" s="52" t="s">
        <v>132</v>
      </c>
      <c r="M35" s="52" t="str">
        <f>IFERROR(__xludf.DUMMYFUNCTION("""COMPUTED_VALUE"""),"")</f>
        <v/>
      </c>
      <c r="N35" s="52"/>
      <c r="O35" s="52"/>
      <c r="P35" s="52"/>
    </row>
    <row r="36">
      <c r="A36" s="58">
        <v>45384.66838244213</v>
      </c>
      <c r="B36" s="52" t="s">
        <v>136</v>
      </c>
      <c r="C36" s="52" t="b">
        <v>0</v>
      </c>
      <c r="D36" s="52"/>
      <c r="E36" s="52"/>
      <c r="F36" s="52"/>
      <c r="G36" s="52"/>
      <c r="H36" s="60">
        <v>81.4</v>
      </c>
      <c r="I36" s="52"/>
      <c r="J36" s="52" t="s">
        <v>12</v>
      </c>
      <c r="K36" s="59">
        <v>45384.0</v>
      </c>
      <c r="L36" s="52" t="s">
        <v>132</v>
      </c>
      <c r="M36" s="52">
        <f>IFERROR(__xludf.DUMMYFUNCTION("""COMPUTED_VALUE"""),405.4)</f>
        <v>405.4</v>
      </c>
      <c r="N36" s="52"/>
      <c r="O36" s="52"/>
      <c r="P36" s="52"/>
    </row>
    <row r="37">
      <c r="A37" s="58">
        <v>45385.39539708333</v>
      </c>
      <c r="B37" s="52" t="s">
        <v>131</v>
      </c>
      <c r="C37" s="52" t="b">
        <v>0</v>
      </c>
      <c r="D37" s="52"/>
      <c r="E37" s="52"/>
      <c r="F37" s="52"/>
      <c r="G37" s="52"/>
      <c r="H37" s="60">
        <v>27.0</v>
      </c>
      <c r="I37" s="52"/>
      <c r="J37" s="52" t="s">
        <v>10</v>
      </c>
      <c r="K37" s="59">
        <v>45385.0</v>
      </c>
      <c r="L37" s="52" t="s">
        <v>135</v>
      </c>
      <c r="M37" s="52" t="str">
        <f>IFERROR(__xludf.DUMMYFUNCTION("""COMPUTED_VALUE"""),"")</f>
        <v/>
      </c>
      <c r="N37" s="52"/>
      <c r="O37" s="52"/>
      <c r="P37" s="52"/>
    </row>
    <row r="38">
      <c r="A38" s="58">
        <v>45385.49423478009</v>
      </c>
      <c r="B38" s="52" t="s">
        <v>130</v>
      </c>
      <c r="C38" s="52" t="b">
        <v>0</v>
      </c>
      <c r="D38" s="52"/>
      <c r="E38" s="52"/>
      <c r="F38" s="52"/>
      <c r="G38" s="52"/>
      <c r="H38" s="60">
        <v>68.0</v>
      </c>
      <c r="I38" s="52"/>
      <c r="J38" s="52" t="s">
        <v>11</v>
      </c>
      <c r="K38" s="59">
        <v>45385.0</v>
      </c>
      <c r="L38" s="52" t="s">
        <v>135</v>
      </c>
      <c r="M38" s="52">
        <f>IFERROR(__xludf.DUMMYFUNCTION("""COMPUTED_VALUE"""),95.0)</f>
        <v>95</v>
      </c>
      <c r="N38" s="52"/>
      <c r="O38" s="52"/>
      <c r="P38" s="52"/>
    </row>
    <row r="39">
      <c r="A39" s="58">
        <v>45386.49509460648</v>
      </c>
      <c r="B39" s="52" t="s">
        <v>142</v>
      </c>
      <c r="C39" s="52" t="b">
        <v>0</v>
      </c>
      <c r="D39" s="52"/>
      <c r="E39" s="52"/>
      <c r="F39" s="52"/>
      <c r="G39" s="52"/>
      <c r="H39" s="60">
        <v>101.0</v>
      </c>
      <c r="I39" s="52"/>
      <c r="J39" s="52" t="s">
        <v>11</v>
      </c>
      <c r="K39" s="59">
        <v>45386.0</v>
      </c>
      <c r="L39" s="52" t="s">
        <v>137</v>
      </c>
      <c r="M39" s="52" t="str">
        <f>IFERROR(__xludf.DUMMYFUNCTION("""COMPUTED_VALUE"""),"")</f>
        <v/>
      </c>
      <c r="N39" s="52"/>
      <c r="O39" s="52"/>
      <c r="P39" s="52"/>
    </row>
    <row r="40">
      <c r="A40" s="58">
        <v>45386.7254334375</v>
      </c>
      <c r="B40" s="52" t="s">
        <v>136</v>
      </c>
      <c r="C40" s="52" t="b">
        <v>0</v>
      </c>
      <c r="D40" s="52"/>
      <c r="E40" s="52"/>
      <c r="F40" s="52"/>
      <c r="G40" s="52"/>
      <c r="H40" s="60">
        <v>119.6</v>
      </c>
      <c r="I40" s="52"/>
      <c r="J40" s="52" t="s">
        <v>12</v>
      </c>
      <c r="K40" s="59">
        <v>45386.0</v>
      </c>
      <c r="L40" s="52" t="s">
        <v>137</v>
      </c>
      <c r="M40" s="52">
        <f>IFERROR(__xludf.DUMMYFUNCTION("""COMPUTED_VALUE"""),220.6)</f>
        <v>220.6</v>
      </c>
      <c r="N40" s="52"/>
      <c r="O40" s="52"/>
      <c r="P40" s="52"/>
    </row>
    <row r="41">
      <c r="A41" s="58">
        <v>45387.3937921875</v>
      </c>
      <c r="B41" s="52" t="s">
        <v>139</v>
      </c>
      <c r="C41" s="52" t="b">
        <v>0</v>
      </c>
      <c r="D41" s="52"/>
      <c r="E41" s="52"/>
      <c r="F41" s="52"/>
      <c r="G41" s="52"/>
      <c r="H41" s="60">
        <v>45.0</v>
      </c>
      <c r="I41" s="52"/>
      <c r="J41" s="52" t="s">
        <v>10</v>
      </c>
      <c r="K41" s="59">
        <v>45387.0</v>
      </c>
      <c r="L41" s="52" t="s">
        <v>138</v>
      </c>
      <c r="M41" s="52">
        <f>IFERROR(__xludf.DUMMYFUNCTION("""COMPUTED_VALUE"""),45.0)</f>
        <v>45</v>
      </c>
      <c r="N41" s="52"/>
      <c r="O41" s="52"/>
      <c r="P41" s="52"/>
    </row>
    <row r="42">
      <c r="A42" s="58">
        <v>45390.39635511574</v>
      </c>
      <c r="B42" s="52" t="s">
        <v>139</v>
      </c>
      <c r="C42" s="52" t="b">
        <v>0</v>
      </c>
      <c r="D42" s="52"/>
      <c r="E42" s="52"/>
      <c r="F42" s="52"/>
      <c r="G42" s="52"/>
      <c r="H42" s="60">
        <v>53.0</v>
      </c>
      <c r="I42" s="52"/>
      <c r="J42" s="52" t="s">
        <v>10</v>
      </c>
      <c r="K42" s="59">
        <v>45390.0</v>
      </c>
      <c r="L42" s="52" t="s">
        <v>129</v>
      </c>
      <c r="M42" s="52" t="str">
        <f>IFERROR(__xludf.DUMMYFUNCTION("""COMPUTED_VALUE"""),"")</f>
        <v/>
      </c>
      <c r="N42" s="52"/>
      <c r="O42" s="52"/>
      <c r="P42" s="52"/>
    </row>
    <row r="43">
      <c r="A43" s="58">
        <v>45390.49456042824</v>
      </c>
      <c r="B43" s="52" t="s">
        <v>130</v>
      </c>
      <c r="C43" s="52" t="b">
        <v>0</v>
      </c>
      <c r="D43" s="52"/>
      <c r="E43" s="52"/>
      <c r="F43" s="52"/>
      <c r="G43" s="52"/>
      <c r="H43" s="60">
        <v>66.0</v>
      </c>
      <c r="I43" s="52"/>
      <c r="J43" s="52" t="s">
        <v>11</v>
      </c>
      <c r="K43" s="59">
        <v>45390.0</v>
      </c>
      <c r="L43" s="52" t="s">
        <v>129</v>
      </c>
      <c r="M43" s="52" t="str">
        <f>IFERROR(__xludf.DUMMYFUNCTION("""COMPUTED_VALUE"""),"")</f>
        <v/>
      </c>
      <c r="N43" s="52"/>
      <c r="O43" s="52"/>
      <c r="P43" s="52"/>
    </row>
    <row r="44">
      <c r="A44" s="58">
        <v>45390.57968729167</v>
      </c>
      <c r="B44" s="52" t="s">
        <v>136</v>
      </c>
      <c r="C44" s="52" t="b">
        <v>0</v>
      </c>
      <c r="D44" s="52"/>
      <c r="E44" s="52"/>
      <c r="F44" s="52"/>
      <c r="G44" s="52"/>
      <c r="H44" s="60">
        <v>95.4</v>
      </c>
      <c r="I44" s="52"/>
      <c r="J44" s="52" t="s">
        <v>11</v>
      </c>
      <c r="K44" s="59">
        <v>45390.0</v>
      </c>
      <c r="L44" s="52" t="s">
        <v>129</v>
      </c>
      <c r="M44" s="52" t="str">
        <f>IFERROR(__xludf.DUMMYFUNCTION("""COMPUTED_VALUE"""),"")</f>
        <v/>
      </c>
      <c r="N44" s="52"/>
      <c r="O44" s="52"/>
      <c r="P44" s="52"/>
    </row>
    <row r="45">
      <c r="A45" s="58">
        <v>45390.63875351852</v>
      </c>
      <c r="B45" s="52" t="s">
        <v>134</v>
      </c>
      <c r="C45" s="52" t="b">
        <v>0</v>
      </c>
      <c r="D45" s="52"/>
      <c r="E45" s="52"/>
      <c r="F45" s="52"/>
      <c r="G45" s="52"/>
      <c r="H45" s="60">
        <v>151.0</v>
      </c>
      <c r="I45" s="52"/>
      <c r="J45" s="52" t="s">
        <v>11</v>
      </c>
      <c r="K45" s="59">
        <v>45390.0</v>
      </c>
      <c r="L45" s="52" t="s">
        <v>129</v>
      </c>
      <c r="M45" s="52">
        <f>IFERROR(__xludf.DUMMYFUNCTION("""COMPUTED_VALUE"""),365.4)</f>
        <v>365.4</v>
      </c>
      <c r="N45" s="52"/>
      <c r="O45" s="52"/>
      <c r="P45" s="52"/>
    </row>
    <row r="46">
      <c r="A46" s="58">
        <v>45391.49402787037</v>
      </c>
      <c r="B46" s="52" t="s">
        <v>141</v>
      </c>
      <c r="C46" s="52" t="b">
        <v>0</v>
      </c>
      <c r="D46" s="52"/>
      <c r="E46" s="52"/>
      <c r="F46" s="52"/>
      <c r="G46" s="52"/>
      <c r="H46" s="60">
        <v>123.0</v>
      </c>
      <c r="I46" s="52"/>
      <c r="J46" s="52" t="s">
        <v>11</v>
      </c>
      <c r="K46" s="59">
        <v>45391.0</v>
      </c>
      <c r="L46" s="52" t="s">
        <v>132</v>
      </c>
      <c r="M46" s="52" t="str">
        <f>IFERROR(__xludf.DUMMYFUNCTION("""COMPUTED_VALUE"""),"")</f>
        <v/>
      </c>
      <c r="N46" s="52"/>
      <c r="O46" s="52"/>
      <c r="P46" s="52"/>
    </row>
    <row r="47">
      <c r="A47" s="58">
        <v>45391.60498539352</v>
      </c>
      <c r="B47" s="52" t="s">
        <v>131</v>
      </c>
      <c r="C47" s="52" t="b">
        <v>0</v>
      </c>
      <c r="D47" s="52"/>
      <c r="E47" s="52"/>
      <c r="F47" s="52"/>
      <c r="G47" s="52"/>
      <c r="H47" s="60">
        <v>95.0</v>
      </c>
      <c r="I47" s="52"/>
      <c r="J47" s="52" t="s">
        <v>11</v>
      </c>
      <c r="K47" s="59">
        <v>45391.0</v>
      </c>
      <c r="L47" s="52" t="s">
        <v>132</v>
      </c>
      <c r="M47" s="52" t="str">
        <f>IFERROR(__xludf.DUMMYFUNCTION("""COMPUTED_VALUE"""),"")</f>
        <v/>
      </c>
      <c r="N47" s="52"/>
      <c r="O47" s="52"/>
      <c r="P47" s="52"/>
    </row>
    <row r="48">
      <c r="A48" s="58">
        <v>45391.87429626157</v>
      </c>
      <c r="B48" s="52" t="s">
        <v>134</v>
      </c>
      <c r="C48" s="52" t="b">
        <v>0</v>
      </c>
      <c r="D48" s="52"/>
      <c r="E48" s="52"/>
      <c r="F48" s="52"/>
      <c r="G48" s="52"/>
      <c r="H48" s="60">
        <v>227.0</v>
      </c>
      <c r="I48" s="52"/>
      <c r="J48" s="52" t="s">
        <v>12</v>
      </c>
      <c r="K48" s="59">
        <v>45391.0</v>
      </c>
      <c r="L48" s="52" t="s">
        <v>132</v>
      </c>
      <c r="M48" s="52">
        <f>IFERROR(__xludf.DUMMYFUNCTION("""COMPUTED_VALUE"""),445.0)</f>
        <v>445</v>
      </c>
      <c r="N48" s="52"/>
      <c r="O48" s="52"/>
      <c r="P48" s="52"/>
    </row>
    <row r="49">
      <c r="A49" s="58">
        <v>45392.39584412037</v>
      </c>
      <c r="B49" s="52" t="s">
        <v>131</v>
      </c>
      <c r="C49" s="52" t="b">
        <v>0</v>
      </c>
      <c r="D49" s="52"/>
      <c r="E49" s="52"/>
      <c r="F49" s="52"/>
      <c r="G49" s="52"/>
      <c r="H49" s="60">
        <v>24.0</v>
      </c>
      <c r="I49" s="52"/>
      <c r="J49" s="52" t="s">
        <v>10</v>
      </c>
      <c r="K49" s="59">
        <v>45392.0</v>
      </c>
      <c r="L49" s="52" t="s">
        <v>135</v>
      </c>
      <c r="M49" s="52" t="str">
        <f>IFERROR(__xludf.DUMMYFUNCTION("""COMPUTED_VALUE"""),"")</f>
        <v/>
      </c>
      <c r="N49" s="52"/>
      <c r="O49" s="52"/>
      <c r="P49" s="52"/>
    </row>
    <row r="50">
      <c r="A50" s="58">
        <v>45392.53708604167</v>
      </c>
      <c r="B50" s="52" t="s">
        <v>130</v>
      </c>
      <c r="C50" s="52" t="b">
        <v>0</v>
      </c>
      <c r="D50" s="52"/>
      <c r="E50" s="52"/>
      <c r="F50" s="52"/>
      <c r="G50" s="52"/>
      <c r="H50" s="60">
        <v>62.0</v>
      </c>
      <c r="I50" s="52"/>
      <c r="J50" s="52" t="s">
        <v>11</v>
      </c>
      <c r="K50" s="59">
        <v>45392.0</v>
      </c>
      <c r="L50" s="52" t="s">
        <v>135</v>
      </c>
      <c r="M50" s="52" t="str">
        <f>IFERROR(__xludf.DUMMYFUNCTION("""COMPUTED_VALUE"""),"")</f>
        <v/>
      </c>
      <c r="N50" s="52"/>
      <c r="O50" s="52"/>
      <c r="P50" s="52"/>
    </row>
    <row r="51">
      <c r="A51" s="58">
        <v>45392.64348349537</v>
      </c>
      <c r="B51" s="52" t="s">
        <v>134</v>
      </c>
      <c r="C51" s="52" t="b">
        <v>0</v>
      </c>
      <c r="D51" s="52"/>
      <c r="E51" s="52"/>
      <c r="F51" s="52"/>
      <c r="G51" s="52"/>
      <c r="H51" s="60">
        <v>161.0</v>
      </c>
      <c r="I51" s="52"/>
      <c r="J51" s="52" t="s">
        <v>11</v>
      </c>
      <c r="K51" s="59">
        <v>45392.0</v>
      </c>
      <c r="L51" s="52" t="s">
        <v>135</v>
      </c>
      <c r="M51" s="52">
        <f>IFERROR(__xludf.DUMMYFUNCTION("""COMPUTED_VALUE"""),247.0)</f>
        <v>247</v>
      </c>
      <c r="N51" s="52"/>
      <c r="O51" s="52"/>
      <c r="P51" s="52"/>
    </row>
    <row r="52">
      <c r="A52" s="58">
        <v>45393.49957605324</v>
      </c>
      <c r="B52" s="52" t="s">
        <v>143</v>
      </c>
      <c r="C52" s="52" t="b">
        <v>0</v>
      </c>
      <c r="D52" s="52"/>
      <c r="E52" s="52"/>
      <c r="F52" s="52"/>
      <c r="G52" s="52"/>
      <c r="H52" s="60">
        <v>115.0</v>
      </c>
      <c r="I52" s="52"/>
      <c r="J52" s="52" t="s">
        <v>11</v>
      </c>
      <c r="K52" s="59">
        <v>45393.0</v>
      </c>
      <c r="L52" s="52" t="s">
        <v>137</v>
      </c>
      <c r="M52" s="52" t="str">
        <f>IFERROR(__xludf.DUMMYFUNCTION("""COMPUTED_VALUE"""),"")</f>
        <v/>
      </c>
      <c r="N52" s="52"/>
      <c r="O52" s="52"/>
      <c r="P52" s="52"/>
    </row>
    <row r="53">
      <c r="A53" s="58">
        <v>45393.72620920139</v>
      </c>
      <c r="B53" s="52" t="s">
        <v>136</v>
      </c>
      <c r="C53" s="52" t="b">
        <v>0</v>
      </c>
      <c r="D53" s="52"/>
      <c r="E53" s="52"/>
      <c r="F53" s="52"/>
      <c r="G53" s="52"/>
      <c r="H53" s="60">
        <v>115.0</v>
      </c>
      <c r="I53" s="52"/>
      <c r="J53" s="52" t="s">
        <v>12</v>
      </c>
      <c r="K53" s="59">
        <v>45393.0</v>
      </c>
      <c r="L53" s="52" t="s">
        <v>137</v>
      </c>
      <c r="M53" s="52">
        <f>IFERROR(__xludf.DUMMYFUNCTION("""COMPUTED_VALUE"""),230.0)</f>
        <v>230</v>
      </c>
      <c r="N53" s="52"/>
      <c r="O53" s="52"/>
      <c r="P53" s="52"/>
    </row>
    <row r="54">
      <c r="A54" s="58">
        <v>45394.4614031713</v>
      </c>
      <c r="B54" s="52" t="s">
        <v>131</v>
      </c>
      <c r="C54" s="52" t="b">
        <v>0</v>
      </c>
      <c r="D54" s="52"/>
      <c r="E54" s="52"/>
      <c r="F54" s="52"/>
      <c r="G54" s="52"/>
      <c r="H54" s="60">
        <v>41.0</v>
      </c>
      <c r="I54" s="52"/>
      <c r="J54" s="52" t="s">
        <v>11</v>
      </c>
      <c r="K54" s="59">
        <v>45394.0</v>
      </c>
      <c r="L54" s="52" t="s">
        <v>138</v>
      </c>
      <c r="M54" s="52">
        <f>IFERROR(__xludf.DUMMYFUNCTION("""COMPUTED_VALUE"""),41.0)</f>
        <v>41</v>
      </c>
      <c r="N54" s="52"/>
      <c r="O54" s="52"/>
      <c r="P54" s="52"/>
    </row>
    <row r="55">
      <c r="A55" s="58">
        <v>45397.39522128472</v>
      </c>
      <c r="B55" s="52" t="s">
        <v>131</v>
      </c>
      <c r="C55" s="52" t="b">
        <v>0</v>
      </c>
      <c r="D55" s="52"/>
      <c r="E55" s="52"/>
      <c r="F55" s="52"/>
      <c r="G55" s="52"/>
      <c r="H55" s="60">
        <v>54.0</v>
      </c>
      <c r="I55" s="52"/>
      <c r="J55" s="52" t="s">
        <v>10</v>
      </c>
      <c r="K55" s="59">
        <v>45397.0</v>
      </c>
      <c r="L55" s="52" t="s">
        <v>129</v>
      </c>
      <c r="M55" s="52" t="str">
        <f>IFERROR(__xludf.DUMMYFUNCTION("""COMPUTED_VALUE"""),"")</f>
        <v/>
      </c>
      <c r="N55" s="52"/>
      <c r="O55" s="52"/>
      <c r="P55" s="52"/>
    </row>
    <row r="56">
      <c r="A56" s="58">
        <v>45397.49620026621</v>
      </c>
      <c r="B56" s="52" t="s">
        <v>130</v>
      </c>
      <c r="C56" s="52" t="b">
        <v>0</v>
      </c>
      <c r="D56" s="52"/>
      <c r="E56" s="52"/>
      <c r="F56" s="52"/>
      <c r="G56" s="52"/>
      <c r="H56" s="60">
        <v>73.0</v>
      </c>
      <c r="I56" s="52"/>
      <c r="J56" s="52" t="s">
        <v>11</v>
      </c>
      <c r="K56" s="59">
        <v>45397.0</v>
      </c>
      <c r="L56" s="52" t="s">
        <v>129</v>
      </c>
      <c r="M56" s="52" t="str">
        <f>IFERROR(__xludf.DUMMYFUNCTION("""COMPUTED_VALUE"""),"")</f>
        <v/>
      </c>
      <c r="N56" s="52"/>
      <c r="O56" s="52"/>
      <c r="P56" s="52"/>
    </row>
    <row r="57">
      <c r="A57" s="58">
        <v>45397.57459721065</v>
      </c>
      <c r="B57" s="52" t="s">
        <v>136</v>
      </c>
      <c r="C57" s="52" t="b">
        <v>0</v>
      </c>
      <c r="D57" s="52"/>
      <c r="E57" s="52"/>
      <c r="F57" s="52"/>
      <c r="G57" s="52"/>
      <c r="H57" s="60">
        <v>112.0</v>
      </c>
      <c r="I57" s="52"/>
      <c r="J57" s="52" t="s">
        <v>11</v>
      </c>
      <c r="K57" s="59">
        <v>45397.0</v>
      </c>
      <c r="L57" s="52" t="s">
        <v>129</v>
      </c>
      <c r="M57" s="52" t="str">
        <f>IFERROR(__xludf.DUMMYFUNCTION("""COMPUTED_VALUE"""),"")</f>
        <v/>
      </c>
      <c r="N57" s="52"/>
      <c r="O57" s="52"/>
      <c r="P57" s="52"/>
    </row>
    <row r="58">
      <c r="A58" s="58">
        <v>45397.79029754629</v>
      </c>
      <c r="B58" s="52" t="s">
        <v>134</v>
      </c>
      <c r="C58" s="52" t="b">
        <v>0</v>
      </c>
      <c r="D58" s="52"/>
      <c r="E58" s="52"/>
      <c r="F58" s="52"/>
      <c r="G58" s="52"/>
      <c r="H58" s="60">
        <v>183.0</v>
      </c>
      <c r="I58" s="52"/>
      <c r="J58" s="52" t="s">
        <v>12</v>
      </c>
      <c r="K58" s="59">
        <v>45397.0</v>
      </c>
      <c r="L58" s="52" t="s">
        <v>129</v>
      </c>
      <c r="M58" s="52">
        <f>IFERROR(__xludf.DUMMYFUNCTION("""COMPUTED_VALUE"""),422.0)</f>
        <v>422</v>
      </c>
      <c r="N58" s="52"/>
      <c r="O58" s="52"/>
      <c r="P58" s="52"/>
    </row>
    <row r="59">
      <c r="A59" s="58">
        <v>45398.49804878472</v>
      </c>
      <c r="B59" s="52" t="s">
        <v>141</v>
      </c>
      <c r="C59" s="52" t="b">
        <v>0</v>
      </c>
      <c r="D59" s="52"/>
      <c r="E59" s="52"/>
      <c r="F59" s="52"/>
      <c r="G59" s="52"/>
      <c r="H59" s="60">
        <v>129.0</v>
      </c>
      <c r="I59" s="52"/>
      <c r="J59" s="52" t="s">
        <v>11</v>
      </c>
      <c r="K59" s="59">
        <v>45398.0</v>
      </c>
      <c r="L59" s="52" t="s">
        <v>132</v>
      </c>
      <c r="M59" s="52" t="str">
        <f>IFERROR(__xludf.DUMMYFUNCTION("""COMPUTED_VALUE"""),"")</f>
        <v/>
      </c>
      <c r="N59" s="52"/>
      <c r="O59" s="52"/>
      <c r="P59" s="52"/>
    </row>
    <row r="60">
      <c r="A60" s="58">
        <v>45398.64969746528</v>
      </c>
      <c r="B60" s="52" t="s">
        <v>136</v>
      </c>
      <c r="C60" s="52" t="b">
        <v>0</v>
      </c>
      <c r="D60" s="52"/>
      <c r="E60" s="52"/>
      <c r="F60" s="52"/>
      <c r="G60" s="52"/>
      <c r="H60" s="60">
        <v>108.9</v>
      </c>
      <c r="I60" s="52"/>
      <c r="J60" s="52" t="s">
        <v>11</v>
      </c>
      <c r="K60" s="59">
        <v>45398.0</v>
      </c>
      <c r="L60" s="52" t="s">
        <v>132</v>
      </c>
      <c r="M60" s="52" t="str">
        <f>IFERROR(__xludf.DUMMYFUNCTION("""COMPUTED_VALUE"""),"")</f>
        <v/>
      </c>
      <c r="N60" s="52"/>
      <c r="O60" s="52"/>
      <c r="P60" s="52"/>
    </row>
    <row r="61">
      <c r="A61" s="58">
        <v>45398.67228358796</v>
      </c>
      <c r="B61" s="52" t="s">
        <v>139</v>
      </c>
      <c r="C61" s="52" t="b">
        <v>0</v>
      </c>
      <c r="D61" s="52"/>
      <c r="E61" s="52"/>
      <c r="F61" s="52"/>
      <c r="G61" s="52"/>
      <c r="H61" s="60">
        <v>68.0</v>
      </c>
      <c r="I61" s="52"/>
      <c r="J61" s="52" t="s">
        <v>12</v>
      </c>
      <c r="K61" s="59">
        <v>45398.0</v>
      </c>
      <c r="L61" s="52" t="s">
        <v>132</v>
      </c>
      <c r="M61" s="52" t="str">
        <f>IFERROR(__xludf.DUMMYFUNCTION("""COMPUTED_VALUE"""),"")</f>
        <v/>
      </c>
      <c r="N61" s="52"/>
      <c r="O61" s="52"/>
      <c r="P61" s="52"/>
    </row>
    <row r="62">
      <c r="A62" s="58">
        <v>45398.87822554398</v>
      </c>
      <c r="B62" s="52" t="s">
        <v>134</v>
      </c>
      <c r="C62" s="52" t="b">
        <v>0</v>
      </c>
      <c r="D62" s="52"/>
      <c r="E62" s="52"/>
      <c r="F62" s="52"/>
      <c r="G62" s="52"/>
      <c r="H62" s="60">
        <v>252.0</v>
      </c>
      <c r="I62" s="52"/>
      <c r="J62" s="52" t="s">
        <v>12</v>
      </c>
      <c r="K62" s="59">
        <v>45398.0</v>
      </c>
      <c r="L62" s="52" t="s">
        <v>132</v>
      </c>
      <c r="M62" s="52">
        <f>IFERROR(__xludf.DUMMYFUNCTION("""COMPUTED_VALUE"""),557.9)</f>
        <v>557.9</v>
      </c>
      <c r="N62" s="52"/>
      <c r="O62" s="52"/>
      <c r="P62" s="52"/>
    </row>
    <row r="63">
      <c r="A63" s="58">
        <v>45399.45836287037</v>
      </c>
      <c r="B63" s="52" t="s">
        <v>131</v>
      </c>
      <c r="C63" s="52" t="b">
        <v>0</v>
      </c>
      <c r="D63" s="52"/>
      <c r="E63" s="52"/>
      <c r="F63" s="52"/>
      <c r="G63" s="52"/>
      <c r="H63" s="60">
        <v>33.0</v>
      </c>
      <c r="I63" s="52"/>
      <c r="J63" s="52" t="s">
        <v>11</v>
      </c>
      <c r="K63" s="59">
        <v>45399.0</v>
      </c>
      <c r="L63" s="52" t="s">
        <v>135</v>
      </c>
      <c r="M63" s="52" t="str">
        <f>IFERROR(__xludf.DUMMYFUNCTION("""COMPUTED_VALUE"""),"")</f>
        <v/>
      </c>
      <c r="N63" s="52"/>
      <c r="O63" s="52"/>
      <c r="P63" s="52"/>
    </row>
    <row r="64">
      <c r="A64" s="58">
        <v>45399.64160498843</v>
      </c>
      <c r="B64" s="52" t="s">
        <v>134</v>
      </c>
      <c r="C64" s="52" t="b">
        <v>0</v>
      </c>
      <c r="D64" s="52"/>
      <c r="E64" s="52"/>
      <c r="F64" s="52"/>
      <c r="G64" s="52"/>
      <c r="H64" s="60">
        <v>166.0</v>
      </c>
      <c r="I64" s="52"/>
      <c r="J64" s="52" t="s">
        <v>11</v>
      </c>
      <c r="K64" s="59">
        <v>45399.0</v>
      </c>
      <c r="L64" s="52" t="s">
        <v>135</v>
      </c>
      <c r="M64" s="52">
        <f>IFERROR(__xludf.DUMMYFUNCTION("""COMPUTED_VALUE"""),199.0)</f>
        <v>199</v>
      </c>
      <c r="N64" s="52"/>
      <c r="O64" s="52"/>
      <c r="P64" s="52"/>
    </row>
    <row r="65">
      <c r="A65" s="58">
        <v>45400.49686623843</v>
      </c>
      <c r="B65" s="52" t="s">
        <v>141</v>
      </c>
      <c r="C65" s="52" t="b">
        <v>0</v>
      </c>
      <c r="D65" s="52"/>
      <c r="E65" s="52"/>
      <c r="F65" s="52"/>
      <c r="G65" s="52"/>
      <c r="H65" s="60">
        <v>100.0</v>
      </c>
      <c r="I65" s="52"/>
      <c r="J65" s="52" t="s">
        <v>11</v>
      </c>
      <c r="K65" s="59">
        <v>45400.0</v>
      </c>
      <c r="L65" s="52" t="s">
        <v>137</v>
      </c>
      <c r="M65" s="52" t="str">
        <f>IFERROR(__xludf.DUMMYFUNCTION("""COMPUTED_VALUE"""),"")</f>
        <v/>
      </c>
      <c r="N65" s="52"/>
      <c r="O65" s="52"/>
      <c r="P65" s="52"/>
    </row>
    <row r="66">
      <c r="A66" s="58">
        <v>45400.66689484954</v>
      </c>
      <c r="B66" s="52" t="s">
        <v>136</v>
      </c>
      <c r="C66" s="52" t="b">
        <v>0</v>
      </c>
      <c r="D66" s="52"/>
      <c r="E66" s="52"/>
      <c r="F66" s="52"/>
      <c r="G66" s="52"/>
      <c r="H66" s="60">
        <v>85.0</v>
      </c>
      <c r="I66" s="52"/>
      <c r="J66" s="52" t="s">
        <v>12</v>
      </c>
      <c r="K66" s="59">
        <v>45400.0</v>
      </c>
      <c r="L66" s="52" t="s">
        <v>137</v>
      </c>
      <c r="M66" s="52">
        <f>IFERROR(__xludf.DUMMYFUNCTION("""COMPUTED_VALUE"""),185.0)</f>
        <v>185</v>
      </c>
      <c r="N66" s="52"/>
      <c r="O66" s="52"/>
      <c r="P66" s="52"/>
    </row>
    <row r="67">
      <c r="A67" s="58">
        <v>45401.47384366898</v>
      </c>
      <c r="B67" s="52" t="s">
        <v>131</v>
      </c>
      <c r="C67" s="52" t="b">
        <v>0</v>
      </c>
      <c r="D67" s="52"/>
      <c r="E67" s="52"/>
      <c r="F67" s="52"/>
      <c r="G67" s="52"/>
      <c r="H67" s="60">
        <v>55.0</v>
      </c>
      <c r="I67" s="52"/>
      <c r="J67" s="52" t="s">
        <v>11</v>
      </c>
      <c r="K67" s="59">
        <v>45401.0</v>
      </c>
      <c r="L67" s="52" t="s">
        <v>138</v>
      </c>
      <c r="M67" s="52">
        <f>IFERROR(__xludf.DUMMYFUNCTION("""COMPUTED_VALUE"""),55.0)</f>
        <v>55</v>
      </c>
      <c r="N67" s="52"/>
      <c r="O67" s="52"/>
      <c r="P67" s="52"/>
    </row>
    <row r="68">
      <c r="A68" s="58">
        <v>45404.39857280093</v>
      </c>
      <c r="B68" s="52" t="s">
        <v>130</v>
      </c>
      <c r="C68" s="52" t="b">
        <v>0</v>
      </c>
      <c r="D68" s="52"/>
      <c r="E68" s="52"/>
      <c r="F68" s="52"/>
      <c r="G68" s="52"/>
      <c r="H68" s="60">
        <v>68.0</v>
      </c>
      <c r="I68" s="52"/>
      <c r="J68" s="52" t="s">
        <v>10</v>
      </c>
      <c r="K68" s="59">
        <v>45404.0</v>
      </c>
      <c r="L68" s="52" t="s">
        <v>129</v>
      </c>
      <c r="M68" s="52" t="str">
        <f>IFERROR(__xludf.DUMMYFUNCTION("""COMPUTED_VALUE"""),"")</f>
        <v/>
      </c>
      <c r="N68" s="52"/>
      <c r="O68" s="52"/>
      <c r="P68" s="52"/>
    </row>
    <row r="69">
      <c r="A69" s="58">
        <v>45404.47806114583</v>
      </c>
      <c r="B69" s="52" t="s">
        <v>130</v>
      </c>
      <c r="C69" s="52" t="b">
        <v>0</v>
      </c>
      <c r="D69" s="52"/>
      <c r="E69" s="52"/>
      <c r="F69" s="52"/>
      <c r="G69" s="52"/>
      <c r="H69" s="60">
        <v>27.0</v>
      </c>
      <c r="I69" s="52"/>
      <c r="J69" s="52" t="s">
        <v>11</v>
      </c>
      <c r="K69" s="59">
        <v>45404.0</v>
      </c>
      <c r="L69" s="52" t="s">
        <v>129</v>
      </c>
      <c r="M69" s="52" t="str">
        <f>IFERROR(__xludf.DUMMYFUNCTION("""COMPUTED_VALUE"""),"")</f>
        <v/>
      </c>
      <c r="N69" s="52"/>
      <c r="O69" s="52"/>
      <c r="P69" s="52"/>
    </row>
    <row r="70">
      <c r="A70" s="58">
        <v>45404.65330383102</v>
      </c>
      <c r="B70" s="52" t="s">
        <v>134</v>
      </c>
      <c r="C70" s="52" t="b">
        <v>0</v>
      </c>
      <c r="D70" s="52"/>
      <c r="E70" s="52"/>
      <c r="F70" s="52"/>
      <c r="G70" s="52"/>
      <c r="H70" s="60">
        <v>218.0</v>
      </c>
      <c r="I70" s="52"/>
      <c r="J70" s="52" t="s">
        <v>11</v>
      </c>
      <c r="K70" s="59">
        <v>45404.0</v>
      </c>
      <c r="L70" s="52" t="s">
        <v>129</v>
      </c>
      <c r="M70" s="52">
        <f>IFERROR(__xludf.DUMMYFUNCTION("""COMPUTED_VALUE"""),313.0)</f>
        <v>313</v>
      </c>
      <c r="N70" s="52"/>
      <c r="O70" s="52"/>
      <c r="P70" s="52"/>
    </row>
    <row r="71">
      <c r="A71" s="58">
        <v>45405.49143359953</v>
      </c>
      <c r="B71" s="52" t="s">
        <v>144</v>
      </c>
      <c r="C71" s="52" t="b">
        <v>0</v>
      </c>
      <c r="D71" s="52"/>
      <c r="E71" s="52"/>
      <c r="F71" s="52"/>
      <c r="G71" s="52"/>
      <c r="H71" s="52">
        <v>128.0</v>
      </c>
      <c r="I71" s="52"/>
      <c r="J71" s="52" t="s">
        <v>11</v>
      </c>
      <c r="K71" s="59">
        <v>45405.0</v>
      </c>
      <c r="L71" s="52" t="s">
        <v>132</v>
      </c>
      <c r="M71" s="52" t="str">
        <f>IFERROR(__xludf.DUMMYFUNCTION("""COMPUTED_VALUE"""),"")</f>
        <v/>
      </c>
      <c r="N71" s="52"/>
      <c r="O71" s="52"/>
      <c r="P71" s="52"/>
    </row>
    <row r="72">
      <c r="A72" s="58">
        <v>45405.75908548611</v>
      </c>
      <c r="B72" s="52" t="s">
        <v>131</v>
      </c>
      <c r="C72" s="52" t="b">
        <v>0</v>
      </c>
      <c r="D72" s="52"/>
      <c r="E72" s="52"/>
      <c r="F72" s="52"/>
      <c r="G72" s="52"/>
      <c r="H72" s="52">
        <v>73.0</v>
      </c>
      <c r="I72" s="52"/>
      <c r="J72" s="52" t="s">
        <v>12</v>
      </c>
      <c r="K72" s="59">
        <v>45405.0</v>
      </c>
      <c r="L72" s="52" t="s">
        <v>132</v>
      </c>
      <c r="M72" s="52" t="str">
        <f>IFERROR(__xludf.DUMMYFUNCTION("""COMPUTED_VALUE"""),"")</f>
        <v/>
      </c>
      <c r="N72" s="52"/>
      <c r="O72" s="52"/>
      <c r="P72" s="52"/>
    </row>
    <row r="73">
      <c r="A73" s="58">
        <v>45405.88573015046</v>
      </c>
      <c r="B73" s="52" t="s">
        <v>134</v>
      </c>
      <c r="C73" s="52" t="b">
        <v>0</v>
      </c>
      <c r="D73" s="52"/>
      <c r="E73" s="52"/>
      <c r="F73" s="52"/>
      <c r="G73" s="52"/>
      <c r="H73" s="52">
        <v>335.0</v>
      </c>
      <c r="I73" s="52"/>
      <c r="J73" s="52" t="s">
        <v>12</v>
      </c>
      <c r="K73" s="59">
        <v>45405.0</v>
      </c>
      <c r="L73" s="52" t="s">
        <v>132</v>
      </c>
      <c r="M73" s="52">
        <f>IFERROR(__xludf.DUMMYFUNCTION("""COMPUTED_VALUE"""),536.0)</f>
        <v>536</v>
      </c>
      <c r="N73" s="52"/>
      <c r="O73" s="52"/>
      <c r="P73" s="52"/>
    </row>
    <row r="74">
      <c r="A74" s="58">
        <v>45406.39601630787</v>
      </c>
      <c r="B74" s="52" t="s">
        <v>131</v>
      </c>
      <c r="C74" s="52" t="b">
        <v>0</v>
      </c>
      <c r="D74" s="52"/>
      <c r="E74" s="52"/>
      <c r="F74" s="52"/>
      <c r="G74" s="52"/>
      <c r="H74" s="52">
        <v>30.0</v>
      </c>
      <c r="I74" s="52"/>
      <c r="J74" s="52" t="s">
        <v>10</v>
      </c>
      <c r="K74" s="59">
        <v>45406.0</v>
      </c>
      <c r="L74" s="52" t="s">
        <v>135</v>
      </c>
      <c r="M74" s="52">
        <f>IFERROR(__xludf.DUMMYFUNCTION("""COMPUTED_VALUE"""),30.0)</f>
        <v>30</v>
      </c>
      <c r="N74" s="52"/>
      <c r="O74" s="52"/>
      <c r="P74" s="52"/>
    </row>
    <row r="75">
      <c r="A75" s="58">
        <v>45407.49333091435</v>
      </c>
      <c r="B75" s="52" t="s">
        <v>141</v>
      </c>
      <c r="C75" s="52" t="b">
        <v>0</v>
      </c>
      <c r="D75" s="52"/>
      <c r="E75" s="52"/>
      <c r="F75" s="52"/>
      <c r="G75" s="52"/>
      <c r="H75" s="52">
        <v>107.0</v>
      </c>
      <c r="I75" s="52"/>
      <c r="J75" s="52" t="s">
        <v>11</v>
      </c>
      <c r="K75" s="59">
        <v>45407.0</v>
      </c>
      <c r="L75" s="52" t="s">
        <v>137</v>
      </c>
      <c r="M75" s="52" t="str">
        <f>IFERROR(__xludf.DUMMYFUNCTION("""COMPUTED_VALUE"""),"")</f>
        <v/>
      </c>
      <c r="N75" s="52"/>
      <c r="O75" s="52"/>
      <c r="P75" s="52"/>
    </row>
    <row r="76">
      <c r="A76" s="58">
        <v>45407.67865701389</v>
      </c>
      <c r="B76" s="52" t="s">
        <v>136</v>
      </c>
      <c r="C76" s="52" t="b">
        <v>0</v>
      </c>
      <c r="D76" s="52"/>
      <c r="E76" s="52"/>
      <c r="F76" s="52"/>
      <c r="G76" s="52"/>
      <c r="H76" s="52">
        <v>85.0</v>
      </c>
      <c r="I76" s="52"/>
      <c r="J76" s="52" t="s">
        <v>12</v>
      </c>
      <c r="K76" s="59">
        <v>45407.0</v>
      </c>
      <c r="L76" s="52" t="s">
        <v>137</v>
      </c>
      <c r="M76" s="52">
        <f>IFERROR(__xludf.DUMMYFUNCTION("""COMPUTED_VALUE"""),192.0)</f>
        <v>192</v>
      </c>
      <c r="N76" s="52"/>
      <c r="O76" s="52"/>
      <c r="P76" s="52"/>
    </row>
    <row r="77">
      <c r="A77" s="58">
        <v>45408.46131762731</v>
      </c>
      <c r="B77" s="52" t="s">
        <v>131</v>
      </c>
      <c r="C77" s="52" t="b">
        <v>0</v>
      </c>
      <c r="D77" s="52"/>
      <c r="E77" s="52"/>
      <c r="F77" s="52"/>
      <c r="G77" s="52"/>
      <c r="H77" s="52">
        <v>45.0</v>
      </c>
      <c r="I77" s="52"/>
      <c r="J77" s="52" t="s">
        <v>11</v>
      </c>
      <c r="K77" s="59">
        <v>45408.0</v>
      </c>
      <c r="L77" s="52" t="s">
        <v>138</v>
      </c>
      <c r="M77" s="52">
        <f>IFERROR(__xludf.DUMMYFUNCTION("""COMPUTED_VALUE"""),45.0)</f>
        <v>45</v>
      </c>
      <c r="N77" s="52"/>
      <c r="O77" s="52"/>
      <c r="P77" s="52"/>
    </row>
    <row r="78">
      <c r="A78" s="58">
        <v>45411.36300809028</v>
      </c>
      <c r="B78" s="52" t="s">
        <v>130</v>
      </c>
      <c r="C78" s="52" t="b">
        <v>0</v>
      </c>
      <c r="D78" s="52"/>
      <c r="E78" s="52"/>
      <c r="F78" s="52"/>
      <c r="G78" s="52"/>
      <c r="H78" s="52">
        <v>74.0</v>
      </c>
      <c r="I78" s="52"/>
      <c r="J78" s="52" t="s">
        <v>10</v>
      </c>
      <c r="K78" s="59">
        <v>45411.0</v>
      </c>
      <c r="L78" s="52" t="s">
        <v>129</v>
      </c>
      <c r="M78" s="52" t="str">
        <f>IFERROR(__xludf.DUMMYFUNCTION("""COMPUTED_VALUE"""),"")</f>
        <v/>
      </c>
      <c r="N78" s="52"/>
      <c r="O78" s="52"/>
      <c r="P78" s="52"/>
    </row>
    <row r="79">
      <c r="A79" s="58">
        <v>45411.49698015046</v>
      </c>
      <c r="B79" s="52" t="s">
        <v>130</v>
      </c>
      <c r="C79" s="52" t="b">
        <v>0</v>
      </c>
      <c r="D79" s="52"/>
      <c r="E79" s="52"/>
      <c r="F79" s="52"/>
      <c r="G79" s="52"/>
      <c r="H79" s="52">
        <v>79.0</v>
      </c>
      <c r="I79" s="52"/>
      <c r="J79" s="52" t="s">
        <v>11</v>
      </c>
      <c r="K79" s="59">
        <v>45411.0</v>
      </c>
      <c r="L79" s="52" t="s">
        <v>129</v>
      </c>
      <c r="M79" s="52">
        <f>IFERROR(__xludf.DUMMYFUNCTION("""COMPUTED_VALUE"""),153.0)</f>
        <v>153</v>
      </c>
      <c r="N79" s="52"/>
      <c r="O79" s="52"/>
      <c r="P79" s="52"/>
    </row>
    <row r="80">
      <c r="A80" s="58"/>
      <c r="B80" s="52"/>
      <c r="C80" s="52"/>
      <c r="D80" s="52"/>
      <c r="E80" s="52"/>
      <c r="F80" s="52"/>
      <c r="G80" s="52"/>
      <c r="H80" s="52"/>
      <c r="I80" s="52"/>
      <c r="J80" s="52"/>
      <c r="K80" s="59"/>
      <c r="L80" s="52"/>
      <c r="M80" s="52" t="str">
        <f>IFERROR(__xludf.DUMMYFUNCTION("""COMPUTED_VALUE"""),"")</f>
        <v/>
      </c>
      <c r="N80" s="52"/>
      <c r="O80" s="52"/>
      <c r="P80" s="52"/>
    </row>
    <row r="81">
      <c r="A81" s="58"/>
      <c r="B81" s="52"/>
      <c r="C81" s="52"/>
      <c r="D81" s="52"/>
      <c r="E81" s="52"/>
      <c r="F81" s="52"/>
      <c r="G81" s="52"/>
      <c r="H81" s="52"/>
      <c r="I81" s="52"/>
      <c r="J81" s="52"/>
      <c r="K81" s="59"/>
      <c r="L81" s="52"/>
      <c r="M81" s="52" t="str">
        <f>IFERROR(__xludf.DUMMYFUNCTION("""COMPUTED_VALUE"""),"")</f>
        <v/>
      </c>
      <c r="N81" s="52"/>
      <c r="O81" s="52"/>
      <c r="P81" s="52"/>
    </row>
    <row r="82">
      <c r="A82" s="58"/>
      <c r="B82" s="52"/>
      <c r="C82" s="52"/>
      <c r="D82" s="52"/>
      <c r="E82" s="52"/>
      <c r="F82" s="52"/>
      <c r="G82" s="52"/>
      <c r="H82" s="52"/>
      <c r="I82" s="52"/>
      <c r="J82" s="52"/>
      <c r="K82" s="59"/>
      <c r="L82" s="52"/>
      <c r="M82" s="52" t="str">
        <f>IFERROR(__xludf.DUMMYFUNCTION("""COMPUTED_VALUE"""),"")</f>
        <v/>
      </c>
      <c r="N82" s="52"/>
      <c r="O82" s="52"/>
      <c r="P82" s="52"/>
    </row>
    <row r="83">
      <c r="A83" s="58"/>
      <c r="B83" s="52"/>
      <c r="C83" s="52"/>
      <c r="D83" s="52"/>
      <c r="E83" s="52"/>
      <c r="F83" s="52"/>
      <c r="G83" s="52"/>
      <c r="H83" s="52"/>
      <c r="I83" s="52"/>
      <c r="J83" s="52"/>
      <c r="K83" s="59"/>
      <c r="L83" s="52"/>
      <c r="M83" s="52" t="str">
        <f>IFERROR(__xludf.DUMMYFUNCTION("""COMPUTED_VALUE"""),"")</f>
        <v/>
      </c>
      <c r="N83" s="52"/>
      <c r="O83" s="52"/>
      <c r="P83" s="52"/>
    </row>
    <row r="84">
      <c r="A84" s="58"/>
      <c r="B84" s="52"/>
      <c r="C84" s="52"/>
      <c r="D84" s="52"/>
      <c r="E84" s="52"/>
      <c r="F84" s="52"/>
      <c r="G84" s="52"/>
      <c r="H84" s="52"/>
      <c r="I84" s="52"/>
      <c r="J84" s="52"/>
      <c r="K84" s="59"/>
      <c r="L84" s="52"/>
      <c r="M84" s="52" t="str">
        <f>IFERROR(__xludf.DUMMYFUNCTION("""COMPUTED_VALUE"""),"")</f>
        <v/>
      </c>
      <c r="N84" s="52"/>
      <c r="O84" s="52"/>
      <c r="P84" s="52"/>
    </row>
    <row r="85">
      <c r="A85" s="58"/>
      <c r="B85" s="52"/>
      <c r="C85" s="52"/>
      <c r="D85" s="52"/>
      <c r="E85" s="52"/>
      <c r="F85" s="52"/>
      <c r="G85" s="52"/>
      <c r="H85" s="52"/>
      <c r="I85" s="52"/>
      <c r="J85" s="52"/>
      <c r="K85" s="59"/>
      <c r="L85" s="52"/>
      <c r="M85" s="52" t="str">
        <f>IFERROR(__xludf.DUMMYFUNCTION("""COMPUTED_VALUE"""),"")</f>
        <v/>
      </c>
      <c r="N85" s="52"/>
      <c r="O85" s="52"/>
      <c r="P85" s="52"/>
    </row>
    <row r="86">
      <c r="A86" s="58"/>
      <c r="B86" s="52"/>
      <c r="C86" s="52"/>
      <c r="D86" s="52"/>
      <c r="E86" s="52"/>
      <c r="F86" s="52"/>
      <c r="G86" s="52"/>
      <c r="H86" s="52"/>
      <c r="I86" s="52"/>
      <c r="J86" s="52"/>
      <c r="K86" s="59"/>
      <c r="L86" s="52"/>
      <c r="M86" s="52" t="str">
        <f>IFERROR(__xludf.DUMMYFUNCTION("""COMPUTED_VALUE"""),"")</f>
        <v/>
      </c>
      <c r="N86" s="52"/>
      <c r="O86" s="52"/>
      <c r="P86" s="52"/>
    </row>
    <row r="87">
      <c r="A87" s="58"/>
      <c r="B87" s="52"/>
      <c r="C87" s="52"/>
      <c r="D87" s="52"/>
      <c r="E87" s="52"/>
      <c r="F87" s="52"/>
      <c r="G87" s="52"/>
      <c r="H87" s="52"/>
      <c r="I87" s="52"/>
      <c r="J87" s="52"/>
      <c r="K87" s="59"/>
      <c r="L87" s="52"/>
      <c r="M87" s="52" t="str">
        <f>IFERROR(__xludf.DUMMYFUNCTION("""COMPUTED_VALUE"""),"")</f>
        <v/>
      </c>
      <c r="N87" s="52"/>
      <c r="O87" s="52"/>
      <c r="P87" s="52"/>
    </row>
    <row r="88">
      <c r="A88" s="58"/>
      <c r="B88" s="52"/>
      <c r="C88" s="52"/>
      <c r="D88" s="52"/>
      <c r="E88" s="52"/>
      <c r="F88" s="52"/>
      <c r="G88" s="52"/>
      <c r="H88" s="52"/>
      <c r="I88" s="52"/>
      <c r="J88" s="52"/>
      <c r="K88" s="59"/>
      <c r="L88" s="52"/>
      <c r="M88" s="52" t="str">
        <f>IFERROR(__xludf.DUMMYFUNCTION("""COMPUTED_VALUE"""),"")</f>
        <v/>
      </c>
      <c r="N88" s="52"/>
      <c r="O88" s="52"/>
      <c r="P88" s="52"/>
    </row>
    <row r="89">
      <c r="A89" s="58"/>
      <c r="B89" s="52"/>
      <c r="C89" s="52"/>
      <c r="D89" s="52"/>
      <c r="E89" s="52"/>
      <c r="F89" s="52"/>
      <c r="G89" s="52"/>
      <c r="H89" s="52"/>
      <c r="I89" s="52"/>
      <c r="J89" s="52"/>
      <c r="K89" s="59"/>
      <c r="L89" s="52"/>
      <c r="M89" s="52" t="str">
        <f>IFERROR(__xludf.DUMMYFUNCTION("""COMPUTED_VALUE"""),"")</f>
        <v/>
      </c>
      <c r="N89" s="52"/>
      <c r="O89" s="52"/>
      <c r="P89" s="52"/>
    </row>
    <row r="90">
      <c r="A90" s="58"/>
      <c r="B90" s="52"/>
      <c r="C90" s="52"/>
      <c r="D90" s="52"/>
      <c r="E90" s="52"/>
      <c r="F90" s="52"/>
      <c r="G90" s="52"/>
      <c r="H90" s="52"/>
      <c r="I90" s="52"/>
      <c r="J90" s="52"/>
      <c r="K90" s="59"/>
      <c r="L90" s="52"/>
      <c r="M90" s="52" t="str">
        <f>IFERROR(__xludf.DUMMYFUNCTION("""COMPUTED_VALUE"""),"")</f>
        <v/>
      </c>
      <c r="N90" s="52"/>
      <c r="O90" s="52"/>
      <c r="P90" s="52"/>
    </row>
    <row r="91">
      <c r="A91" s="58"/>
      <c r="B91" s="52"/>
      <c r="C91" s="52"/>
      <c r="D91" s="52"/>
      <c r="E91" s="52"/>
      <c r="F91" s="52"/>
      <c r="G91" s="52"/>
      <c r="H91" s="52"/>
      <c r="I91" s="52"/>
      <c r="J91" s="52"/>
      <c r="K91" s="59"/>
      <c r="L91" s="52"/>
      <c r="M91" s="52" t="str">
        <f>IFERROR(__xludf.DUMMYFUNCTION("""COMPUTED_VALUE"""),"")</f>
        <v/>
      </c>
      <c r="N91" s="52"/>
      <c r="O91" s="52"/>
      <c r="P91" s="52"/>
    </row>
    <row r="92">
      <c r="A92" s="58"/>
      <c r="B92" s="52"/>
      <c r="C92" s="52"/>
      <c r="D92" s="52"/>
      <c r="E92" s="52"/>
      <c r="F92" s="52"/>
      <c r="G92" s="52"/>
      <c r="H92" s="52"/>
      <c r="I92" s="52"/>
      <c r="J92" s="52"/>
      <c r="K92" s="59"/>
      <c r="L92" s="52"/>
      <c r="M92" s="52" t="str">
        <f>IFERROR(__xludf.DUMMYFUNCTION("""COMPUTED_VALUE"""),"")</f>
        <v/>
      </c>
      <c r="N92" s="52"/>
      <c r="O92" s="52"/>
      <c r="P92" s="52"/>
    </row>
    <row r="93">
      <c r="A93" s="58"/>
      <c r="B93" s="52"/>
      <c r="C93" s="52"/>
      <c r="D93" s="52"/>
      <c r="E93" s="52"/>
      <c r="F93" s="52"/>
      <c r="G93" s="52"/>
      <c r="H93" s="52"/>
      <c r="I93" s="52"/>
      <c r="J93" s="52"/>
      <c r="K93" s="59"/>
      <c r="L93" s="52"/>
      <c r="M93" s="52" t="str">
        <f>IFERROR(__xludf.DUMMYFUNCTION("""COMPUTED_VALUE"""),"")</f>
        <v/>
      </c>
      <c r="N93" s="52"/>
      <c r="O93" s="52"/>
      <c r="P93" s="52"/>
    </row>
    <row r="94">
      <c r="A94" s="58"/>
      <c r="B94" s="52"/>
      <c r="C94" s="52"/>
      <c r="D94" s="52"/>
      <c r="E94" s="52"/>
      <c r="F94" s="52"/>
      <c r="G94" s="52"/>
      <c r="H94" s="52"/>
      <c r="I94" s="52"/>
      <c r="J94" s="52"/>
      <c r="K94" s="59"/>
      <c r="L94" s="52"/>
      <c r="M94" s="52" t="str">
        <f>IFERROR(__xludf.DUMMYFUNCTION("""COMPUTED_VALUE"""),"")</f>
        <v/>
      </c>
      <c r="N94" s="52"/>
      <c r="O94" s="52"/>
      <c r="P94" s="52"/>
    </row>
    <row r="95">
      <c r="A95" s="58"/>
      <c r="B95" s="52"/>
      <c r="C95" s="52"/>
      <c r="D95" s="52"/>
      <c r="E95" s="52"/>
      <c r="F95" s="52"/>
      <c r="G95" s="52"/>
      <c r="H95" s="52"/>
      <c r="I95" s="52"/>
      <c r="J95" s="52"/>
      <c r="K95" s="59"/>
      <c r="L95" s="52"/>
      <c r="M95" s="52" t="str">
        <f>IFERROR(__xludf.DUMMYFUNCTION("""COMPUTED_VALUE"""),"")</f>
        <v/>
      </c>
      <c r="N95" s="52"/>
      <c r="O95" s="52"/>
      <c r="P95" s="52"/>
    </row>
    <row r="96">
      <c r="A96" s="58"/>
      <c r="B96" s="52"/>
      <c r="C96" s="52"/>
      <c r="D96" s="52"/>
      <c r="E96" s="52"/>
      <c r="F96" s="52"/>
      <c r="G96" s="52"/>
      <c r="H96" s="52"/>
      <c r="I96" s="52"/>
      <c r="J96" s="52"/>
      <c r="K96" s="59"/>
      <c r="L96" s="52"/>
      <c r="M96" s="52" t="str">
        <f>IFERROR(__xludf.DUMMYFUNCTION("""COMPUTED_VALUE"""),"")</f>
        <v/>
      </c>
      <c r="N96" s="52"/>
      <c r="O96" s="52"/>
      <c r="P96" s="52"/>
    </row>
    <row r="97">
      <c r="A97" s="58"/>
      <c r="B97" s="52"/>
      <c r="C97" s="52"/>
      <c r="D97" s="52"/>
      <c r="E97" s="52"/>
      <c r="F97" s="52"/>
      <c r="G97" s="52"/>
      <c r="H97" s="52"/>
      <c r="I97" s="52"/>
      <c r="J97" s="52"/>
      <c r="K97" s="59"/>
      <c r="L97" s="52"/>
      <c r="M97" s="52" t="str">
        <f>IFERROR(__xludf.DUMMYFUNCTION("""COMPUTED_VALUE"""),"")</f>
        <v/>
      </c>
      <c r="N97" s="52"/>
      <c r="O97" s="52"/>
      <c r="P97" s="52"/>
    </row>
    <row r="98">
      <c r="A98" s="58"/>
      <c r="B98" s="52"/>
      <c r="C98" s="52"/>
      <c r="D98" s="52"/>
      <c r="E98" s="52"/>
      <c r="F98" s="52"/>
      <c r="G98" s="52"/>
      <c r="H98" s="52"/>
      <c r="I98" s="52"/>
      <c r="J98" s="52"/>
      <c r="K98" s="59"/>
      <c r="L98" s="52"/>
      <c r="M98" s="52" t="str">
        <f>IFERROR(__xludf.DUMMYFUNCTION("""COMPUTED_VALUE"""),"")</f>
        <v/>
      </c>
      <c r="N98" s="52"/>
      <c r="O98" s="52"/>
      <c r="P98" s="52"/>
    </row>
    <row r="99">
      <c r="A99" s="58"/>
      <c r="B99" s="52"/>
      <c r="C99" s="52"/>
      <c r="D99" s="52"/>
      <c r="E99" s="52"/>
      <c r="F99" s="52"/>
      <c r="G99" s="52"/>
      <c r="H99" s="52"/>
      <c r="I99" s="52"/>
      <c r="J99" s="52"/>
      <c r="K99" s="59"/>
      <c r="L99" s="52"/>
      <c r="M99" s="52" t="str">
        <f>IFERROR(__xludf.DUMMYFUNCTION("""COMPUTED_VALUE"""),"")</f>
        <v/>
      </c>
      <c r="N99" s="52"/>
      <c r="O99" s="52"/>
      <c r="P99" s="52"/>
    </row>
    <row r="100">
      <c r="A100" s="58"/>
      <c r="B100" s="52"/>
      <c r="C100" s="52"/>
      <c r="D100" s="52"/>
      <c r="E100" s="52"/>
      <c r="F100" s="52"/>
      <c r="G100" s="52"/>
      <c r="H100" s="52"/>
      <c r="I100" s="52"/>
      <c r="J100" s="52"/>
      <c r="K100" s="59"/>
      <c r="L100" s="52"/>
      <c r="M100" s="52" t="str">
        <f>IFERROR(__xludf.DUMMYFUNCTION("""COMPUTED_VALUE"""),"")</f>
        <v/>
      </c>
      <c r="N100" s="52"/>
      <c r="O100" s="52"/>
      <c r="P100" s="52"/>
    </row>
    <row r="101">
      <c r="A101" s="58"/>
      <c r="B101" s="52"/>
      <c r="C101" s="52"/>
      <c r="D101" s="52"/>
      <c r="E101" s="52"/>
      <c r="F101" s="52"/>
      <c r="G101" s="52"/>
      <c r="H101" s="52"/>
      <c r="I101" s="52"/>
      <c r="J101" s="52"/>
      <c r="K101" s="59"/>
      <c r="L101" s="52"/>
      <c r="M101" s="52" t="str">
        <f>IFERROR(__xludf.DUMMYFUNCTION("""COMPUTED_VALUE"""),"")</f>
        <v/>
      </c>
      <c r="N101" s="52"/>
      <c r="O101" s="52"/>
      <c r="P101" s="52"/>
    </row>
    <row r="102">
      <c r="A102" s="58"/>
      <c r="B102" s="52"/>
      <c r="C102" s="52"/>
      <c r="D102" s="52"/>
      <c r="E102" s="52"/>
      <c r="F102" s="52"/>
      <c r="G102" s="52"/>
      <c r="H102" s="52"/>
      <c r="I102" s="52"/>
      <c r="J102" s="52"/>
      <c r="K102" s="59"/>
      <c r="L102" s="52"/>
      <c r="M102" s="52" t="str">
        <f>IFERROR(__xludf.DUMMYFUNCTION("""COMPUTED_VALUE"""),"")</f>
        <v/>
      </c>
      <c r="N102" s="52"/>
      <c r="O102" s="52"/>
      <c r="P102" s="52"/>
    </row>
    <row r="103">
      <c r="A103" s="58"/>
      <c r="B103" s="52"/>
      <c r="C103" s="52"/>
      <c r="D103" s="52"/>
      <c r="E103" s="52"/>
      <c r="F103" s="52"/>
      <c r="G103" s="52"/>
      <c r="H103" s="52"/>
      <c r="I103" s="52"/>
      <c r="J103" s="52"/>
      <c r="K103" s="59"/>
      <c r="L103" s="52"/>
      <c r="M103" s="52" t="str">
        <f>IFERROR(__xludf.DUMMYFUNCTION("""COMPUTED_VALUE"""),"")</f>
        <v/>
      </c>
      <c r="N103" s="52"/>
      <c r="O103" s="52"/>
      <c r="P103" s="52"/>
    </row>
    <row r="104">
      <c r="A104" s="58"/>
      <c r="B104" s="52"/>
      <c r="C104" s="52"/>
      <c r="D104" s="52"/>
      <c r="E104" s="52"/>
      <c r="F104" s="52"/>
      <c r="G104" s="52"/>
      <c r="H104" s="52"/>
      <c r="I104" s="52"/>
      <c r="J104" s="52"/>
      <c r="K104" s="59"/>
      <c r="L104" s="52"/>
      <c r="M104" s="52" t="str">
        <f>IFERROR(__xludf.DUMMYFUNCTION("""COMPUTED_VALUE"""),"")</f>
        <v/>
      </c>
      <c r="N104" s="52"/>
      <c r="O104" s="52"/>
      <c r="P104" s="52"/>
    </row>
    <row r="105">
      <c r="A105" s="58"/>
      <c r="B105" s="52"/>
      <c r="C105" s="52"/>
      <c r="D105" s="52"/>
      <c r="E105" s="52"/>
      <c r="F105" s="52"/>
      <c r="G105" s="52"/>
      <c r="H105" s="52"/>
      <c r="I105" s="52"/>
      <c r="J105" s="52"/>
      <c r="K105" s="59"/>
      <c r="L105" s="52"/>
      <c r="M105" s="52" t="str">
        <f>IFERROR(__xludf.DUMMYFUNCTION("""COMPUTED_VALUE"""),"")</f>
        <v/>
      </c>
      <c r="N105" s="52"/>
      <c r="O105" s="52"/>
      <c r="P105" s="52"/>
    </row>
    <row r="106">
      <c r="A106" s="58"/>
      <c r="B106" s="52"/>
      <c r="C106" s="52"/>
      <c r="D106" s="52"/>
      <c r="E106" s="52"/>
      <c r="F106" s="52"/>
      <c r="G106" s="52"/>
      <c r="H106" s="52"/>
      <c r="I106" s="52"/>
      <c r="J106" s="52"/>
      <c r="K106" s="59"/>
      <c r="L106" s="52"/>
      <c r="M106" s="52" t="str">
        <f>IFERROR(__xludf.DUMMYFUNCTION("""COMPUTED_VALUE"""),"")</f>
        <v/>
      </c>
      <c r="N106" s="52"/>
      <c r="O106" s="52"/>
      <c r="P106" s="52"/>
    </row>
    <row r="107">
      <c r="A107" s="58"/>
      <c r="B107" s="52"/>
      <c r="C107" s="52"/>
      <c r="D107" s="52"/>
      <c r="E107" s="52"/>
      <c r="F107" s="52"/>
      <c r="G107" s="52"/>
      <c r="H107" s="52"/>
      <c r="I107" s="52"/>
      <c r="J107" s="52"/>
      <c r="K107" s="59"/>
      <c r="L107" s="52"/>
      <c r="M107" s="52" t="str">
        <f>IFERROR(__xludf.DUMMYFUNCTION("""COMPUTED_VALUE"""),"")</f>
        <v/>
      </c>
      <c r="N107" s="52"/>
      <c r="O107" s="52"/>
      <c r="P107" s="52"/>
    </row>
    <row r="108">
      <c r="A108" s="58"/>
      <c r="B108" s="52"/>
      <c r="C108" s="52"/>
      <c r="D108" s="52"/>
      <c r="E108" s="52"/>
      <c r="F108" s="52"/>
      <c r="G108" s="52"/>
      <c r="H108" s="52"/>
      <c r="I108" s="52"/>
      <c r="J108" s="52"/>
      <c r="K108" s="59"/>
      <c r="L108" s="52"/>
      <c r="M108" s="52" t="str">
        <f>IFERROR(__xludf.DUMMYFUNCTION("""COMPUTED_VALUE"""),"")</f>
        <v/>
      </c>
      <c r="N108" s="52"/>
      <c r="O108" s="52"/>
      <c r="P108" s="52"/>
    </row>
    <row r="109">
      <c r="A109" s="58"/>
      <c r="B109" s="52"/>
      <c r="C109" s="52"/>
      <c r="D109" s="52"/>
      <c r="E109" s="52"/>
      <c r="F109" s="52"/>
      <c r="G109" s="52"/>
      <c r="H109" s="52"/>
      <c r="I109" s="52"/>
      <c r="J109" s="52"/>
      <c r="K109" s="59"/>
      <c r="L109" s="52"/>
      <c r="M109" s="52" t="str">
        <f>IFERROR(__xludf.DUMMYFUNCTION("""COMPUTED_VALUE"""),"")</f>
        <v/>
      </c>
      <c r="N109" s="52"/>
      <c r="O109" s="52"/>
      <c r="P109" s="52"/>
    </row>
    <row r="110">
      <c r="A110" s="58"/>
      <c r="B110" s="52"/>
      <c r="C110" s="52"/>
      <c r="D110" s="52"/>
      <c r="E110" s="52"/>
      <c r="F110" s="52"/>
      <c r="G110" s="52"/>
      <c r="H110" s="52"/>
      <c r="I110" s="52"/>
      <c r="J110" s="52"/>
      <c r="K110" s="59"/>
      <c r="L110" s="52"/>
      <c r="M110" s="52" t="str">
        <f>IFERROR(__xludf.DUMMYFUNCTION("""COMPUTED_VALUE"""),"")</f>
        <v/>
      </c>
      <c r="N110" s="52"/>
      <c r="O110" s="52"/>
      <c r="P110" s="52"/>
    </row>
    <row r="111">
      <c r="A111" s="58"/>
      <c r="B111" s="52"/>
      <c r="C111" s="52"/>
      <c r="D111" s="52"/>
      <c r="E111" s="52"/>
      <c r="F111" s="52"/>
      <c r="G111" s="52"/>
      <c r="H111" s="52"/>
      <c r="I111" s="52"/>
      <c r="J111" s="52"/>
      <c r="K111" s="59"/>
      <c r="L111" s="52"/>
      <c r="M111" s="52" t="str">
        <f>IFERROR(__xludf.DUMMYFUNCTION("""COMPUTED_VALUE"""),"")</f>
        <v/>
      </c>
      <c r="N111" s="52"/>
      <c r="O111" s="52"/>
      <c r="P111" s="52"/>
    </row>
    <row r="112">
      <c r="A112" s="58"/>
      <c r="B112" s="52"/>
      <c r="C112" s="52"/>
      <c r="D112" s="52"/>
      <c r="E112" s="52"/>
      <c r="F112" s="52"/>
      <c r="G112" s="52"/>
      <c r="H112" s="52"/>
      <c r="I112" s="52"/>
      <c r="J112" s="52"/>
      <c r="K112" s="59"/>
      <c r="L112" s="52"/>
      <c r="M112" s="52" t="str">
        <f>IFERROR(__xludf.DUMMYFUNCTION("""COMPUTED_VALUE"""),"")</f>
        <v/>
      </c>
      <c r="N112" s="52"/>
      <c r="O112" s="52"/>
      <c r="P112" s="52"/>
    </row>
    <row r="113">
      <c r="A113" s="58"/>
      <c r="B113" s="52"/>
      <c r="C113" s="52"/>
      <c r="D113" s="52"/>
      <c r="E113" s="52"/>
      <c r="F113" s="52"/>
      <c r="G113" s="52"/>
      <c r="H113" s="52"/>
      <c r="I113" s="52"/>
      <c r="J113" s="52"/>
      <c r="K113" s="59"/>
      <c r="L113" s="52"/>
      <c r="M113" s="52" t="str">
        <f>IFERROR(__xludf.DUMMYFUNCTION("""COMPUTED_VALUE"""),"")</f>
        <v/>
      </c>
      <c r="N113" s="52"/>
      <c r="O113" s="52"/>
      <c r="P113" s="52"/>
    </row>
    <row r="114">
      <c r="A114" s="58"/>
      <c r="B114" s="52"/>
      <c r="C114" s="52"/>
      <c r="D114" s="52"/>
      <c r="E114" s="52"/>
      <c r="F114" s="52"/>
      <c r="G114" s="52"/>
      <c r="H114" s="52"/>
      <c r="I114" s="52"/>
      <c r="J114" s="52"/>
      <c r="K114" s="59"/>
      <c r="L114" s="52"/>
      <c r="M114" s="52" t="str">
        <f>IFERROR(__xludf.DUMMYFUNCTION("""COMPUTED_VALUE"""),"")</f>
        <v/>
      </c>
      <c r="N114" s="52"/>
      <c r="O114" s="52"/>
      <c r="P114" s="52"/>
    </row>
    <row r="115">
      <c r="A115" s="58"/>
      <c r="B115" s="52"/>
      <c r="C115" s="52"/>
      <c r="D115" s="52"/>
      <c r="E115" s="52"/>
      <c r="F115" s="52"/>
      <c r="G115" s="52"/>
      <c r="H115" s="52"/>
      <c r="I115" s="52"/>
      <c r="J115" s="52"/>
      <c r="K115" s="59"/>
      <c r="L115" s="52"/>
      <c r="M115" s="52" t="str">
        <f>IFERROR(__xludf.DUMMYFUNCTION("""COMPUTED_VALUE"""),"")</f>
        <v/>
      </c>
      <c r="N115" s="52"/>
      <c r="O115" s="52"/>
      <c r="P115" s="52"/>
    </row>
    <row r="116">
      <c r="A116" s="58"/>
      <c r="B116" s="52"/>
      <c r="C116" s="52"/>
      <c r="D116" s="52"/>
      <c r="E116" s="52"/>
      <c r="F116" s="52"/>
      <c r="G116" s="52"/>
      <c r="H116" s="52"/>
      <c r="I116" s="52"/>
      <c r="J116" s="52"/>
      <c r="K116" s="59"/>
      <c r="L116" s="52"/>
      <c r="M116" s="52" t="str">
        <f>IFERROR(__xludf.DUMMYFUNCTION("""COMPUTED_VALUE"""),"")</f>
        <v/>
      </c>
      <c r="N116" s="52"/>
      <c r="O116" s="52"/>
      <c r="P116" s="52"/>
    </row>
    <row r="117">
      <c r="A117" s="58"/>
      <c r="B117" s="52"/>
      <c r="C117" s="52"/>
      <c r="D117" s="52"/>
      <c r="E117" s="52"/>
      <c r="F117" s="52"/>
      <c r="G117" s="52"/>
      <c r="H117" s="52"/>
      <c r="I117" s="52"/>
      <c r="J117" s="52"/>
      <c r="K117" s="59"/>
      <c r="L117" s="52"/>
      <c r="M117" s="52" t="str">
        <f>IFERROR(__xludf.DUMMYFUNCTION("""COMPUTED_VALUE"""),"")</f>
        <v/>
      </c>
      <c r="N117" s="52"/>
      <c r="O117" s="52"/>
      <c r="P117" s="52"/>
    </row>
    <row r="118">
      <c r="A118" s="58"/>
      <c r="B118" s="52"/>
      <c r="C118" s="52"/>
      <c r="D118" s="52"/>
      <c r="E118" s="52"/>
      <c r="F118" s="52"/>
      <c r="G118" s="52"/>
      <c r="H118" s="52"/>
      <c r="I118" s="52"/>
      <c r="J118" s="52"/>
      <c r="K118" s="59"/>
      <c r="L118" s="52"/>
      <c r="M118" s="52" t="str">
        <f>IFERROR(__xludf.DUMMYFUNCTION("""COMPUTED_VALUE"""),"")</f>
        <v/>
      </c>
      <c r="N118" s="52"/>
      <c r="O118" s="52"/>
      <c r="P118" s="52"/>
    </row>
    <row r="119">
      <c r="A119" s="58"/>
      <c r="B119" s="52"/>
      <c r="C119" s="52"/>
      <c r="D119" s="52"/>
      <c r="E119" s="52"/>
      <c r="F119" s="52"/>
      <c r="G119" s="52"/>
      <c r="H119" s="52"/>
      <c r="I119" s="52"/>
      <c r="J119" s="52"/>
      <c r="K119" s="59"/>
      <c r="L119" s="52"/>
      <c r="M119" s="52" t="str">
        <f>IFERROR(__xludf.DUMMYFUNCTION("""COMPUTED_VALUE"""),"")</f>
        <v/>
      </c>
      <c r="N119" s="52"/>
      <c r="O119" s="52"/>
      <c r="P119" s="52"/>
    </row>
    <row r="120">
      <c r="A120" s="58"/>
      <c r="B120" s="52"/>
      <c r="C120" s="52"/>
      <c r="D120" s="52"/>
      <c r="E120" s="52"/>
      <c r="F120" s="52"/>
      <c r="G120" s="52"/>
      <c r="H120" s="52"/>
      <c r="I120" s="52"/>
      <c r="J120" s="52"/>
      <c r="K120" s="59"/>
      <c r="L120" s="52"/>
      <c r="M120" s="52" t="str">
        <f>IFERROR(__xludf.DUMMYFUNCTION("""COMPUTED_VALUE"""),"")</f>
        <v/>
      </c>
      <c r="N120" s="52"/>
      <c r="O120" s="52"/>
      <c r="P120" s="52"/>
    </row>
    <row r="121">
      <c r="A121" s="58"/>
      <c r="B121" s="52"/>
      <c r="C121" s="52"/>
      <c r="D121" s="52"/>
      <c r="E121" s="52"/>
      <c r="F121" s="52"/>
      <c r="G121" s="52"/>
      <c r="H121" s="52"/>
      <c r="I121" s="52"/>
      <c r="J121" s="52"/>
      <c r="K121" s="59"/>
      <c r="L121" s="52"/>
      <c r="M121" s="52" t="str">
        <f>IFERROR(__xludf.DUMMYFUNCTION("""COMPUTED_VALUE"""),"")</f>
        <v/>
      </c>
      <c r="N121" s="52"/>
      <c r="O121" s="52"/>
      <c r="P121" s="52"/>
    </row>
    <row r="122">
      <c r="A122" s="58"/>
      <c r="B122" s="52"/>
      <c r="C122" s="52"/>
      <c r="D122" s="52"/>
      <c r="E122" s="52"/>
      <c r="F122" s="52"/>
      <c r="G122" s="52"/>
      <c r="H122" s="52"/>
      <c r="I122" s="52"/>
      <c r="J122" s="52"/>
      <c r="K122" s="59"/>
      <c r="L122" s="52"/>
      <c r="M122" s="52" t="str">
        <f>IFERROR(__xludf.DUMMYFUNCTION("""COMPUTED_VALUE"""),"")</f>
        <v/>
      </c>
      <c r="N122" s="52"/>
      <c r="O122" s="52"/>
      <c r="P122" s="52"/>
    </row>
    <row r="123">
      <c r="A123" s="58"/>
      <c r="B123" s="52"/>
      <c r="C123" s="52"/>
      <c r="D123" s="52"/>
      <c r="E123" s="52"/>
      <c r="F123" s="52"/>
      <c r="G123" s="52"/>
      <c r="H123" s="52"/>
      <c r="I123" s="52"/>
      <c r="J123" s="52"/>
      <c r="K123" s="59"/>
      <c r="L123" s="52"/>
      <c r="M123" s="52" t="str">
        <f>IFERROR(__xludf.DUMMYFUNCTION("""COMPUTED_VALUE"""),"")</f>
        <v/>
      </c>
      <c r="N123" s="52"/>
      <c r="O123" s="52"/>
      <c r="P123" s="52"/>
    </row>
    <row r="124">
      <c r="A124" s="58"/>
      <c r="B124" s="52"/>
      <c r="C124" s="52"/>
      <c r="D124" s="52"/>
      <c r="E124" s="52"/>
      <c r="F124" s="52"/>
      <c r="G124" s="52"/>
      <c r="H124" s="52"/>
      <c r="I124" s="52"/>
      <c r="J124" s="52"/>
      <c r="K124" s="59"/>
      <c r="L124" s="52"/>
      <c r="M124" s="52" t="str">
        <f>IFERROR(__xludf.DUMMYFUNCTION("""COMPUTED_VALUE"""),"")</f>
        <v/>
      </c>
      <c r="N124" s="52"/>
      <c r="O124" s="52"/>
      <c r="P124" s="52"/>
    </row>
    <row r="125">
      <c r="A125" s="58"/>
      <c r="B125" s="52"/>
      <c r="C125" s="52"/>
      <c r="D125" s="52"/>
      <c r="E125" s="52"/>
      <c r="F125" s="52"/>
      <c r="G125" s="52"/>
      <c r="H125" s="52"/>
      <c r="I125" s="52"/>
      <c r="J125" s="52"/>
      <c r="K125" s="59"/>
      <c r="L125" s="52"/>
      <c r="M125" s="52" t="str">
        <f>IFERROR(__xludf.DUMMYFUNCTION("""COMPUTED_VALUE"""),"")</f>
        <v/>
      </c>
      <c r="N125" s="52"/>
      <c r="O125" s="52"/>
      <c r="P125" s="52"/>
    </row>
    <row r="126">
      <c r="A126" s="58"/>
      <c r="B126" s="52"/>
      <c r="C126" s="52"/>
      <c r="D126" s="52"/>
      <c r="E126" s="52"/>
      <c r="F126" s="52"/>
      <c r="G126" s="52"/>
      <c r="H126" s="52"/>
      <c r="I126" s="52"/>
      <c r="J126" s="52"/>
      <c r="K126" s="59"/>
      <c r="L126" s="52"/>
      <c r="M126" s="52" t="str">
        <f>IFERROR(__xludf.DUMMYFUNCTION("""COMPUTED_VALUE"""),"")</f>
        <v/>
      </c>
      <c r="N126" s="52"/>
      <c r="O126" s="52"/>
      <c r="P126" s="52"/>
    </row>
    <row r="127">
      <c r="A127" s="58"/>
      <c r="B127" s="52"/>
      <c r="C127" s="52"/>
      <c r="D127" s="52"/>
      <c r="E127" s="52"/>
      <c r="F127" s="52"/>
      <c r="G127" s="52"/>
      <c r="H127" s="52"/>
      <c r="I127" s="52"/>
      <c r="J127" s="52"/>
      <c r="K127" s="59"/>
      <c r="L127" s="52"/>
      <c r="M127" s="52" t="str">
        <f>IFERROR(__xludf.DUMMYFUNCTION("""COMPUTED_VALUE"""),"")</f>
        <v/>
      </c>
      <c r="N127" s="52"/>
      <c r="O127" s="52"/>
      <c r="P127" s="52"/>
    </row>
    <row r="128">
      <c r="A128" s="58"/>
      <c r="B128" s="52"/>
      <c r="C128" s="52"/>
      <c r="D128" s="52"/>
      <c r="E128" s="52"/>
      <c r="F128" s="52"/>
      <c r="G128" s="52"/>
      <c r="H128" s="52"/>
      <c r="I128" s="52"/>
      <c r="J128" s="52"/>
      <c r="K128" s="59"/>
      <c r="L128" s="52"/>
      <c r="M128" s="52" t="str">
        <f>IFERROR(__xludf.DUMMYFUNCTION("""COMPUTED_VALUE"""),"")</f>
        <v/>
      </c>
      <c r="N128" s="52"/>
      <c r="O128" s="52"/>
      <c r="P128" s="52"/>
    </row>
    <row r="129">
      <c r="A129" s="58"/>
      <c r="B129" s="52"/>
      <c r="C129" s="52"/>
      <c r="D129" s="52"/>
      <c r="E129" s="52"/>
      <c r="F129" s="52"/>
      <c r="G129" s="52"/>
      <c r="H129" s="52"/>
      <c r="I129" s="52"/>
      <c r="J129" s="52"/>
      <c r="K129" s="59"/>
      <c r="L129" s="52"/>
      <c r="M129" s="52" t="str">
        <f>IFERROR(__xludf.DUMMYFUNCTION("""COMPUTED_VALUE"""),"")</f>
        <v/>
      </c>
      <c r="N129" s="52"/>
      <c r="O129" s="52"/>
      <c r="P129" s="52"/>
    </row>
    <row r="130">
      <c r="A130" s="58"/>
      <c r="B130" s="52"/>
      <c r="C130" s="52"/>
      <c r="D130" s="52"/>
      <c r="E130" s="52"/>
      <c r="F130" s="52"/>
      <c r="G130" s="52"/>
      <c r="H130" s="52"/>
      <c r="I130" s="52"/>
      <c r="J130" s="52"/>
      <c r="K130" s="59"/>
      <c r="L130" s="52"/>
      <c r="M130" s="52" t="str">
        <f>IFERROR(__xludf.DUMMYFUNCTION("""COMPUTED_VALUE"""),"")</f>
        <v/>
      </c>
      <c r="N130" s="52"/>
      <c r="O130" s="52"/>
      <c r="P130" s="52"/>
    </row>
    <row r="131">
      <c r="A131" s="58"/>
      <c r="B131" s="52"/>
      <c r="C131" s="52"/>
      <c r="D131" s="52"/>
      <c r="E131" s="52"/>
      <c r="F131" s="52"/>
      <c r="G131" s="52"/>
      <c r="H131" s="52"/>
      <c r="I131" s="52"/>
      <c r="J131" s="52"/>
      <c r="K131" s="59"/>
      <c r="L131" s="52"/>
      <c r="M131" s="52" t="str">
        <f>IFERROR(__xludf.DUMMYFUNCTION("""COMPUTED_VALUE"""),"")</f>
        <v/>
      </c>
      <c r="N131" s="52"/>
      <c r="O131" s="52"/>
      <c r="P131" s="52"/>
    </row>
    <row r="132">
      <c r="A132" s="58"/>
      <c r="B132" s="52"/>
      <c r="C132" s="52"/>
      <c r="D132" s="52"/>
      <c r="E132" s="52"/>
      <c r="F132" s="52"/>
      <c r="G132" s="52"/>
      <c r="H132" s="52"/>
      <c r="I132" s="52"/>
      <c r="J132" s="52"/>
      <c r="K132" s="59"/>
      <c r="L132" s="52"/>
      <c r="M132" s="52" t="str">
        <f>IFERROR(__xludf.DUMMYFUNCTION("""COMPUTED_VALUE"""),"")</f>
        <v/>
      </c>
      <c r="N132" s="52"/>
      <c r="O132" s="52"/>
      <c r="P132" s="52"/>
    </row>
    <row r="133">
      <c r="A133" s="58"/>
      <c r="B133" s="52"/>
      <c r="C133" s="52"/>
      <c r="D133" s="52"/>
      <c r="E133" s="52"/>
      <c r="F133" s="52"/>
      <c r="G133" s="52"/>
      <c r="H133" s="52"/>
      <c r="I133" s="52"/>
      <c r="J133" s="52"/>
      <c r="K133" s="59"/>
      <c r="L133" s="52"/>
      <c r="M133" s="52" t="str">
        <f>IFERROR(__xludf.DUMMYFUNCTION("""COMPUTED_VALUE"""),"")</f>
        <v/>
      </c>
      <c r="N133" s="52"/>
      <c r="O133" s="52"/>
      <c r="P133" s="52"/>
    </row>
    <row r="134">
      <c r="A134" s="58"/>
      <c r="B134" s="52"/>
      <c r="C134" s="52"/>
      <c r="D134" s="52"/>
      <c r="E134" s="52"/>
      <c r="F134" s="52"/>
      <c r="G134" s="52"/>
      <c r="H134" s="52"/>
      <c r="I134" s="52"/>
      <c r="J134" s="52"/>
      <c r="K134" s="59"/>
      <c r="L134" s="52"/>
      <c r="M134" s="52" t="str">
        <f>IFERROR(__xludf.DUMMYFUNCTION("""COMPUTED_VALUE"""),"")</f>
        <v/>
      </c>
      <c r="N134" s="52"/>
      <c r="O134" s="52"/>
      <c r="P134" s="52"/>
    </row>
    <row r="135">
      <c r="A135" s="58"/>
      <c r="B135" s="52"/>
      <c r="C135" s="52"/>
      <c r="D135" s="52"/>
      <c r="E135" s="52"/>
      <c r="F135" s="52"/>
      <c r="G135" s="52"/>
      <c r="H135" s="52"/>
      <c r="I135" s="52"/>
      <c r="J135" s="52"/>
      <c r="K135" s="59"/>
      <c r="L135" s="52"/>
      <c r="M135" s="52" t="str">
        <f>IFERROR(__xludf.DUMMYFUNCTION("""COMPUTED_VALUE"""),"")</f>
        <v/>
      </c>
      <c r="N135" s="52"/>
      <c r="O135" s="52"/>
      <c r="P135" s="52"/>
    </row>
    <row r="136">
      <c r="A136" s="58"/>
      <c r="B136" s="52"/>
      <c r="C136" s="52"/>
      <c r="D136" s="52"/>
      <c r="E136" s="52"/>
      <c r="F136" s="52"/>
      <c r="G136" s="52"/>
      <c r="H136" s="52"/>
      <c r="I136" s="52"/>
      <c r="J136" s="52"/>
      <c r="K136" s="59"/>
      <c r="L136" s="52"/>
      <c r="M136" s="52" t="str">
        <f>IFERROR(__xludf.DUMMYFUNCTION("""COMPUTED_VALUE"""),"")</f>
        <v/>
      </c>
      <c r="N136" s="52"/>
      <c r="O136" s="52"/>
      <c r="P136" s="52"/>
    </row>
    <row r="137">
      <c r="A137" s="58"/>
      <c r="B137" s="52"/>
      <c r="C137" s="52"/>
      <c r="D137" s="52"/>
      <c r="E137" s="52"/>
      <c r="F137" s="52"/>
      <c r="G137" s="52"/>
      <c r="H137" s="52"/>
      <c r="I137" s="52"/>
      <c r="J137" s="52"/>
      <c r="K137" s="59"/>
      <c r="L137" s="52"/>
      <c r="M137" s="52" t="str">
        <f>IFERROR(__xludf.DUMMYFUNCTION("""COMPUTED_VALUE"""),"")</f>
        <v/>
      </c>
      <c r="N137" s="52"/>
      <c r="O137" s="52"/>
      <c r="P137" s="52"/>
    </row>
    <row r="138">
      <c r="A138" s="58"/>
      <c r="B138" s="52"/>
      <c r="C138" s="52"/>
      <c r="D138" s="52"/>
      <c r="E138" s="52"/>
      <c r="F138" s="52"/>
      <c r="G138" s="52"/>
      <c r="H138" s="52"/>
      <c r="I138" s="52"/>
      <c r="J138" s="52"/>
      <c r="K138" s="59"/>
      <c r="L138" s="52"/>
      <c r="M138" s="52" t="str">
        <f>IFERROR(__xludf.DUMMYFUNCTION("""COMPUTED_VALUE"""),"")</f>
        <v/>
      </c>
      <c r="N138" s="52"/>
      <c r="O138" s="52"/>
      <c r="P138" s="52"/>
    </row>
    <row r="139">
      <c r="A139" s="58"/>
      <c r="B139" s="52"/>
      <c r="C139" s="52"/>
      <c r="D139" s="52"/>
      <c r="E139" s="52"/>
      <c r="F139" s="52"/>
      <c r="G139" s="52"/>
      <c r="H139" s="52"/>
      <c r="I139" s="52"/>
      <c r="J139" s="52"/>
      <c r="K139" s="59"/>
      <c r="L139" s="52"/>
      <c r="M139" s="52" t="str">
        <f>IFERROR(__xludf.DUMMYFUNCTION("""COMPUTED_VALUE"""),"")</f>
        <v/>
      </c>
      <c r="N139" s="52"/>
      <c r="O139" s="52"/>
      <c r="P139" s="52"/>
    </row>
    <row r="140">
      <c r="A140" s="58"/>
      <c r="B140" s="52"/>
      <c r="C140" s="52"/>
      <c r="D140" s="52"/>
      <c r="E140" s="52"/>
      <c r="F140" s="52"/>
      <c r="G140" s="52"/>
      <c r="H140" s="52"/>
      <c r="I140" s="52"/>
      <c r="J140" s="52"/>
      <c r="K140" s="59"/>
      <c r="L140" s="52"/>
      <c r="M140" s="52" t="str">
        <f>IFERROR(__xludf.DUMMYFUNCTION("""COMPUTED_VALUE"""),"")</f>
        <v/>
      </c>
      <c r="N140" s="52"/>
      <c r="O140" s="52"/>
      <c r="P140" s="52"/>
    </row>
    <row r="141">
      <c r="A141" s="58"/>
      <c r="B141" s="52"/>
      <c r="C141" s="52"/>
      <c r="D141" s="52"/>
      <c r="E141" s="52"/>
      <c r="F141" s="52"/>
      <c r="G141" s="52"/>
      <c r="H141" s="52"/>
      <c r="I141" s="52"/>
      <c r="J141" s="52"/>
      <c r="K141" s="59"/>
      <c r="L141" s="52"/>
      <c r="M141" s="52" t="str">
        <f>IFERROR(__xludf.DUMMYFUNCTION("""COMPUTED_VALUE"""),"")</f>
        <v/>
      </c>
      <c r="N141" s="52"/>
      <c r="O141" s="52"/>
      <c r="P141" s="52"/>
    </row>
    <row r="142">
      <c r="A142" s="58"/>
      <c r="B142" s="52"/>
      <c r="C142" s="52"/>
      <c r="D142" s="52"/>
      <c r="E142" s="52"/>
      <c r="F142" s="52"/>
      <c r="G142" s="52"/>
      <c r="H142" s="52"/>
      <c r="I142" s="52"/>
      <c r="J142" s="52"/>
      <c r="K142" s="59"/>
      <c r="L142" s="52"/>
      <c r="M142" s="52" t="str">
        <f>IFERROR(__xludf.DUMMYFUNCTION("""COMPUTED_VALUE"""),"")</f>
        <v/>
      </c>
      <c r="N142" s="52"/>
      <c r="O142" s="52"/>
      <c r="P142" s="52"/>
    </row>
    <row r="143">
      <c r="A143" s="58"/>
      <c r="B143" s="52"/>
      <c r="C143" s="52"/>
      <c r="D143" s="52"/>
      <c r="E143" s="52"/>
      <c r="F143" s="52"/>
      <c r="G143" s="52"/>
      <c r="H143" s="52"/>
      <c r="I143" s="52"/>
      <c r="J143" s="52"/>
      <c r="K143" s="59"/>
      <c r="L143" s="52"/>
      <c r="M143" s="52" t="str">
        <f>IFERROR(__xludf.DUMMYFUNCTION("""COMPUTED_VALUE"""),"")</f>
        <v/>
      </c>
      <c r="N143" s="52"/>
      <c r="O143" s="52"/>
      <c r="P143" s="52"/>
    </row>
    <row r="144">
      <c r="A144" s="58"/>
      <c r="B144" s="52"/>
      <c r="C144" s="52"/>
      <c r="D144" s="52"/>
      <c r="E144" s="52"/>
      <c r="F144" s="52"/>
      <c r="G144" s="52"/>
      <c r="H144" s="52"/>
      <c r="I144" s="52"/>
      <c r="J144" s="52"/>
      <c r="K144" s="59"/>
      <c r="L144" s="52"/>
      <c r="M144" s="52" t="str">
        <f>IFERROR(__xludf.DUMMYFUNCTION("""COMPUTED_VALUE"""),"")</f>
        <v/>
      </c>
      <c r="N144" s="52"/>
      <c r="O144" s="52"/>
      <c r="P144" s="52"/>
    </row>
    <row r="145">
      <c r="A145" s="58"/>
      <c r="B145" s="52"/>
      <c r="C145" s="52"/>
      <c r="D145" s="52"/>
      <c r="E145" s="52"/>
      <c r="F145" s="52"/>
      <c r="G145" s="52"/>
      <c r="H145" s="52"/>
      <c r="I145" s="52"/>
      <c r="J145" s="52"/>
      <c r="K145" s="59"/>
      <c r="L145" s="52"/>
      <c r="M145" s="52" t="str">
        <f>IFERROR(__xludf.DUMMYFUNCTION("""COMPUTED_VALUE"""),"")</f>
        <v/>
      </c>
      <c r="N145" s="52"/>
      <c r="O145" s="52"/>
      <c r="P145" s="52"/>
    </row>
    <row r="146">
      <c r="A146" s="58"/>
      <c r="B146" s="52"/>
      <c r="C146" s="52"/>
      <c r="D146" s="52"/>
      <c r="E146" s="52"/>
      <c r="F146" s="52"/>
      <c r="G146" s="52"/>
      <c r="H146" s="52"/>
      <c r="I146" s="52"/>
      <c r="J146" s="52"/>
      <c r="K146" s="59"/>
      <c r="L146" s="52"/>
      <c r="M146" s="52" t="str">
        <f>IFERROR(__xludf.DUMMYFUNCTION("""COMPUTED_VALUE"""),"")</f>
        <v/>
      </c>
      <c r="N146" s="52"/>
      <c r="O146" s="52"/>
      <c r="P146" s="52"/>
    </row>
    <row r="147">
      <c r="A147" s="58"/>
      <c r="B147" s="52"/>
      <c r="C147" s="52"/>
      <c r="D147" s="52"/>
      <c r="E147" s="52"/>
      <c r="F147" s="52"/>
      <c r="G147" s="52"/>
      <c r="H147" s="52"/>
      <c r="I147" s="52"/>
      <c r="J147" s="52"/>
      <c r="K147" s="59"/>
      <c r="L147" s="52"/>
      <c r="M147" s="52" t="str">
        <f>IFERROR(__xludf.DUMMYFUNCTION("""COMPUTED_VALUE"""),"")</f>
        <v/>
      </c>
      <c r="N147" s="52"/>
      <c r="O147" s="52"/>
      <c r="P147" s="52"/>
    </row>
    <row r="148">
      <c r="A148" s="58"/>
      <c r="B148" s="52"/>
      <c r="C148" s="52"/>
      <c r="D148" s="52"/>
      <c r="E148" s="52"/>
      <c r="F148" s="52"/>
      <c r="G148" s="52"/>
      <c r="H148" s="52"/>
      <c r="I148" s="52"/>
      <c r="J148" s="52"/>
      <c r="K148" s="59"/>
      <c r="L148" s="52"/>
      <c r="M148" s="52" t="str">
        <f>IFERROR(__xludf.DUMMYFUNCTION("""COMPUTED_VALUE"""),"")</f>
        <v/>
      </c>
      <c r="N148" s="52"/>
      <c r="O148" s="52"/>
      <c r="P148" s="52"/>
    </row>
    <row r="149">
      <c r="A149" s="58"/>
      <c r="B149" s="52"/>
      <c r="C149" s="52"/>
      <c r="D149" s="52"/>
      <c r="E149" s="52"/>
      <c r="F149" s="52"/>
      <c r="G149" s="52"/>
      <c r="H149" s="52"/>
      <c r="I149" s="52"/>
      <c r="J149" s="52"/>
      <c r="K149" s="59"/>
      <c r="L149" s="52"/>
      <c r="M149" s="52" t="str">
        <f>IFERROR(__xludf.DUMMYFUNCTION("""COMPUTED_VALUE"""),"")</f>
        <v/>
      </c>
      <c r="N149" s="52"/>
      <c r="O149" s="52"/>
      <c r="P149" s="52"/>
    </row>
    <row r="150">
      <c r="A150" s="58"/>
      <c r="B150" s="52"/>
      <c r="C150" s="52"/>
      <c r="D150" s="52"/>
      <c r="E150" s="52"/>
      <c r="F150" s="52"/>
      <c r="G150" s="52"/>
      <c r="H150" s="52"/>
      <c r="I150" s="52"/>
      <c r="J150" s="52"/>
      <c r="K150" s="59"/>
      <c r="L150" s="52"/>
      <c r="M150" s="52" t="str">
        <f>IFERROR(__xludf.DUMMYFUNCTION("""COMPUTED_VALUE"""),"")</f>
        <v/>
      </c>
      <c r="N150" s="52"/>
      <c r="O150" s="52"/>
      <c r="P150" s="52"/>
    </row>
    <row r="151">
      <c r="A151" s="58"/>
      <c r="B151" s="52"/>
      <c r="C151" s="52"/>
      <c r="D151" s="52"/>
      <c r="E151" s="52"/>
      <c r="F151" s="52"/>
      <c r="G151" s="52"/>
      <c r="H151" s="52"/>
      <c r="I151" s="52"/>
      <c r="J151" s="52"/>
      <c r="K151" s="59"/>
      <c r="L151" s="52"/>
      <c r="M151" s="52" t="str">
        <f>IFERROR(__xludf.DUMMYFUNCTION("""COMPUTED_VALUE"""),"")</f>
        <v/>
      </c>
      <c r="N151" s="52"/>
      <c r="O151" s="52"/>
      <c r="P151" s="52"/>
    </row>
    <row r="152">
      <c r="A152" s="58"/>
      <c r="B152" s="52"/>
      <c r="C152" s="52"/>
      <c r="D152" s="52"/>
      <c r="E152" s="52"/>
      <c r="F152" s="52"/>
      <c r="G152" s="52"/>
      <c r="H152" s="52"/>
      <c r="I152" s="52"/>
      <c r="J152" s="52"/>
      <c r="K152" s="59"/>
      <c r="L152" s="52"/>
      <c r="M152" s="52" t="str">
        <f>IFERROR(__xludf.DUMMYFUNCTION("""COMPUTED_VALUE"""),"")</f>
        <v/>
      </c>
      <c r="N152" s="52"/>
      <c r="O152" s="52"/>
      <c r="P152" s="52"/>
    </row>
    <row r="153">
      <c r="A153" s="58"/>
      <c r="B153" s="52"/>
      <c r="C153" s="52"/>
      <c r="D153" s="52"/>
      <c r="E153" s="52"/>
      <c r="F153" s="52"/>
      <c r="G153" s="52"/>
      <c r="H153" s="52"/>
      <c r="I153" s="52"/>
      <c r="J153" s="52"/>
      <c r="K153" s="59"/>
      <c r="L153" s="52"/>
      <c r="M153" s="52" t="str">
        <f>IFERROR(__xludf.DUMMYFUNCTION("""COMPUTED_VALUE"""),"")</f>
        <v/>
      </c>
      <c r="N153" s="52"/>
      <c r="O153" s="52"/>
      <c r="P153" s="52"/>
    </row>
    <row r="154">
      <c r="A154" s="58"/>
      <c r="B154" s="52"/>
      <c r="C154" s="52"/>
      <c r="D154" s="52"/>
      <c r="E154" s="52"/>
      <c r="F154" s="52"/>
      <c r="G154" s="52"/>
      <c r="H154" s="52"/>
      <c r="I154" s="52"/>
      <c r="J154" s="52"/>
      <c r="K154" s="59"/>
      <c r="L154" s="52"/>
      <c r="M154" s="52" t="str">
        <f>IFERROR(__xludf.DUMMYFUNCTION("""COMPUTED_VALUE"""),"")</f>
        <v/>
      </c>
      <c r="N154" s="52"/>
      <c r="O154" s="52"/>
      <c r="P154" s="52"/>
    </row>
    <row r="155">
      <c r="A155" s="58"/>
      <c r="B155" s="52"/>
      <c r="C155" s="52"/>
      <c r="D155" s="52"/>
      <c r="E155" s="52"/>
      <c r="F155" s="52"/>
      <c r="G155" s="52"/>
      <c r="H155" s="52"/>
      <c r="I155" s="52"/>
      <c r="J155" s="52"/>
      <c r="K155" s="59"/>
      <c r="L155" s="52"/>
      <c r="M155" s="52" t="str">
        <f>IFERROR(__xludf.DUMMYFUNCTION("""COMPUTED_VALUE"""),"")</f>
        <v/>
      </c>
      <c r="N155" s="52"/>
      <c r="O155" s="52"/>
      <c r="P155" s="52"/>
    </row>
    <row r="156">
      <c r="A156" s="58"/>
      <c r="B156" s="52"/>
      <c r="C156" s="52"/>
      <c r="D156" s="52"/>
      <c r="E156" s="52"/>
      <c r="F156" s="52"/>
      <c r="G156" s="52"/>
      <c r="H156" s="52"/>
      <c r="I156" s="52"/>
      <c r="J156" s="52"/>
      <c r="K156" s="59"/>
      <c r="L156" s="52"/>
      <c r="M156" s="52" t="str">
        <f>IFERROR(__xludf.DUMMYFUNCTION("""COMPUTED_VALUE"""),"")</f>
        <v/>
      </c>
      <c r="N156" s="52"/>
      <c r="O156" s="52"/>
      <c r="P156" s="52"/>
    </row>
    <row r="157">
      <c r="A157" s="58"/>
      <c r="B157" s="52"/>
      <c r="C157" s="52"/>
      <c r="D157" s="52"/>
      <c r="E157" s="52"/>
      <c r="F157" s="52"/>
      <c r="G157" s="52"/>
      <c r="H157" s="52"/>
      <c r="I157" s="52"/>
      <c r="J157" s="52"/>
      <c r="K157" s="59"/>
      <c r="L157" s="52"/>
      <c r="M157" s="52" t="str">
        <f>IFERROR(__xludf.DUMMYFUNCTION("""COMPUTED_VALUE"""),"")</f>
        <v/>
      </c>
      <c r="N157" s="52"/>
      <c r="O157" s="52"/>
      <c r="P157" s="52"/>
    </row>
    <row r="158">
      <c r="A158" s="58"/>
      <c r="B158" s="52"/>
      <c r="C158" s="52"/>
      <c r="D158" s="52"/>
      <c r="E158" s="52"/>
      <c r="F158" s="52"/>
      <c r="G158" s="52"/>
      <c r="H158" s="52"/>
      <c r="I158" s="52"/>
      <c r="J158" s="52"/>
      <c r="K158" s="59"/>
      <c r="L158" s="52"/>
      <c r="M158" s="52" t="str">
        <f>IFERROR(__xludf.DUMMYFUNCTION("""COMPUTED_VALUE"""),"")</f>
        <v/>
      </c>
      <c r="N158" s="52"/>
      <c r="O158" s="52"/>
      <c r="P158" s="52"/>
    </row>
    <row r="159">
      <c r="A159" s="58"/>
      <c r="B159" s="52"/>
      <c r="C159" s="52"/>
      <c r="D159" s="52"/>
      <c r="E159" s="52"/>
      <c r="F159" s="52"/>
      <c r="G159" s="52"/>
      <c r="H159" s="52"/>
      <c r="I159" s="52"/>
      <c r="J159" s="52"/>
      <c r="K159" s="59"/>
      <c r="L159" s="52"/>
      <c r="M159" s="52" t="str">
        <f>IFERROR(__xludf.DUMMYFUNCTION("""COMPUTED_VALUE"""),"")</f>
        <v/>
      </c>
      <c r="N159" s="52"/>
      <c r="O159" s="52"/>
      <c r="P159" s="52"/>
    </row>
    <row r="160">
      <c r="A160" s="58"/>
      <c r="B160" s="52"/>
      <c r="C160" s="52"/>
      <c r="D160" s="52"/>
      <c r="E160" s="52"/>
      <c r="F160" s="52"/>
      <c r="G160" s="52"/>
      <c r="H160" s="52"/>
      <c r="I160" s="52"/>
      <c r="J160" s="52"/>
      <c r="K160" s="59"/>
      <c r="L160" s="52"/>
      <c r="M160" s="52" t="str">
        <f>IFERROR(__xludf.DUMMYFUNCTION("""COMPUTED_VALUE"""),"")</f>
        <v/>
      </c>
      <c r="N160" s="52"/>
      <c r="O160" s="52"/>
      <c r="P160" s="52"/>
    </row>
    <row r="161">
      <c r="A161" s="58"/>
      <c r="B161" s="52"/>
      <c r="C161" s="52"/>
      <c r="D161" s="52"/>
      <c r="E161" s="52"/>
      <c r="F161" s="52"/>
      <c r="G161" s="52"/>
      <c r="H161" s="52"/>
      <c r="I161" s="52"/>
      <c r="J161" s="52"/>
      <c r="K161" s="59"/>
      <c r="L161" s="52"/>
      <c r="M161" s="52" t="str">
        <f>IFERROR(__xludf.DUMMYFUNCTION("""COMPUTED_VALUE"""),"")</f>
        <v/>
      </c>
      <c r="N161" s="52"/>
      <c r="O161" s="52"/>
      <c r="P161" s="52"/>
    </row>
    <row r="162">
      <c r="A162" s="58"/>
      <c r="B162" s="52"/>
      <c r="C162" s="52"/>
      <c r="D162" s="52"/>
      <c r="E162" s="52"/>
      <c r="F162" s="52"/>
      <c r="G162" s="52"/>
      <c r="H162" s="52"/>
      <c r="I162" s="52"/>
      <c r="J162" s="52"/>
      <c r="K162" s="59"/>
      <c r="L162" s="52"/>
      <c r="M162" s="52" t="str">
        <f>IFERROR(__xludf.DUMMYFUNCTION("""COMPUTED_VALUE"""),"")</f>
        <v/>
      </c>
      <c r="N162" s="52"/>
      <c r="O162" s="52"/>
      <c r="P162" s="52"/>
    </row>
    <row r="163">
      <c r="A163" s="58"/>
      <c r="B163" s="52"/>
      <c r="C163" s="52"/>
      <c r="D163" s="52"/>
      <c r="E163" s="52"/>
      <c r="F163" s="52"/>
      <c r="G163" s="52"/>
      <c r="H163" s="52"/>
      <c r="I163" s="52"/>
      <c r="J163" s="52"/>
      <c r="K163" s="59"/>
      <c r="L163" s="52"/>
      <c r="M163" s="52" t="str">
        <f>IFERROR(__xludf.DUMMYFUNCTION("""COMPUTED_VALUE"""),"")</f>
        <v/>
      </c>
      <c r="N163" s="52"/>
      <c r="O163" s="52"/>
      <c r="P163" s="52"/>
    </row>
    <row r="164">
      <c r="A164" s="58"/>
      <c r="B164" s="52"/>
      <c r="C164" s="52"/>
      <c r="D164" s="52"/>
      <c r="E164" s="52"/>
      <c r="F164" s="52"/>
      <c r="G164" s="52"/>
      <c r="H164" s="52"/>
      <c r="I164" s="52"/>
      <c r="J164" s="52"/>
      <c r="K164" s="59"/>
      <c r="L164" s="52"/>
      <c r="M164" s="52" t="str">
        <f>IFERROR(__xludf.DUMMYFUNCTION("""COMPUTED_VALUE"""),"")</f>
        <v/>
      </c>
      <c r="N164" s="52"/>
      <c r="O164" s="52"/>
      <c r="P164" s="52"/>
    </row>
    <row r="165">
      <c r="A165" s="58"/>
      <c r="B165" s="52"/>
      <c r="C165" s="52"/>
      <c r="D165" s="52"/>
      <c r="E165" s="52"/>
      <c r="F165" s="52"/>
      <c r="G165" s="52"/>
      <c r="H165" s="52"/>
      <c r="I165" s="52"/>
      <c r="J165" s="52"/>
      <c r="K165" s="59"/>
      <c r="L165" s="52"/>
      <c r="M165" s="52" t="str">
        <f>IFERROR(__xludf.DUMMYFUNCTION("""COMPUTED_VALUE"""),"")</f>
        <v/>
      </c>
      <c r="N165" s="52"/>
      <c r="O165" s="52"/>
      <c r="P165" s="52"/>
    </row>
    <row r="166">
      <c r="A166" s="58"/>
      <c r="B166" s="52"/>
      <c r="C166" s="52"/>
      <c r="D166" s="52"/>
      <c r="E166" s="52"/>
      <c r="F166" s="52"/>
      <c r="G166" s="52"/>
      <c r="H166" s="52"/>
      <c r="I166" s="52"/>
      <c r="J166" s="52"/>
      <c r="K166" s="59"/>
      <c r="L166" s="52"/>
      <c r="M166" s="52" t="str">
        <f>IFERROR(__xludf.DUMMYFUNCTION("""COMPUTED_VALUE"""),"")</f>
        <v/>
      </c>
      <c r="N166" s="52"/>
      <c r="O166" s="52"/>
      <c r="P166" s="52"/>
    </row>
    <row r="167">
      <c r="A167" s="58"/>
      <c r="B167" s="52"/>
      <c r="C167" s="52"/>
      <c r="D167" s="52"/>
      <c r="E167" s="52"/>
      <c r="F167" s="52"/>
      <c r="G167" s="52"/>
      <c r="H167" s="52"/>
      <c r="I167" s="52"/>
      <c r="J167" s="52"/>
      <c r="K167" s="59"/>
      <c r="L167" s="52"/>
      <c r="M167" s="52" t="str">
        <f>IFERROR(__xludf.DUMMYFUNCTION("""COMPUTED_VALUE"""),"")</f>
        <v/>
      </c>
      <c r="N167" s="52"/>
      <c r="O167" s="52"/>
      <c r="P167" s="52"/>
    </row>
    <row r="168">
      <c r="A168" s="58"/>
      <c r="B168" s="52"/>
      <c r="C168" s="52"/>
      <c r="D168" s="52"/>
      <c r="E168" s="52"/>
      <c r="F168" s="52"/>
      <c r="G168" s="52"/>
      <c r="H168" s="52"/>
      <c r="I168" s="52"/>
      <c r="J168" s="52"/>
      <c r="K168" s="59"/>
      <c r="L168" s="52"/>
      <c r="M168" s="52" t="str">
        <f>IFERROR(__xludf.DUMMYFUNCTION("""COMPUTED_VALUE"""),"")</f>
        <v/>
      </c>
      <c r="N168" s="52"/>
      <c r="O168" s="52"/>
      <c r="P168" s="52"/>
    </row>
    <row r="169">
      <c r="A169" s="58"/>
      <c r="B169" s="52"/>
      <c r="C169" s="52"/>
      <c r="D169" s="52"/>
      <c r="E169" s="52"/>
      <c r="F169" s="52"/>
      <c r="G169" s="52"/>
      <c r="H169" s="52"/>
      <c r="I169" s="52"/>
      <c r="J169" s="52"/>
      <c r="K169" s="59"/>
      <c r="L169" s="52"/>
      <c r="M169" s="52" t="str">
        <f>IFERROR(__xludf.DUMMYFUNCTION("""COMPUTED_VALUE"""),"")</f>
        <v/>
      </c>
      <c r="N169" s="52"/>
      <c r="O169" s="52"/>
      <c r="P169" s="52"/>
    </row>
    <row r="170">
      <c r="A170" s="58"/>
      <c r="B170" s="52"/>
      <c r="C170" s="52"/>
      <c r="D170" s="52"/>
      <c r="E170" s="52"/>
      <c r="F170" s="52"/>
      <c r="G170" s="52"/>
      <c r="H170" s="52"/>
      <c r="I170" s="52"/>
      <c r="J170" s="52"/>
      <c r="K170" s="59"/>
      <c r="L170" s="52"/>
      <c r="M170" s="52" t="str">
        <f>IFERROR(__xludf.DUMMYFUNCTION("""COMPUTED_VALUE"""),"")</f>
        <v/>
      </c>
      <c r="N170" s="52"/>
      <c r="O170" s="52"/>
      <c r="P170" s="52"/>
    </row>
    <row r="171">
      <c r="A171" s="58"/>
      <c r="B171" s="52"/>
      <c r="C171" s="52"/>
      <c r="D171" s="52"/>
      <c r="E171" s="52"/>
      <c r="F171" s="52"/>
      <c r="G171" s="52"/>
      <c r="H171" s="52"/>
      <c r="I171" s="52"/>
      <c r="J171" s="52"/>
      <c r="K171" s="59"/>
      <c r="L171" s="52"/>
      <c r="M171" s="52" t="str">
        <f>IFERROR(__xludf.DUMMYFUNCTION("""COMPUTED_VALUE"""),"")</f>
        <v/>
      </c>
      <c r="N171" s="52"/>
      <c r="O171" s="52"/>
      <c r="P171" s="52"/>
    </row>
    <row r="172">
      <c r="A172" s="58"/>
      <c r="B172" s="52"/>
      <c r="C172" s="52"/>
      <c r="D172" s="52"/>
      <c r="E172" s="52"/>
      <c r="F172" s="52"/>
      <c r="G172" s="52"/>
      <c r="H172" s="52"/>
      <c r="I172" s="52"/>
      <c r="J172" s="52"/>
      <c r="K172" s="59"/>
      <c r="L172" s="52"/>
      <c r="M172" s="52" t="str">
        <f>IFERROR(__xludf.DUMMYFUNCTION("""COMPUTED_VALUE"""),"")</f>
        <v/>
      </c>
      <c r="N172" s="52"/>
      <c r="O172" s="52"/>
      <c r="P172" s="52"/>
    </row>
    <row r="173">
      <c r="A173" s="58"/>
      <c r="B173" s="52"/>
      <c r="C173" s="52"/>
      <c r="D173" s="52"/>
      <c r="E173" s="52"/>
      <c r="F173" s="52"/>
      <c r="G173" s="52"/>
      <c r="H173" s="52"/>
      <c r="I173" s="52"/>
      <c r="J173" s="52"/>
      <c r="K173" s="59"/>
      <c r="L173" s="52"/>
      <c r="M173" s="52" t="str">
        <f>IFERROR(__xludf.DUMMYFUNCTION("""COMPUTED_VALUE"""),"")</f>
        <v/>
      </c>
      <c r="N173" s="52"/>
      <c r="O173" s="52"/>
      <c r="P173" s="52"/>
    </row>
    <row r="174">
      <c r="A174" s="58"/>
      <c r="B174" s="52"/>
      <c r="C174" s="52"/>
      <c r="D174" s="52"/>
      <c r="E174" s="52"/>
      <c r="F174" s="52"/>
      <c r="G174" s="52"/>
      <c r="H174" s="52"/>
      <c r="I174" s="52"/>
      <c r="J174" s="52"/>
      <c r="K174" s="59"/>
      <c r="L174" s="52"/>
      <c r="M174" s="52" t="str">
        <f>IFERROR(__xludf.DUMMYFUNCTION("""COMPUTED_VALUE"""),"")</f>
        <v/>
      </c>
      <c r="N174" s="52"/>
      <c r="O174" s="52"/>
      <c r="P174" s="52"/>
    </row>
    <row r="175">
      <c r="A175" s="58"/>
      <c r="B175" s="52"/>
      <c r="C175" s="52"/>
      <c r="D175" s="52"/>
      <c r="E175" s="52"/>
      <c r="F175" s="52"/>
      <c r="G175" s="52"/>
      <c r="H175" s="52"/>
      <c r="I175" s="52"/>
      <c r="J175" s="52"/>
      <c r="K175" s="59"/>
      <c r="L175" s="52"/>
      <c r="M175" s="52" t="str">
        <f>IFERROR(__xludf.DUMMYFUNCTION("""COMPUTED_VALUE"""),"")</f>
        <v/>
      </c>
      <c r="N175" s="52"/>
      <c r="O175" s="52"/>
      <c r="P175" s="52"/>
    </row>
    <row r="176">
      <c r="A176" s="58"/>
      <c r="B176" s="52"/>
      <c r="C176" s="52"/>
      <c r="D176" s="52"/>
      <c r="E176" s="52"/>
      <c r="F176" s="52"/>
      <c r="G176" s="52"/>
      <c r="H176" s="52"/>
      <c r="I176" s="52"/>
      <c r="J176" s="52"/>
      <c r="K176" s="59"/>
      <c r="L176" s="52"/>
      <c r="M176" s="52" t="str">
        <f>IFERROR(__xludf.DUMMYFUNCTION("""COMPUTED_VALUE"""),"")</f>
        <v/>
      </c>
      <c r="N176" s="52"/>
      <c r="O176" s="52"/>
      <c r="P176" s="52"/>
    </row>
    <row r="177">
      <c r="A177" s="58"/>
      <c r="B177" s="52"/>
      <c r="C177" s="52"/>
      <c r="D177" s="52"/>
      <c r="E177" s="52"/>
      <c r="F177" s="52"/>
      <c r="G177" s="52"/>
      <c r="H177" s="52"/>
      <c r="I177" s="52"/>
      <c r="J177" s="52"/>
      <c r="K177" s="59"/>
      <c r="L177" s="52"/>
      <c r="M177" s="52" t="str">
        <f>IFERROR(__xludf.DUMMYFUNCTION("""COMPUTED_VALUE"""),"")</f>
        <v/>
      </c>
      <c r="N177" s="52"/>
      <c r="O177" s="52"/>
      <c r="P177" s="52"/>
    </row>
    <row r="178">
      <c r="A178" s="58"/>
      <c r="B178" s="52"/>
      <c r="C178" s="52"/>
      <c r="D178" s="52"/>
      <c r="E178" s="52"/>
      <c r="F178" s="52"/>
      <c r="G178" s="52"/>
      <c r="H178" s="52"/>
      <c r="I178" s="52"/>
      <c r="J178" s="52"/>
      <c r="K178" s="59"/>
      <c r="L178" s="52"/>
      <c r="M178" s="52" t="str">
        <f>IFERROR(__xludf.DUMMYFUNCTION("""COMPUTED_VALUE"""),"")</f>
        <v/>
      </c>
      <c r="N178" s="52"/>
      <c r="O178" s="52"/>
      <c r="P178" s="52"/>
    </row>
    <row r="179">
      <c r="A179" s="58"/>
      <c r="B179" s="52"/>
      <c r="C179" s="52"/>
      <c r="D179" s="52"/>
      <c r="E179" s="52"/>
      <c r="F179" s="52"/>
      <c r="G179" s="52"/>
      <c r="H179" s="52"/>
      <c r="I179" s="52"/>
      <c r="J179" s="52"/>
      <c r="K179" s="59"/>
      <c r="L179" s="52"/>
      <c r="M179" s="52" t="str">
        <f>IFERROR(__xludf.DUMMYFUNCTION("""COMPUTED_VALUE"""),"")</f>
        <v/>
      </c>
      <c r="N179" s="52"/>
      <c r="O179" s="52"/>
      <c r="P179" s="52"/>
    </row>
    <row r="180">
      <c r="A180" s="58"/>
      <c r="B180" s="52"/>
      <c r="C180" s="52"/>
      <c r="D180" s="52"/>
      <c r="E180" s="52"/>
      <c r="F180" s="52"/>
      <c r="G180" s="52"/>
      <c r="H180" s="52"/>
      <c r="I180" s="52"/>
      <c r="J180" s="52"/>
      <c r="K180" s="59"/>
      <c r="L180" s="52"/>
      <c r="M180" s="52" t="str">
        <f>IFERROR(__xludf.DUMMYFUNCTION("""COMPUTED_VALUE"""),"")</f>
        <v/>
      </c>
      <c r="N180" s="52"/>
      <c r="O180" s="52"/>
      <c r="P180" s="52"/>
    </row>
    <row r="181">
      <c r="A181" s="58"/>
      <c r="B181" s="52"/>
      <c r="C181" s="52"/>
      <c r="D181" s="52"/>
      <c r="E181" s="52"/>
      <c r="F181" s="52"/>
      <c r="G181" s="52"/>
      <c r="H181" s="52"/>
      <c r="I181" s="52"/>
      <c r="J181" s="52"/>
      <c r="K181" s="59"/>
      <c r="L181" s="52"/>
      <c r="M181" s="52" t="str">
        <f>IFERROR(__xludf.DUMMYFUNCTION("""COMPUTED_VALUE"""),"")</f>
        <v/>
      </c>
      <c r="N181" s="52"/>
      <c r="O181" s="52"/>
      <c r="P181" s="52"/>
    </row>
    <row r="182">
      <c r="A182" s="58"/>
      <c r="B182" s="52"/>
      <c r="C182" s="52"/>
      <c r="D182" s="52"/>
      <c r="E182" s="52"/>
      <c r="F182" s="52"/>
      <c r="G182" s="52"/>
      <c r="H182" s="52"/>
      <c r="I182" s="52"/>
      <c r="J182" s="52"/>
      <c r="K182" s="59"/>
      <c r="L182" s="52"/>
      <c r="M182" s="52" t="str">
        <f>IFERROR(__xludf.DUMMYFUNCTION("""COMPUTED_VALUE"""),"")</f>
        <v/>
      </c>
      <c r="N182" s="52"/>
      <c r="O182" s="52"/>
      <c r="P182" s="52"/>
    </row>
    <row r="183">
      <c r="A183" s="58"/>
      <c r="B183" s="52"/>
      <c r="C183" s="52"/>
      <c r="D183" s="52"/>
      <c r="E183" s="52"/>
      <c r="F183" s="52"/>
      <c r="G183" s="52"/>
      <c r="H183" s="52"/>
      <c r="I183" s="52"/>
      <c r="J183" s="52"/>
      <c r="K183" s="59"/>
      <c r="L183" s="52"/>
      <c r="M183" s="52" t="str">
        <f>IFERROR(__xludf.DUMMYFUNCTION("""COMPUTED_VALUE"""),"")</f>
        <v/>
      </c>
      <c r="N183" s="52"/>
      <c r="O183" s="52"/>
      <c r="P183" s="52"/>
    </row>
    <row r="184">
      <c r="A184" s="58"/>
      <c r="B184" s="52"/>
      <c r="C184" s="52"/>
      <c r="D184" s="52"/>
      <c r="E184" s="52"/>
      <c r="F184" s="52"/>
      <c r="G184" s="52"/>
      <c r="H184" s="52"/>
      <c r="I184" s="52"/>
      <c r="J184" s="52"/>
      <c r="K184" s="59"/>
      <c r="L184" s="52"/>
      <c r="M184" s="52" t="str">
        <f>IFERROR(__xludf.DUMMYFUNCTION("""COMPUTED_VALUE"""),"")</f>
        <v/>
      </c>
      <c r="N184" s="52"/>
      <c r="O184" s="52"/>
      <c r="P184" s="52"/>
    </row>
    <row r="185">
      <c r="A185" s="58"/>
      <c r="B185" s="52"/>
      <c r="C185" s="52"/>
      <c r="D185" s="52"/>
      <c r="E185" s="52"/>
      <c r="F185" s="52"/>
      <c r="G185" s="52"/>
      <c r="H185" s="52"/>
      <c r="I185" s="52"/>
      <c r="J185" s="52"/>
      <c r="K185" s="59"/>
      <c r="L185" s="52"/>
      <c r="M185" s="52" t="str">
        <f>IFERROR(__xludf.DUMMYFUNCTION("""COMPUTED_VALUE"""),"")</f>
        <v/>
      </c>
      <c r="N185" s="52"/>
      <c r="O185" s="52"/>
      <c r="P185" s="52"/>
    </row>
    <row r="186">
      <c r="A186" s="58"/>
      <c r="B186" s="52"/>
      <c r="C186" s="52"/>
      <c r="D186" s="52"/>
      <c r="E186" s="52"/>
      <c r="F186" s="52"/>
      <c r="G186" s="52"/>
      <c r="H186" s="52"/>
      <c r="I186" s="52"/>
      <c r="J186" s="52"/>
      <c r="K186" s="59"/>
      <c r="L186" s="52"/>
      <c r="M186" s="52" t="str">
        <f>IFERROR(__xludf.DUMMYFUNCTION("""COMPUTED_VALUE"""),"")</f>
        <v/>
      </c>
      <c r="N186" s="52"/>
      <c r="O186" s="52"/>
      <c r="P186" s="52"/>
    </row>
    <row r="187">
      <c r="A187" s="58"/>
      <c r="B187" s="52"/>
      <c r="C187" s="52"/>
      <c r="D187" s="52"/>
      <c r="E187" s="52"/>
      <c r="F187" s="52"/>
      <c r="G187" s="52"/>
      <c r="H187" s="52"/>
      <c r="I187" s="52"/>
      <c r="J187" s="52"/>
      <c r="K187" s="59"/>
      <c r="L187" s="52"/>
      <c r="M187" s="52" t="str">
        <f>IFERROR(__xludf.DUMMYFUNCTION("""COMPUTED_VALUE"""),"")</f>
        <v/>
      </c>
      <c r="N187" s="52"/>
      <c r="O187" s="52"/>
      <c r="P187" s="52"/>
    </row>
    <row r="188">
      <c r="A188" s="58"/>
      <c r="B188" s="52"/>
      <c r="C188" s="52"/>
      <c r="D188" s="52"/>
      <c r="E188" s="52"/>
      <c r="F188" s="52"/>
      <c r="G188" s="52"/>
      <c r="H188" s="52"/>
      <c r="I188" s="52"/>
      <c r="J188" s="52"/>
      <c r="K188" s="59"/>
      <c r="L188" s="52"/>
      <c r="M188" s="52" t="str">
        <f>IFERROR(__xludf.DUMMYFUNCTION("""COMPUTED_VALUE"""),"")</f>
        <v/>
      </c>
      <c r="N188" s="52"/>
      <c r="O188" s="52"/>
      <c r="P188" s="52"/>
    </row>
    <row r="189">
      <c r="A189" s="58"/>
      <c r="B189" s="52"/>
      <c r="C189" s="52"/>
      <c r="D189" s="52"/>
      <c r="E189" s="52"/>
      <c r="F189" s="52"/>
      <c r="G189" s="52"/>
      <c r="H189" s="52"/>
      <c r="I189" s="52"/>
      <c r="J189" s="52"/>
      <c r="K189" s="59"/>
      <c r="L189" s="52"/>
      <c r="M189" s="52" t="str">
        <f>IFERROR(__xludf.DUMMYFUNCTION("""COMPUTED_VALUE"""),"")</f>
        <v/>
      </c>
      <c r="N189" s="52"/>
      <c r="O189" s="52"/>
      <c r="P189" s="52"/>
    </row>
    <row r="190">
      <c r="A190" s="58"/>
      <c r="B190" s="52"/>
      <c r="C190" s="52"/>
      <c r="D190" s="52"/>
      <c r="E190" s="52"/>
      <c r="F190" s="52"/>
      <c r="G190" s="52"/>
      <c r="H190" s="52"/>
      <c r="I190" s="52"/>
      <c r="J190" s="52"/>
      <c r="K190" s="59"/>
      <c r="L190" s="52"/>
      <c r="M190" s="52" t="str">
        <f>IFERROR(__xludf.DUMMYFUNCTION("""COMPUTED_VALUE"""),"")</f>
        <v/>
      </c>
      <c r="N190" s="52"/>
      <c r="O190" s="52"/>
      <c r="P190" s="52"/>
    </row>
    <row r="191">
      <c r="A191" s="58"/>
      <c r="B191" s="52"/>
      <c r="C191" s="52"/>
      <c r="D191" s="52"/>
      <c r="E191" s="52"/>
      <c r="F191" s="52"/>
      <c r="G191" s="52"/>
      <c r="H191" s="52"/>
      <c r="I191" s="52"/>
      <c r="J191" s="52"/>
      <c r="K191" s="59"/>
      <c r="L191" s="52"/>
      <c r="M191" s="52" t="str">
        <f>IFERROR(__xludf.DUMMYFUNCTION("""COMPUTED_VALUE"""),"")</f>
        <v/>
      </c>
      <c r="N191" s="52"/>
      <c r="O191" s="52"/>
      <c r="P191" s="52"/>
    </row>
    <row r="192">
      <c r="A192" s="58"/>
      <c r="B192" s="52"/>
      <c r="C192" s="52"/>
      <c r="D192" s="52"/>
      <c r="E192" s="52"/>
      <c r="F192" s="52"/>
      <c r="G192" s="52"/>
      <c r="H192" s="52"/>
      <c r="I192" s="52"/>
      <c r="J192" s="52"/>
      <c r="K192" s="59"/>
      <c r="L192" s="52"/>
      <c r="M192" s="52" t="str">
        <f>IFERROR(__xludf.DUMMYFUNCTION("""COMPUTED_VALUE"""),"")</f>
        <v/>
      </c>
      <c r="N192" s="52"/>
      <c r="O192" s="52"/>
      <c r="P192" s="52"/>
    </row>
    <row r="193">
      <c r="A193" s="58"/>
      <c r="B193" s="52"/>
      <c r="C193" s="52"/>
      <c r="D193" s="52"/>
      <c r="E193" s="52"/>
      <c r="F193" s="52"/>
      <c r="G193" s="52"/>
      <c r="H193" s="52"/>
      <c r="I193" s="52"/>
      <c r="J193" s="52"/>
      <c r="K193" s="59"/>
      <c r="L193" s="52"/>
      <c r="M193" s="52" t="str">
        <f>IFERROR(__xludf.DUMMYFUNCTION("""COMPUTED_VALUE"""),"")</f>
        <v/>
      </c>
      <c r="N193" s="52"/>
      <c r="O193" s="52"/>
      <c r="P193" s="52"/>
    </row>
    <row r="194">
      <c r="A194" s="58"/>
      <c r="B194" s="52"/>
      <c r="C194" s="52"/>
      <c r="D194" s="52"/>
      <c r="E194" s="52"/>
      <c r="F194" s="52"/>
      <c r="G194" s="52"/>
      <c r="H194" s="52"/>
      <c r="I194" s="52"/>
      <c r="J194" s="52"/>
      <c r="K194" s="59"/>
      <c r="L194" s="52"/>
      <c r="M194" s="52" t="str">
        <f>IFERROR(__xludf.DUMMYFUNCTION("""COMPUTED_VALUE"""),"")</f>
        <v/>
      </c>
      <c r="N194" s="52"/>
      <c r="O194" s="52"/>
      <c r="P194" s="52"/>
    </row>
    <row r="195">
      <c r="A195" s="58"/>
      <c r="B195" s="52"/>
      <c r="C195" s="52"/>
      <c r="D195" s="52"/>
      <c r="E195" s="52"/>
      <c r="F195" s="52"/>
      <c r="G195" s="52"/>
      <c r="H195" s="52"/>
      <c r="I195" s="52"/>
      <c r="J195" s="52"/>
      <c r="K195" s="59"/>
      <c r="L195" s="52"/>
      <c r="M195" s="52" t="str">
        <f>IFERROR(__xludf.DUMMYFUNCTION("""COMPUTED_VALUE"""),"")</f>
        <v/>
      </c>
      <c r="N195" s="52"/>
      <c r="O195" s="52"/>
      <c r="P195" s="52"/>
    </row>
    <row r="196">
      <c r="A196" s="58"/>
      <c r="B196" s="52"/>
      <c r="C196" s="52"/>
      <c r="D196" s="52"/>
      <c r="E196" s="52"/>
      <c r="F196" s="52"/>
      <c r="G196" s="52"/>
      <c r="H196" s="52"/>
      <c r="I196" s="52"/>
      <c r="J196" s="52"/>
      <c r="K196" s="59"/>
      <c r="L196" s="52"/>
      <c r="M196" s="52" t="str">
        <f>IFERROR(__xludf.DUMMYFUNCTION("""COMPUTED_VALUE"""),"")</f>
        <v/>
      </c>
      <c r="N196" s="52"/>
      <c r="O196" s="52"/>
      <c r="P196" s="52"/>
    </row>
    <row r="197">
      <c r="A197" s="58"/>
      <c r="B197" s="52"/>
      <c r="C197" s="52"/>
      <c r="D197" s="52"/>
      <c r="E197" s="52"/>
      <c r="F197" s="52"/>
      <c r="G197" s="52"/>
      <c r="H197" s="52"/>
      <c r="I197" s="52"/>
      <c r="J197" s="52"/>
      <c r="K197" s="59"/>
      <c r="L197" s="52"/>
      <c r="M197" s="52" t="str">
        <f>IFERROR(__xludf.DUMMYFUNCTION("""COMPUTED_VALUE"""),"")</f>
        <v/>
      </c>
      <c r="N197" s="52"/>
      <c r="O197" s="52"/>
      <c r="P197" s="52"/>
    </row>
    <row r="198">
      <c r="A198" s="58"/>
      <c r="B198" s="52"/>
      <c r="C198" s="52"/>
      <c r="D198" s="52"/>
      <c r="E198" s="52"/>
      <c r="F198" s="52"/>
      <c r="G198" s="52"/>
      <c r="H198" s="52"/>
      <c r="I198" s="52"/>
      <c r="J198" s="52"/>
      <c r="K198" s="59"/>
      <c r="L198" s="52"/>
      <c r="M198" s="52" t="str">
        <f>IFERROR(__xludf.DUMMYFUNCTION("""COMPUTED_VALUE"""),"")</f>
        <v/>
      </c>
      <c r="N198" s="52"/>
      <c r="O198" s="52"/>
      <c r="P198" s="52"/>
    </row>
    <row r="199">
      <c r="A199" s="58"/>
      <c r="B199" s="52"/>
      <c r="C199" s="52"/>
      <c r="D199" s="52"/>
      <c r="E199" s="52"/>
      <c r="F199" s="52"/>
      <c r="G199" s="52"/>
      <c r="H199" s="52"/>
      <c r="I199" s="52"/>
      <c r="J199" s="52"/>
      <c r="K199" s="59"/>
      <c r="L199" s="52"/>
      <c r="M199" s="52" t="str">
        <f>IFERROR(__xludf.DUMMYFUNCTION("""COMPUTED_VALUE"""),"")</f>
        <v/>
      </c>
      <c r="N199" s="52"/>
      <c r="O199" s="52"/>
      <c r="P199" s="52"/>
    </row>
    <row r="200">
      <c r="A200" s="58"/>
      <c r="B200" s="52"/>
      <c r="C200" s="52"/>
      <c r="D200" s="52"/>
      <c r="E200" s="52"/>
      <c r="F200" s="52"/>
      <c r="G200" s="52"/>
      <c r="H200" s="52"/>
      <c r="I200" s="52"/>
      <c r="J200" s="52"/>
      <c r="K200" s="59"/>
      <c r="L200" s="52"/>
      <c r="M200" s="52" t="str">
        <f>IFERROR(__xludf.DUMMYFUNCTION("""COMPUTED_VALUE"""),"")</f>
        <v/>
      </c>
      <c r="N200" s="52"/>
      <c r="O200" s="52"/>
      <c r="P200" s="52"/>
    </row>
    <row r="201">
      <c r="A201" s="58"/>
      <c r="B201" s="52"/>
      <c r="C201" s="52"/>
      <c r="D201" s="52"/>
      <c r="E201" s="52"/>
      <c r="F201" s="52"/>
      <c r="G201" s="52"/>
      <c r="H201" s="52"/>
      <c r="I201" s="52"/>
      <c r="J201" s="52"/>
      <c r="K201" s="59"/>
      <c r="L201" s="52"/>
      <c r="M201" s="52" t="str">
        <f>IFERROR(__xludf.DUMMYFUNCTION("""COMPUTED_VALUE"""),"")</f>
        <v/>
      </c>
      <c r="N201" s="52"/>
      <c r="O201" s="52"/>
      <c r="P201" s="52"/>
    </row>
    <row r="202">
      <c r="A202" s="58"/>
      <c r="B202" s="52"/>
      <c r="C202" s="52"/>
      <c r="D202" s="52"/>
      <c r="E202" s="52"/>
      <c r="F202" s="52"/>
      <c r="G202" s="52"/>
      <c r="H202" s="52"/>
      <c r="I202" s="52"/>
      <c r="J202" s="52"/>
      <c r="K202" s="59"/>
      <c r="L202" s="52"/>
      <c r="M202" s="52" t="str">
        <f>IFERROR(__xludf.DUMMYFUNCTION("""COMPUTED_VALUE"""),"")</f>
        <v/>
      </c>
      <c r="N202" s="52"/>
      <c r="O202" s="52"/>
      <c r="P202" s="52"/>
    </row>
    <row r="203">
      <c r="A203" s="58"/>
      <c r="B203" s="52"/>
      <c r="C203" s="52"/>
      <c r="D203" s="52"/>
      <c r="E203" s="52"/>
      <c r="F203" s="52"/>
      <c r="G203" s="52"/>
      <c r="H203" s="52"/>
      <c r="I203" s="52"/>
      <c r="J203" s="52"/>
      <c r="K203" s="59"/>
      <c r="L203" s="52"/>
      <c r="M203" s="52" t="str">
        <f>IFERROR(__xludf.DUMMYFUNCTION("""COMPUTED_VALUE"""),"")</f>
        <v/>
      </c>
      <c r="N203" s="52"/>
      <c r="O203" s="52"/>
      <c r="P203" s="52"/>
    </row>
    <row r="204">
      <c r="A204" s="58"/>
      <c r="B204" s="52"/>
      <c r="C204" s="52"/>
      <c r="D204" s="52"/>
      <c r="E204" s="52"/>
      <c r="F204" s="52"/>
      <c r="G204" s="52"/>
      <c r="H204" s="52"/>
      <c r="I204" s="52"/>
      <c r="J204" s="52"/>
      <c r="K204" s="59"/>
      <c r="L204" s="52"/>
      <c r="M204" s="52" t="str">
        <f>IFERROR(__xludf.DUMMYFUNCTION("""COMPUTED_VALUE"""),"")</f>
        <v/>
      </c>
      <c r="N204" s="52"/>
      <c r="O204" s="52"/>
      <c r="P204" s="52"/>
    </row>
    <row r="205">
      <c r="A205" s="58"/>
      <c r="B205" s="52"/>
      <c r="C205" s="52"/>
      <c r="D205" s="52"/>
      <c r="E205" s="52"/>
      <c r="F205" s="52"/>
      <c r="G205" s="52"/>
      <c r="H205" s="52"/>
      <c r="I205" s="52"/>
      <c r="J205" s="52"/>
      <c r="K205" s="59"/>
      <c r="L205" s="52"/>
      <c r="M205" s="52" t="str">
        <f>IFERROR(__xludf.DUMMYFUNCTION("""COMPUTED_VALUE"""),"")</f>
        <v/>
      </c>
      <c r="N205" s="52"/>
      <c r="O205" s="52"/>
      <c r="P205" s="52"/>
    </row>
    <row r="206">
      <c r="A206" s="58"/>
      <c r="B206" s="52"/>
      <c r="C206" s="52"/>
      <c r="D206" s="52"/>
      <c r="E206" s="52"/>
      <c r="F206" s="52"/>
      <c r="G206" s="52"/>
      <c r="H206" s="52"/>
      <c r="I206" s="52"/>
      <c r="J206" s="52"/>
      <c r="K206" s="59"/>
      <c r="L206" s="52"/>
      <c r="M206" s="52" t="str">
        <f>IFERROR(__xludf.DUMMYFUNCTION("""COMPUTED_VALUE"""),"")</f>
        <v/>
      </c>
      <c r="N206" s="52"/>
      <c r="O206" s="52"/>
      <c r="P206" s="52"/>
    </row>
    <row r="207">
      <c r="A207" s="58"/>
      <c r="B207" s="52"/>
      <c r="C207" s="52"/>
      <c r="D207" s="52"/>
      <c r="E207" s="52"/>
      <c r="F207" s="52"/>
      <c r="G207" s="52"/>
      <c r="H207" s="52"/>
      <c r="I207" s="52"/>
      <c r="J207" s="52"/>
      <c r="K207" s="59"/>
      <c r="L207" s="52"/>
      <c r="M207" s="52" t="str">
        <f>IFERROR(__xludf.DUMMYFUNCTION("""COMPUTED_VALUE"""),"")</f>
        <v/>
      </c>
      <c r="N207" s="52"/>
      <c r="O207" s="52"/>
      <c r="P207" s="52"/>
    </row>
    <row r="208">
      <c r="A208" s="58"/>
      <c r="B208" s="52"/>
      <c r="C208" s="52"/>
      <c r="D208" s="52"/>
      <c r="E208" s="52"/>
      <c r="F208" s="52"/>
      <c r="G208" s="52"/>
      <c r="H208" s="52"/>
      <c r="I208" s="52"/>
      <c r="J208" s="52"/>
      <c r="K208" s="59"/>
      <c r="L208" s="52"/>
      <c r="M208" s="52" t="str">
        <f>IFERROR(__xludf.DUMMYFUNCTION("""COMPUTED_VALUE"""),"")</f>
        <v/>
      </c>
      <c r="N208" s="52"/>
      <c r="O208" s="52"/>
      <c r="P208" s="52"/>
    </row>
    <row r="209">
      <c r="A209" s="58"/>
      <c r="B209" s="52"/>
      <c r="C209" s="52"/>
      <c r="D209" s="52"/>
      <c r="E209" s="52"/>
      <c r="F209" s="52"/>
      <c r="G209" s="52"/>
      <c r="H209" s="52"/>
      <c r="I209" s="52"/>
      <c r="J209" s="52"/>
      <c r="K209" s="59"/>
      <c r="L209" s="52"/>
      <c r="M209" s="52" t="str">
        <f>IFERROR(__xludf.DUMMYFUNCTION("""COMPUTED_VALUE"""),"")</f>
        <v/>
      </c>
      <c r="N209" s="52"/>
      <c r="O209" s="52"/>
      <c r="P209" s="52"/>
    </row>
    <row r="210">
      <c r="A210" s="58"/>
      <c r="B210" s="52"/>
      <c r="C210" s="52"/>
      <c r="D210" s="52"/>
      <c r="E210" s="52"/>
      <c r="F210" s="52"/>
      <c r="G210" s="52"/>
      <c r="H210" s="52"/>
      <c r="I210" s="52"/>
      <c r="J210" s="52"/>
      <c r="K210" s="59"/>
      <c r="L210" s="52"/>
      <c r="M210" s="52" t="str">
        <f>IFERROR(__xludf.DUMMYFUNCTION("""COMPUTED_VALUE"""),"")</f>
        <v/>
      </c>
      <c r="N210" s="52"/>
      <c r="O210" s="52"/>
      <c r="P210" s="52"/>
    </row>
    <row r="211">
      <c r="A211" s="58"/>
      <c r="B211" s="52"/>
      <c r="C211" s="52"/>
      <c r="D211" s="52"/>
      <c r="E211" s="52"/>
      <c r="F211" s="52"/>
      <c r="G211" s="52"/>
      <c r="H211" s="52"/>
      <c r="I211" s="52"/>
      <c r="J211" s="52"/>
      <c r="K211" s="59"/>
      <c r="L211" s="52"/>
      <c r="M211" s="52" t="str">
        <f>IFERROR(__xludf.DUMMYFUNCTION("""COMPUTED_VALUE"""),"")</f>
        <v/>
      </c>
      <c r="N211" s="52"/>
      <c r="O211" s="52"/>
      <c r="P211" s="52"/>
    </row>
    <row r="212">
      <c r="A212" s="58"/>
      <c r="B212" s="52"/>
      <c r="C212" s="52"/>
      <c r="D212" s="52"/>
      <c r="E212" s="52"/>
      <c r="F212" s="52"/>
      <c r="G212" s="52"/>
      <c r="H212" s="52"/>
      <c r="I212" s="52"/>
      <c r="J212" s="52"/>
      <c r="K212" s="59"/>
      <c r="L212" s="52"/>
      <c r="M212" s="52" t="str">
        <f>IFERROR(__xludf.DUMMYFUNCTION("""COMPUTED_VALUE"""),"")</f>
        <v/>
      </c>
      <c r="N212" s="52"/>
      <c r="O212" s="52"/>
      <c r="P212" s="52"/>
    </row>
    <row r="213">
      <c r="A213" s="58"/>
      <c r="B213" s="52"/>
      <c r="C213" s="52"/>
      <c r="D213" s="52"/>
      <c r="E213" s="52"/>
      <c r="F213" s="52"/>
      <c r="G213" s="52"/>
      <c r="H213" s="52"/>
      <c r="I213" s="52"/>
      <c r="J213" s="52"/>
      <c r="K213" s="59"/>
      <c r="L213" s="52"/>
      <c r="M213" s="52" t="str">
        <f>IFERROR(__xludf.DUMMYFUNCTION("""COMPUTED_VALUE"""),"")</f>
        <v/>
      </c>
      <c r="N213" s="52"/>
      <c r="O213" s="52"/>
      <c r="P213" s="52"/>
    </row>
    <row r="214">
      <c r="A214" s="58"/>
      <c r="B214" s="52"/>
      <c r="C214" s="52"/>
      <c r="D214" s="52"/>
      <c r="E214" s="52"/>
      <c r="F214" s="52"/>
      <c r="G214" s="52"/>
      <c r="H214" s="52"/>
      <c r="I214" s="52"/>
      <c r="J214" s="52"/>
      <c r="K214" s="59"/>
      <c r="L214" s="52"/>
      <c r="M214" s="52" t="str">
        <f>IFERROR(__xludf.DUMMYFUNCTION("""COMPUTED_VALUE"""),"")</f>
        <v/>
      </c>
      <c r="N214" s="52"/>
      <c r="O214" s="52"/>
      <c r="P214" s="52"/>
    </row>
    <row r="215">
      <c r="A215" s="58"/>
      <c r="B215" s="52"/>
      <c r="C215" s="52"/>
      <c r="D215" s="52"/>
      <c r="E215" s="52"/>
      <c r="F215" s="52"/>
      <c r="G215" s="52"/>
      <c r="H215" s="52"/>
      <c r="I215" s="52"/>
      <c r="J215" s="52"/>
      <c r="K215" s="59"/>
      <c r="L215" s="52"/>
      <c r="M215" s="52" t="str">
        <f>IFERROR(__xludf.DUMMYFUNCTION("""COMPUTED_VALUE"""),"")</f>
        <v/>
      </c>
      <c r="N215" s="52"/>
      <c r="O215" s="52"/>
      <c r="P215" s="52"/>
    </row>
    <row r="216">
      <c r="A216" s="58"/>
      <c r="B216" s="52"/>
      <c r="C216" s="52"/>
      <c r="D216" s="52"/>
      <c r="E216" s="52"/>
      <c r="F216" s="52"/>
      <c r="G216" s="52"/>
      <c r="H216" s="52"/>
      <c r="I216" s="52"/>
      <c r="J216" s="52"/>
      <c r="K216" s="59"/>
      <c r="L216" s="52"/>
      <c r="M216" s="52" t="str">
        <f>IFERROR(__xludf.DUMMYFUNCTION("""COMPUTED_VALUE"""),"")</f>
        <v/>
      </c>
      <c r="N216" s="52"/>
      <c r="O216" s="52"/>
      <c r="P216" s="52"/>
    </row>
    <row r="217">
      <c r="A217" s="58"/>
      <c r="B217" s="52"/>
      <c r="C217" s="52"/>
      <c r="D217" s="52"/>
      <c r="E217" s="52"/>
      <c r="F217" s="52"/>
      <c r="G217" s="52"/>
      <c r="H217" s="52"/>
      <c r="I217" s="52"/>
      <c r="J217" s="52"/>
      <c r="K217" s="59"/>
      <c r="L217" s="52"/>
      <c r="M217" s="52" t="str">
        <f>IFERROR(__xludf.DUMMYFUNCTION("""COMPUTED_VALUE"""),"")</f>
        <v/>
      </c>
      <c r="N217" s="52"/>
      <c r="O217" s="52"/>
      <c r="P217" s="52"/>
    </row>
    <row r="218">
      <c r="A218" s="58"/>
      <c r="B218" s="52"/>
      <c r="C218" s="52"/>
      <c r="D218" s="52"/>
      <c r="E218" s="52"/>
      <c r="F218" s="52"/>
      <c r="G218" s="52"/>
      <c r="H218" s="52"/>
      <c r="I218" s="52"/>
      <c r="J218" s="52"/>
      <c r="K218" s="59"/>
      <c r="L218" s="52"/>
      <c r="M218" s="52" t="str">
        <f>IFERROR(__xludf.DUMMYFUNCTION("""COMPUTED_VALUE"""),"")</f>
        <v/>
      </c>
      <c r="N218" s="52"/>
      <c r="O218" s="52"/>
      <c r="P218" s="52"/>
    </row>
    <row r="219">
      <c r="A219" s="58"/>
      <c r="B219" s="52"/>
      <c r="C219" s="52"/>
      <c r="D219" s="52"/>
      <c r="E219" s="52"/>
      <c r="F219" s="52"/>
      <c r="G219" s="52"/>
      <c r="H219" s="52"/>
      <c r="I219" s="52"/>
      <c r="J219" s="52"/>
      <c r="K219" s="59"/>
      <c r="L219" s="52"/>
      <c r="M219" s="52" t="str">
        <f>IFERROR(__xludf.DUMMYFUNCTION("""COMPUTED_VALUE"""),"")</f>
        <v/>
      </c>
      <c r="N219" s="52"/>
      <c r="O219" s="52"/>
      <c r="P219" s="52"/>
    </row>
    <row r="220">
      <c r="A220" s="58"/>
      <c r="B220" s="52"/>
      <c r="C220" s="52"/>
      <c r="D220" s="52"/>
      <c r="E220" s="52"/>
      <c r="F220" s="52"/>
      <c r="G220" s="52"/>
      <c r="H220" s="52"/>
      <c r="I220" s="52"/>
      <c r="J220" s="52"/>
      <c r="K220" s="59"/>
      <c r="L220" s="52"/>
      <c r="M220" s="52" t="str">
        <f>IFERROR(__xludf.DUMMYFUNCTION("""COMPUTED_VALUE"""),"")</f>
        <v/>
      </c>
      <c r="N220" s="52"/>
      <c r="O220" s="52"/>
      <c r="P220" s="52"/>
    </row>
    <row r="221">
      <c r="A221" s="58"/>
      <c r="B221" s="52"/>
      <c r="C221" s="52"/>
      <c r="D221" s="52"/>
      <c r="E221" s="52"/>
      <c r="F221" s="52"/>
      <c r="G221" s="52"/>
      <c r="H221" s="52"/>
      <c r="I221" s="52"/>
      <c r="J221" s="52"/>
      <c r="K221" s="59"/>
      <c r="L221" s="52"/>
      <c r="M221" s="52" t="str">
        <f>IFERROR(__xludf.DUMMYFUNCTION("""COMPUTED_VALUE"""),"")</f>
        <v/>
      </c>
      <c r="N221" s="52"/>
      <c r="O221" s="52"/>
      <c r="P221" s="52"/>
    </row>
    <row r="222">
      <c r="A222" s="58"/>
      <c r="B222" s="52"/>
      <c r="C222" s="52"/>
      <c r="D222" s="52"/>
      <c r="E222" s="52"/>
      <c r="F222" s="52"/>
      <c r="G222" s="52"/>
      <c r="H222" s="52"/>
      <c r="I222" s="52"/>
      <c r="J222" s="52"/>
      <c r="K222" s="59"/>
      <c r="L222" s="52"/>
      <c r="M222" s="52" t="str">
        <f>IFERROR(__xludf.DUMMYFUNCTION("""COMPUTED_VALUE"""),"")</f>
        <v/>
      </c>
      <c r="N222" s="52"/>
      <c r="O222" s="52"/>
      <c r="P222" s="52"/>
    </row>
    <row r="223">
      <c r="A223" s="58"/>
      <c r="B223" s="52"/>
      <c r="C223" s="52"/>
      <c r="D223" s="52"/>
      <c r="E223" s="52"/>
      <c r="F223" s="52"/>
      <c r="G223" s="52"/>
      <c r="H223" s="52"/>
      <c r="I223" s="52"/>
      <c r="J223" s="52"/>
      <c r="K223" s="59"/>
      <c r="L223" s="52"/>
      <c r="M223" s="52" t="str">
        <f>IFERROR(__xludf.DUMMYFUNCTION("""COMPUTED_VALUE"""),"")</f>
        <v/>
      </c>
      <c r="N223" s="52"/>
      <c r="O223" s="52"/>
      <c r="P223" s="52"/>
    </row>
    <row r="224">
      <c r="A224" s="58"/>
      <c r="B224" s="52"/>
      <c r="C224" s="52"/>
      <c r="D224" s="52"/>
      <c r="E224" s="52"/>
      <c r="F224" s="52"/>
      <c r="G224" s="52"/>
      <c r="H224" s="52"/>
      <c r="I224" s="52"/>
      <c r="J224" s="52"/>
      <c r="K224" s="59"/>
      <c r="L224" s="52"/>
      <c r="M224" s="52" t="str">
        <f>IFERROR(__xludf.DUMMYFUNCTION("""COMPUTED_VALUE"""),"")</f>
        <v/>
      </c>
      <c r="N224" s="52"/>
      <c r="O224" s="52"/>
      <c r="P224" s="52"/>
    </row>
    <row r="225">
      <c r="A225" s="58"/>
      <c r="B225" s="52"/>
      <c r="C225" s="52"/>
      <c r="D225" s="52"/>
      <c r="E225" s="52"/>
      <c r="F225" s="52"/>
      <c r="G225" s="52"/>
      <c r="H225" s="52"/>
      <c r="I225" s="52"/>
      <c r="J225" s="52"/>
      <c r="K225" s="59"/>
      <c r="L225" s="52"/>
      <c r="M225" s="52" t="str">
        <f>IFERROR(__xludf.DUMMYFUNCTION("""COMPUTED_VALUE"""),"")</f>
        <v/>
      </c>
      <c r="N225" s="52"/>
      <c r="O225" s="52"/>
      <c r="P225" s="52"/>
    </row>
    <row r="226">
      <c r="A226" s="58"/>
      <c r="B226" s="52"/>
      <c r="C226" s="52"/>
      <c r="D226" s="52"/>
      <c r="E226" s="52"/>
      <c r="F226" s="52"/>
      <c r="G226" s="52"/>
      <c r="H226" s="52"/>
      <c r="I226" s="52"/>
      <c r="J226" s="52"/>
      <c r="K226" s="59"/>
      <c r="L226" s="52"/>
      <c r="M226" s="52" t="str">
        <f>IFERROR(__xludf.DUMMYFUNCTION("""COMPUTED_VALUE"""),"")</f>
        <v/>
      </c>
      <c r="N226" s="52"/>
      <c r="O226" s="52"/>
      <c r="P226" s="52"/>
    </row>
    <row r="227">
      <c r="A227" s="58"/>
      <c r="B227" s="52"/>
      <c r="C227" s="52"/>
      <c r="D227" s="52"/>
      <c r="E227" s="52"/>
      <c r="F227" s="52"/>
      <c r="G227" s="52"/>
      <c r="H227" s="52"/>
      <c r="I227" s="52"/>
      <c r="J227" s="52"/>
      <c r="K227" s="59"/>
      <c r="L227" s="52"/>
      <c r="M227" s="52" t="str">
        <f>IFERROR(__xludf.DUMMYFUNCTION("""COMPUTED_VALUE"""),"")</f>
        <v/>
      </c>
      <c r="N227" s="52"/>
      <c r="O227" s="52"/>
      <c r="P227" s="52"/>
    </row>
    <row r="228">
      <c r="A228" s="58"/>
      <c r="B228" s="52"/>
      <c r="C228" s="52"/>
      <c r="D228" s="52"/>
      <c r="E228" s="52"/>
      <c r="F228" s="52"/>
      <c r="G228" s="52"/>
      <c r="H228" s="52"/>
      <c r="I228" s="52"/>
      <c r="J228" s="52"/>
      <c r="K228" s="59"/>
      <c r="L228" s="52"/>
      <c r="M228" s="52" t="str">
        <f>IFERROR(__xludf.DUMMYFUNCTION("""COMPUTED_VALUE"""),"")</f>
        <v/>
      </c>
      <c r="N228" s="52"/>
      <c r="O228" s="52"/>
      <c r="P228" s="52"/>
    </row>
    <row r="229">
      <c r="A229" s="58"/>
      <c r="B229" s="52"/>
      <c r="C229" s="52"/>
      <c r="D229" s="52"/>
      <c r="E229" s="52"/>
      <c r="F229" s="52"/>
      <c r="G229" s="52"/>
      <c r="H229" s="52"/>
      <c r="I229" s="52"/>
      <c r="J229" s="52"/>
      <c r="K229" s="59"/>
      <c r="L229" s="52"/>
      <c r="M229" s="52" t="str">
        <f>IFERROR(__xludf.DUMMYFUNCTION("""COMPUTED_VALUE"""),"")</f>
        <v/>
      </c>
      <c r="N229" s="52"/>
      <c r="O229" s="52"/>
      <c r="P229" s="52"/>
    </row>
    <row r="230">
      <c r="A230" s="58"/>
      <c r="B230" s="52"/>
      <c r="C230" s="52"/>
      <c r="D230" s="52"/>
      <c r="E230" s="52"/>
      <c r="F230" s="52"/>
      <c r="G230" s="52"/>
      <c r="H230" s="52"/>
      <c r="I230" s="52"/>
      <c r="J230" s="52"/>
      <c r="K230" s="59"/>
      <c r="L230" s="52"/>
      <c r="M230" s="52" t="str">
        <f>IFERROR(__xludf.DUMMYFUNCTION("""COMPUTED_VALUE"""),"")</f>
        <v/>
      </c>
      <c r="N230" s="52"/>
      <c r="O230" s="52"/>
      <c r="P230" s="52"/>
    </row>
    <row r="231">
      <c r="A231" s="58"/>
      <c r="B231" s="52"/>
      <c r="C231" s="52"/>
      <c r="D231" s="52"/>
      <c r="E231" s="52"/>
      <c r="F231" s="52"/>
      <c r="G231" s="52"/>
      <c r="H231" s="52"/>
      <c r="I231" s="52"/>
      <c r="J231" s="52"/>
      <c r="K231" s="59"/>
      <c r="L231" s="52"/>
      <c r="M231" s="52" t="str">
        <f>IFERROR(__xludf.DUMMYFUNCTION("""COMPUTED_VALUE"""),"")</f>
        <v/>
      </c>
      <c r="N231" s="52"/>
      <c r="O231" s="52"/>
      <c r="P231" s="52"/>
    </row>
    <row r="232">
      <c r="A232" s="58"/>
      <c r="B232" s="52"/>
      <c r="C232" s="52"/>
      <c r="D232" s="52"/>
      <c r="E232" s="52"/>
      <c r="F232" s="52"/>
      <c r="G232" s="52"/>
      <c r="H232" s="52"/>
      <c r="I232" s="52"/>
      <c r="J232" s="52"/>
      <c r="K232" s="59"/>
      <c r="L232" s="52"/>
      <c r="M232" s="52" t="str">
        <f>IFERROR(__xludf.DUMMYFUNCTION("""COMPUTED_VALUE"""),"")</f>
        <v/>
      </c>
      <c r="N232" s="52"/>
      <c r="O232" s="52"/>
      <c r="P232" s="52"/>
    </row>
    <row r="233">
      <c r="A233" s="58"/>
      <c r="B233" s="52"/>
      <c r="C233" s="52"/>
      <c r="D233" s="52"/>
      <c r="E233" s="52"/>
      <c r="F233" s="52"/>
      <c r="G233" s="52"/>
      <c r="H233" s="52"/>
      <c r="I233" s="52"/>
      <c r="J233" s="52"/>
      <c r="K233" s="59"/>
      <c r="L233" s="52"/>
      <c r="M233" s="52" t="str">
        <f>IFERROR(__xludf.DUMMYFUNCTION("""COMPUTED_VALUE"""),"")</f>
        <v/>
      </c>
      <c r="N233" s="52"/>
      <c r="O233" s="52"/>
      <c r="P233" s="52"/>
    </row>
    <row r="234">
      <c r="A234" s="58"/>
      <c r="B234" s="52"/>
      <c r="C234" s="52"/>
      <c r="D234" s="52"/>
      <c r="E234" s="52"/>
      <c r="F234" s="52"/>
      <c r="G234" s="52"/>
      <c r="H234" s="52"/>
      <c r="I234" s="52"/>
      <c r="J234" s="52"/>
      <c r="K234" s="59"/>
      <c r="L234" s="52"/>
      <c r="M234" s="52" t="str">
        <f>IFERROR(__xludf.DUMMYFUNCTION("""COMPUTED_VALUE"""),"")</f>
        <v/>
      </c>
      <c r="N234" s="52"/>
      <c r="O234" s="52"/>
      <c r="P234" s="52"/>
    </row>
    <row r="235">
      <c r="A235" s="58"/>
      <c r="B235" s="52"/>
      <c r="C235" s="52"/>
      <c r="D235" s="52"/>
      <c r="E235" s="52"/>
      <c r="F235" s="52"/>
      <c r="G235" s="52"/>
      <c r="H235" s="52"/>
      <c r="I235" s="52"/>
      <c r="J235" s="52"/>
      <c r="K235" s="59"/>
      <c r="L235" s="52"/>
      <c r="M235" s="52" t="str">
        <f>IFERROR(__xludf.DUMMYFUNCTION("""COMPUTED_VALUE"""),"")</f>
        <v/>
      </c>
      <c r="N235" s="52"/>
      <c r="O235" s="52"/>
      <c r="P235" s="52"/>
    </row>
    <row r="236">
      <c r="A236" s="58"/>
      <c r="B236" s="52"/>
      <c r="C236" s="52"/>
      <c r="D236" s="52"/>
      <c r="E236" s="52"/>
      <c r="F236" s="52"/>
      <c r="G236" s="52"/>
      <c r="H236" s="52"/>
      <c r="I236" s="52"/>
      <c r="J236" s="52"/>
      <c r="K236" s="59"/>
      <c r="L236" s="52"/>
      <c r="M236" s="52" t="str">
        <f>IFERROR(__xludf.DUMMYFUNCTION("""COMPUTED_VALUE"""),"")</f>
        <v/>
      </c>
      <c r="N236" s="52"/>
      <c r="O236" s="52"/>
      <c r="P236" s="52"/>
    </row>
    <row r="237">
      <c r="A237" s="58"/>
      <c r="B237" s="52"/>
      <c r="C237" s="52"/>
      <c r="D237" s="52"/>
      <c r="E237" s="52"/>
      <c r="F237" s="52"/>
      <c r="G237" s="52"/>
      <c r="H237" s="52"/>
      <c r="I237" s="52"/>
      <c r="J237" s="52"/>
      <c r="K237" s="59"/>
      <c r="L237" s="52"/>
      <c r="M237" s="52" t="str">
        <f>IFERROR(__xludf.DUMMYFUNCTION("""COMPUTED_VALUE"""),"")</f>
        <v/>
      </c>
      <c r="N237" s="52"/>
      <c r="O237" s="52"/>
      <c r="P237" s="52"/>
    </row>
    <row r="238">
      <c r="A238" s="58"/>
      <c r="B238" s="52"/>
      <c r="C238" s="52"/>
      <c r="D238" s="52"/>
      <c r="E238" s="52"/>
      <c r="F238" s="52"/>
      <c r="G238" s="52"/>
      <c r="H238" s="52"/>
      <c r="I238" s="52"/>
      <c r="J238" s="52"/>
      <c r="K238" s="59"/>
      <c r="L238" s="52"/>
      <c r="M238" s="52" t="str">
        <f>IFERROR(__xludf.DUMMYFUNCTION("""COMPUTED_VALUE"""),"")</f>
        <v/>
      </c>
      <c r="N238" s="52"/>
      <c r="O238" s="52"/>
      <c r="P238" s="52"/>
    </row>
    <row r="239">
      <c r="A239" s="58"/>
      <c r="B239" s="52"/>
      <c r="C239" s="52"/>
      <c r="D239" s="52"/>
      <c r="E239" s="52"/>
      <c r="F239" s="52"/>
      <c r="G239" s="52"/>
      <c r="H239" s="52"/>
      <c r="I239" s="52"/>
      <c r="J239" s="52"/>
      <c r="K239" s="59"/>
      <c r="L239" s="52"/>
      <c r="M239" s="52" t="str">
        <f>IFERROR(__xludf.DUMMYFUNCTION("""COMPUTED_VALUE"""),"")</f>
        <v/>
      </c>
      <c r="N239" s="52"/>
      <c r="O239" s="52"/>
      <c r="P239" s="52"/>
    </row>
    <row r="240">
      <c r="A240" s="58"/>
      <c r="B240" s="52"/>
      <c r="C240" s="52"/>
      <c r="D240" s="52"/>
      <c r="E240" s="52"/>
      <c r="F240" s="52"/>
      <c r="G240" s="52"/>
      <c r="H240" s="52"/>
      <c r="I240" s="52"/>
      <c r="J240" s="52"/>
      <c r="K240" s="59"/>
      <c r="L240" s="52"/>
      <c r="M240" s="52" t="str">
        <f>IFERROR(__xludf.DUMMYFUNCTION("""COMPUTED_VALUE"""),"")</f>
        <v/>
      </c>
      <c r="N240" s="52"/>
      <c r="O240" s="52"/>
      <c r="P240" s="52"/>
    </row>
    <row r="241">
      <c r="A241" s="58"/>
      <c r="B241" s="52"/>
      <c r="C241" s="52"/>
      <c r="D241" s="52"/>
      <c r="E241" s="52"/>
      <c r="F241" s="52"/>
      <c r="G241" s="52"/>
      <c r="H241" s="52"/>
      <c r="I241" s="52"/>
      <c r="J241" s="52"/>
      <c r="K241" s="59"/>
      <c r="L241" s="52"/>
      <c r="M241" s="52" t="str">
        <f>IFERROR(__xludf.DUMMYFUNCTION("""COMPUTED_VALUE"""),"")</f>
        <v/>
      </c>
      <c r="N241" s="52"/>
      <c r="O241" s="52"/>
      <c r="P241" s="52"/>
    </row>
    <row r="242">
      <c r="A242" s="58"/>
      <c r="B242" s="52"/>
      <c r="C242" s="52"/>
      <c r="D242" s="52"/>
      <c r="E242" s="52"/>
      <c r="F242" s="52"/>
      <c r="G242" s="52"/>
      <c r="H242" s="52"/>
      <c r="I242" s="52"/>
      <c r="J242" s="52"/>
      <c r="K242" s="59"/>
      <c r="L242" s="52"/>
      <c r="M242" s="52" t="str">
        <f>IFERROR(__xludf.DUMMYFUNCTION("""COMPUTED_VALUE"""),"")</f>
        <v/>
      </c>
      <c r="N242" s="52"/>
      <c r="O242" s="52"/>
      <c r="P242" s="52"/>
    </row>
    <row r="243">
      <c r="A243" s="58"/>
      <c r="B243" s="52"/>
      <c r="C243" s="52"/>
      <c r="D243" s="52"/>
      <c r="E243" s="52"/>
      <c r="F243" s="52"/>
      <c r="G243" s="52"/>
      <c r="H243" s="52"/>
      <c r="I243" s="52"/>
      <c r="J243" s="52"/>
      <c r="K243" s="59"/>
      <c r="L243" s="52"/>
      <c r="M243" s="52" t="str">
        <f>IFERROR(__xludf.DUMMYFUNCTION("""COMPUTED_VALUE"""),"")</f>
        <v/>
      </c>
      <c r="N243" s="52"/>
      <c r="O243" s="52"/>
      <c r="P243" s="52"/>
    </row>
    <row r="244">
      <c r="A244" s="58"/>
      <c r="B244" s="52"/>
      <c r="C244" s="52"/>
      <c r="D244" s="52"/>
      <c r="E244" s="52"/>
      <c r="F244" s="52"/>
      <c r="G244" s="52"/>
      <c r="H244" s="52"/>
      <c r="I244" s="52"/>
      <c r="J244" s="52"/>
      <c r="K244" s="59"/>
      <c r="L244" s="52"/>
      <c r="M244" s="52" t="str">
        <f>IFERROR(__xludf.DUMMYFUNCTION("""COMPUTED_VALUE"""),"")</f>
        <v/>
      </c>
      <c r="N244" s="52"/>
      <c r="O244" s="52"/>
      <c r="P244" s="52"/>
    </row>
    <row r="245">
      <c r="A245" s="58"/>
      <c r="B245" s="52"/>
      <c r="C245" s="52"/>
      <c r="D245" s="52"/>
      <c r="E245" s="52"/>
      <c r="F245" s="52"/>
      <c r="G245" s="52"/>
      <c r="H245" s="52"/>
      <c r="I245" s="52"/>
      <c r="J245" s="52"/>
      <c r="K245" s="59"/>
      <c r="L245" s="52"/>
      <c r="M245" s="52" t="str">
        <f>IFERROR(__xludf.DUMMYFUNCTION("""COMPUTED_VALUE"""),"")</f>
        <v/>
      </c>
      <c r="N245" s="52"/>
      <c r="O245" s="52"/>
      <c r="P245" s="52"/>
    </row>
    <row r="246">
      <c r="A246" s="58"/>
      <c r="B246" s="52"/>
      <c r="C246" s="52"/>
      <c r="D246" s="52"/>
      <c r="E246" s="52"/>
      <c r="F246" s="52"/>
      <c r="G246" s="52"/>
      <c r="H246" s="52"/>
      <c r="I246" s="52"/>
      <c r="J246" s="52"/>
      <c r="K246" s="59"/>
      <c r="L246" s="52"/>
      <c r="M246" s="52" t="str">
        <f>IFERROR(__xludf.DUMMYFUNCTION("""COMPUTED_VALUE"""),"")</f>
        <v/>
      </c>
      <c r="N246" s="52"/>
      <c r="O246" s="52"/>
      <c r="P246" s="52"/>
    </row>
    <row r="247">
      <c r="A247" s="58"/>
      <c r="B247" s="52"/>
      <c r="C247" s="52"/>
      <c r="D247" s="52"/>
      <c r="E247" s="52"/>
      <c r="F247" s="52"/>
      <c r="G247" s="52"/>
      <c r="H247" s="52"/>
      <c r="I247" s="52"/>
      <c r="J247" s="52"/>
      <c r="K247" s="59"/>
      <c r="L247" s="52"/>
      <c r="M247" s="52" t="str">
        <f>IFERROR(__xludf.DUMMYFUNCTION("""COMPUTED_VALUE"""),"")</f>
        <v/>
      </c>
      <c r="N247" s="52"/>
      <c r="O247" s="52"/>
      <c r="P247" s="52"/>
    </row>
    <row r="248">
      <c r="A248" s="58"/>
      <c r="B248" s="52"/>
      <c r="C248" s="52"/>
      <c r="D248" s="52"/>
      <c r="E248" s="52"/>
      <c r="F248" s="52"/>
      <c r="G248" s="52"/>
      <c r="H248" s="52"/>
      <c r="I248" s="52"/>
      <c r="J248" s="52"/>
      <c r="K248" s="59"/>
      <c r="L248" s="52"/>
      <c r="M248" s="52" t="str">
        <f>IFERROR(__xludf.DUMMYFUNCTION("""COMPUTED_VALUE"""),"")</f>
        <v/>
      </c>
      <c r="N248" s="52"/>
      <c r="O248" s="52"/>
      <c r="P248" s="52"/>
    </row>
    <row r="249">
      <c r="A249" s="58"/>
      <c r="B249" s="52"/>
      <c r="C249" s="52"/>
      <c r="D249" s="52"/>
      <c r="E249" s="52"/>
      <c r="F249" s="52"/>
      <c r="G249" s="52"/>
      <c r="H249" s="52"/>
      <c r="I249" s="52"/>
      <c r="J249" s="52"/>
      <c r="K249" s="59"/>
      <c r="L249" s="52"/>
      <c r="M249" s="52" t="str">
        <f>IFERROR(__xludf.DUMMYFUNCTION("""COMPUTED_VALUE"""),"")</f>
        <v/>
      </c>
      <c r="N249" s="52"/>
      <c r="O249" s="52"/>
      <c r="P249" s="52"/>
    </row>
    <row r="250">
      <c r="A250" s="58"/>
      <c r="B250" s="52"/>
      <c r="C250" s="52"/>
      <c r="D250" s="52"/>
      <c r="E250" s="52"/>
      <c r="F250" s="52"/>
      <c r="G250" s="52"/>
      <c r="H250" s="52"/>
      <c r="I250" s="52"/>
      <c r="J250" s="52"/>
      <c r="K250" s="59"/>
      <c r="L250" s="52"/>
      <c r="M250" s="52" t="str">
        <f>IFERROR(__xludf.DUMMYFUNCTION("""COMPUTED_VALUE"""),"")</f>
        <v/>
      </c>
      <c r="N250" s="52"/>
      <c r="O250" s="52"/>
      <c r="P250" s="52"/>
    </row>
    <row r="251">
      <c r="A251" s="58"/>
      <c r="B251" s="52"/>
      <c r="C251" s="52"/>
      <c r="D251" s="52"/>
      <c r="E251" s="52"/>
      <c r="F251" s="52"/>
      <c r="G251" s="52"/>
      <c r="H251" s="52"/>
      <c r="I251" s="52"/>
      <c r="J251" s="52"/>
      <c r="K251" s="59"/>
      <c r="L251" s="52"/>
      <c r="M251" s="52" t="str">
        <f>IFERROR(__xludf.DUMMYFUNCTION("""COMPUTED_VALUE"""),"")</f>
        <v/>
      </c>
      <c r="N251" s="52"/>
      <c r="O251" s="52"/>
      <c r="P251" s="52"/>
    </row>
    <row r="252">
      <c r="A252" s="58"/>
      <c r="B252" s="52"/>
      <c r="C252" s="52"/>
      <c r="D252" s="52"/>
      <c r="E252" s="52"/>
      <c r="F252" s="52"/>
      <c r="G252" s="52"/>
      <c r="H252" s="52"/>
      <c r="I252" s="52"/>
      <c r="J252" s="52"/>
      <c r="K252" s="59"/>
      <c r="L252" s="52"/>
      <c r="M252" s="52" t="str">
        <f>IFERROR(__xludf.DUMMYFUNCTION("""COMPUTED_VALUE"""),"")</f>
        <v/>
      </c>
      <c r="N252" s="52"/>
      <c r="O252" s="52"/>
      <c r="P252" s="52"/>
    </row>
    <row r="253">
      <c r="A253" s="58"/>
      <c r="B253" s="52"/>
      <c r="C253" s="52"/>
      <c r="D253" s="52"/>
      <c r="E253" s="52"/>
      <c r="F253" s="52"/>
      <c r="G253" s="52"/>
      <c r="H253" s="52"/>
      <c r="I253" s="52"/>
      <c r="J253" s="52"/>
      <c r="K253" s="59"/>
      <c r="L253" s="52"/>
      <c r="M253" s="52" t="str">
        <f>IFERROR(__xludf.DUMMYFUNCTION("""COMPUTED_VALUE"""),"")</f>
        <v/>
      </c>
      <c r="N253" s="52"/>
      <c r="O253" s="52"/>
      <c r="P253" s="52"/>
    </row>
    <row r="254">
      <c r="A254" s="58"/>
      <c r="B254" s="52"/>
      <c r="C254" s="52"/>
      <c r="D254" s="52"/>
      <c r="E254" s="52"/>
      <c r="F254" s="52"/>
      <c r="G254" s="52"/>
      <c r="H254" s="52"/>
      <c r="I254" s="52"/>
      <c r="J254" s="52"/>
      <c r="K254" s="59"/>
      <c r="L254" s="52"/>
      <c r="M254" s="52" t="str">
        <f>IFERROR(__xludf.DUMMYFUNCTION("""COMPUTED_VALUE"""),"")</f>
        <v/>
      </c>
      <c r="N254" s="52"/>
      <c r="O254" s="52"/>
      <c r="P254" s="52"/>
    </row>
    <row r="255">
      <c r="A255" s="58"/>
      <c r="B255" s="52"/>
      <c r="C255" s="52"/>
      <c r="D255" s="52"/>
      <c r="E255" s="52"/>
      <c r="F255" s="52"/>
      <c r="G255" s="52"/>
      <c r="H255" s="52"/>
      <c r="I255" s="52"/>
      <c r="J255" s="52"/>
      <c r="K255" s="59"/>
      <c r="L255" s="52"/>
      <c r="M255" s="52" t="str">
        <f>IFERROR(__xludf.DUMMYFUNCTION("""COMPUTED_VALUE"""),"")</f>
        <v/>
      </c>
      <c r="N255" s="52"/>
      <c r="O255" s="52"/>
      <c r="P255" s="52"/>
    </row>
    <row r="256">
      <c r="A256" s="58"/>
      <c r="B256" s="52"/>
      <c r="C256" s="52"/>
      <c r="D256" s="52"/>
      <c r="E256" s="52"/>
      <c r="F256" s="52"/>
      <c r="G256" s="52"/>
      <c r="H256" s="52"/>
      <c r="I256" s="52"/>
      <c r="J256" s="52"/>
      <c r="K256" s="59"/>
      <c r="L256" s="52"/>
      <c r="M256" s="52" t="str">
        <f>IFERROR(__xludf.DUMMYFUNCTION("""COMPUTED_VALUE"""),"")</f>
        <v/>
      </c>
      <c r="N256" s="52"/>
      <c r="O256" s="52"/>
      <c r="P256" s="52"/>
    </row>
    <row r="257">
      <c r="A257" s="58"/>
      <c r="B257" s="52"/>
      <c r="C257" s="52"/>
      <c r="D257" s="52"/>
      <c r="E257" s="52"/>
      <c r="F257" s="52"/>
      <c r="G257" s="52"/>
      <c r="H257" s="52"/>
      <c r="I257" s="52"/>
      <c r="J257" s="52"/>
      <c r="K257" s="59"/>
      <c r="L257" s="52"/>
      <c r="M257" s="52" t="str">
        <f>IFERROR(__xludf.DUMMYFUNCTION("""COMPUTED_VALUE"""),"")</f>
        <v/>
      </c>
      <c r="N257" s="52"/>
      <c r="O257" s="52"/>
      <c r="P257" s="52"/>
    </row>
    <row r="258">
      <c r="A258" s="58"/>
      <c r="B258" s="52"/>
      <c r="C258" s="52"/>
      <c r="D258" s="52"/>
      <c r="E258" s="52"/>
      <c r="F258" s="52"/>
      <c r="G258" s="52"/>
      <c r="H258" s="52"/>
      <c r="I258" s="52"/>
      <c r="J258" s="52"/>
      <c r="K258" s="59"/>
      <c r="L258" s="52"/>
      <c r="M258" s="52" t="str">
        <f>IFERROR(__xludf.DUMMYFUNCTION("""COMPUTED_VALUE"""),"")</f>
        <v/>
      </c>
      <c r="N258" s="52"/>
      <c r="O258" s="52"/>
      <c r="P258" s="52"/>
    </row>
    <row r="259">
      <c r="A259" s="58"/>
      <c r="B259" s="52"/>
      <c r="C259" s="52"/>
      <c r="D259" s="52"/>
      <c r="E259" s="52"/>
      <c r="F259" s="52"/>
      <c r="G259" s="52"/>
      <c r="H259" s="52"/>
      <c r="I259" s="52"/>
      <c r="J259" s="52"/>
      <c r="K259" s="59"/>
      <c r="L259" s="52"/>
      <c r="M259" s="52" t="str">
        <f>IFERROR(__xludf.DUMMYFUNCTION("""COMPUTED_VALUE"""),"")</f>
        <v/>
      </c>
      <c r="N259" s="52"/>
      <c r="O259" s="52"/>
      <c r="P259" s="52"/>
    </row>
    <row r="260">
      <c r="A260" s="58"/>
      <c r="B260" s="52"/>
      <c r="C260" s="52"/>
      <c r="D260" s="52"/>
      <c r="E260" s="52"/>
      <c r="F260" s="52"/>
      <c r="G260" s="52"/>
      <c r="H260" s="52"/>
      <c r="I260" s="52"/>
      <c r="J260" s="52"/>
      <c r="K260" s="59"/>
      <c r="L260" s="52"/>
      <c r="M260" s="52" t="str">
        <f>IFERROR(__xludf.DUMMYFUNCTION("""COMPUTED_VALUE"""),"")</f>
        <v/>
      </c>
      <c r="N260" s="52"/>
      <c r="O260" s="52"/>
      <c r="P260" s="52"/>
    </row>
    <row r="261">
      <c r="A261" s="58"/>
      <c r="B261" s="52"/>
      <c r="C261" s="52"/>
      <c r="D261" s="52"/>
      <c r="E261" s="52"/>
      <c r="F261" s="52"/>
      <c r="G261" s="52"/>
      <c r="H261" s="52"/>
      <c r="I261" s="52"/>
      <c r="J261" s="52"/>
      <c r="K261" s="59"/>
      <c r="L261" s="52"/>
      <c r="M261" s="52" t="str">
        <f>IFERROR(__xludf.DUMMYFUNCTION("""COMPUTED_VALUE"""),"")</f>
        <v/>
      </c>
      <c r="N261" s="52"/>
      <c r="O261" s="52"/>
      <c r="P261" s="52"/>
    </row>
    <row r="262">
      <c r="A262" s="58"/>
      <c r="B262" s="52"/>
      <c r="C262" s="52"/>
      <c r="D262" s="52"/>
      <c r="E262" s="52"/>
      <c r="F262" s="52"/>
      <c r="G262" s="52"/>
      <c r="H262" s="52"/>
      <c r="I262" s="52"/>
      <c r="J262" s="52"/>
      <c r="K262" s="59"/>
      <c r="L262" s="52"/>
      <c r="M262" s="52" t="str">
        <f>IFERROR(__xludf.DUMMYFUNCTION("""COMPUTED_VALUE"""),"")</f>
        <v/>
      </c>
      <c r="N262" s="52"/>
      <c r="O262" s="52"/>
      <c r="P262" s="52"/>
    </row>
    <row r="263">
      <c r="A263" s="58"/>
      <c r="B263" s="52"/>
      <c r="C263" s="52"/>
      <c r="D263" s="52"/>
      <c r="E263" s="52"/>
      <c r="F263" s="52"/>
      <c r="G263" s="52"/>
      <c r="H263" s="52"/>
      <c r="I263" s="52"/>
      <c r="J263" s="52"/>
      <c r="K263" s="59"/>
      <c r="L263" s="52"/>
      <c r="M263" s="52" t="str">
        <f>IFERROR(__xludf.DUMMYFUNCTION("""COMPUTED_VALUE"""),"")</f>
        <v/>
      </c>
      <c r="N263" s="52"/>
      <c r="O263" s="52"/>
      <c r="P263" s="52"/>
    </row>
    <row r="264">
      <c r="A264" s="58"/>
      <c r="B264" s="52"/>
      <c r="C264" s="52"/>
      <c r="D264" s="52"/>
      <c r="E264" s="52"/>
      <c r="F264" s="52"/>
      <c r="G264" s="52"/>
      <c r="H264" s="52"/>
      <c r="I264" s="52"/>
      <c r="J264" s="52"/>
      <c r="K264" s="59"/>
      <c r="L264" s="52"/>
      <c r="M264" s="52" t="str">
        <f>IFERROR(__xludf.DUMMYFUNCTION("""COMPUTED_VALUE"""),"")</f>
        <v/>
      </c>
      <c r="N264" s="52"/>
      <c r="O264" s="52"/>
      <c r="P264" s="52"/>
    </row>
    <row r="265">
      <c r="A265" s="58"/>
      <c r="B265" s="52"/>
      <c r="C265" s="52"/>
      <c r="D265" s="52"/>
      <c r="E265" s="52"/>
      <c r="F265" s="52"/>
      <c r="G265" s="52"/>
      <c r="H265" s="52"/>
      <c r="I265" s="52"/>
      <c r="J265" s="52"/>
      <c r="K265" s="59"/>
      <c r="L265" s="52"/>
      <c r="M265" s="52" t="str">
        <f>IFERROR(__xludf.DUMMYFUNCTION("""COMPUTED_VALUE"""),"")</f>
        <v/>
      </c>
      <c r="N265" s="52"/>
      <c r="O265" s="52"/>
      <c r="P265" s="52"/>
    </row>
    <row r="266">
      <c r="A266" s="58"/>
      <c r="B266" s="52"/>
      <c r="C266" s="52"/>
      <c r="D266" s="52"/>
      <c r="E266" s="52"/>
      <c r="F266" s="52"/>
      <c r="G266" s="52"/>
      <c r="H266" s="52"/>
      <c r="I266" s="52"/>
      <c r="J266" s="52"/>
      <c r="K266" s="59"/>
      <c r="L266" s="52"/>
      <c r="M266" s="52" t="str">
        <f>IFERROR(__xludf.DUMMYFUNCTION("""COMPUTED_VALUE"""),"")</f>
        <v/>
      </c>
      <c r="N266" s="52"/>
      <c r="O266" s="52"/>
      <c r="P266" s="52"/>
    </row>
    <row r="267">
      <c r="A267" s="58"/>
      <c r="B267" s="52"/>
      <c r="C267" s="52"/>
      <c r="D267" s="52"/>
      <c r="E267" s="52"/>
      <c r="F267" s="52"/>
      <c r="G267" s="52"/>
      <c r="H267" s="52"/>
      <c r="I267" s="52"/>
      <c r="J267" s="52"/>
      <c r="K267" s="59"/>
      <c r="L267" s="52"/>
      <c r="M267" s="52" t="str">
        <f>IFERROR(__xludf.DUMMYFUNCTION("""COMPUTED_VALUE"""),"")</f>
        <v/>
      </c>
      <c r="N267" s="52"/>
      <c r="O267" s="52"/>
      <c r="P267" s="52"/>
    </row>
    <row r="268">
      <c r="A268" s="58"/>
      <c r="B268" s="52"/>
      <c r="C268" s="52"/>
      <c r="D268" s="52"/>
      <c r="E268" s="52"/>
      <c r="F268" s="52"/>
      <c r="G268" s="52"/>
      <c r="H268" s="52"/>
      <c r="I268" s="52"/>
      <c r="J268" s="52"/>
      <c r="K268" s="59"/>
      <c r="L268" s="52"/>
      <c r="M268" s="52" t="str">
        <f>IFERROR(__xludf.DUMMYFUNCTION("""COMPUTED_VALUE"""),"")</f>
        <v/>
      </c>
      <c r="N268" s="52"/>
      <c r="O268" s="52"/>
      <c r="P268" s="52"/>
    </row>
    <row r="269">
      <c r="A269" s="58"/>
      <c r="B269" s="52"/>
      <c r="C269" s="52"/>
      <c r="D269" s="52"/>
      <c r="E269" s="52"/>
      <c r="F269" s="52"/>
      <c r="G269" s="52"/>
      <c r="H269" s="52"/>
      <c r="I269" s="52"/>
      <c r="J269" s="52"/>
      <c r="K269" s="59"/>
      <c r="L269" s="52"/>
      <c r="M269" s="52" t="str">
        <f>IFERROR(__xludf.DUMMYFUNCTION("""COMPUTED_VALUE"""),"")</f>
        <v/>
      </c>
      <c r="N269" s="52"/>
      <c r="O269" s="52"/>
      <c r="P269" s="52"/>
    </row>
    <row r="270">
      <c r="A270" s="58"/>
      <c r="B270" s="52"/>
      <c r="C270" s="52"/>
      <c r="D270" s="52"/>
      <c r="E270" s="52"/>
      <c r="F270" s="52"/>
      <c r="G270" s="52"/>
      <c r="H270" s="52"/>
      <c r="I270" s="52"/>
      <c r="J270" s="52"/>
      <c r="K270" s="59"/>
      <c r="L270" s="52"/>
      <c r="M270" s="52" t="str">
        <f>IFERROR(__xludf.DUMMYFUNCTION("""COMPUTED_VALUE"""),"")</f>
        <v/>
      </c>
      <c r="N270" s="52"/>
      <c r="O270" s="52"/>
      <c r="P270" s="52"/>
    </row>
    <row r="271">
      <c r="A271" s="58"/>
      <c r="B271" s="52"/>
      <c r="C271" s="52"/>
      <c r="D271" s="52"/>
      <c r="E271" s="52"/>
      <c r="F271" s="52"/>
      <c r="G271" s="52"/>
      <c r="H271" s="52"/>
      <c r="I271" s="52"/>
      <c r="J271" s="52"/>
      <c r="K271" s="59"/>
      <c r="L271" s="52"/>
      <c r="M271" s="52" t="str">
        <f>IFERROR(__xludf.DUMMYFUNCTION("""COMPUTED_VALUE"""),"")</f>
        <v/>
      </c>
      <c r="N271" s="52"/>
      <c r="O271" s="52"/>
      <c r="P271" s="52"/>
    </row>
    <row r="272">
      <c r="A272" s="58"/>
      <c r="B272" s="52"/>
      <c r="C272" s="52"/>
      <c r="D272" s="52"/>
      <c r="E272" s="52"/>
      <c r="F272" s="52"/>
      <c r="G272" s="52"/>
      <c r="H272" s="52"/>
      <c r="I272" s="52"/>
      <c r="J272" s="52"/>
      <c r="K272" s="59"/>
      <c r="L272" s="52"/>
      <c r="M272" s="52" t="str">
        <f>IFERROR(__xludf.DUMMYFUNCTION("""COMPUTED_VALUE"""),"")</f>
        <v/>
      </c>
      <c r="N272" s="52"/>
      <c r="O272" s="52"/>
      <c r="P272" s="52"/>
    </row>
    <row r="273">
      <c r="A273" s="58"/>
      <c r="B273" s="52"/>
      <c r="C273" s="52"/>
      <c r="D273" s="52"/>
      <c r="E273" s="52"/>
      <c r="F273" s="52"/>
      <c r="G273" s="52"/>
      <c r="H273" s="52"/>
      <c r="I273" s="52"/>
      <c r="J273" s="52"/>
      <c r="K273" s="59"/>
      <c r="L273" s="52"/>
      <c r="M273" s="52" t="str">
        <f>IFERROR(__xludf.DUMMYFUNCTION("""COMPUTED_VALUE"""),"")</f>
        <v/>
      </c>
      <c r="N273" s="52"/>
      <c r="O273" s="52"/>
      <c r="P273" s="52"/>
    </row>
    <row r="274">
      <c r="A274" s="58"/>
      <c r="B274" s="52"/>
      <c r="C274" s="52"/>
      <c r="D274" s="52"/>
      <c r="E274" s="52"/>
      <c r="F274" s="52"/>
      <c r="G274" s="52"/>
      <c r="H274" s="52"/>
      <c r="I274" s="52"/>
      <c r="J274" s="52"/>
      <c r="K274" s="59"/>
      <c r="L274" s="52"/>
      <c r="M274" s="52" t="str">
        <f>IFERROR(__xludf.DUMMYFUNCTION("""COMPUTED_VALUE"""),"")</f>
        <v/>
      </c>
      <c r="N274" s="52"/>
      <c r="O274" s="52"/>
      <c r="P274" s="52"/>
    </row>
    <row r="275">
      <c r="A275" s="58"/>
      <c r="B275" s="52"/>
      <c r="C275" s="52"/>
      <c r="D275" s="52"/>
      <c r="E275" s="52"/>
      <c r="F275" s="52"/>
      <c r="G275" s="52"/>
      <c r="H275" s="52"/>
      <c r="I275" s="52"/>
      <c r="J275" s="52"/>
      <c r="K275" s="59"/>
      <c r="L275" s="52"/>
      <c r="M275" s="52" t="str">
        <f>IFERROR(__xludf.DUMMYFUNCTION("""COMPUTED_VALUE"""),"")</f>
        <v/>
      </c>
      <c r="N275" s="52"/>
      <c r="O275" s="52"/>
      <c r="P275" s="52"/>
    </row>
    <row r="276">
      <c r="A276" s="58"/>
      <c r="B276" s="52"/>
      <c r="C276" s="52"/>
      <c r="D276" s="52"/>
      <c r="E276" s="52"/>
      <c r="F276" s="52"/>
      <c r="G276" s="52"/>
      <c r="H276" s="52"/>
      <c r="I276" s="52"/>
      <c r="J276" s="52"/>
      <c r="K276" s="59"/>
      <c r="L276" s="52"/>
      <c r="M276" s="52" t="str">
        <f>IFERROR(__xludf.DUMMYFUNCTION("""COMPUTED_VALUE"""),"")</f>
        <v/>
      </c>
      <c r="N276" s="52"/>
      <c r="O276" s="52"/>
      <c r="P276" s="52"/>
    </row>
    <row r="277">
      <c r="A277" s="58"/>
      <c r="B277" s="52"/>
      <c r="C277" s="52"/>
      <c r="D277" s="52"/>
      <c r="E277" s="52"/>
      <c r="F277" s="52"/>
      <c r="G277" s="52"/>
      <c r="H277" s="52"/>
      <c r="I277" s="52"/>
      <c r="J277" s="52"/>
      <c r="K277" s="59"/>
      <c r="L277" s="52"/>
      <c r="M277" s="52" t="str">
        <f>IFERROR(__xludf.DUMMYFUNCTION("""COMPUTED_VALUE"""),"")</f>
        <v/>
      </c>
      <c r="N277" s="52"/>
      <c r="O277" s="52"/>
      <c r="P277" s="52"/>
    </row>
    <row r="278">
      <c r="A278" s="58"/>
      <c r="B278" s="52"/>
      <c r="C278" s="52"/>
      <c r="D278" s="52"/>
      <c r="E278" s="52"/>
      <c r="F278" s="52"/>
      <c r="G278" s="52"/>
      <c r="H278" s="52"/>
      <c r="I278" s="52"/>
      <c r="J278" s="52"/>
      <c r="K278" s="59"/>
      <c r="L278" s="52"/>
      <c r="M278" s="52" t="str">
        <f>IFERROR(__xludf.DUMMYFUNCTION("""COMPUTED_VALUE"""),"")</f>
        <v/>
      </c>
      <c r="N278" s="52"/>
      <c r="O278" s="52"/>
      <c r="P278" s="52"/>
    </row>
    <row r="279">
      <c r="A279" s="58"/>
      <c r="B279" s="52"/>
      <c r="C279" s="52"/>
      <c r="D279" s="52"/>
      <c r="E279" s="52"/>
      <c r="F279" s="52"/>
      <c r="G279" s="52"/>
      <c r="H279" s="52"/>
      <c r="I279" s="52"/>
      <c r="J279" s="52"/>
      <c r="K279" s="59"/>
      <c r="L279" s="52"/>
      <c r="M279" s="52" t="str">
        <f>IFERROR(__xludf.DUMMYFUNCTION("""COMPUTED_VALUE"""),"")</f>
        <v/>
      </c>
      <c r="N279" s="52"/>
      <c r="O279" s="52"/>
      <c r="P279" s="52"/>
    </row>
    <row r="280">
      <c r="A280" s="58"/>
      <c r="B280" s="52"/>
      <c r="C280" s="52"/>
      <c r="D280" s="52"/>
      <c r="E280" s="52"/>
      <c r="F280" s="52"/>
      <c r="G280" s="52"/>
      <c r="H280" s="52"/>
      <c r="I280" s="52"/>
      <c r="J280" s="52"/>
      <c r="K280" s="59"/>
      <c r="L280" s="52"/>
      <c r="M280" s="52" t="str">
        <f>IFERROR(__xludf.DUMMYFUNCTION("""COMPUTED_VALUE"""),"")</f>
        <v/>
      </c>
      <c r="N280" s="52"/>
      <c r="O280" s="52"/>
      <c r="P280" s="52"/>
    </row>
    <row r="281">
      <c r="A281" s="58"/>
      <c r="B281" s="52"/>
      <c r="C281" s="52"/>
      <c r="D281" s="52"/>
      <c r="E281" s="52"/>
      <c r="F281" s="52"/>
      <c r="G281" s="52"/>
      <c r="H281" s="52"/>
      <c r="I281" s="52"/>
      <c r="J281" s="52"/>
      <c r="K281" s="59"/>
      <c r="L281" s="52"/>
      <c r="M281" s="52" t="str">
        <f>IFERROR(__xludf.DUMMYFUNCTION("""COMPUTED_VALUE"""),"")</f>
        <v/>
      </c>
      <c r="N281" s="52"/>
      <c r="O281" s="52"/>
      <c r="P281" s="52"/>
    </row>
    <row r="282">
      <c r="A282" s="58"/>
      <c r="B282" s="52"/>
      <c r="C282" s="52"/>
      <c r="D282" s="52"/>
      <c r="E282" s="52"/>
      <c r="F282" s="52"/>
      <c r="G282" s="52"/>
      <c r="H282" s="52"/>
      <c r="I282" s="52"/>
      <c r="J282" s="52"/>
      <c r="K282" s="59"/>
      <c r="L282" s="52"/>
      <c r="M282" s="52" t="str">
        <f>IFERROR(__xludf.DUMMYFUNCTION("""COMPUTED_VALUE"""),"")</f>
        <v/>
      </c>
      <c r="N282" s="52"/>
      <c r="O282" s="52"/>
      <c r="P282" s="52"/>
    </row>
    <row r="283">
      <c r="A283" s="58"/>
      <c r="B283" s="52"/>
      <c r="C283" s="52"/>
      <c r="D283" s="52"/>
      <c r="E283" s="52"/>
      <c r="F283" s="52"/>
      <c r="G283" s="52"/>
      <c r="H283" s="52"/>
      <c r="I283" s="52"/>
      <c r="J283" s="52"/>
      <c r="K283" s="59"/>
      <c r="L283" s="52"/>
      <c r="M283" s="52" t="str">
        <f>IFERROR(__xludf.DUMMYFUNCTION("""COMPUTED_VALUE"""),"")</f>
        <v/>
      </c>
      <c r="N283" s="52"/>
      <c r="O283" s="52"/>
      <c r="P283" s="52"/>
    </row>
    <row r="284">
      <c r="A284" s="58"/>
      <c r="B284" s="52"/>
      <c r="C284" s="52"/>
      <c r="D284" s="52"/>
      <c r="E284" s="52"/>
      <c r="F284" s="52"/>
      <c r="G284" s="52"/>
      <c r="H284" s="52"/>
      <c r="I284" s="52"/>
      <c r="J284" s="52"/>
      <c r="K284" s="59"/>
      <c r="L284" s="52"/>
      <c r="M284" s="52" t="str">
        <f>IFERROR(__xludf.DUMMYFUNCTION("""COMPUTED_VALUE"""),"")</f>
        <v/>
      </c>
      <c r="N284" s="52"/>
      <c r="O284" s="52"/>
      <c r="P284" s="52"/>
    </row>
    <row r="285">
      <c r="A285" s="58"/>
      <c r="B285" s="52"/>
      <c r="C285" s="52"/>
      <c r="D285" s="52"/>
      <c r="E285" s="52"/>
      <c r="F285" s="52"/>
      <c r="G285" s="52"/>
      <c r="H285" s="52"/>
      <c r="I285" s="52"/>
      <c r="J285" s="52"/>
      <c r="K285" s="59"/>
      <c r="L285" s="52"/>
      <c r="M285" s="52" t="str">
        <f>IFERROR(__xludf.DUMMYFUNCTION("""COMPUTED_VALUE"""),"")</f>
        <v/>
      </c>
      <c r="N285" s="52"/>
      <c r="O285" s="52"/>
      <c r="P285" s="52"/>
    </row>
    <row r="286">
      <c r="A286" s="58"/>
      <c r="B286" s="52"/>
      <c r="C286" s="52"/>
      <c r="D286" s="52"/>
      <c r="E286" s="52"/>
      <c r="F286" s="52"/>
      <c r="G286" s="52"/>
      <c r="H286" s="52"/>
      <c r="I286" s="52"/>
      <c r="J286" s="52"/>
      <c r="K286" s="59"/>
      <c r="L286" s="52"/>
      <c r="M286" s="52" t="str">
        <f>IFERROR(__xludf.DUMMYFUNCTION("""COMPUTED_VALUE"""),"")</f>
        <v/>
      </c>
      <c r="N286" s="52"/>
      <c r="O286" s="52"/>
      <c r="P286" s="52"/>
    </row>
    <row r="287">
      <c r="A287" s="58"/>
      <c r="B287" s="52"/>
      <c r="C287" s="52"/>
      <c r="D287" s="52"/>
      <c r="E287" s="52"/>
      <c r="F287" s="52"/>
      <c r="G287" s="52"/>
      <c r="H287" s="52"/>
      <c r="I287" s="52"/>
      <c r="J287" s="52"/>
      <c r="K287" s="59"/>
      <c r="L287" s="52"/>
      <c r="M287" s="52" t="str">
        <f>IFERROR(__xludf.DUMMYFUNCTION("""COMPUTED_VALUE"""),"")</f>
        <v/>
      </c>
      <c r="N287" s="52"/>
      <c r="O287" s="52"/>
      <c r="P287" s="52"/>
    </row>
    <row r="288">
      <c r="A288" s="58"/>
      <c r="B288" s="52"/>
      <c r="C288" s="52"/>
      <c r="D288" s="52"/>
      <c r="E288" s="52"/>
      <c r="F288" s="52"/>
      <c r="G288" s="52"/>
      <c r="H288" s="52"/>
      <c r="I288" s="52"/>
      <c r="J288" s="52"/>
      <c r="K288" s="59"/>
      <c r="L288" s="52"/>
      <c r="M288" s="52" t="str">
        <f>IFERROR(__xludf.DUMMYFUNCTION("""COMPUTED_VALUE"""),"")</f>
        <v/>
      </c>
      <c r="N288" s="52"/>
      <c r="O288" s="52"/>
      <c r="P288" s="52"/>
    </row>
    <row r="289">
      <c r="A289" s="58"/>
      <c r="B289" s="52"/>
      <c r="C289" s="52"/>
      <c r="D289" s="52"/>
      <c r="E289" s="52"/>
      <c r="F289" s="52"/>
      <c r="G289" s="52"/>
      <c r="H289" s="52"/>
      <c r="I289" s="52"/>
      <c r="J289" s="52"/>
      <c r="K289" s="59"/>
      <c r="L289" s="52"/>
      <c r="M289" s="52" t="str">
        <f>IFERROR(__xludf.DUMMYFUNCTION("""COMPUTED_VALUE"""),"")</f>
        <v/>
      </c>
      <c r="N289" s="52"/>
      <c r="O289" s="52"/>
      <c r="P289" s="52"/>
    </row>
    <row r="290">
      <c r="A290" s="58"/>
      <c r="B290" s="52"/>
      <c r="C290" s="52"/>
      <c r="D290" s="52"/>
      <c r="E290" s="52"/>
      <c r="F290" s="52"/>
      <c r="G290" s="52"/>
      <c r="H290" s="52"/>
      <c r="I290" s="52"/>
      <c r="J290" s="52"/>
      <c r="K290" s="59"/>
      <c r="L290" s="52"/>
      <c r="M290" s="52" t="str">
        <f>IFERROR(__xludf.DUMMYFUNCTION("""COMPUTED_VALUE"""),"")</f>
        <v/>
      </c>
      <c r="N290" s="52"/>
      <c r="O290" s="52"/>
      <c r="P290" s="52"/>
    </row>
    <row r="291">
      <c r="A291" s="58"/>
      <c r="B291" s="52"/>
      <c r="C291" s="52"/>
      <c r="D291" s="52"/>
      <c r="E291" s="52"/>
      <c r="F291" s="52"/>
      <c r="G291" s="52"/>
      <c r="H291" s="52"/>
      <c r="I291" s="52"/>
      <c r="J291" s="52"/>
      <c r="K291" s="59"/>
      <c r="L291" s="52"/>
      <c r="M291" s="52" t="str">
        <f>IFERROR(__xludf.DUMMYFUNCTION("""COMPUTED_VALUE"""),"")</f>
        <v/>
      </c>
      <c r="N291" s="52"/>
      <c r="O291" s="52"/>
      <c r="P291" s="52"/>
    </row>
    <row r="292">
      <c r="A292" s="58"/>
      <c r="B292" s="52"/>
      <c r="C292" s="52"/>
      <c r="D292" s="52"/>
      <c r="E292" s="52"/>
      <c r="F292" s="52"/>
      <c r="G292" s="52"/>
      <c r="H292" s="52"/>
      <c r="I292" s="52"/>
      <c r="J292" s="52"/>
      <c r="K292" s="59"/>
      <c r="L292" s="52"/>
      <c r="M292" s="52" t="str">
        <f>IFERROR(__xludf.DUMMYFUNCTION("""COMPUTED_VALUE"""),"")</f>
        <v/>
      </c>
      <c r="N292" s="52"/>
      <c r="O292" s="52"/>
      <c r="P292" s="52"/>
    </row>
    <row r="293">
      <c r="A293" s="58"/>
      <c r="B293" s="52"/>
      <c r="C293" s="52"/>
      <c r="D293" s="52"/>
      <c r="E293" s="52"/>
      <c r="F293" s="52"/>
      <c r="G293" s="52"/>
      <c r="H293" s="52"/>
      <c r="I293" s="52"/>
      <c r="J293" s="52"/>
      <c r="K293" s="59"/>
      <c r="L293" s="52"/>
      <c r="M293" s="52" t="str">
        <f>IFERROR(__xludf.DUMMYFUNCTION("""COMPUTED_VALUE"""),"")</f>
        <v/>
      </c>
      <c r="N293" s="52"/>
      <c r="O293" s="52"/>
      <c r="P293" s="52"/>
    </row>
    <row r="294">
      <c r="A294" s="58"/>
      <c r="B294" s="52"/>
      <c r="C294" s="52"/>
      <c r="D294" s="52"/>
      <c r="E294" s="52"/>
      <c r="F294" s="52"/>
      <c r="G294" s="52"/>
      <c r="H294" s="52"/>
      <c r="I294" s="52"/>
      <c r="J294" s="52"/>
      <c r="K294" s="59"/>
      <c r="L294" s="52"/>
      <c r="M294" s="52" t="str">
        <f>IFERROR(__xludf.DUMMYFUNCTION("""COMPUTED_VALUE"""),"")</f>
        <v/>
      </c>
      <c r="N294" s="52"/>
      <c r="O294" s="52"/>
      <c r="P294" s="52"/>
    </row>
    <row r="295">
      <c r="A295" s="58"/>
      <c r="B295" s="52"/>
      <c r="C295" s="52"/>
      <c r="D295" s="52"/>
      <c r="E295" s="52"/>
      <c r="F295" s="52"/>
      <c r="G295" s="52"/>
      <c r="H295" s="52"/>
      <c r="I295" s="52"/>
      <c r="J295" s="52"/>
      <c r="K295" s="59"/>
      <c r="L295" s="52"/>
      <c r="M295" s="52" t="str">
        <f>IFERROR(__xludf.DUMMYFUNCTION("""COMPUTED_VALUE"""),"")</f>
        <v/>
      </c>
      <c r="N295" s="52"/>
      <c r="O295" s="52"/>
      <c r="P295" s="52"/>
    </row>
    <row r="296">
      <c r="A296" s="58"/>
      <c r="B296" s="52"/>
      <c r="C296" s="52"/>
      <c r="D296" s="52"/>
      <c r="E296" s="52"/>
      <c r="F296" s="52"/>
      <c r="G296" s="52"/>
      <c r="H296" s="52"/>
      <c r="I296" s="52"/>
      <c r="J296" s="52"/>
      <c r="K296" s="59"/>
      <c r="L296" s="52"/>
      <c r="M296" s="52" t="str">
        <f>IFERROR(__xludf.DUMMYFUNCTION("""COMPUTED_VALUE"""),"")</f>
        <v/>
      </c>
      <c r="N296" s="52"/>
      <c r="O296" s="52"/>
      <c r="P296" s="52"/>
    </row>
    <row r="297">
      <c r="A297" s="58"/>
      <c r="B297" s="52"/>
      <c r="C297" s="52"/>
      <c r="D297" s="52"/>
      <c r="E297" s="52"/>
      <c r="F297" s="52"/>
      <c r="G297" s="52"/>
      <c r="H297" s="52"/>
      <c r="I297" s="52"/>
      <c r="J297" s="52"/>
      <c r="K297" s="59"/>
      <c r="L297" s="52"/>
      <c r="M297" s="52" t="str">
        <f>IFERROR(__xludf.DUMMYFUNCTION("""COMPUTED_VALUE"""),"")</f>
        <v/>
      </c>
      <c r="N297" s="52"/>
      <c r="O297" s="52"/>
      <c r="P297" s="52"/>
    </row>
    <row r="298">
      <c r="A298" s="58"/>
      <c r="B298" s="52"/>
      <c r="C298" s="52"/>
      <c r="D298" s="52"/>
      <c r="E298" s="52"/>
      <c r="F298" s="52"/>
      <c r="G298" s="52"/>
      <c r="H298" s="52"/>
      <c r="I298" s="52"/>
      <c r="J298" s="52"/>
      <c r="K298" s="59"/>
      <c r="L298" s="52"/>
      <c r="M298" s="52" t="str">
        <f>IFERROR(__xludf.DUMMYFUNCTION("""COMPUTED_VALUE"""),"")</f>
        <v/>
      </c>
      <c r="N298" s="52"/>
      <c r="O298" s="52"/>
      <c r="P298" s="52"/>
    </row>
    <row r="299">
      <c r="A299" s="58"/>
      <c r="B299" s="52"/>
      <c r="C299" s="52"/>
      <c r="D299" s="52"/>
      <c r="E299" s="52"/>
      <c r="F299" s="52"/>
      <c r="G299" s="52"/>
      <c r="H299" s="52"/>
      <c r="I299" s="52"/>
      <c r="J299" s="52"/>
      <c r="K299" s="59"/>
      <c r="L299" s="52"/>
      <c r="M299" s="52" t="str">
        <f>IFERROR(__xludf.DUMMYFUNCTION("""COMPUTED_VALUE"""),"")</f>
        <v/>
      </c>
      <c r="N299" s="52"/>
      <c r="O299" s="52"/>
      <c r="P299" s="52"/>
    </row>
    <row r="300">
      <c r="A300" s="58"/>
      <c r="B300" s="52"/>
      <c r="C300" s="52"/>
      <c r="D300" s="52"/>
      <c r="E300" s="52"/>
      <c r="F300" s="52"/>
      <c r="G300" s="52"/>
      <c r="H300" s="52"/>
      <c r="I300" s="52"/>
      <c r="J300" s="52"/>
      <c r="K300" s="59"/>
      <c r="L300" s="52"/>
      <c r="M300" s="52" t="str">
        <f>IFERROR(__xludf.DUMMYFUNCTION("""COMPUTED_VALUE"""),"")</f>
        <v/>
      </c>
      <c r="N300" s="52"/>
      <c r="O300" s="52"/>
      <c r="P300" s="52"/>
    </row>
    <row r="301">
      <c r="A301" s="58"/>
      <c r="B301" s="52"/>
      <c r="C301" s="52"/>
      <c r="D301" s="52"/>
      <c r="E301" s="52"/>
      <c r="F301" s="52"/>
      <c r="G301" s="52"/>
      <c r="H301" s="52"/>
      <c r="I301" s="52"/>
      <c r="J301" s="52"/>
      <c r="K301" s="59"/>
      <c r="L301" s="52"/>
      <c r="M301" s="52" t="str">
        <f>IFERROR(__xludf.DUMMYFUNCTION("""COMPUTED_VALUE"""),"")</f>
        <v/>
      </c>
      <c r="N301" s="52"/>
      <c r="O301" s="52"/>
      <c r="P301" s="52"/>
    </row>
    <row r="302">
      <c r="A302" s="58"/>
      <c r="B302" s="52"/>
      <c r="C302" s="52"/>
      <c r="D302" s="52"/>
      <c r="E302" s="52"/>
      <c r="F302" s="52"/>
      <c r="G302" s="52"/>
      <c r="H302" s="52"/>
      <c r="I302" s="52"/>
      <c r="J302" s="52"/>
      <c r="K302" s="59"/>
      <c r="L302" s="52"/>
      <c r="M302" s="52" t="str">
        <f>IFERROR(__xludf.DUMMYFUNCTION("""COMPUTED_VALUE"""),"")</f>
        <v/>
      </c>
      <c r="N302" s="52"/>
      <c r="O302" s="52"/>
      <c r="P302" s="52"/>
    </row>
    <row r="303">
      <c r="A303" s="58"/>
      <c r="B303" s="52"/>
      <c r="C303" s="52"/>
      <c r="D303" s="52"/>
      <c r="E303" s="52"/>
      <c r="F303" s="52"/>
      <c r="G303" s="52"/>
      <c r="H303" s="52"/>
      <c r="I303" s="52"/>
      <c r="J303" s="52"/>
      <c r="K303" s="59"/>
      <c r="L303" s="52"/>
      <c r="M303" s="52" t="str">
        <f>IFERROR(__xludf.DUMMYFUNCTION("""COMPUTED_VALUE"""),"")</f>
        <v/>
      </c>
      <c r="N303" s="52"/>
      <c r="O303" s="52"/>
      <c r="P303" s="52"/>
    </row>
    <row r="304">
      <c r="A304" s="58"/>
      <c r="B304" s="52"/>
      <c r="C304" s="52"/>
      <c r="D304" s="52"/>
      <c r="E304" s="52"/>
      <c r="F304" s="52"/>
      <c r="G304" s="52"/>
      <c r="H304" s="52"/>
      <c r="I304" s="52"/>
      <c r="J304" s="52"/>
      <c r="K304" s="59"/>
      <c r="L304" s="52"/>
      <c r="M304" s="52" t="str">
        <f>IFERROR(__xludf.DUMMYFUNCTION("""COMPUTED_VALUE"""),"")</f>
        <v/>
      </c>
      <c r="N304" s="52"/>
      <c r="O304" s="52"/>
      <c r="P304" s="52"/>
    </row>
    <row r="305">
      <c r="A305" s="58"/>
      <c r="B305" s="52"/>
      <c r="C305" s="52"/>
      <c r="D305" s="52"/>
      <c r="E305" s="52"/>
      <c r="F305" s="52"/>
      <c r="G305" s="52"/>
      <c r="H305" s="52"/>
      <c r="I305" s="52"/>
      <c r="J305" s="52"/>
      <c r="K305" s="59"/>
      <c r="L305" s="52"/>
      <c r="M305" s="52" t="str">
        <f>IFERROR(__xludf.DUMMYFUNCTION("""COMPUTED_VALUE"""),"")</f>
        <v/>
      </c>
      <c r="N305" s="52"/>
      <c r="O305" s="52"/>
      <c r="P305" s="52"/>
    </row>
    <row r="306">
      <c r="A306" s="58"/>
      <c r="B306" s="52"/>
      <c r="C306" s="52"/>
      <c r="D306" s="52"/>
      <c r="E306" s="52"/>
      <c r="F306" s="52"/>
      <c r="G306" s="52"/>
      <c r="H306" s="52"/>
      <c r="I306" s="52"/>
      <c r="J306" s="52"/>
      <c r="K306" s="59"/>
      <c r="L306" s="52"/>
      <c r="M306" s="52" t="str">
        <f>IFERROR(__xludf.DUMMYFUNCTION("""COMPUTED_VALUE"""),"")</f>
        <v/>
      </c>
      <c r="N306" s="52"/>
      <c r="O306" s="52"/>
      <c r="P306" s="52"/>
    </row>
    <row r="307">
      <c r="A307" s="58"/>
      <c r="B307" s="52"/>
      <c r="C307" s="52"/>
      <c r="D307" s="52"/>
      <c r="E307" s="52"/>
      <c r="F307" s="52"/>
      <c r="G307" s="52"/>
      <c r="H307" s="52"/>
      <c r="I307" s="52"/>
      <c r="J307" s="52"/>
      <c r="K307" s="59"/>
      <c r="L307" s="52"/>
      <c r="M307" s="52" t="str">
        <f>IFERROR(__xludf.DUMMYFUNCTION("""COMPUTED_VALUE"""),"")</f>
        <v/>
      </c>
      <c r="N307" s="52"/>
      <c r="O307" s="52"/>
      <c r="P307" s="52"/>
    </row>
    <row r="308">
      <c r="A308" s="58"/>
      <c r="B308" s="52"/>
      <c r="C308" s="52"/>
      <c r="D308" s="52"/>
      <c r="E308" s="52"/>
      <c r="F308" s="52"/>
      <c r="G308" s="52"/>
      <c r="H308" s="52"/>
      <c r="I308" s="52"/>
      <c r="J308" s="52"/>
      <c r="K308" s="59"/>
      <c r="L308" s="52"/>
      <c r="M308" s="52" t="str">
        <f>IFERROR(__xludf.DUMMYFUNCTION("""COMPUTED_VALUE"""),"")</f>
        <v/>
      </c>
      <c r="N308" s="52"/>
      <c r="O308" s="52"/>
      <c r="P308" s="52"/>
    </row>
    <row r="309">
      <c r="A309" s="58"/>
      <c r="B309" s="52"/>
      <c r="C309" s="52"/>
      <c r="D309" s="52"/>
      <c r="E309" s="52"/>
      <c r="F309" s="52"/>
      <c r="G309" s="52"/>
      <c r="H309" s="52"/>
      <c r="I309" s="52"/>
      <c r="J309" s="52"/>
      <c r="K309" s="59"/>
      <c r="L309" s="52"/>
      <c r="M309" s="52" t="str">
        <f>IFERROR(__xludf.DUMMYFUNCTION("""COMPUTED_VALUE"""),"")</f>
        <v/>
      </c>
      <c r="N309" s="52"/>
      <c r="O309" s="52"/>
      <c r="P309" s="52"/>
    </row>
    <row r="310">
      <c r="A310" s="58"/>
      <c r="B310" s="52"/>
      <c r="C310" s="52"/>
      <c r="D310" s="52"/>
      <c r="E310" s="52"/>
      <c r="F310" s="52"/>
      <c r="G310" s="52"/>
      <c r="H310" s="52"/>
      <c r="I310" s="52"/>
      <c r="J310" s="52"/>
      <c r="K310" s="59"/>
      <c r="L310" s="52"/>
      <c r="M310" s="52" t="str">
        <f>IFERROR(__xludf.DUMMYFUNCTION("""COMPUTED_VALUE"""),"")</f>
        <v/>
      </c>
      <c r="N310" s="52"/>
      <c r="O310" s="52"/>
      <c r="P310" s="52"/>
    </row>
    <row r="311">
      <c r="A311" s="58"/>
      <c r="B311" s="52"/>
      <c r="C311" s="52"/>
      <c r="D311" s="52"/>
      <c r="E311" s="52"/>
      <c r="F311" s="52"/>
      <c r="G311" s="52"/>
      <c r="H311" s="52"/>
      <c r="I311" s="52"/>
      <c r="J311" s="52"/>
      <c r="K311" s="59"/>
      <c r="L311" s="52"/>
      <c r="M311" s="52" t="str">
        <f>IFERROR(__xludf.DUMMYFUNCTION("""COMPUTED_VALUE"""),"")</f>
        <v/>
      </c>
      <c r="N311" s="52"/>
      <c r="O311" s="52"/>
      <c r="P311" s="52"/>
    </row>
    <row r="312">
      <c r="A312" s="58"/>
      <c r="B312" s="52"/>
      <c r="C312" s="52"/>
      <c r="D312" s="52"/>
      <c r="E312" s="52"/>
      <c r="F312" s="52"/>
      <c r="G312" s="52"/>
      <c r="H312" s="52"/>
      <c r="I312" s="52"/>
      <c r="J312" s="52"/>
      <c r="K312" s="59"/>
      <c r="L312" s="52"/>
      <c r="M312" s="52" t="str">
        <f>IFERROR(__xludf.DUMMYFUNCTION("""COMPUTED_VALUE"""),"")</f>
        <v/>
      </c>
      <c r="N312" s="52"/>
      <c r="O312" s="52"/>
      <c r="P312" s="52"/>
    </row>
    <row r="313">
      <c r="A313" s="58"/>
      <c r="B313" s="52"/>
      <c r="C313" s="52"/>
      <c r="D313" s="52"/>
      <c r="E313" s="52"/>
      <c r="F313" s="52"/>
      <c r="G313" s="52"/>
      <c r="H313" s="52"/>
      <c r="I313" s="52"/>
      <c r="J313" s="52"/>
      <c r="K313" s="59"/>
      <c r="L313" s="52"/>
      <c r="M313" s="52" t="str">
        <f>IFERROR(__xludf.DUMMYFUNCTION("""COMPUTED_VALUE"""),"")</f>
        <v/>
      </c>
      <c r="N313" s="52"/>
      <c r="O313" s="52"/>
      <c r="P313" s="52"/>
    </row>
    <row r="314">
      <c r="A314" s="58"/>
      <c r="B314" s="52"/>
      <c r="C314" s="52"/>
      <c r="D314" s="52"/>
      <c r="E314" s="52"/>
      <c r="F314" s="52"/>
      <c r="G314" s="52"/>
      <c r="H314" s="52"/>
      <c r="I314" s="52"/>
      <c r="J314" s="52"/>
      <c r="K314" s="59"/>
      <c r="L314" s="52"/>
      <c r="M314" s="52" t="str">
        <f>IFERROR(__xludf.DUMMYFUNCTION("""COMPUTED_VALUE"""),"")</f>
        <v/>
      </c>
      <c r="N314" s="52"/>
      <c r="O314" s="52"/>
      <c r="P314" s="52"/>
    </row>
    <row r="315">
      <c r="A315" s="58"/>
      <c r="B315" s="52"/>
      <c r="C315" s="52"/>
      <c r="D315" s="52"/>
      <c r="E315" s="52"/>
      <c r="F315" s="52"/>
      <c r="G315" s="52"/>
      <c r="H315" s="52"/>
      <c r="I315" s="52"/>
      <c r="J315" s="52"/>
      <c r="K315" s="59"/>
      <c r="L315" s="52"/>
      <c r="M315" s="52" t="str">
        <f>IFERROR(__xludf.DUMMYFUNCTION("""COMPUTED_VALUE"""),"")</f>
        <v/>
      </c>
      <c r="N315" s="52"/>
      <c r="O315" s="52"/>
      <c r="P315" s="52"/>
    </row>
    <row r="316">
      <c r="A316" s="58"/>
      <c r="B316" s="52"/>
      <c r="C316" s="52"/>
      <c r="D316" s="52"/>
      <c r="E316" s="52"/>
      <c r="F316" s="52"/>
      <c r="G316" s="52"/>
      <c r="H316" s="52"/>
      <c r="I316" s="52"/>
      <c r="J316" s="52"/>
      <c r="K316" s="59"/>
      <c r="L316" s="52"/>
      <c r="M316" s="52" t="str">
        <f>IFERROR(__xludf.DUMMYFUNCTION("""COMPUTED_VALUE"""),"")</f>
        <v/>
      </c>
      <c r="N316" s="52"/>
      <c r="O316" s="52"/>
      <c r="P316" s="52"/>
    </row>
    <row r="317">
      <c r="A317" s="58"/>
      <c r="B317" s="52"/>
      <c r="C317" s="52"/>
      <c r="D317" s="52"/>
      <c r="E317" s="52"/>
      <c r="F317" s="52"/>
      <c r="G317" s="52"/>
      <c r="H317" s="52"/>
      <c r="I317" s="52"/>
      <c r="J317" s="52"/>
      <c r="K317" s="59"/>
      <c r="L317" s="52"/>
      <c r="M317" s="52" t="str">
        <f>IFERROR(__xludf.DUMMYFUNCTION("""COMPUTED_VALUE"""),"")</f>
        <v/>
      </c>
      <c r="N317" s="52"/>
      <c r="O317" s="52"/>
      <c r="P317" s="52"/>
    </row>
    <row r="318">
      <c r="A318" s="58"/>
      <c r="B318" s="52"/>
      <c r="C318" s="52"/>
      <c r="D318" s="52"/>
      <c r="E318" s="52"/>
      <c r="F318" s="52"/>
      <c r="G318" s="52"/>
      <c r="H318" s="52"/>
      <c r="I318" s="52"/>
      <c r="J318" s="52"/>
      <c r="K318" s="59"/>
      <c r="L318" s="52"/>
      <c r="M318" s="52" t="str">
        <f>IFERROR(__xludf.DUMMYFUNCTION("""COMPUTED_VALUE"""),"")</f>
        <v/>
      </c>
      <c r="N318" s="52"/>
      <c r="O318" s="52"/>
      <c r="P318" s="52"/>
    </row>
    <row r="319">
      <c r="A319" s="58"/>
      <c r="B319" s="52"/>
      <c r="C319" s="52"/>
      <c r="D319" s="52"/>
      <c r="E319" s="52"/>
      <c r="F319" s="52"/>
      <c r="G319" s="52"/>
      <c r="H319" s="52"/>
      <c r="I319" s="52"/>
      <c r="J319" s="52"/>
      <c r="K319" s="59"/>
      <c r="L319" s="52"/>
      <c r="M319" s="52" t="str">
        <f>IFERROR(__xludf.DUMMYFUNCTION("""COMPUTED_VALUE"""),"")</f>
        <v/>
      </c>
      <c r="N319" s="52"/>
      <c r="O319" s="52"/>
      <c r="P319" s="52"/>
    </row>
    <row r="320">
      <c r="A320" s="58"/>
      <c r="B320" s="52"/>
      <c r="C320" s="52"/>
      <c r="D320" s="52"/>
      <c r="E320" s="52"/>
      <c r="F320" s="52"/>
      <c r="G320" s="52"/>
      <c r="H320" s="52"/>
      <c r="I320" s="52"/>
      <c r="J320" s="52"/>
      <c r="K320" s="59"/>
      <c r="L320" s="52"/>
      <c r="M320" s="52" t="str">
        <f>IFERROR(__xludf.DUMMYFUNCTION("""COMPUTED_VALUE"""),"")</f>
        <v/>
      </c>
      <c r="N320" s="52"/>
      <c r="O320" s="52"/>
      <c r="P320" s="52"/>
    </row>
    <row r="321">
      <c r="A321" s="58"/>
      <c r="B321" s="52"/>
      <c r="C321" s="52"/>
      <c r="D321" s="52"/>
      <c r="E321" s="52"/>
      <c r="F321" s="52"/>
      <c r="G321" s="52"/>
      <c r="H321" s="52"/>
      <c r="I321" s="52"/>
      <c r="J321" s="52"/>
      <c r="K321" s="59"/>
      <c r="L321" s="52"/>
      <c r="M321" s="52" t="str">
        <f>IFERROR(__xludf.DUMMYFUNCTION("""COMPUTED_VALUE"""),"")</f>
        <v/>
      </c>
      <c r="N321" s="52"/>
      <c r="O321" s="52"/>
      <c r="P321" s="52"/>
    </row>
    <row r="322">
      <c r="A322" s="58"/>
      <c r="B322" s="52"/>
      <c r="C322" s="52"/>
      <c r="D322" s="52"/>
      <c r="E322" s="52"/>
      <c r="F322" s="52"/>
      <c r="G322" s="52"/>
      <c r="H322" s="52"/>
      <c r="I322" s="52"/>
      <c r="J322" s="52"/>
      <c r="K322" s="59"/>
      <c r="L322" s="52"/>
      <c r="M322" s="52" t="str">
        <f>IFERROR(__xludf.DUMMYFUNCTION("""COMPUTED_VALUE"""),"")</f>
        <v/>
      </c>
      <c r="N322" s="52"/>
      <c r="O322" s="52"/>
      <c r="P322" s="52"/>
    </row>
    <row r="323">
      <c r="A323" s="58"/>
      <c r="B323" s="52"/>
      <c r="C323" s="52"/>
      <c r="D323" s="52"/>
      <c r="E323" s="52"/>
      <c r="F323" s="52"/>
      <c r="G323" s="52"/>
      <c r="H323" s="52"/>
      <c r="I323" s="52"/>
      <c r="J323" s="52"/>
      <c r="K323" s="59"/>
      <c r="L323" s="52"/>
      <c r="M323" s="52" t="str">
        <f>IFERROR(__xludf.DUMMYFUNCTION("""COMPUTED_VALUE"""),"")</f>
        <v/>
      </c>
      <c r="N323" s="52"/>
      <c r="O323" s="52"/>
      <c r="P323" s="52"/>
    </row>
    <row r="324">
      <c r="A324" s="58"/>
      <c r="B324" s="52"/>
      <c r="C324" s="52"/>
      <c r="D324" s="52"/>
      <c r="E324" s="52"/>
      <c r="F324" s="52"/>
      <c r="G324" s="52"/>
      <c r="H324" s="52"/>
      <c r="I324" s="52"/>
      <c r="J324" s="52"/>
      <c r="K324" s="59"/>
      <c r="L324" s="52"/>
      <c r="M324" s="52" t="str">
        <f>IFERROR(__xludf.DUMMYFUNCTION("""COMPUTED_VALUE"""),"")</f>
        <v/>
      </c>
      <c r="N324" s="52"/>
      <c r="O324" s="52"/>
      <c r="P324" s="52"/>
    </row>
    <row r="325">
      <c r="A325" s="58"/>
      <c r="B325" s="52"/>
      <c r="C325" s="52"/>
      <c r="D325" s="52"/>
      <c r="E325" s="52"/>
      <c r="F325" s="52"/>
      <c r="G325" s="52"/>
      <c r="H325" s="52"/>
      <c r="I325" s="52"/>
      <c r="J325" s="52"/>
      <c r="K325" s="59"/>
      <c r="L325" s="52"/>
      <c r="M325" s="52" t="str">
        <f>IFERROR(__xludf.DUMMYFUNCTION("""COMPUTED_VALUE"""),"")</f>
        <v/>
      </c>
      <c r="N325" s="52"/>
      <c r="O325" s="52"/>
      <c r="P325" s="52"/>
    </row>
    <row r="326">
      <c r="A326" s="58"/>
      <c r="B326" s="52"/>
      <c r="C326" s="52"/>
      <c r="D326" s="52"/>
      <c r="E326" s="52"/>
      <c r="F326" s="52"/>
      <c r="G326" s="52"/>
      <c r="H326" s="52"/>
      <c r="I326" s="52"/>
      <c r="J326" s="52"/>
      <c r="K326" s="59"/>
      <c r="L326" s="52"/>
      <c r="M326" s="52" t="str">
        <f>IFERROR(__xludf.DUMMYFUNCTION("""COMPUTED_VALUE"""),"")</f>
        <v/>
      </c>
      <c r="N326" s="52"/>
      <c r="O326" s="52"/>
      <c r="P326" s="52"/>
    </row>
    <row r="327">
      <c r="A327" s="58"/>
      <c r="B327" s="52"/>
      <c r="C327" s="52"/>
      <c r="D327" s="52"/>
      <c r="E327" s="52"/>
      <c r="F327" s="52"/>
      <c r="G327" s="52"/>
      <c r="H327" s="52"/>
      <c r="I327" s="52"/>
      <c r="J327" s="52"/>
      <c r="K327" s="59"/>
      <c r="L327" s="52"/>
      <c r="M327" s="52" t="str">
        <f>IFERROR(__xludf.DUMMYFUNCTION("""COMPUTED_VALUE"""),"")</f>
        <v/>
      </c>
      <c r="N327" s="52"/>
      <c r="O327" s="52"/>
      <c r="P327" s="52"/>
    </row>
    <row r="328">
      <c r="A328" s="58"/>
      <c r="B328" s="52"/>
      <c r="C328" s="52"/>
      <c r="D328" s="52"/>
      <c r="E328" s="52"/>
      <c r="F328" s="52"/>
      <c r="G328" s="52"/>
      <c r="H328" s="52"/>
      <c r="I328" s="52"/>
      <c r="J328" s="52"/>
      <c r="K328" s="59"/>
      <c r="L328" s="52"/>
      <c r="M328" s="52" t="str">
        <f>IFERROR(__xludf.DUMMYFUNCTION("""COMPUTED_VALUE"""),"")</f>
        <v/>
      </c>
      <c r="N328" s="52"/>
      <c r="O328" s="52"/>
      <c r="P328" s="52"/>
    </row>
    <row r="329">
      <c r="A329" s="58"/>
      <c r="B329" s="52"/>
      <c r="C329" s="52"/>
      <c r="D329" s="52"/>
      <c r="E329" s="52"/>
      <c r="F329" s="52"/>
      <c r="G329" s="52"/>
      <c r="H329" s="52"/>
      <c r="I329" s="52"/>
      <c r="J329" s="52"/>
      <c r="K329" s="59"/>
      <c r="L329" s="52"/>
      <c r="M329" s="52" t="str">
        <f>IFERROR(__xludf.DUMMYFUNCTION("""COMPUTED_VALUE"""),"")</f>
        <v/>
      </c>
      <c r="N329" s="52"/>
      <c r="O329" s="52"/>
      <c r="P329" s="52"/>
    </row>
    <row r="330">
      <c r="A330" s="58"/>
      <c r="B330" s="52"/>
      <c r="C330" s="52"/>
      <c r="D330" s="52"/>
      <c r="E330" s="52"/>
      <c r="F330" s="52"/>
      <c r="G330" s="52"/>
      <c r="H330" s="52"/>
      <c r="I330" s="52"/>
      <c r="J330" s="52"/>
      <c r="K330" s="59"/>
      <c r="L330" s="52"/>
      <c r="M330" s="52" t="str">
        <f>IFERROR(__xludf.DUMMYFUNCTION("""COMPUTED_VALUE"""),"")</f>
        <v/>
      </c>
      <c r="N330" s="52"/>
      <c r="O330" s="52"/>
      <c r="P330" s="52"/>
    </row>
    <row r="331">
      <c r="A331" s="58"/>
      <c r="B331" s="52"/>
      <c r="C331" s="52"/>
      <c r="D331" s="52"/>
      <c r="E331" s="52"/>
      <c r="F331" s="52"/>
      <c r="G331" s="52"/>
      <c r="H331" s="52"/>
      <c r="I331" s="52"/>
      <c r="J331" s="52"/>
      <c r="K331" s="59"/>
      <c r="L331" s="52"/>
      <c r="M331" s="52" t="str">
        <f>IFERROR(__xludf.DUMMYFUNCTION("""COMPUTED_VALUE"""),"")</f>
        <v/>
      </c>
      <c r="N331" s="52"/>
      <c r="O331" s="52"/>
      <c r="P331" s="52"/>
    </row>
    <row r="332">
      <c r="A332" s="58"/>
      <c r="B332" s="52"/>
      <c r="C332" s="52"/>
      <c r="D332" s="52"/>
      <c r="E332" s="52"/>
      <c r="F332" s="52"/>
      <c r="G332" s="52"/>
      <c r="H332" s="52"/>
      <c r="I332" s="52"/>
      <c r="J332" s="52"/>
      <c r="K332" s="59"/>
      <c r="L332" s="52"/>
      <c r="M332" s="52" t="str">
        <f>IFERROR(__xludf.DUMMYFUNCTION("""COMPUTED_VALUE"""),"")</f>
        <v/>
      </c>
      <c r="N332" s="52"/>
      <c r="O332" s="52"/>
      <c r="P332" s="52"/>
    </row>
    <row r="333">
      <c r="A333" s="58"/>
      <c r="B333" s="52"/>
      <c r="C333" s="52"/>
      <c r="D333" s="52"/>
      <c r="E333" s="52"/>
      <c r="F333" s="52"/>
      <c r="G333" s="52"/>
      <c r="H333" s="52"/>
      <c r="I333" s="52"/>
      <c r="J333" s="52"/>
      <c r="K333" s="59"/>
      <c r="L333" s="52"/>
      <c r="M333" s="52" t="str">
        <f>IFERROR(__xludf.DUMMYFUNCTION("""COMPUTED_VALUE"""),"")</f>
        <v/>
      </c>
      <c r="N333" s="52"/>
      <c r="O333" s="52"/>
      <c r="P333" s="52"/>
    </row>
    <row r="334">
      <c r="A334" s="58"/>
      <c r="B334" s="52"/>
      <c r="C334" s="52"/>
      <c r="D334" s="52"/>
      <c r="E334" s="52"/>
      <c r="F334" s="52"/>
      <c r="G334" s="52"/>
      <c r="H334" s="52"/>
      <c r="I334" s="52"/>
      <c r="J334" s="52"/>
      <c r="K334" s="59"/>
      <c r="L334" s="52"/>
      <c r="M334" s="52" t="str">
        <f>IFERROR(__xludf.DUMMYFUNCTION("""COMPUTED_VALUE"""),"")</f>
        <v/>
      </c>
      <c r="N334" s="52"/>
      <c r="O334" s="52"/>
      <c r="P334" s="52"/>
    </row>
    <row r="335">
      <c r="A335" s="58"/>
      <c r="B335" s="52"/>
      <c r="C335" s="52"/>
      <c r="D335" s="52"/>
      <c r="E335" s="52"/>
      <c r="F335" s="52"/>
      <c r="G335" s="52"/>
      <c r="H335" s="52"/>
      <c r="I335" s="52"/>
      <c r="J335" s="52"/>
      <c r="K335" s="59"/>
      <c r="L335" s="52"/>
      <c r="M335" s="52" t="str">
        <f>IFERROR(__xludf.DUMMYFUNCTION("""COMPUTED_VALUE"""),"")</f>
        <v/>
      </c>
      <c r="N335" s="52"/>
      <c r="O335" s="52"/>
      <c r="P335" s="52"/>
    </row>
    <row r="336">
      <c r="A336" s="58"/>
      <c r="B336" s="52"/>
      <c r="C336" s="52"/>
      <c r="D336" s="52"/>
      <c r="E336" s="52"/>
      <c r="F336" s="52"/>
      <c r="G336" s="52"/>
      <c r="H336" s="52"/>
      <c r="I336" s="52"/>
      <c r="J336" s="52"/>
      <c r="K336" s="59"/>
      <c r="L336" s="52"/>
      <c r="M336" s="52" t="str">
        <f>IFERROR(__xludf.DUMMYFUNCTION("""COMPUTED_VALUE"""),"")</f>
        <v/>
      </c>
      <c r="N336" s="52"/>
      <c r="O336" s="52"/>
      <c r="P336" s="52"/>
    </row>
    <row r="337">
      <c r="A337" s="58"/>
      <c r="B337" s="52"/>
      <c r="C337" s="52"/>
      <c r="D337" s="52"/>
      <c r="E337" s="52"/>
      <c r="F337" s="52"/>
      <c r="G337" s="52"/>
      <c r="H337" s="52"/>
      <c r="I337" s="52"/>
      <c r="J337" s="52"/>
      <c r="K337" s="59"/>
      <c r="L337" s="52"/>
      <c r="M337" s="52" t="str">
        <f>IFERROR(__xludf.DUMMYFUNCTION("""COMPUTED_VALUE"""),"")</f>
        <v/>
      </c>
      <c r="N337" s="52"/>
      <c r="O337" s="52"/>
      <c r="P337" s="52"/>
    </row>
    <row r="338">
      <c r="A338" s="58"/>
      <c r="B338" s="52"/>
      <c r="C338" s="52"/>
      <c r="D338" s="52"/>
      <c r="E338" s="52"/>
      <c r="F338" s="52"/>
      <c r="G338" s="52"/>
      <c r="H338" s="52"/>
      <c r="I338" s="52"/>
      <c r="J338" s="52"/>
      <c r="K338" s="59"/>
      <c r="L338" s="52"/>
      <c r="M338" s="52" t="str">
        <f>IFERROR(__xludf.DUMMYFUNCTION("""COMPUTED_VALUE"""),"")</f>
        <v/>
      </c>
      <c r="N338" s="52"/>
      <c r="O338" s="52"/>
      <c r="P338" s="52"/>
    </row>
    <row r="339">
      <c r="A339" s="58"/>
      <c r="B339" s="52"/>
      <c r="C339" s="52"/>
      <c r="D339" s="52"/>
      <c r="E339" s="52"/>
      <c r="F339" s="52"/>
      <c r="G339" s="52"/>
      <c r="H339" s="52"/>
      <c r="I339" s="52"/>
      <c r="J339" s="52"/>
      <c r="K339" s="59"/>
      <c r="L339" s="52"/>
      <c r="M339" s="52" t="str">
        <f>IFERROR(__xludf.DUMMYFUNCTION("""COMPUTED_VALUE"""),"")</f>
        <v/>
      </c>
      <c r="N339" s="52"/>
      <c r="O339" s="52"/>
      <c r="P339" s="52"/>
    </row>
    <row r="340">
      <c r="A340" s="58"/>
      <c r="B340" s="52"/>
      <c r="C340" s="52"/>
      <c r="D340" s="52"/>
      <c r="E340" s="52"/>
      <c r="F340" s="52"/>
      <c r="G340" s="52"/>
      <c r="H340" s="52"/>
      <c r="I340" s="52"/>
      <c r="J340" s="52"/>
      <c r="K340" s="59"/>
      <c r="L340" s="52"/>
      <c r="M340" s="52" t="str">
        <f>IFERROR(__xludf.DUMMYFUNCTION("""COMPUTED_VALUE"""),"")</f>
        <v/>
      </c>
      <c r="N340" s="52"/>
      <c r="O340" s="52"/>
      <c r="P340" s="52"/>
    </row>
    <row r="341">
      <c r="A341" s="58"/>
      <c r="B341" s="52"/>
      <c r="C341" s="52"/>
      <c r="D341" s="52"/>
      <c r="E341" s="52"/>
      <c r="F341" s="52"/>
      <c r="G341" s="52"/>
      <c r="H341" s="52"/>
      <c r="I341" s="52"/>
      <c r="J341" s="52"/>
      <c r="K341" s="59"/>
      <c r="L341" s="52"/>
      <c r="M341" s="52" t="str">
        <f>IFERROR(__xludf.DUMMYFUNCTION("""COMPUTED_VALUE"""),"")</f>
        <v/>
      </c>
      <c r="N341" s="52"/>
      <c r="O341" s="52"/>
      <c r="P341" s="52"/>
    </row>
    <row r="342">
      <c r="A342" s="58"/>
      <c r="B342" s="52"/>
      <c r="C342" s="52"/>
      <c r="D342" s="52"/>
      <c r="E342" s="52"/>
      <c r="F342" s="52"/>
      <c r="G342" s="52"/>
      <c r="H342" s="52"/>
      <c r="I342" s="52"/>
      <c r="J342" s="52"/>
      <c r="K342" s="59"/>
      <c r="L342" s="52"/>
      <c r="M342" s="52" t="str">
        <f>IFERROR(__xludf.DUMMYFUNCTION("""COMPUTED_VALUE"""),"")</f>
        <v/>
      </c>
      <c r="N342" s="52"/>
      <c r="O342" s="52"/>
      <c r="P342" s="52"/>
    </row>
    <row r="343">
      <c r="A343" s="58"/>
      <c r="B343" s="52"/>
      <c r="C343" s="52"/>
      <c r="D343" s="52"/>
      <c r="E343" s="52"/>
      <c r="F343" s="52"/>
      <c r="G343" s="52"/>
      <c r="H343" s="52"/>
      <c r="I343" s="52"/>
      <c r="J343" s="52"/>
      <c r="K343" s="59"/>
      <c r="L343" s="52"/>
      <c r="M343" s="52" t="str">
        <f>IFERROR(__xludf.DUMMYFUNCTION("""COMPUTED_VALUE"""),"")</f>
        <v/>
      </c>
      <c r="N343" s="52"/>
      <c r="O343" s="52"/>
      <c r="P343" s="52"/>
    </row>
    <row r="344">
      <c r="A344" s="58"/>
      <c r="B344" s="52"/>
      <c r="C344" s="52"/>
      <c r="D344" s="52"/>
      <c r="E344" s="52"/>
      <c r="F344" s="52"/>
      <c r="G344" s="52"/>
      <c r="H344" s="52"/>
      <c r="I344" s="52"/>
      <c r="J344" s="52"/>
      <c r="K344" s="59"/>
      <c r="L344" s="52"/>
      <c r="M344" s="52" t="str">
        <f>IFERROR(__xludf.DUMMYFUNCTION("""COMPUTED_VALUE"""),"")</f>
        <v/>
      </c>
      <c r="N344" s="52"/>
      <c r="O344" s="52"/>
      <c r="P344" s="52"/>
    </row>
    <row r="345">
      <c r="A345" s="58"/>
      <c r="B345" s="52"/>
      <c r="C345" s="52"/>
      <c r="D345" s="52"/>
      <c r="E345" s="52"/>
      <c r="F345" s="52"/>
      <c r="G345" s="52"/>
      <c r="H345" s="52"/>
      <c r="I345" s="52"/>
      <c r="J345" s="52"/>
      <c r="K345" s="59"/>
      <c r="L345" s="52"/>
      <c r="M345" s="52" t="str">
        <f>IFERROR(__xludf.DUMMYFUNCTION("""COMPUTED_VALUE"""),"")</f>
        <v/>
      </c>
      <c r="N345" s="52"/>
      <c r="O345" s="52"/>
      <c r="P345" s="52"/>
    </row>
    <row r="346">
      <c r="A346" s="58"/>
      <c r="B346" s="52"/>
      <c r="C346" s="52"/>
      <c r="D346" s="52"/>
      <c r="E346" s="52"/>
      <c r="F346" s="52"/>
      <c r="G346" s="52"/>
      <c r="H346" s="52"/>
      <c r="I346" s="52"/>
      <c r="J346" s="52"/>
      <c r="K346" s="59"/>
      <c r="L346" s="52"/>
      <c r="M346" s="52" t="str">
        <f>IFERROR(__xludf.DUMMYFUNCTION("""COMPUTED_VALUE"""),"")</f>
        <v/>
      </c>
      <c r="N346" s="52"/>
      <c r="O346" s="52"/>
      <c r="P346" s="52"/>
    </row>
    <row r="347">
      <c r="A347" s="58"/>
      <c r="B347" s="52"/>
      <c r="C347" s="52"/>
      <c r="D347" s="52"/>
      <c r="E347" s="52"/>
      <c r="F347" s="52"/>
      <c r="G347" s="52"/>
      <c r="H347" s="52"/>
      <c r="I347" s="52"/>
      <c r="J347" s="52"/>
      <c r="K347" s="59"/>
      <c r="L347" s="52"/>
      <c r="M347" s="52" t="str">
        <f>IFERROR(__xludf.DUMMYFUNCTION("""COMPUTED_VALUE"""),"")</f>
        <v/>
      </c>
      <c r="N347" s="52"/>
      <c r="O347" s="52"/>
      <c r="P347" s="52"/>
    </row>
    <row r="348">
      <c r="A348" s="58"/>
      <c r="B348" s="52"/>
      <c r="C348" s="52"/>
      <c r="D348" s="52"/>
      <c r="E348" s="52"/>
      <c r="F348" s="52"/>
      <c r="G348" s="52"/>
      <c r="H348" s="52"/>
      <c r="I348" s="52"/>
      <c r="J348" s="52"/>
      <c r="K348" s="59"/>
      <c r="L348" s="52"/>
      <c r="M348" s="52" t="str">
        <f>IFERROR(__xludf.DUMMYFUNCTION("""COMPUTED_VALUE"""),"")</f>
        <v/>
      </c>
      <c r="N348" s="52"/>
      <c r="O348" s="52"/>
      <c r="P348" s="52"/>
    </row>
    <row r="349">
      <c r="A349" s="58"/>
      <c r="B349" s="52"/>
      <c r="C349" s="52"/>
      <c r="D349" s="52"/>
      <c r="E349" s="52"/>
      <c r="F349" s="52"/>
      <c r="G349" s="52"/>
      <c r="H349" s="52"/>
      <c r="I349" s="52"/>
      <c r="J349" s="52"/>
      <c r="K349" s="59"/>
      <c r="L349" s="52"/>
      <c r="M349" s="52" t="str">
        <f>IFERROR(__xludf.DUMMYFUNCTION("""COMPUTED_VALUE"""),"")</f>
        <v/>
      </c>
      <c r="N349" s="52"/>
      <c r="O349" s="52"/>
      <c r="P349" s="52"/>
    </row>
    <row r="350">
      <c r="A350" s="58"/>
      <c r="B350" s="52"/>
      <c r="C350" s="52"/>
      <c r="D350" s="52"/>
      <c r="E350" s="52"/>
      <c r="F350" s="52"/>
      <c r="G350" s="52"/>
      <c r="H350" s="52"/>
      <c r="I350" s="52"/>
      <c r="J350" s="52"/>
      <c r="K350" s="59"/>
      <c r="L350" s="52"/>
      <c r="M350" s="52" t="str">
        <f>IFERROR(__xludf.DUMMYFUNCTION("""COMPUTED_VALUE"""),"")</f>
        <v/>
      </c>
      <c r="N350" s="52"/>
      <c r="O350" s="52"/>
      <c r="P350" s="52"/>
    </row>
    <row r="351">
      <c r="A351" s="58"/>
      <c r="B351" s="52"/>
      <c r="C351" s="52"/>
      <c r="D351" s="52"/>
      <c r="E351" s="52"/>
      <c r="F351" s="52"/>
      <c r="G351" s="52"/>
      <c r="H351" s="52"/>
      <c r="I351" s="52"/>
      <c r="J351" s="52"/>
      <c r="K351" s="59"/>
      <c r="L351" s="52"/>
      <c r="M351" s="52" t="str">
        <f>IFERROR(__xludf.DUMMYFUNCTION("""COMPUTED_VALUE"""),"")</f>
        <v/>
      </c>
      <c r="N351" s="52"/>
      <c r="O351" s="52"/>
      <c r="P351" s="52"/>
    </row>
    <row r="352">
      <c r="A352" s="58"/>
      <c r="B352" s="52"/>
      <c r="C352" s="52"/>
      <c r="D352" s="52"/>
      <c r="E352" s="52"/>
      <c r="F352" s="52"/>
      <c r="G352" s="52"/>
      <c r="H352" s="52"/>
      <c r="I352" s="52"/>
      <c r="J352" s="52"/>
      <c r="K352" s="59"/>
      <c r="L352" s="52"/>
      <c r="M352" s="52" t="str">
        <f>IFERROR(__xludf.DUMMYFUNCTION("""COMPUTED_VALUE"""),"")</f>
        <v/>
      </c>
      <c r="N352" s="52"/>
      <c r="O352" s="52"/>
      <c r="P352" s="52"/>
    </row>
    <row r="353">
      <c r="A353" s="58"/>
      <c r="B353" s="52"/>
      <c r="C353" s="52"/>
      <c r="D353" s="52"/>
      <c r="E353" s="52"/>
      <c r="F353" s="52"/>
      <c r="G353" s="52"/>
      <c r="H353" s="52"/>
      <c r="I353" s="52"/>
      <c r="J353" s="52"/>
      <c r="K353" s="59"/>
      <c r="L353" s="52"/>
      <c r="M353" s="52" t="str">
        <f>IFERROR(__xludf.DUMMYFUNCTION("""COMPUTED_VALUE"""),"")</f>
        <v/>
      </c>
      <c r="N353" s="52"/>
      <c r="O353" s="52"/>
      <c r="P353" s="52"/>
    </row>
    <row r="354">
      <c r="A354" s="58"/>
      <c r="B354" s="52"/>
      <c r="C354" s="52"/>
      <c r="D354" s="52"/>
      <c r="E354" s="52"/>
      <c r="F354" s="52"/>
      <c r="G354" s="52"/>
      <c r="H354" s="52"/>
      <c r="I354" s="52"/>
      <c r="J354" s="52"/>
      <c r="K354" s="59"/>
      <c r="L354" s="52"/>
      <c r="M354" s="52" t="str">
        <f>IFERROR(__xludf.DUMMYFUNCTION("""COMPUTED_VALUE"""),"")</f>
        <v/>
      </c>
      <c r="N354" s="52"/>
      <c r="O354" s="52"/>
      <c r="P354" s="52"/>
    </row>
    <row r="355">
      <c r="A355" s="58"/>
      <c r="B355" s="52"/>
      <c r="C355" s="52"/>
      <c r="D355" s="52"/>
      <c r="E355" s="52"/>
      <c r="F355" s="52"/>
      <c r="G355" s="52"/>
      <c r="H355" s="52"/>
      <c r="I355" s="52"/>
      <c r="J355" s="52"/>
      <c r="K355" s="59"/>
      <c r="L355" s="52"/>
      <c r="M355" s="52" t="str">
        <f>IFERROR(__xludf.DUMMYFUNCTION("""COMPUTED_VALUE"""),"")</f>
        <v/>
      </c>
      <c r="N355" s="52"/>
      <c r="O355" s="52"/>
      <c r="P355" s="52"/>
    </row>
    <row r="356">
      <c r="A356" s="58"/>
      <c r="B356" s="52"/>
      <c r="C356" s="52"/>
      <c r="D356" s="52"/>
      <c r="E356" s="52"/>
      <c r="F356" s="52"/>
      <c r="G356" s="52"/>
      <c r="H356" s="52"/>
      <c r="I356" s="52"/>
      <c r="J356" s="52"/>
      <c r="K356" s="59"/>
      <c r="L356" s="52"/>
      <c r="M356" s="52" t="str">
        <f>IFERROR(__xludf.DUMMYFUNCTION("""COMPUTED_VALUE"""),"")</f>
        <v/>
      </c>
      <c r="N356" s="52"/>
      <c r="O356" s="52"/>
      <c r="P356" s="52"/>
    </row>
    <row r="357">
      <c r="A357" s="58"/>
      <c r="B357" s="52"/>
      <c r="C357" s="52"/>
      <c r="D357" s="52"/>
      <c r="E357" s="52"/>
      <c r="F357" s="52"/>
      <c r="G357" s="52"/>
      <c r="H357" s="52"/>
      <c r="I357" s="52"/>
      <c r="J357" s="52"/>
      <c r="K357" s="59"/>
      <c r="L357" s="52"/>
      <c r="M357" s="52" t="str">
        <f>IFERROR(__xludf.DUMMYFUNCTION("""COMPUTED_VALUE"""),"")</f>
        <v/>
      </c>
      <c r="N357" s="52"/>
      <c r="O357" s="52"/>
      <c r="P357" s="52"/>
    </row>
    <row r="358">
      <c r="A358" s="58"/>
      <c r="B358" s="52"/>
      <c r="C358" s="52"/>
      <c r="D358" s="52"/>
      <c r="E358" s="52"/>
      <c r="F358" s="52"/>
      <c r="G358" s="52"/>
      <c r="H358" s="52"/>
      <c r="I358" s="52"/>
      <c r="J358" s="52"/>
      <c r="K358" s="59"/>
      <c r="L358" s="52"/>
      <c r="M358" s="52" t="str">
        <f>IFERROR(__xludf.DUMMYFUNCTION("""COMPUTED_VALUE"""),"")</f>
        <v/>
      </c>
      <c r="N358" s="52"/>
      <c r="O358" s="52"/>
      <c r="P358" s="52"/>
    </row>
    <row r="359">
      <c r="A359" s="58"/>
      <c r="B359" s="52"/>
      <c r="C359" s="52"/>
      <c r="D359" s="52"/>
      <c r="E359" s="52"/>
      <c r="F359" s="52"/>
      <c r="G359" s="52"/>
      <c r="H359" s="52"/>
      <c r="I359" s="52"/>
      <c r="J359" s="52"/>
      <c r="K359" s="59"/>
      <c r="L359" s="52"/>
      <c r="M359" s="52" t="str">
        <f>IFERROR(__xludf.DUMMYFUNCTION("""COMPUTED_VALUE"""),"")</f>
        <v/>
      </c>
      <c r="N359" s="52"/>
      <c r="O359" s="52"/>
      <c r="P359" s="52"/>
    </row>
    <row r="360">
      <c r="A360" s="58"/>
      <c r="B360" s="52"/>
      <c r="C360" s="52"/>
      <c r="D360" s="52"/>
      <c r="E360" s="52"/>
      <c r="F360" s="52"/>
      <c r="G360" s="52"/>
      <c r="H360" s="52"/>
      <c r="I360" s="52"/>
      <c r="J360" s="52"/>
      <c r="K360" s="59"/>
      <c r="L360" s="52"/>
      <c r="M360" s="52" t="str">
        <f>IFERROR(__xludf.DUMMYFUNCTION("""COMPUTED_VALUE"""),"")</f>
        <v/>
      </c>
      <c r="N360" s="52"/>
      <c r="O360" s="52"/>
      <c r="P360" s="52"/>
    </row>
    <row r="361">
      <c r="A361" s="58"/>
      <c r="B361" s="52"/>
      <c r="C361" s="52"/>
      <c r="D361" s="52"/>
      <c r="E361" s="52"/>
      <c r="F361" s="52"/>
      <c r="G361" s="52"/>
      <c r="H361" s="52"/>
      <c r="I361" s="52"/>
      <c r="J361" s="52"/>
      <c r="K361" s="59"/>
      <c r="L361" s="52"/>
      <c r="M361" s="52" t="str">
        <f>IFERROR(__xludf.DUMMYFUNCTION("""COMPUTED_VALUE"""),"")</f>
        <v/>
      </c>
      <c r="N361" s="52"/>
      <c r="O361" s="52"/>
      <c r="P361" s="52"/>
    </row>
    <row r="362">
      <c r="A362" s="58"/>
      <c r="B362" s="52"/>
      <c r="C362" s="52"/>
      <c r="D362" s="52"/>
      <c r="E362" s="52"/>
      <c r="F362" s="52"/>
      <c r="G362" s="52"/>
      <c r="H362" s="52"/>
      <c r="I362" s="52"/>
      <c r="J362" s="52"/>
      <c r="K362" s="59"/>
      <c r="L362" s="52"/>
      <c r="M362" s="52" t="str">
        <f>IFERROR(__xludf.DUMMYFUNCTION("""COMPUTED_VALUE"""),"")</f>
        <v/>
      </c>
      <c r="N362" s="52"/>
      <c r="O362" s="52"/>
      <c r="P362" s="52"/>
    </row>
    <row r="363">
      <c r="A363" s="58"/>
      <c r="B363" s="52"/>
      <c r="C363" s="52"/>
      <c r="D363" s="52"/>
      <c r="E363" s="52"/>
      <c r="F363" s="52"/>
      <c r="G363" s="52"/>
      <c r="H363" s="52"/>
      <c r="I363" s="52"/>
      <c r="J363" s="52"/>
      <c r="K363" s="59"/>
      <c r="L363" s="52"/>
      <c r="M363" s="52" t="str">
        <f>IFERROR(__xludf.DUMMYFUNCTION("""COMPUTED_VALUE"""),"")</f>
        <v/>
      </c>
      <c r="N363" s="52"/>
      <c r="O363" s="52"/>
      <c r="P363" s="52"/>
    </row>
    <row r="364">
      <c r="A364" s="58"/>
      <c r="B364" s="52"/>
      <c r="C364" s="52"/>
      <c r="D364" s="52"/>
      <c r="E364" s="52"/>
      <c r="F364" s="52"/>
      <c r="G364" s="52"/>
      <c r="H364" s="52"/>
      <c r="I364" s="52"/>
      <c r="J364" s="52"/>
      <c r="K364" s="59"/>
      <c r="L364" s="52"/>
      <c r="M364" s="52" t="str">
        <f>IFERROR(__xludf.DUMMYFUNCTION("""COMPUTED_VALUE"""),"")</f>
        <v/>
      </c>
      <c r="N364" s="52"/>
      <c r="O364" s="52"/>
      <c r="P364" s="52"/>
    </row>
    <row r="365">
      <c r="A365" s="58"/>
      <c r="B365" s="52"/>
      <c r="C365" s="52"/>
      <c r="D365" s="52"/>
      <c r="E365" s="52"/>
      <c r="F365" s="52"/>
      <c r="G365" s="52"/>
      <c r="H365" s="52"/>
      <c r="I365" s="52"/>
      <c r="J365" s="52"/>
      <c r="K365" s="59"/>
      <c r="L365" s="52"/>
      <c r="M365" s="52" t="str">
        <f>IFERROR(__xludf.DUMMYFUNCTION("""COMPUTED_VALUE"""),"")</f>
        <v/>
      </c>
      <c r="N365" s="52"/>
      <c r="O365" s="52"/>
      <c r="P365" s="52"/>
    </row>
    <row r="366">
      <c r="A366" s="58"/>
      <c r="B366" s="52"/>
      <c r="C366" s="52"/>
      <c r="D366" s="52"/>
      <c r="E366" s="52"/>
      <c r="F366" s="52"/>
      <c r="G366" s="52"/>
      <c r="H366" s="52"/>
      <c r="I366" s="52"/>
      <c r="J366" s="52"/>
      <c r="K366" s="59"/>
      <c r="L366" s="52"/>
      <c r="M366" s="52" t="str">
        <f>IFERROR(__xludf.DUMMYFUNCTION("""COMPUTED_VALUE"""),"")</f>
        <v/>
      </c>
      <c r="N366" s="52"/>
      <c r="O366" s="52"/>
      <c r="P366" s="52"/>
    </row>
    <row r="367">
      <c r="A367" s="58"/>
      <c r="B367" s="52"/>
      <c r="C367" s="52"/>
      <c r="D367" s="52"/>
      <c r="E367" s="52"/>
      <c r="F367" s="52"/>
      <c r="G367" s="52"/>
      <c r="H367" s="52"/>
      <c r="I367" s="52"/>
      <c r="J367" s="52"/>
      <c r="K367" s="59"/>
      <c r="L367" s="52"/>
      <c r="M367" s="52" t="str">
        <f>IFERROR(__xludf.DUMMYFUNCTION("""COMPUTED_VALUE"""),"")</f>
        <v/>
      </c>
      <c r="N367" s="52"/>
      <c r="O367" s="52"/>
      <c r="P367" s="52"/>
    </row>
    <row r="368">
      <c r="A368" s="58"/>
      <c r="B368" s="52"/>
      <c r="C368" s="52"/>
      <c r="D368" s="52"/>
      <c r="E368" s="52"/>
      <c r="F368" s="52"/>
      <c r="G368" s="52"/>
      <c r="H368" s="52"/>
      <c r="I368" s="52"/>
      <c r="J368" s="52"/>
      <c r="K368" s="59"/>
      <c r="L368" s="52"/>
      <c r="M368" s="52" t="str">
        <f>IFERROR(__xludf.DUMMYFUNCTION("""COMPUTED_VALUE"""),"")</f>
        <v/>
      </c>
      <c r="N368" s="52"/>
      <c r="O368" s="52"/>
      <c r="P368" s="52"/>
    </row>
    <row r="369">
      <c r="A369" s="58"/>
      <c r="B369" s="52"/>
      <c r="C369" s="52"/>
      <c r="D369" s="52"/>
      <c r="E369" s="52"/>
      <c r="F369" s="52"/>
      <c r="G369" s="52"/>
      <c r="H369" s="52"/>
      <c r="I369" s="52"/>
      <c r="J369" s="52"/>
      <c r="K369" s="59"/>
      <c r="L369" s="52"/>
      <c r="M369" s="52" t="str">
        <f>IFERROR(__xludf.DUMMYFUNCTION("""COMPUTED_VALUE"""),"")</f>
        <v/>
      </c>
      <c r="N369" s="52"/>
      <c r="O369" s="52"/>
      <c r="P369" s="52"/>
    </row>
    <row r="370">
      <c r="A370" s="58"/>
      <c r="B370" s="52"/>
      <c r="C370" s="52"/>
      <c r="D370" s="52"/>
      <c r="E370" s="52"/>
      <c r="F370" s="52"/>
      <c r="G370" s="52"/>
      <c r="H370" s="52"/>
      <c r="I370" s="52"/>
      <c r="J370" s="52"/>
      <c r="K370" s="59"/>
      <c r="L370" s="52"/>
      <c r="M370" s="52" t="str">
        <f>IFERROR(__xludf.DUMMYFUNCTION("""COMPUTED_VALUE"""),"")</f>
        <v/>
      </c>
      <c r="N370" s="52"/>
      <c r="O370" s="52"/>
      <c r="P370" s="52"/>
    </row>
    <row r="371">
      <c r="A371" s="58"/>
      <c r="B371" s="52"/>
      <c r="C371" s="52"/>
      <c r="D371" s="52"/>
      <c r="E371" s="52"/>
      <c r="F371" s="52"/>
      <c r="G371" s="52"/>
      <c r="H371" s="52"/>
      <c r="I371" s="52"/>
      <c r="J371" s="52"/>
      <c r="K371" s="59"/>
      <c r="L371" s="52"/>
      <c r="M371" s="52" t="str">
        <f>IFERROR(__xludf.DUMMYFUNCTION("""COMPUTED_VALUE"""),"")</f>
        <v/>
      </c>
      <c r="N371" s="52"/>
      <c r="O371" s="52"/>
      <c r="P371" s="52"/>
    </row>
    <row r="372">
      <c r="A372" s="58"/>
      <c r="B372" s="52"/>
      <c r="C372" s="52"/>
      <c r="D372" s="52"/>
      <c r="E372" s="52"/>
      <c r="F372" s="52"/>
      <c r="G372" s="52"/>
      <c r="H372" s="52"/>
      <c r="I372" s="52"/>
      <c r="J372" s="52"/>
      <c r="K372" s="59"/>
      <c r="L372" s="52"/>
      <c r="M372" s="52" t="str">
        <f>IFERROR(__xludf.DUMMYFUNCTION("""COMPUTED_VALUE"""),"")</f>
        <v/>
      </c>
      <c r="N372" s="52"/>
      <c r="O372" s="52"/>
      <c r="P372" s="52"/>
    </row>
    <row r="373">
      <c r="A373" s="58"/>
      <c r="B373" s="52"/>
      <c r="C373" s="52"/>
      <c r="D373" s="52"/>
      <c r="E373" s="52"/>
      <c r="F373" s="52"/>
      <c r="G373" s="52"/>
      <c r="H373" s="52"/>
      <c r="I373" s="52"/>
      <c r="J373" s="52"/>
      <c r="K373" s="59"/>
      <c r="L373" s="52"/>
      <c r="M373" s="52" t="str">
        <f>IFERROR(__xludf.DUMMYFUNCTION("""COMPUTED_VALUE"""),"")</f>
        <v/>
      </c>
      <c r="N373" s="52"/>
      <c r="O373" s="52"/>
      <c r="P373" s="52"/>
    </row>
    <row r="374">
      <c r="A374" s="58"/>
      <c r="B374" s="52"/>
      <c r="C374" s="52"/>
      <c r="D374" s="52"/>
      <c r="E374" s="52"/>
      <c r="F374" s="52"/>
      <c r="G374" s="52"/>
      <c r="H374" s="52"/>
      <c r="I374" s="52"/>
      <c r="J374" s="52"/>
      <c r="K374" s="59"/>
      <c r="L374" s="52"/>
      <c r="M374" s="52" t="str">
        <f>IFERROR(__xludf.DUMMYFUNCTION("""COMPUTED_VALUE"""),"")</f>
        <v/>
      </c>
      <c r="N374" s="52"/>
      <c r="O374" s="52"/>
      <c r="P374" s="52"/>
    </row>
    <row r="375">
      <c r="A375" s="58"/>
      <c r="B375" s="52"/>
      <c r="C375" s="52"/>
      <c r="D375" s="52"/>
      <c r="E375" s="52"/>
      <c r="F375" s="52"/>
      <c r="G375" s="52"/>
      <c r="H375" s="52"/>
      <c r="I375" s="52"/>
      <c r="J375" s="52"/>
      <c r="K375" s="59"/>
      <c r="L375" s="52"/>
      <c r="M375" s="52" t="str">
        <f>IFERROR(__xludf.DUMMYFUNCTION("""COMPUTED_VALUE"""),"")</f>
        <v/>
      </c>
      <c r="N375" s="52"/>
      <c r="O375" s="52"/>
      <c r="P375" s="52"/>
    </row>
    <row r="376">
      <c r="A376" s="58"/>
      <c r="B376" s="52"/>
      <c r="C376" s="52"/>
      <c r="D376" s="52"/>
      <c r="E376" s="52"/>
      <c r="F376" s="52"/>
      <c r="G376" s="52"/>
      <c r="H376" s="52"/>
      <c r="I376" s="52"/>
      <c r="J376" s="52"/>
      <c r="K376" s="59"/>
      <c r="L376" s="52"/>
      <c r="M376" s="52" t="str">
        <f>IFERROR(__xludf.DUMMYFUNCTION("""COMPUTED_VALUE"""),"")</f>
        <v/>
      </c>
      <c r="N376" s="52"/>
      <c r="O376" s="52"/>
      <c r="P376" s="52"/>
    </row>
    <row r="377">
      <c r="A377" s="58"/>
      <c r="B377" s="52"/>
      <c r="C377" s="52"/>
      <c r="D377" s="52"/>
      <c r="E377" s="52"/>
      <c r="F377" s="52"/>
      <c r="G377" s="52"/>
      <c r="H377" s="52"/>
      <c r="I377" s="52"/>
      <c r="J377" s="52"/>
      <c r="K377" s="59"/>
      <c r="L377" s="52"/>
      <c r="M377" s="52" t="str">
        <f>IFERROR(__xludf.DUMMYFUNCTION("""COMPUTED_VALUE"""),"")</f>
        <v/>
      </c>
      <c r="N377" s="52"/>
      <c r="O377" s="52"/>
      <c r="P377" s="52"/>
    </row>
    <row r="378">
      <c r="A378" s="58"/>
      <c r="B378" s="52"/>
      <c r="C378" s="52"/>
      <c r="D378" s="52"/>
      <c r="E378" s="52"/>
      <c r="F378" s="52"/>
      <c r="G378" s="52"/>
      <c r="H378" s="52"/>
      <c r="I378" s="52"/>
      <c r="J378" s="52"/>
      <c r="K378" s="59"/>
      <c r="L378" s="52"/>
      <c r="M378" s="52" t="str">
        <f>IFERROR(__xludf.DUMMYFUNCTION("""COMPUTED_VALUE"""),"")</f>
        <v/>
      </c>
      <c r="N378" s="52"/>
      <c r="O378" s="52"/>
      <c r="P378" s="52"/>
    </row>
    <row r="379">
      <c r="A379" s="58"/>
      <c r="B379" s="52"/>
      <c r="C379" s="52"/>
      <c r="D379" s="52"/>
      <c r="E379" s="52"/>
      <c r="F379" s="52"/>
      <c r="G379" s="52"/>
      <c r="H379" s="52"/>
      <c r="I379" s="52"/>
      <c r="J379" s="52"/>
      <c r="K379" s="59"/>
      <c r="L379" s="52"/>
      <c r="M379" s="52" t="str">
        <f>IFERROR(__xludf.DUMMYFUNCTION("""COMPUTED_VALUE"""),"")</f>
        <v/>
      </c>
      <c r="N379" s="52"/>
      <c r="O379" s="52"/>
      <c r="P379" s="52"/>
    </row>
    <row r="380">
      <c r="A380" s="58"/>
      <c r="B380" s="52"/>
      <c r="C380" s="52"/>
      <c r="D380" s="52"/>
      <c r="E380" s="52"/>
      <c r="F380" s="52"/>
      <c r="G380" s="52"/>
      <c r="H380" s="52"/>
      <c r="I380" s="52"/>
      <c r="J380" s="52"/>
      <c r="K380" s="59"/>
      <c r="L380" s="52"/>
      <c r="M380" s="52" t="str">
        <f>IFERROR(__xludf.DUMMYFUNCTION("""COMPUTED_VALUE"""),"")</f>
        <v/>
      </c>
      <c r="N380" s="52"/>
      <c r="O380" s="52"/>
      <c r="P380" s="52"/>
    </row>
    <row r="381">
      <c r="A381" s="58"/>
      <c r="B381" s="52"/>
      <c r="C381" s="52"/>
      <c r="D381" s="52"/>
      <c r="E381" s="52"/>
      <c r="F381" s="52"/>
      <c r="G381" s="52"/>
      <c r="H381" s="52"/>
      <c r="I381" s="52"/>
      <c r="J381" s="52"/>
      <c r="K381" s="59"/>
      <c r="L381" s="52"/>
      <c r="M381" s="52" t="str">
        <f>IFERROR(__xludf.DUMMYFUNCTION("""COMPUTED_VALUE"""),"")</f>
        <v/>
      </c>
      <c r="N381" s="52"/>
      <c r="O381" s="52"/>
      <c r="P381" s="52"/>
    </row>
    <row r="382">
      <c r="A382" s="58"/>
      <c r="B382" s="52"/>
      <c r="C382" s="52"/>
      <c r="D382" s="52"/>
      <c r="E382" s="52"/>
      <c r="F382" s="52"/>
      <c r="G382" s="52"/>
      <c r="H382" s="52"/>
      <c r="I382" s="52"/>
      <c r="J382" s="52"/>
      <c r="K382" s="59"/>
      <c r="L382" s="52"/>
      <c r="M382" s="52" t="str">
        <f>IFERROR(__xludf.DUMMYFUNCTION("""COMPUTED_VALUE"""),"")</f>
        <v/>
      </c>
      <c r="N382" s="52"/>
      <c r="O382" s="52"/>
      <c r="P382" s="52"/>
    </row>
    <row r="383">
      <c r="A383" s="58"/>
      <c r="B383" s="52"/>
      <c r="C383" s="52"/>
      <c r="D383" s="52"/>
      <c r="E383" s="52"/>
      <c r="F383" s="52"/>
      <c r="G383" s="52"/>
      <c r="H383" s="52"/>
      <c r="I383" s="52"/>
      <c r="J383" s="52"/>
      <c r="K383" s="59"/>
      <c r="L383" s="52"/>
      <c r="M383" s="52" t="str">
        <f>IFERROR(__xludf.DUMMYFUNCTION("""COMPUTED_VALUE"""),"")</f>
        <v/>
      </c>
      <c r="N383" s="52"/>
      <c r="O383" s="52"/>
      <c r="P383" s="52"/>
    </row>
    <row r="384">
      <c r="A384" s="58"/>
      <c r="B384" s="52"/>
      <c r="C384" s="52"/>
      <c r="D384" s="52"/>
      <c r="E384" s="52"/>
      <c r="F384" s="52"/>
      <c r="G384" s="52"/>
      <c r="H384" s="52"/>
      <c r="I384" s="52"/>
      <c r="J384" s="52"/>
      <c r="K384" s="59"/>
      <c r="L384" s="52"/>
      <c r="M384" s="52" t="str">
        <f>IFERROR(__xludf.DUMMYFUNCTION("""COMPUTED_VALUE"""),"")</f>
        <v/>
      </c>
      <c r="N384" s="52"/>
      <c r="O384" s="52"/>
      <c r="P384" s="52"/>
    </row>
    <row r="385">
      <c r="A385" s="58"/>
      <c r="B385" s="52"/>
      <c r="C385" s="52"/>
      <c r="D385" s="52"/>
      <c r="E385" s="52"/>
      <c r="F385" s="52"/>
      <c r="G385" s="52"/>
      <c r="H385" s="52"/>
      <c r="I385" s="52"/>
      <c r="J385" s="52"/>
      <c r="K385" s="59"/>
      <c r="L385" s="52"/>
      <c r="M385" s="52" t="str">
        <f>IFERROR(__xludf.DUMMYFUNCTION("""COMPUTED_VALUE"""),"")</f>
        <v/>
      </c>
      <c r="N385" s="52"/>
      <c r="O385" s="52"/>
      <c r="P385" s="52"/>
    </row>
    <row r="386">
      <c r="A386" s="58"/>
      <c r="B386" s="52"/>
      <c r="C386" s="52"/>
      <c r="D386" s="52"/>
      <c r="E386" s="52"/>
      <c r="F386" s="52"/>
      <c r="G386" s="52"/>
      <c r="H386" s="52"/>
      <c r="I386" s="52"/>
      <c r="J386" s="52"/>
      <c r="K386" s="59"/>
      <c r="L386" s="52"/>
      <c r="M386" s="52" t="str">
        <f>IFERROR(__xludf.DUMMYFUNCTION("""COMPUTED_VALUE"""),"")</f>
        <v/>
      </c>
      <c r="N386" s="52"/>
      <c r="O386" s="52"/>
      <c r="P386" s="52"/>
    </row>
    <row r="387">
      <c r="A387" s="58"/>
      <c r="B387" s="52"/>
      <c r="C387" s="52"/>
      <c r="D387" s="52"/>
      <c r="E387" s="52"/>
      <c r="F387" s="52"/>
      <c r="G387" s="52"/>
      <c r="H387" s="52"/>
      <c r="I387" s="52"/>
      <c r="J387" s="52"/>
      <c r="K387" s="59"/>
      <c r="L387" s="52"/>
      <c r="M387" s="52" t="str">
        <f>IFERROR(__xludf.DUMMYFUNCTION("""COMPUTED_VALUE"""),"")</f>
        <v/>
      </c>
      <c r="N387" s="52"/>
      <c r="O387" s="52"/>
      <c r="P387" s="52"/>
    </row>
    <row r="388">
      <c r="A388" s="58"/>
      <c r="B388" s="52"/>
      <c r="C388" s="52"/>
      <c r="D388" s="52"/>
      <c r="E388" s="52"/>
      <c r="F388" s="52"/>
      <c r="G388" s="52"/>
      <c r="H388" s="52"/>
      <c r="I388" s="52"/>
      <c r="J388" s="52"/>
      <c r="K388" s="59"/>
      <c r="L388" s="52"/>
      <c r="M388" s="52" t="str">
        <f>IFERROR(__xludf.DUMMYFUNCTION("""COMPUTED_VALUE"""),"")</f>
        <v/>
      </c>
      <c r="N388" s="52"/>
      <c r="O388" s="52"/>
      <c r="P388" s="52"/>
    </row>
    <row r="389">
      <c r="A389" s="58"/>
      <c r="B389" s="52"/>
      <c r="C389" s="52"/>
      <c r="D389" s="52"/>
      <c r="E389" s="52"/>
      <c r="F389" s="52"/>
      <c r="G389" s="52"/>
      <c r="H389" s="52"/>
      <c r="I389" s="52"/>
      <c r="J389" s="52"/>
      <c r="K389" s="59"/>
      <c r="L389" s="52"/>
      <c r="M389" s="52" t="str">
        <f>IFERROR(__xludf.DUMMYFUNCTION("""COMPUTED_VALUE"""),"")</f>
        <v/>
      </c>
      <c r="N389" s="52"/>
      <c r="O389" s="52"/>
      <c r="P389" s="52"/>
    </row>
    <row r="390">
      <c r="A390" s="58"/>
      <c r="B390" s="52"/>
      <c r="C390" s="52"/>
      <c r="D390" s="52"/>
      <c r="E390" s="52"/>
      <c r="F390" s="52"/>
      <c r="G390" s="52"/>
      <c r="H390" s="52"/>
      <c r="I390" s="52"/>
      <c r="J390" s="52"/>
      <c r="K390" s="59"/>
      <c r="L390" s="52"/>
      <c r="M390" s="52" t="str">
        <f>IFERROR(__xludf.DUMMYFUNCTION("""COMPUTED_VALUE"""),"")</f>
        <v/>
      </c>
      <c r="N390" s="52"/>
      <c r="O390" s="52"/>
      <c r="P390" s="52"/>
    </row>
    <row r="391">
      <c r="A391" s="58"/>
      <c r="B391" s="52"/>
      <c r="C391" s="52"/>
      <c r="D391" s="52"/>
      <c r="E391" s="52"/>
      <c r="F391" s="52"/>
      <c r="G391" s="52"/>
      <c r="H391" s="52"/>
      <c r="I391" s="52"/>
      <c r="J391" s="52"/>
      <c r="K391" s="59"/>
      <c r="L391" s="52"/>
      <c r="M391" s="52" t="str">
        <f>IFERROR(__xludf.DUMMYFUNCTION("""COMPUTED_VALUE"""),"")</f>
        <v/>
      </c>
      <c r="N391" s="52"/>
      <c r="O391" s="52"/>
      <c r="P391" s="52"/>
    </row>
    <row r="392">
      <c r="A392" s="58"/>
      <c r="B392" s="52"/>
      <c r="C392" s="52"/>
      <c r="D392" s="52"/>
      <c r="E392" s="52"/>
      <c r="F392" s="52"/>
      <c r="G392" s="52"/>
      <c r="H392" s="52"/>
      <c r="I392" s="52"/>
      <c r="J392" s="52"/>
      <c r="K392" s="59"/>
      <c r="L392" s="52"/>
      <c r="M392" s="52" t="str">
        <f>IFERROR(__xludf.DUMMYFUNCTION("""COMPUTED_VALUE"""),"")</f>
        <v/>
      </c>
      <c r="N392" s="52"/>
      <c r="O392" s="52"/>
      <c r="P392" s="52"/>
    </row>
    <row r="393">
      <c r="A393" s="58"/>
      <c r="B393" s="52"/>
      <c r="C393" s="52"/>
      <c r="D393" s="52"/>
      <c r="E393" s="52"/>
      <c r="F393" s="52"/>
      <c r="G393" s="52"/>
      <c r="H393" s="52"/>
      <c r="I393" s="52"/>
      <c r="J393" s="52"/>
      <c r="K393" s="59"/>
      <c r="L393" s="52"/>
      <c r="M393" s="52" t="str">
        <f>IFERROR(__xludf.DUMMYFUNCTION("""COMPUTED_VALUE"""),"")</f>
        <v/>
      </c>
      <c r="N393" s="52"/>
      <c r="O393" s="52"/>
      <c r="P393" s="52"/>
    </row>
    <row r="394">
      <c r="A394" s="58"/>
      <c r="B394" s="52"/>
      <c r="C394" s="52"/>
      <c r="D394" s="52"/>
      <c r="E394" s="52"/>
      <c r="F394" s="52"/>
      <c r="G394" s="52"/>
      <c r="H394" s="52"/>
      <c r="I394" s="52"/>
      <c r="J394" s="52"/>
      <c r="K394" s="59"/>
      <c r="L394" s="52"/>
      <c r="M394" s="52" t="str">
        <f>IFERROR(__xludf.DUMMYFUNCTION("""COMPUTED_VALUE"""),"")</f>
        <v/>
      </c>
      <c r="N394" s="52"/>
      <c r="O394" s="52"/>
      <c r="P394" s="52"/>
    </row>
    <row r="395">
      <c r="A395" s="58"/>
      <c r="B395" s="52"/>
      <c r="C395" s="52"/>
      <c r="D395" s="52"/>
      <c r="E395" s="52"/>
      <c r="F395" s="52"/>
      <c r="G395" s="52"/>
      <c r="H395" s="52"/>
      <c r="I395" s="52"/>
      <c r="J395" s="52"/>
      <c r="K395" s="59"/>
      <c r="L395" s="52"/>
      <c r="M395" s="52" t="str">
        <f>IFERROR(__xludf.DUMMYFUNCTION("""COMPUTED_VALUE"""),"")</f>
        <v/>
      </c>
      <c r="N395" s="52"/>
      <c r="O395" s="52"/>
      <c r="P395" s="52"/>
    </row>
    <row r="396">
      <c r="A396" s="58"/>
      <c r="B396" s="52"/>
      <c r="C396" s="52"/>
      <c r="D396" s="52"/>
      <c r="E396" s="52"/>
      <c r="F396" s="52"/>
      <c r="G396" s="52"/>
      <c r="H396" s="52"/>
      <c r="I396" s="52"/>
      <c r="J396" s="52"/>
      <c r="K396" s="59"/>
      <c r="L396" s="52"/>
      <c r="M396" s="52" t="str">
        <f>IFERROR(__xludf.DUMMYFUNCTION("""COMPUTED_VALUE"""),"")</f>
        <v/>
      </c>
      <c r="N396" s="52"/>
      <c r="O396" s="52"/>
      <c r="P396" s="52"/>
    </row>
    <row r="397">
      <c r="A397" s="58"/>
      <c r="B397" s="52"/>
      <c r="C397" s="52"/>
      <c r="D397" s="52"/>
      <c r="E397" s="52"/>
      <c r="F397" s="52"/>
      <c r="G397" s="52"/>
      <c r="H397" s="52"/>
      <c r="I397" s="52"/>
      <c r="J397" s="52"/>
      <c r="K397" s="59"/>
      <c r="L397" s="52"/>
      <c r="M397" s="52" t="str">
        <f>IFERROR(__xludf.DUMMYFUNCTION("""COMPUTED_VALUE"""),"")</f>
        <v/>
      </c>
      <c r="N397" s="52"/>
      <c r="O397" s="52"/>
      <c r="P397" s="52"/>
    </row>
    <row r="398">
      <c r="A398" s="58"/>
      <c r="B398" s="52"/>
      <c r="C398" s="52"/>
      <c r="D398" s="52"/>
      <c r="E398" s="52"/>
      <c r="F398" s="52"/>
      <c r="G398" s="52"/>
      <c r="H398" s="52"/>
      <c r="I398" s="52"/>
      <c r="J398" s="52"/>
      <c r="K398" s="59"/>
      <c r="L398" s="52"/>
      <c r="M398" s="52" t="str">
        <f>IFERROR(__xludf.DUMMYFUNCTION("""COMPUTED_VALUE"""),"")</f>
        <v/>
      </c>
      <c r="N398" s="52"/>
      <c r="O398" s="52"/>
      <c r="P398" s="52"/>
    </row>
    <row r="399">
      <c r="A399" s="58"/>
      <c r="B399" s="52"/>
      <c r="C399" s="52"/>
      <c r="D399" s="52"/>
      <c r="E399" s="52"/>
      <c r="F399" s="52"/>
      <c r="G399" s="52"/>
      <c r="H399" s="52"/>
      <c r="I399" s="52"/>
      <c r="J399" s="52"/>
      <c r="K399" s="59"/>
      <c r="L399" s="52"/>
      <c r="M399" s="52" t="str">
        <f>IFERROR(__xludf.DUMMYFUNCTION("""COMPUTED_VALUE"""),"")</f>
        <v/>
      </c>
      <c r="N399" s="52"/>
      <c r="O399" s="52"/>
      <c r="P399" s="52"/>
    </row>
    <row r="400">
      <c r="A400" s="58"/>
      <c r="B400" s="52"/>
      <c r="C400" s="52"/>
      <c r="D400" s="52"/>
      <c r="E400" s="52"/>
      <c r="F400" s="52"/>
      <c r="G400" s="52"/>
      <c r="H400" s="52"/>
      <c r="I400" s="52"/>
      <c r="J400" s="52"/>
      <c r="K400" s="59"/>
      <c r="L400" s="52"/>
      <c r="M400" s="52" t="str">
        <f>IFERROR(__xludf.DUMMYFUNCTION("""COMPUTED_VALUE"""),"")</f>
        <v/>
      </c>
      <c r="N400" s="52"/>
      <c r="O400" s="52"/>
      <c r="P400" s="52"/>
    </row>
    <row r="401">
      <c r="A401" s="58"/>
      <c r="B401" s="52"/>
      <c r="C401" s="52"/>
      <c r="D401" s="52"/>
      <c r="E401" s="52"/>
      <c r="F401" s="52"/>
      <c r="G401" s="52"/>
      <c r="H401" s="52"/>
      <c r="I401" s="52"/>
      <c r="J401" s="52"/>
      <c r="K401" s="59"/>
      <c r="L401" s="52"/>
      <c r="M401" s="52" t="str">
        <f>IFERROR(__xludf.DUMMYFUNCTION("""COMPUTED_VALUE"""),"")</f>
        <v/>
      </c>
      <c r="N401" s="52"/>
      <c r="O401" s="52"/>
      <c r="P401" s="52"/>
    </row>
    <row r="402">
      <c r="A402" s="58"/>
      <c r="B402" s="52"/>
      <c r="C402" s="52"/>
      <c r="D402" s="52"/>
      <c r="E402" s="52"/>
      <c r="F402" s="52"/>
      <c r="G402" s="52"/>
      <c r="H402" s="52"/>
      <c r="I402" s="52"/>
      <c r="J402" s="52"/>
      <c r="K402" s="59"/>
      <c r="L402" s="52"/>
      <c r="M402" s="52" t="str">
        <f>IFERROR(__xludf.DUMMYFUNCTION("""COMPUTED_VALUE"""),"")</f>
        <v/>
      </c>
      <c r="N402" s="52"/>
      <c r="O402" s="52"/>
      <c r="P402" s="52"/>
    </row>
    <row r="403">
      <c r="A403" s="58"/>
      <c r="B403" s="52"/>
      <c r="C403" s="52"/>
      <c r="D403" s="52"/>
      <c r="E403" s="52"/>
      <c r="F403" s="52"/>
      <c r="G403" s="52"/>
      <c r="H403" s="52"/>
      <c r="I403" s="52"/>
      <c r="J403" s="52"/>
      <c r="K403" s="59"/>
      <c r="L403" s="52"/>
      <c r="M403" s="52" t="str">
        <f>IFERROR(__xludf.DUMMYFUNCTION("""COMPUTED_VALUE"""),"")</f>
        <v/>
      </c>
      <c r="N403" s="52"/>
      <c r="O403" s="52"/>
      <c r="P403" s="52"/>
    </row>
    <row r="404">
      <c r="A404" s="58"/>
      <c r="B404" s="52"/>
      <c r="C404" s="52"/>
      <c r="D404" s="52"/>
      <c r="E404" s="52"/>
      <c r="F404" s="52"/>
      <c r="G404" s="52"/>
      <c r="H404" s="52"/>
      <c r="I404" s="52"/>
      <c r="J404" s="52"/>
      <c r="K404" s="59"/>
      <c r="L404" s="52"/>
      <c r="M404" s="52" t="str">
        <f>IFERROR(__xludf.DUMMYFUNCTION("""COMPUTED_VALUE"""),"")</f>
        <v/>
      </c>
      <c r="N404" s="52"/>
      <c r="O404" s="52"/>
      <c r="P404" s="52"/>
    </row>
    <row r="405">
      <c r="A405" s="58"/>
      <c r="B405" s="52"/>
      <c r="C405" s="52"/>
      <c r="D405" s="52"/>
      <c r="E405" s="52"/>
      <c r="F405" s="52"/>
      <c r="G405" s="52"/>
      <c r="H405" s="52"/>
      <c r="I405" s="52"/>
      <c r="J405" s="52"/>
      <c r="K405" s="59"/>
      <c r="L405" s="52"/>
      <c r="M405" s="52" t="str">
        <f>IFERROR(__xludf.DUMMYFUNCTION("""COMPUTED_VALUE"""),"")</f>
        <v/>
      </c>
      <c r="N405" s="52"/>
      <c r="O405" s="52"/>
      <c r="P405" s="52"/>
    </row>
    <row r="406">
      <c r="A406" s="58"/>
      <c r="B406" s="52"/>
      <c r="C406" s="52"/>
      <c r="D406" s="52"/>
      <c r="E406" s="52"/>
      <c r="F406" s="52"/>
      <c r="G406" s="52"/>
      <c r="H406" s="52"/>
      <c r="I406" s="52"/>
      <c r="J406" s="52"/>
      <c r="K406" s="59"/>
      <c r="L406" s="52"/>
      <c r="M406" s="52" t="str">
        <f>IFERROR(__xludf.DUMMYFUNCTION("""COMPUTED_VALUE"""),"")</f>
        <v/>
      </c>
      <c r="N406" s="52"/>
      <c r="O406" s="52"/>
      <c r="P406" s="52"/>
    </row>
    <row r="407">
      <c r="A407" s="58"/>
      <c r="B407" s="52"/>
      <c r="C407" s="52"/>
      <c r="D407" s="52"/>
      <c r="E407" s="52"/>
      <c r="F407" s="52"/>
      <c r="G407" s="52"/>
      <c r="H407" s="52"/>
      <c r="I407" s="52"/>
      <c r="J407" s="52"/>
      <c r="K407" s="59"/>
      <c r="L407" s="52"/>
      <c r="M407" s="52" t="str">
        <f>IFERROR(__xludf.DUMMYFUNCTION("""COMPUTED_VALUE"""),"")</f>
        <v/>
      </c>
      <c r="N407" s="52"/>
      <c r="O407" s="52"/>
      <c r="P407" s="52"/>
    </row>
    <row r="408">
      <c r="A408" s="58"/>
      <c r="B408" s="52"/>
      <c r="C408" s="52"/>
      <c r="D408" s="52"/>
      <c r="E408" s="52"/>
      <c r="F408" s="52"/>
      <c r="G408" s="52"/>
      <c r="H408" s="52"/>
      <c r="I408" s="52"/>
      <c r="J408" s="52"/>
      <c r="K408" s="59"/>
      <c r="L408" s="52"/>
      <c r="M408" s="52" t="str">
        <f>IFERROR(__xludf.DUMMYFUNCTION("""COMPUTED_VALUE"""),"")</f>
        <v/>
      </c>
      <c r="N408" s="52"/>
      <c r="O408" s="52"/>
      <c r="P408" s="52"/>
    </row>
    <row r="409">
      <c r="A409" s="58"/>
      <c r="B409" s="52"/>
      <c r="C409" s="52"/>
      <c r="D409" s="52"/>
      <c r="E409" s="52"/>
      <c r="F409" s="52"/>
      <c r="G409" s="52"/>
      <c r="H409" s="52"/>
      <c r="I409" s="52"/>
      <c r="J409" s="52"/>
      <c r="K409" s="59"/>
      <c r="L409" s="52"/>
      <c r="M409" s="52" t="str">
        <f>IFERROR(__xludf.DUMMYFUNCTION("""COMPUTED_VALUE"""),"")</f>
        <v/>
      </c>
      <c r="N409" s="52"/>
      <c r="O409" s="52"/>
      <c r="P409" s="52"/>
    </row>
    <row r="410">
      <c r="A410" s="58"/>
      <c r="B410" s="52"/>
      <c r="C410" s="52"/>
      <c r="D410" s="52"/>
      <c r="E410" s="52"/>
      <c r="F410" s="52"/>
      <c r="G410" s="52"/>
      <c r="H410" s="52"/>
      <c r="I410" s="52"/>
      <c r="J410" s="52"/>
      <c r="K410" s="59"/>
      <c r="L410" s="52"/>
      <c r="M410" s="52" t="str">
        <f>IFERROR(__xludf.DUMMYFUNCTION("""COMPUTED_VALUE"""),"")</f>
        <v/>
      </c>
      <c r="N410" s="52"/>
      <c r="O410" s="52"/>
      <c r="P410" s="52"/>
    </row>
    <row r="411">
      <c r="A411" s="58"/>
      <c r="B411" s="52"/>
      <c r="C411" s="52"/>
      <c r="D411" s="52"/>
      <c r="E411" s="52"/>
      <c r="F411" s="52"/>
      <c r="G411" s="52"/>
      <c r="H411" s="52"/>
      <c r="I411" s="52"/>
      <c r="J411" s="52"/>
      <c r="K411" s="59"/>
      <c r="L411" s="52"/>
      <c r="M411" s="52" t="str">
        <f>IFERROR(__xludf.DUMMYFUNCTION("""COMPUTED_VALUE"""),"")</f>
        <v/>
      </c>
      <c r="N411" s="52"/>
      <c r="O411" s="52"/>
      <c r="P411" s="52"/>
    </row>
    <row r="412">
      <c r="A412" s="58"/>
      <c r="B412" s="52"/>
      <c r="C412" s="52"/>
      <c r="D412" s="52"/>
      <c r="E412" s="52"/>
      <c r="F412" s="52"/>
      <c r="G412" s="52"/>
      <c r="H412" s="52"/>
      <c r="I412" s="52"/>
      <c r="J412" s="52"/>
      <c r="K412" s="59"/>
      <c r="L412" s="52"/>
      <c r="M412" s="52" t="str">
        <f>IFERROR(__xludf.DUMMYFUNCTION("""COMPUTED_VALUE"""),"")</f>
        <v/>
      </c>
      <c r="N412" s="52"/>
      <c r="O412" s="52"/>
      <c r="P412" s="52"/>
    </row>
    <row r="413">
      <c r="A413" s="58"/>
      <c r="B413" s="52"/>
      <c r="C413" s="52"/>
      <c r="D413" s="52"/>
      <c r="E413" s="52"/>
      <c r="F413" s="52"/>
      <c r="G413" s="52"/>
      <c r="H413" s="52"/>
      <c r="I413" s="52"/>
      <c r="J413" s="52"/>
      <c r="K413" s="59"/>
      <c r="L413" s="52"/>
      <c r="M413" s="52" t="str">
        <f>IFERROR(__xludf.DUMMYFUNCTION("""COMPUTED_VALUE"""),"")</f>
        <v/>
      </c>
      <c r="N413" s="52"/>
      <c r="O413" s="52"/>
      <c r="P413" s="52"/>
    </row>
    <row r="414">
      <c r="A414" s="58"/>
      <c r="B414" s="52"/>
      <c r="C414" s="52"/>
      <c r="D414" s="52"/>
      <c r="E414" s="52"/>
      <c r="F414" s="52"/>
      <c r="G414" s="52"/>
      <c r="H414" s="52"/>
      <c r="I414" s="52"/>
      <c r="J414" s="52"/>
      <c r="K414" s="59"/>
      <c r="L414" s="52"/>
      <c r="M414" s="52" t="str">
        <f>IFERROR(__xludf.DUMMYFUNCTION("""COMPUTED_VALUE"""),"")</f>
        <v/>
      </c>
      <c r="N414" s="52"/>
      <c r="O414" s="52"/>
      <c r="P414" s="52"/>
    </row>
    <row r="415">
      <c r="A415" s="58"/>
      <c r="B415" s="52"/>
      <c r="C415" s="52"/>
      <c r="D415" s="52"/>
      <c r="E415" s="52"/>
      <c r="F415" s="52"/>
      <c r="G415" s="52"/>
      <c r="H415" s="52"/>
      <c r="I415" s="52"/>
      <c r="J415" s="52"/>
      <c r="K415" s="59"/>
      <c r="L415" s="52"/>
      <c r="M415" s="52" t="str">
        <f>IFERROR(__xludf.DUMMYFUNCTION("""COMPUTED_VALUE"""),"")</f>
        <v/>
      </c>
      <c r="N415" s="52"/>
      <c r="O415" s="52"/>
      <c r="P415" s="52"/>
    </row>
    <row r="416">
      <c r="A416" s="58"/>
      <c r="B416" s="52"/>
      <c r="C416" s="52"/>
      <c r="D416" s="52"/>
      <c r="E416" s="52"/>
      <c r="F416" s="52"/>
      <c r="G416" s="52"/>
      <c r="H416" s="52"/>
      <c r="I416" s="52"/>
      <c r="J416" s="52"/>
      <c r="K416" s="59"/>
      <c r="L416" s="52"/>
      <c r="M416" s="52" t="str">
        <f>IFERROR(__xludf.DUMMYFUNCTION("""COMPUTED_VALUE"""),"")</f>
        <v/>
      </c>
      <c r="N416" s="52"/>
      <c r="O416" s="52"/>
      <c r="P416" s="52"/>
    </row>
    <row r="417">
      <c r="A417" s="58"/>
      <c r="B417" s="52"/>
      <c r="C417" s="52"/>
      <c r="D417" s="52"/>
      <c r="E417" s="52"/>
      <c r="F417" s="52"/>
      <c r="G417" s="52"/>
      <c r="H417" s="52"/>
      <c r="I417" s="52"/>
      <c r="J417" s="52"/>
      <c r="K417" s="59"/>
      <c r="L417" s="52"/>
      <c r="M417" s="52" t="str">
        <f>IFERROR(__xludf.DUMMYFUNCTION("""COMPUTED_VALUE"""),"")</f>
        <v/>
      </c>
      <c r="N417" s="52"/>
      <c r="O417" s="52"/>
      <c r="P417" s="52"/>
    </row>
    <row r="418">
      <c r="A418" s="58"/>
      <c r="B418" s="52"/>
      <c r="C418" s="52"/>
      <c r="D418" s="52"/>
      <c r="E418" s="52"/>
      <c r="F418" s="52"/>
      <c r="G418" s="52"/>
      <c r="H418" s="52"/>
      <c r="I418" s="52"/>
      <c r="J418" s="52"/>
      <c r="K418" s="59"/>
      <c r="L418" s="52"/>
      <c r="M418" s="52" t="str">
        <f>IFERROR(__xludf.DUMMYFUNCTION("""COMPUTED_VALUE"""),"")</f>
        <v/>
      </c>
      <c r="N418" s="52"/>
      <c r="O418" s="52"/>
      <c r="P418" s="52"/>
    </row>
    <row r="419">
      <c r="A419" s="58"/>
      <c r="B419" s="52"/>
      <c r="C419" s="52"/>
      <c r="D419" s="52"/>
      <c r="E419" s="52"/>
      <c r="F419" s="52"/>
      <c r="G419" s="52"/>
      <c r="H419" s="52"/>
      <c r="I419" s="52"/>
      <c r="J419" s="52"/>
      <c r="K419" s="59"/>
      <c r="L419" s="52"/>
      <c r="M419" s="52" t="str">
        <f>IFERROR(__xludf.DUMMYFUNCTION("""COMPUTED_VALUE"""),"")</f>
        <v/>
      </c>
      <c r="N419" s="52"/>
      <c r="O419" s="52"/>
      <c r="P419" s="52"/>
    </row>
    <row r="420">
      <c r="A420" s="58"/>
      <c r="B420" s="52"/>
      <c r="C420" s="52"/>
      <c r="D420" s="52"/>
      <c r="E420" s="52"/>
      <c r="F420" s="52"/>
      <c r="G420" s="52"/>
      <c r="H420" s="52"/>
      <c r="I420" s="52"/>
      <c r="J420" s="52"/>
      <c r="K420" s="59"/>
      <c r="L420" s="52"/>
      <c r="M420" s="52" t="str">
        <f>IFERROR(__xludf.DUMMYFUNCTION("""COMPUTED_VALUE"""),"")</f>
        <v/>
      </c>
      <c r="N420" s="52"/>
      <c r="O420" s="52"/>
      <c r="P420" s="52"/>
    </row>
    <row r="421">
      <c r="A421" s="58"/>
      <c r="B421" s="52"/>
      <c r="C421" s="52"/>
      <c r="D421" s="52"/>
      <c r="E421" s="52"/>
      <c r="F421" s="52"/>
      <c r="G421" s="52"/>
      <c r="H421" s="52"/>
      <c r="I421" s="52"/>
      <c r="J421" s="52"/>
      <c r="K421" s="59"/>
      <c r="L421" s="52"/>
      <c r="M421" s="52" t="str">
        <f>IFERROR(__xludf.DUMMYFUNCTION("""COMPUTED_VALUE"""),"")</f>
        <v/>
      </c>
      <c r="N421" s="52"/>
      <c r="O421" s="52"/>
      <c r="P421" s="52"/>
    </row>
    <row r="422">
      <c r="A422" s="58"/>
      <c r="B422" s="52"/>
      <c r="C422" s="52"/>
      <c r="D422" s="52"/>
      <c r="E422" s="52"/>
      <c r="F422" s="52"/>
      <c r="G422" s="52"/>
      <c r="H422" s="52"/>
      <c r="I422" s="52"/>
      <c r="J422" s="52"/>
      <c r="K422" s="59"/>
      <c r="L422" s="52"/>
      <c r="M422" s="52" t="str">
        <f>IFERROR(__xludf.DUMMYFUNCTION("""COMPUTED_VALUE"""),"")</f>
        <v/>
      </c>
      <c r="N422" s="52"/>
      <c r="O422" s="52"/>
      <c r="P422" s="52"/>
    </row>
    <row r="423">
      <c r="A423" s="58"/>
      <c r="B423" s="52"/>
      <c r="C423" s="52"/>
      <c r="D423" s="52"/>
      <c r="E423" s="52"/>
      <c r="F423" s="52"/>
      <c r="G423" s="52"/>
      <c r="H423" s="52"/>
      <c r="I423" s="52"/>
      <c r="J423" s="52"/>
      <c r="K423" s="59"/>
      <c r="L423" s="52"/>
      <c r="M423" s="52" t="str">
        <f>IFERROR(__xludf.DUMMYFUNCTION("""COMPUTED_VALUE"""),"")</f>
        <v/>
      </c>
      <c r="N423" s="52"/>
      <c r="O423" s="52"/>
      <c r="P423" s="52"/>
    </row>
    <row r="424">
      <c r="A424" s="58"/>
      <c r="B424" s="52"/>
      <c r="C424" s="52"/>
      <c r="D424" s="52"/>
      <c r="E424" s="52"/>
      <c r="F424" s="52"/>
      <c r="G424" s="52"/>
      <c r="H424" s="52"/>
      <c r="I424" s="52"/>
      <c r="J424" s="52"/>
      <c r="K424" s="59"/>
      <c r="L424" s="52"/>
      <c r="M424" s="52" t="str">
        <f>IFERROR(__xludf.DUMMYFUNCTION("""COMPUTED_VALUE"""),"")</f>
        <v/>
      </c>
      <c r="N424" s="52"/>
      <c r="O424" s="52"/>
      <c r="P424" s="52"/>
    </row>
    <row r="425">
      <c r="A425" s="58"/>
      <c r="B425" s="52"/>
      <c r="C425" s="52"/>
      <c r="D425" s="52"/>
      <c r="E425" s="52"/>
      <c r="F425" s="52"/>
      <c r="G425" s="52"/>
      <c r="H425" s="52"/>
      <c r="I425" s="52"/>
      <c r="J425" s="52"/>
      <c r="K425" s="59"/>
      <c r="L425" s="52"/>
      <c r="M425" s="52" t="str">
        <f>IFERROR(__xludf.DUMMYFUNCTION("""COMPUTED_VALUE"""),"")</f>
        <v/>
      </c>
      <c r="N425" s="52"/>
      <c r="O425" s="52"/>
      <c r="P425" s="52"/>
    </row>
    <row r="426">
      <c r="A426" s="58"/>
      <c r="B426" s="52"/>
      <c r="C426" s="52"/>
      <c r="D426" s="52"/>
      <c r="E426" s="52"/>
      <c r="F426" s="52"/>
      <c r="G426" s="52"/>
      <c r="H426" s="52"/>
      <c r="I426" s="52"/>
      <c r="J426" s="52"/>
      <c r="K426" s="59"/>
      <c r="L426" s="52"/>
      <c r="M426" s="52" t="str">
        <f>IFERROR(__xludf.DUMMYFUNCTION("""COMPUTED_VALUE"""),"")</f>
        <v/>
      </c>
      <c r="N426" s="52"/>
      <c r="O426" s="52"/>
      <c r="P426" s="52"/>
    </row>
    <row r="427">
      <c r="A427" s="58"/>
      <c r="B427" s="52"/>
      <c r="C427" s="52"/>
      <c r="D427" s="52"/>
      <c r="E427" s="52"/>
      <c r="F427" s="52"/>
      <c r="G427" s="52"/>
      <c r="H427" s="52"/>
      <c r="I427" s="52"/>
      <c r="J427" s="52"/>
      <c r="K427" s="59"/>
      <c r="L427" s="52"/>
      <c r="M427" s="52" t="str">
        <f>IFERROR(__xludf.DUMMYFUNCTION("""COMPUTED_VALUE"""),"")</f>
        <v/>
      </c>
      <c r="N427" s="52"/>
      <c r="O427" s="52"/>
      <c r="P427" s="52"/>
    </row>
    <row r="428">
      <c r="A428" s="58"/>
      <c r="B428" s="52"/>
      <c r="C428" s="52"/>
      <c r="D428" s="52"/>
      <c r="E428" s="52"/>
      <c r="F428" s="52"/>
      <c r="G428" s="52"/>
      <c r="H428" s="52"/>
      <c r="I428" s="52"/>
      <c r="J428" s="52"/>
      <c r="K428" s="59"/>
      <c r="L428" s="52"/>
      <c r="M428" s="52" t="str">
        <f>IFERROR(__xludf.DUMMYFUNCTION("""COMPUTED_VALUE"""),"")</f>
        <v/>
      </c>
      <c r="N428" s="52"/>
      <c r="O428" s="52"/>
      <c r="P428" s="52"/>
    </row>
    <row r="429">
      <c r="A429" s="58"/>
      <c r="B429" s="52"/>
      <c r="C429" s="52"/>
      <c r="D429" s="52"/>
      <c r="E429" s="52"/>
      <c r="F429" s="52"/>
      <c r="G429" s="52"/>
      <c r="H429" s="52"/>
      <c r="I429" s="52"/>
      <c r="J429" s="52"/>
      <c r="K429" s="59"/>
      <c r="L429" s="52"/>
      <c r="M429" s="52" t="str">
        <f>IFERROR(__xludf.DUMMYFUNCTION("""COMPUTED_VALUE"""),"")</f>
        <v/>
      </c>
      <c r="N429" s="52"/>
      <c r="O429" s="52"/>
      <c r="P429" s="52"/>
    </row>
    <row r="430">
      <c r="A430" s="58"/>
      <c r="B430" s="52"/>
      <c r="C430" s="52"/>
      <c r="D430" s="52"/>
      <c r="E430" s="52"/>
      <c r="F430" s="52"/>
      <c r="G430" s="52"/>
      <c r="H430" s="52"/>
      <c r="I430" s="52"/>
      <c r="J430" s="52"/>
      <c r="K430" s="59"/>
      <c r="L430" s="52"/>
      <c r="M430" s="52" t="str">
        <f>IFERROR(__xludf.DUMMYFUNCTION("""COMPUTED_VALUE"""),"")</f>
        <v/>
      </c>
      <c r="N430" s="52"/>
      <c r="O430" s="52"/>
      <c r="P430" s="52"/>
    </row>
    <row r="431">
      <c r="A431" s="58"/>
      <c r="B431" s="52"/>
      <c r="C431" s="52"/>
      <c r="D431" s="52"/>
      <c r="E431" s="52"/>
      <c r="F431" s="52"/>
      <c r="G431" s="52"/>
      <c r="H431" s="52"/>
      <c r="I431" s="52"/>
      <c r="J431" s="52"/>
      <c r="K431" s="59"/>
      <c r="L431" s="52"/>
      <c r="M431" s="52" t="str">
        <f>IFERROR(__xludf.DUMMYFUNCTION("""COMPUTED_VALUE"""),"")</f>
        <v/>
      </c>
      <c r="N431" s="52"/>
      <c r="O431" s="52"/>
      <c r="P431" s="52"/>
    </row>
    <row r="432">
      <c r="A432" s="58"/>
      <c r="B432" s="52"/>
      <c r="C432" s="52"/>
      <c r="D432" s="52"/>
      <c r="E432" s="52"/>
      <c r="F432" s="52"/>
      <c r="G432" s="52"/>
      <c r="H432" s="52"/>
      <c r="I432" s="52"/>
      <c r="J432" s="52"/>
      <c r="K432" s="59"/>
      <c r="L432" s="52"/>
      <c r="M432" s="52" t="str">
        <f>IFERROR(__xludf.DUMMYFUNCTION("""COMPUTED_VALUE"""),"")</f>
        <v/>
      </c>
      <c r="N432" s="52"/>
      <c r="O432" s="52"/>
      <c r="P432" s="52"/>
    </row>
    <row r="433">
      <c r="A433" s="58"/>
      <c r="B433" s="52"/>
      <c r="C433" s="52"/>
      <c r="D433" s="52"/>
      <c r="E433" s="52"/>
      <c r="F433" s="52"/>
      <c r="G433" s="52"/>
      <c r="H433" s="52"/>
      <c r="I433" s="52"/>
      <c r="J433" s="52"/>
      <c r="K433" s="59"/>
      <c r="L433" s="52"/>
      <c r="M433" s="52" t="str">
        <f>IFERROR(__xludf.DUMMYFUNCTION("""COMPUTED_VALUE"""),"")</f>
        <v/>
      </c>
      <c r="N433" s="52"/>
      <c r="O433" s="52"/>
      <c r="P433" s="52"/>
    </row>
    <row r="434">
      <c r="A434" s="58"/>
      <c r="B434" s="52"/>
      <c r="C434" s="52"/>
      <c r="D434" s="52"/>
      <c r="E434" s="52"/>
      <c r="F434" s="52"/>
      <c r="G434" s="52"/>
      <c r="H434" s="52"/>
      <c r="I434" s="52"/>
      <c r="J434" s="52"/>
      <c r="K434" s="59"/>
      <c r="L434" s="52"/>
      <c r="M434" s="52" t="str">
        <f>IFERROR(__xludf.DUMMYFUNCTION("""COMPUTED_VALUE"""),"")</f>
        <v/>
      </c>
      <c r="N434" s="52"/>
      <c r="O434" s="52"/>
      <c r="P434" s="52"/>
    </row>
    <row r="435">
      <c r="A435" s="58"/>
      <c r="B435" s="52"/>
      <c r="C435" s="52"/>
      <c r="D435" s="52"/>
      <c r="E435" s="52"/>
      <c r="F435" s="52"/>
      <c r="G435" s="52"/>
      <c r="H435" s="52"/>
      <c r="I435" s="52"/>
      <c r="J435" s="52"/>
      <c r="K435" s="59"/>
      <c r="L435" s="52"/>
      <c r="M435" s="52" t="str">
        <f>IFERROR(__xludf.DUMMYFUNCTION("""COMPUTED_VALUE"""),"")</f>
        <v/>
      </c>
      <c r="N435" s="52"/>
      <c r="O435" s="52"/>
      <c r="P435" s="52"/>
    </row>
    <row r="436">
      <c r="A436" s="58"/>
      <c r="B436" s="52"/>
      <c r="C436" s="52"/>
      <c r="D436" s="52"/>
      <c r="E436" s="52"/>
      <c r="F436" s="52"/>
      <c r="G436" s="52"/>
      <c r="H436" s="52"/>
      <c r="I436" s="52"/>
      <c r="J436" s="52"/>
      <c r="K436" s="59"/>
      <c r="L436" s="52"/>
      <c r="M436" s="52" t="str">
        <f>IFERROR(__xludf.DUMMYFUNCTION("""COMPUTED_VALUE"""),"")</f>
        <v/>
      </c>
      <c r="N436" s="52"/>
      <c r="O436" s="52"/>
      <c r="P436" s="52"/>
    </row>
    <row r="437">
      <c r="A437" s="58"/>
      <c r="B437" s="52"/>
      <c r="C437" s="52"/>
      <c r="D437" s="52"/>
      <c r="E437" s="52"/>
      <c r="F437" s="52"/>
      <c r="G437" s="52"/>
      <c r="H437" s="52"/>
      <c r="I437" s="52"/>
      <c r="J437" s="52"/>
      <c r="K437" s="59"/>
      <c r="L437" s="52"/>
      <c r="M437" s="52" t="str">
        <f>IFERROR(__xludf.DUMMYFUNCTION("""COMPUTED_VALUE"""),"")</f>
        <v/>
      </c>
      <c r="N437" s="52"/>
      <c r="O437" s="52"/>
      <c r="P437" s="52"/>
    </row>
    <row r="438">
      <c r="A438" s="58"/>
      <c r="B438" s="52"/>
      <c r="C438" s="52"/>
      <c r="D438" s="52"/>
      <c r="E438" s="52"/>
      <c r="F438" s="52"/>
      <c r="G438" s="52"/>
      <c r="H438" s="52"/>
      <c r="I438" s="52"/>
      <c r="J438" s="52"/>
      <c r="K438" s="59"/>
      <c r="L438" s="52"/>
      <c r="M438" s="52" t="str">
        <f>IFERROR(__xludf.DUMMYFUNCTION("""COMPUTED_VALUE"""),"")</f>
        <v/>
      </c>
      <c r="N438" s="52"/>
      <c r="O438" s="52"/>
      <c r="P438" s="52"/>
    </row>
    <row r="439">
      <c r="A439" s="58"/>
      <c r="B439" s="52"/>
      <c r="C439" s="52"/>
      <c r="D439" s="52"/>
      <c r="E439" s="52"/>
      <c r="F439" s="52"/>
      <c r="G439" s="52"/>
      <c r="H439" s="52"/>
      <c r="I439" s="52"/>
      <c r="J439" s="52"/>
      <c r="K439" s="59"/>
      <c r="L439" s="52"/>
      <c r="M439" s="52" t="str">
        <f>IFERROR(__xludf.DUMMYFUNCTION("""COMPUTED_VALUE"""),"")</f>
        <v/>
      </c>
      <c r="N439" s="52"/>
      <c r="O439" s="52"/>
      <c r="P439" s="52"/>
    </row>
    <row r="440">
      <c r="A440" s="58"/>
      <c r="B440" s="52"/>
      <c r="C440" s="52"/>
      <c r="D440" s="52"/>
      <c r="E440" s="52"/>
      <c r="F440" s="52"/>
      <c r="G440" s="52"/>
      <c r="H440" s="52"/>
      <c r="I440" s="52"/>
      <c r="J440" s="52"/>
      <c r="K440" s="59"/>
      <c r="L440" s="52"/>
      <c r="M440" s="52" t="str">
        <f>IFERROR(__xludf.DUMMYFUNCTION("""COMPUTED_VALUE"""),"")</f>
        <v/>
      </c>
      <c r="N440" s="52"/>
      <c r="O440" s="52"/>
      <c r="P440" s="52"/>
    </row>
    <row r="441">
      <c r="A441" s="58"/>
      <c r="B441" s="52"/>
      <c r="C441" s="52"/>
      <c r="D441" s="52"/>
      <c r="E441" s="52"/>
      <c r="F441" s="52"/>
      <c r="G441" s="52"/>
      <c r="H441" s="52"/>
      <c r="I441" s="52"/>
      <c r="J441" s="52"/>
      <c r="K441" s="59"/>
      <c r="L441" s="52"/>
      <c r="M441" s="52" t="str">
        <f>IFERROR(__xludf.DUMMYFUNCTION("""COMPUTED_VALUE"""),"")</f>
        <v/>
      </c>
      <c r="N441" s="52"/>
      <c r="O441" s="52"/>
      <c r="P441" s="52"/>
    </row>
    <row r="442">
      <c r="A442" s="58"/>
      <c r="B442" s="52"/>
      <c r="C442" s="52"/>
      <c r="D442" s="52"/>
      <c r="E442" s="52"/>
      <c r="F442" s="52"/>
      <c r="G442" s="52"/>
      <c r="H442" s="52"/>
      <c r="I442" s="52"/>
      <c r="J442" s="52"/>
      <c r="K442" s="59"/>
      <c r="L442" s="52"/>
      <c r="M442" s="52" t="str">
        <f>IFERROR(__xludf.DUMMYFUNCTION("""COMPUTED_VALUE"""),"")</f>
        <v/>
      </c>
      <c r="N442" s="52"/>
      <c r="O442" s="52"/>
      <c r="P442" s="52"/>
    </row>
    <row r="443">
      <c r="A443" s="58"/>
      <c r="B443" s="52"/>
      <c r="C443" s="52"/>
      <c r="D443" s="52"/>
      <c r="E443" s="52"/>
      <c r="F443" s="52"/>
      <c r="G443" s="52"/>
      <c r="H443" s="52"/>
      <c r="I443" s="52"/>
      <c r="J443" s="52"/>
      <c r="K443" s="59"/>
      <c r="L443" s="52"/>
      <c r="M443" s="52" t="str">
        <f>IFERROR(__xludf.DUMMYFUNCTION("""COMPUTED_VALUE"""),"")</f>
        <v/>
      </c>
      <c r="N443" s="52"/>
      <c r="O443" s="52"/>
      <c r="P443" s="52"/>
    </row>
    <row r="444">
      <c r="A444" s="58"/>
      <c r="B444" s="52"/>
      <c r="C444" s="52"/>
      <c r="D444" s="52"/>
      <c r="E444" s="52"/>
      <c r="F444" s="52"/>
      <c r="G444" s="52"/>
      <c r="H444" s="52"/>
      <c r="I444" s="52"/>
      <c r="J444" s="52"/>
      <c r="K444" s="59"/>
      <c r="L444" s="52"/>
      <c r="M444" s="52" t="str">
        <f>IFERROR(__xludf.DUMMYFUNCTION("""COMPUTED_VALUE"""),"")</f>
        <v/>
      </c>
      <c r="N444" s="52"/>
      <c r="O444" s="52"/>
      <c r="P444" s="52"/>
    </row>
    <row r="445">
      <c r="A445" s="58"/>
      <c r="B445" s="52"/>
      <c r="C445" s="52"/>
      <c r="D445" s="52"/>
      <c r="E445" s="52"/>
      <c r="F445" s="52"/>
      <c r="G445" s="52"/>
      <c r="H445" s="52"/>
      <c r="I445" s="52"/>
      <c r="J445" s="52"/>
      <c r="K445" s="59"/>
      <c r="L445" s="52"/>
      <c r="M445" s="52" t="str">
        <f>IFERROR(__xludf.DUMMYFUNCTION("""COMPUTED_VALUE"""),"")</f>
        <v/>
      </c>
      <c r="N445" s="52"/>
      <c r="O445" s="52"/>
      <c r="P445" s="52"/>
    </row>
    <row r="446">
      <c r="A446" s="58"/>
      <c r="B446" s="52"/>
      <c r="C446" s="52"/>
      <c r="D446" s="52"/>
      <c r="E446" s="52"/>
      <c r="F446" s="52"/>
      <c r="G446" s="52"/>
      <c r="H446" s="52"/>
      <c r="I446" s="52"/>
      <c r="J446" s="52"/>
      <c r="K446" s="59"/>
      <c r="L446" s="52"/>
      <c r="M446" s="52" t="str">
        <f>IFERROR(__xludf.DUMMYFUNCTION("""COMPUTED_VALUE"""),"")</f>
        <v/>
      </c>
      <c r="N446" s="52"/>
      <c r="O446" s="52"/>
      <c r="P446" s="52"/>
    </row>
    <row r="447">
      <c r="A447" s="58"/>
      <c r="B447" s="52"/>
      <c r="C447" s="52"/>
      <c r="D447" s="52"/>
      <c r="E447" s="52"/>
      <c r="F447" s="52"/>
      <c r="G447" s="52"/>
      <c r="H447" s="52"/>
      <c r="I447" s="52"/>
      <c r="J447" s="52"/>
      <c r="K447" s="59"/>
      <c r="L447" s="52"/>
      <c r="M447" s="52" t="str">
        <f>IFERROR(__xludf.DUMMYFUNCTION("""COMPUTED_VALUE"""),"")</f>
        <v/>
      </c>
      <c r="N447" s="52"/>
      <c r="O447" s="52"/>
      <c r="P447" s="52"/>
    </row>
    <row r="448">
      <c r="A448" s="58"/>
      <c r="B448" s="52"/>
      <c r="C448" s="52"/>
      <c r="D448" s="52"/>
      <c r="E448" s="52"/>
      <c r="F448" s="52"/>
      <c r="G448" s="52"/>
      <c r="H448" s="52"/>
      <c r="I448" s="52"/>
      <c r="J448" s="52"/>
      <c r="K448" s="59"/>
      <c r="L448" s="52"/>
      <c r="M448" s="52" t="str">
        <f>IFERROR(__xludf.DUMMYFUNCTION("""COMPUTED_VALUE"""),"")</f>
        <v/>
      </c>
      <c r="N448" s="52"/>
      <c r="O448" s="52"/>
      <c r="P448" s="52"/>
    </row>
    <row r="449">
      <c r="A449" s="58"/>
      <c r="B449" s="52"/>
      <c r="C449" s="52"/>
      <c r="D449" s="52"/>
      <c r="E449" s="52"/>
      <c r="F449" s="52"/>
      <c r="G449" s="52"/>
      <c r="H449" s="52"/>
      <c r="I449" s="52"/>
      <c r="J449" s="52"/>
      <c r="K449" s="59"/>
      <c r="L449" s="52"/>
      <c r="M449" s="52" t="str">
        <f>IFERROR(__xludf.DUMMYFUNCTION("""COMPUTED_VALUE"""),"")</f>
        <v/>
      </c>
      <c r="N449" s="52"/>
      <c r="O449" s="52"/>
      <c r="P449" s="52"/>
    </row>
    <row r="450">
      <c r="A450" s="58"/>
      <c r="B450" s="52"/>
      <c r="C450" s="52"/>
      <c r="D450" s="52"/>
      <c r="E450" s="52"/>
      <c r="F450" s="52"/>
      <c r="G450" s="52"/>
      <c r="H450" s="52"/>
      <c r="I450" s="52"/>
      <c r="J450" s="52"/>
      <c r="K450" s="59"/>
      <c r="L450" s="52"/>
      <c r="M450" s="52" t="str">
        <f>IFERROR(__xludf.DUMMYFUNCTION("""COMPUTED_VALUE"""),"")</f>
        <v/>
      </c>
      <c r="N450" s="52"/>
      <c r="O450" s="52"/>
      <c r="P450" s="52"/>
    </row>
    <row r="451">
      <c r="A451" s="58"/>
      <c r="B451" s="52"/>
      <c r="C451" s="52"/>
      <c r="D451" s="52"/>
      <c r="E451" s="52"/>
      <c r="F451" s="52"/>
      <c r="G451" s="52"/>
      <c r="H451" s="52"/>
      <c r="I451" s="52"/>
      <c r="J451" s="52"/>
      <c r="K451" s="59"/>
      <c r="L451" s="52"/>
      <c r="M451" s="52" t="str">
        <f>IFERROR(__xludf.DUMMYFUNCTION("""COMPUTED_VALUE"""),"")</f>
        <v/>
      </c>
      <c r="N451" s="52"/>
      <c r="O451" s="52"/>
      <c r="P451" s="52"/>
    </row>
    <row r="452">
      <c r="A452" s="58"/>
      <c r="B452" s="52"/>
      <c r="C452" s="52"/>
      <c r="D452" s="52"/>
      <c r="E452" s="52"/>
      <c r="F452" s="52"/>
      <c r="G452" s="52"/>
      <c r="H452" s="52"/>
      <c r="I452" s="52"/>
      <c r="J452" s="52"/>
      <c r="K452" s="59"/>
      <c r="L452" s="52"/>
      <c r="M452" s="52" t="str">
        <f>IFERROR(__xludf.DUMMYFUNCTION("""COMPUTED_VALUE"""),"")</f>
        <v/>
      </c>
      <c r="N452" s="52"/>
      <c r="O452" s="52"/>
      <c r="P452" s="52"/>
    </row>
    <row r="453">
      <c r="A453" s="58"/>
      <c r="B453" s="52"/>
      <c r="C453" s="52"/>
      <c r="D453" s="52"/>
      <c r="E453" s="52"/>
      <c r="F453" s="52"/>
      <c r="G453" s="52"/>
      <c r="H453" s="52"/>
      <c r="I453" s="52"/>
      <c r="J453" s="52"/>
      <c r="K453" s="59"/>
      <c r="L453" s="52"/>
      <c r="M453" s="52" t="str">
        <f>IFERROR(__xludf.DUMMYFUNCTION("""COMPUTED_VALUE"""),"")</f>
        <v/>
      </c>
      <c r="N453" s="52"/>
      <c r="O453" s="52"/>
      <c r="P453" s="52"/>
    </row>
    <row r="454">
      <c r="A454" s="58"/>
      <c r="B454" s="52"/>
      <c r="C454" s="52"/>
      <c r="D454" s="52"/>
      <c r="E454" s="52"/>
      <c r="F454" s="52"/>
      <c r="G454" s="52"/>
      <c r="H454" s="52"/>
      <c r="I454" s="52"/>
      <c r="J454" s="52"/>
      <c r="K454" s="59"/>
      <c r="L454" s="52"/>
      <c r="M454" s="52" t="str">
        <f>IFERROR(__xludf.DUMMYFUNCTION("""COMPUTED_VALUE"""),"")</f>
        <v/>
      </c>
      <c r="N454" s="52"/>
      <c r="O454" s="52"/>
      <c r="P454" s="52"/>
    </row>
    <row r="455">
      <c r="A455" s="58"/>
      <c r="B455" s="52"/>
      <c r="C455" s="52"/>
      <c r="D455" s="52"/>
      <c r="E455" s="52"/>
      <c r="F455" s="52"/>
      <c r="G455" s="52"/>
      <c r="H455" s="52"/>
      <c r="I455" s="52"/>
      <c r="J455" s="52"/>
      <c r="K455" s="59"/>
      <c r="L455" s="52"/>
      <c r="M455" s="52" t="str">
        <f>IFERROR(__xludf.DUMMYFUNCTION("""COMPUTED_VALUE"""),"")</f>
        <v/>
      </c>
      <c r="N455" s="52"/>
      <c r="O455" s="52"/>
      <c r="P455" s="52"/>
    </row>
    <row r="456">
      <c r="A456" s="58"/>
      <c r="B456" s="52"/>
      <c r="C456" s="52"/>
      <c r="D456" s="52"/>
      <c r="E456" s="52"/>
      <c r="F456" s="52"/>
      <c r="G456" s="52"/>
      <c r="H456" s="52"/>
      <c r="I456" s="52"/>
      <c r="J456" s="52"/>
      <c r="K456" s="59"/>
      <c r="L456" s="52"/>
      <c r="M456" s="52" t="str">
        <f>IFERROR(__xludf.DUMMYFUNCTION("""COMPUTED_VALUE"""),"")</f>
        <v/>
      </c>
      <c r="N456" s="52"/>
      <c r="O456" s="52"/>
      <c r="P456" s="52"/>
    </row>
    <row r="457">
      <c r="A457" s="58"/>
      <c r="B457" s="52"/>
      <c r="C457" s="52"/>
      <c r="D457" s="52"/>
      <c r="E457" s="52"/>
      <c r="F457" s="52"/>
      <c r="G457" s="52"/>
      <c r="H457" s="52"/>
      <c r="I457" s="52"/>
      <c r="J457" s="52"/>
      <c r="K457" s="59"/>
      <c r="L457" s="52"/>
      <c r="M457" s="52" t="str">
        <f>IFERROR(__xludf.DUMMYFUNCTION("""COMPUTED_VALUE"""),"")</f>
        <v/>
      </c>
      <c r="N457" s="52"/>
      <c r="O457" s="52"/>
      <c r="P457" s="52"/>
    </row>
    <row r="458">
      <c r="A458" s="58"/>
      <c r="B458" s="52"/>
      <c r="C458" s="52"/>
      <c r="D458" s="52"/>
      <c r="E458" s="52"/>
      <c r="F458" s="52"/>
      <c r="G458" s="52"/>
      <c r="H458" s="52"/>
      <c r="I458" s="52"/>
      <c r="J458" s="52"/>
      <c r="K458" s="59"/>
      <c r="L458" s="52"/>
      <c r="M458" s="52" t="str">
        <f>IFERROR(__xludf.DUMMYFUNCTION("""COMPUTED_VALUE"""),"")</f>
        <v/>
      </c>
      <c r="N458" s="52"/>
      <c r="O458" s="52"/>
      <c r="P458" s="52"/>
    </row>
    <row r="459">
      <c r="A459" s="58"/>
      <c r="B459" s="52"/>
      <c r="C459" s="52"/>
      <c r="D459" s="52"/>
      <c r="E459" s="52"/>
      <c r="F459" s="52"/>
      <c r="G459" s="52"/>
      <c r="H459" s="52"/>
      <c r="I459" s="52"/>
      <c r="J459" s="52"/>
      <c r="K459" s="59"/>
      <c r="L459" s="52"/>
      <c r="M459" s="52" t="str">
        <f>IFERROR(__xludf.DUMMYFUNCTION("""COMPUTED_VALUE"""),"")</f>
        <v/>
      </c>
      <c r="N459" s="52"/>
      <c r="O459" s="52"/>
      <c r="P459" s="52"/>
    </row>
    <row r="460">
      <c r="A460" s="58"/>
      <c r="B460" s="52"/>
      <c r="C460" s="52"/>
      <c r="D460" s="52"/>
      <c r="E460" s="52"/>
      <c r="F460" s="52"/>
      <c r="G460" s="52"/>
      <c r="H460" s="52"/>
      <c r="I460" s="52"/>
      <c r="J460" s="52"/>
      <c r="K460" s="59"/>
      <c r="L460" s="52"/>
      <c r="M460" s="52" t="str">
        <f>IFERROR(__xludf.DUMMYFUNCTION("""COMPUTED_VALUE"""),"")</f>
        <v/>
      </c>
      <c r="N460" s="52"/>
      <c r="O460" s="52"/>
      <c r="P460" s="52"/>
    </row>
    <row r="461">
      <c r="A461" s="58"/>
      <c r="B461" s="52"/>
      <c r="C461" s="52"/>
      <c r="D461" s="52"/>
      <c r="E461" s="52"/>
      <c r="F461" s="52"/>
      <c r="G461" s="52"/>
      <c r="H461" s="52"/>
      <c r="I461" s="52"/>
      <c r="J461" s="52"/>
      <c r="K461" s="59"/>
      <c r="L461" s="52"/>
      <c r="M461" s="52" t="str">
        <f>IFERROR(__xludf.DUMMYFUNCTION("""COMPUTED_VALUE"""),"")</f>
        <v/>
      </c>
      <c r="N461" s="52"/>
      <c r="O461" s="52"/>
      <c r="P461" s="52"/>
    </row>
    <row r="462">
      <c r="A462" s="58"/>
      <c r="B462" s="52"/>
      <c r="C462" s="52"/>
      <c r="D462" s="52"/>
      <c r="E462" s="52"/>
      <c r="F462" s="52"/>
      <c r="G462" s="52"/>
      <c r="H462" s="52"/>
      <c r="I462" s="52"/>
      <c r="J462" s="52"/>
      <c r="K462" s="59"/>
      <c r="L462" s="52"/>
      <c r="M462" s="52" t="str">
        <f>IFERROR(__xludf.DUMMYFUNCTION("""COMPUTED_VALUE"""),"")</f>
        <v/>
      </c>
      <c r="N462" s="52"/>
      <c r="O462" s="52"/>
      <c r="P462" s="52"/>
    </row>
    <row r="463">
      <c r="A463" s="58"/>
      <c r="B463" s="52"/>
      <c r="C463" s="52"/>
      <c r="D463" s="52"/>
      <c r="E463" s="52"/>
      <c r="F463" s="52"/>
      <c r="G463" s="52"/>
      <c r="H463" s="52"/>
      <c r="I463" s="52"/>
      <c r="J463" s="52"/>
      <c r="K463" s="59"/>
      <c r="L463" s="52"/>
      <c r="M463" s="52" t="str">
        <f>IFERROR(__xludf.DUMMYFUNCTION("""COMPUTED_VALUE"""),"")</f>
        <v/>
      </c>
      <c r="N463" s="52"/>
      <c r="O463" s="52"/>
      <c r="P463" s="52"/>
    </row>
    <row r="464">
      <c r="A464" s="58"/>
      <c r="B464" s="52"/>
      <c r="C464" s="52"/>
      <c r="D464" s="52"/>
      <c r="E464" s="52"/>
      <c r="F464" s="52"/>
      <c r="G464" s="52"/>
      <c r="H464" s="52"/>
      <c r="I464" s="52"/>
      <c r="J464" s="52"/>
      <c r="K464" s="59"/>
      <c r="L464" s="52"/>
      <c r="M464" s="52" t="str">
        <f>IFERROR(__xludf.DUMMYFUNCTION("""COMPUTED_VALUE"""),"")</f>
        <v/>
      </c>
      <c r="N464" s="52"/>
      <c r="O464" s="52"/>
      <c r="P464" s="52"/>
    </row>
    <row r="465">
      <c r="A465" s="58"/>
      <c r="B465" s="52"/>
      <c r="C465" s="52"/>
      <c r="D465" s="52"/>
      <c r="E465" s="52"/>
      <c r="F465" s="52"/>
      <c r="G465" s="52"/>
      <c r="H465" s="52"/>
      <c r="I465" s="52"/>
      <c r="J465" s="52"/>
      <c r="K465" s="59"/>
      <c r="L465" s="52"/>
      <c r="M465" s="52" t="str">
        <f>IFERROR(__xludf.DUMMYFUNCTION("""COMPUTED_VALUE"""),"")</f>
        <v/>
      </c>
      <c r="N465" s="52"/>
      <c r="O465" s="52"/>
      <c r="P465" s="52"/>
    </row>
    <row r="466">
      <c r="A466" s="58"/>
      <c r="B466" s="52"/>
      <c r="C466" s="52"/>
      <c r="D466" s="52"/>
      <c r="E466" s="52"/>
      <c r="F466" s="52"/>
      <c r="G466" s="52"/>
      <c r="H466" s="52"/>
      <c r="I466" s="52"/>
      <c r="J466" s="52"/>
      <c r="K466" s="59"/>
      <c r="L466" s="52"/>
      <c r="M466" s="52" t="str">
        <f>IFERROR(__xludf.DUMMYFUNCTION("""COMPUTED_VALUE"""),"")</f>
        <v/>
      </c>
      <c r="N466" s="52"/>
      <c r="O466" s="52"/>
      <c r="P466" s="52"/>
    </row>
    <row r="467">
      <c r="A467" s="58"/>
      <c r="B467" s="52"/>
      <c r="C467" s="52"/>
      <c r="D467" s="52"/>
      <c r="E467" s="52"/>
      <c r="F467" s="52"/>
      <c r="G467" s="52"/>
      <c r="H467" s="52"/>
      <c r="I467" s="52"/>
      <c r="J467" s="52"/>
      <c r="K467" s="59"/>
      <c r="L467" s="52"/>
      <c r="M467" s="52" t="str">
        <f>IFERROR(__xludf.DUMMYFUNCTION("""COMPUTED_VALUE"""),"")</f>
        <v/>
      </c>
      <c r="N467" s="52"/>
      <c r="O467" s="52"/>
      <c r="P467" s="52"/>
    </row>
    <row r="468">
      <c r="A468" s="58"/>
      <c r="B468" s="52"/>
      <c r="C468" s="52"/>
      <c r="D468" s="52"/>
      <c r="E468" s="52"/>
      <c r="F468" s="52"/>
      <c r="G468" s="52"/>
      <c r="H468" s="52"/>
      <c r="I468" s="52"/>
      <c r="J468" s="52"/>
      <c r="K468" s="59"/>
      <c r="L468" s="52"/>
      <c r="M468" s="52" t="str">
        <f>IFERROR(__xludf.DUMMYFUNCTION("""COMPUTED_VALUE"""),"")</f>
        <v/>
      </c>
      <c r="N468" s="52"/>
      <c r="O468" s="52"/>
      <c r="P468" s="52"/>
    </row>
    <row r="469">
      <c r="A469" s="58"/>
      <c r="B469" s="52"/>
      <c r="C469" s="52"/>
      <c r="D469" s="52"/>
      <c r="E469" s="52"/>
      <c r="F469" s="52"/>
      <c r="G469" s="52"/>
      <c r="H469" s="52"/>
      <c r="I469" s="52"/>
      <c r="J469" s="52"/>
      <c r="K469" s="59"/>
      <c r="L469" s="52"/>
      <c r="M469" s="52" t="str">
        <f>IFERROR(__xludf.DUMMYFUNCTION("""COMPUTED_VALUE"""),"")</f>
        <v/>
      </c>
      <c r="N469" s="52"/>
      <c r="O469" s="52"/>
      <c r="P469" s="52"/>
    </row>
    <row r="470">
      <c r="A470" s="58"/>
      <c r="B470" s="52"/>
      <c r="C470" s="52"/>
      <c r="D470" s="52"/>
      <c r="E470" s="52"/>
      <c r="F470" s="52"/>
      <c r="G470" s="52"/>
      <c r="H470" s="52"/>
      <c r="I470" s="52"/>
      <c r="J470" s="52"/>
      <c r="K470" s="59"/>
      <c r="L470" s="52"/>
      <c r="M470" s="52" t="str">
        <f>IFERROR(__xludf.DUMMYFUNCTION("""COMPUTED_VALUE"""),"")</f>
        <v/>
      </c>
      <c r="N470" s="52"/>
      <c r="O470" s="52"/>
      <c r="P470" s="52"/>
    </row>
    <row r="471">
      <c r="A471" s="58"/>
      <c r="B471" s="52"/>
      <c r="C471" s="52"/>
      <c r="D471" s="52"/>
      <c r="E471" s="52"/>
      <c r="F471" s="52"/>
      <c r="G471" s="52"/>
      <c r="H471" s="52"/>
      <c r="I471" s="52"/>
      <c r="J471" s="52"/>
      <c r="K471" s="59"/>
      <c r="L471" s="52"/>
      <c r="M471" s="52" t="str">
        <f>IFERROR(__xludf.DUMMYFUNCTION("""COMPUTED_VALUE"""),"")</f>
        <v/>
      </c>
      <c r="N471" s="52"/>
      <c r="O471" s="52"/>
      <c r="P471" s="52"/>
    </row>
    <row r="472">
      <c r="A472" s="58"/>
      <c r="B472" s="52"/>
      <c r="C472" s="52"/>
      <c r="D472" s="52"/>
      <c r="E472" s="52"/>
      <c r="F472" s="52"/>
      <c r="G472" s="52"/>
      <c r="H472" s="52"/>
      <c r="I472" s="52"/>
      <c r="J472" s="52"/>
      <c r="K472" s="59"/>
      <c r="L472" s="52"/>
      <c r="M472" s="52" t="str">
        <f>IFERROR(__xludf.DUMMYFUNCTION("""COMPUTED_VALUE"""),"")</f>
        <v/>
      </c>
      <c r="N472" s="52"/>
      <c r="O472" s="52"/>
      <c r="P472" s="52"/>
    </row>
    <row r="473">
      <c r="A473" s="58"/>
      <c r="B473" s="52"/>
      <c r="C473" s="52"/>
      <c r="D473" s="52"/>
      <c r="E473" s="52"/>
      <c r="F473" s="52"/>
      <c r="G473" s="52"/>
      <c r="H473" s="52"/>
      <c r="I473" s="52"/>
      <c r="J473" s="52"/>
      <c r="K473" s="59"/>
      <c r="L473" s="52"/>
      <c r="M473" s="52" t="str">
        <f>IFERROR(__xludf.DUMMYFUNCTION("""COMPUTED_VALUE"""),"")</f>
        <v/>
      </c>
      <c r="N473" s="52"/>
      <c r="O473" s="52"/>
      <c r="P473" s="52"/>
    </row>
    <row r="474">
      <c r="A474" s="58"/>
      <c r="B474" s="52"/>
      <c r="C474" s="52"/>
      <c r="D474" s="52"/>
      <c r="E474" s="52"/>
      <c r="F474" s="52"/>
      <c r="G474" s="52"/>
      <c r="H474" s="52"/>
      <c r="I474" s="52"/>
      <c r="J474" s="52"/>
      <c r="K474" s="59"/>
      <c r="L474" s="52"/>
      <c r="M474" s="52" t="str">
        <f>IFERROR(__xludf.DUMMYFUNCTION("""COMPUTED_VALUE"""),"")</f>
        <v/>
      </c>
      <c r="N474" s="52"/>
      <c r="O474" s="52"/>
      <c r="P474" s="52"/>
    </row>
    <row r="475">
      <c r="A475" s="58"/>
      <c r="B475" s="52"/>
      <c r="C475" s="52"/>
      <c r="D475" s="52"/>
      <c r="E475" s="52"/>
      <c r="F475" s="52"/>
      <c r="G475" s="52"/>
      <c r="H475" s="52"/>
      <c r="I475" s="52"/>
      <c r="J475" s="52"/>
      <c r="K475" s="59"/>
      <c r="L475" s="52"/>
      <c r="M475" s="52" t="str">
        <f>IFERROR(__xludf.DUMMYFUNCTION("""COMPUTED_VALUE"""),"")</f>
        <v/>
      </c>
      <c r="N475" s="52"/>
      <c r="O475" s="52"/>
      <c r="P475" s="52"/>
    </row>
    <row r="476">
      <c r="A476" s="58"/>
      <c r="B476" s="52"/>
      <c r="C476" s="52"/>
      <c r="D476" s="52"/>
      <c r="E476" s="52"/>
      <c r="F476" s="52"/>
      <c r="G476" s="52"/>
      <c r="H476" s="52"/>
      <c r="I476" s="52"/>
      <c r="J476" s="52"/>
      <c r="K476" s="59"/>
      <c r="L476" s="52"/>
      <c r="M476" s="52" t="str">
        <f>IFERROR(__xludf.DUMMYFUNCTION("""COMPUTED_VALUE"""),"")</f>
        <v/>
      </c>
      <c r="N476" s="52"/>
      <c r="O476" s="52"/>
      <c r="P476" s="52"/>
    </row>
    <row r="477">
      <c r="A477" s="58"/>
      <c r="B477" s="52"/>
      <c r="C477" s="52"/>
      <c r="D477" s="52"/>
      <c r="E477" s="52"/>
      <c r="F477" s="52"/>
      <c r="G477" s="52"/>
      <c r="H477" s="52"/>
      <c r="I477" s="52"/>
      <c r="J477" s="52"/>
      <c r="K477" s="59"/>
      <c r="L477" s="52"/>
      <c r="M477" s="52" t="str">
        <f>IFERROR(__xludf.DUMMYFUNCTION("""COMPUTED_VALUE"""),"")</f>
        <v/>
      </c>
      <c r="N477" s="52"/>
      <c r="O477" s="52"/>
      <c r="P477" s="52"/>
    </row>
    <row r="478">
      <c r="A478" s="58"/>
      <c r="B478" s="52"/>
      <c r="C478" s="52"/>
      <c r="D478" s="52"/>
      <c r="E478" s="52"/>
      <c r="F478" s="52"/>
      <c r="G478" s="52"/>
      <c r="H478" s="52"/>
      <c r="I478" s="52"/>
      <c r="J478" s="52"/>
      <c r="K478" s="59"/>
      <c r="L478" s="52"/>
      <c r="M478" s="52" t="str">
        <f>IFERROR(__xludf.DUMMYFUNCTION("""COMPUTED_VALUE"""),"")</f>
        <v/>
      </c>
      <c r="N478" s="52"/>
      <c r="O478" s="52"/>
      <c r="P478" s="52"/>
    </row>
    <row r="479">
      <c r="A479" s="58"/>
      <c r="B479" s="52"/>
      <c r="C479" s="52"/>
      <c r="D479" s="52"/>
      <c r="E479" s="52"/>
      <c r="F479" s="52"/>
      <c r="G479" s="52"/>
      <c r="H479" s="52"/>
      <c r="I479" s="52"/>
      <c r="J479" s="52"/>
      <c r="K479" s="59"/>
      <c r="L479" s="52"/>
      <c r="M479" s="52" t="str">
        <f>IFERROR(__xludf.DUMMYFUNCTION("""COMPUTED_VALUE"""),"")</f>
        <v/>
      </c>
      <c r="N479" s="52"/>
      <c r="O479" s="52"/>
      <c r="P479" s="52"/>
    </row>
    <row r="480">
      <c r="A480" s="58"/>
      <c r="B480" s="52"/>
      <c r="C480" s="52"/>
      <c r="D480" s="52"/>
      <c r="E480" s="52"/>
      <c r="F480" s="52"/>
      <c r="G480" s="52"/>
      <c r="H480" s="52"/>
      <c r="I480" s="52"/>
      <c r="J480" s="52"/>
      <c r="K480" s="59"/>
      <c r="L480" s="52"/>
      <c r="M480" s="52" t="str">
        <f>IFERROR(__xludf.DUMMYFUNCTION("""COMPUTED_VALUE"""),"")</f>
        <v/>
      </c>
      <c r="N480" s="52"/>
      <c r="O480" s="52"/>
      <c r="P480" s="52"/>
    </row>
    <row r="481">
      <c r="A481" s="58"/>
      <c r="B481" s="52"/>
      <c r="C481" s="52"/>
      <c r="D481" s="52"/>
      <c r="E481" s="52"/>
      <c r="F481" s="52"/>
      <c r="G481" s="52"/>
      <c r="H481" s="52"/>
      <c r="I481" s="52"/>
      <c r="J481" s="52"/>
      <c r="K481" s="59"/>
      <c r="L481" s="52"/>
      <c r="M481" s="52" t="str">
        <f>IFERROR(__xludf.DUMMYFUNCTION("""COMPUTED_VALUE"""),"")</f>
        <v/>
      </c>
      <c r="N481" s="52"/>
      <c r="O481" s="52"/>
      <c r="P481" s="52"/>
    </row>
    <row r="482">
      <c r="A482" s="58"/>
      <c r="B482" s="52"/>
      <c r="C482" s="52"/>
      <c r="D482" s="52"/>
      <c r="E482" s="52"/>
      <c r="F482" s="52"/>
      <c r="G482" s="52"/>
      <c r="H482" s="52"/>
      <c r="I482" s="52"/>
      <c r="J482" s="52"/>
      <c r="K482" s="59"/>
      <c r="L482" s="52"/>
      <c r="M482" s="52" t="str">
        <f>IFERROR(__xludf.DUMMYFUNCTION("""COMPUTED_VALUE"""),"")</f>
        <v/>
      </c>
      <c r="N482" s="52"/>
      <c r="O482" s="52"/>
      <c r="P482" s="52"/>
    </row>
    <row r="483">
      <c r="A483" s="58"/>
      <c r="B483" s="52"/>
      <c r="C483" s="52"/>
      <c r="D483" s="52"/>
      <c r="E483" s="52"/>
      <c r="F483" s="52"/>
      <c r="G483" s="52"/>
      <c r="H483" s="52"/>
      <c r="I483" s="52"/>
      <c r="J483" s="52"/>
      <c r="K483" s="59"/>
      <c r="L483" s="52"/>
      <c r="M483" s="52" t="str">
        <f>IFERROR(__xludf.DUMMYFUNCTION("""COMPUTED_VALUE"""),"")</f>
        <v/>
      </c>
      <c r="N483" s="52"/>
      <c r="O483" s="52"/>
      <c r="P483" s="52"/>
    </row>
    <row r="484">
      <c r="A484" s="58"/>
      <c r="B484" s="52"/>
      <c r="C484" s="52"/>
      <c r="D484" s="52"/>
      <c r="E484" s="52"/>
      <c r="F484" s="52"/>
      <c r="G484" s="52"/>
      <c r="H484" s="52"/>
      <c r="I484" s="52"/>
      <c r="J484" s="52"/>
      <c r="K484" s="59"/>
      <c r="L484" s="52"/>
      <c r="M484" s="52" t="str">
        <f>IFERROR(__xludf.DUMMYFUNCTION("""COMPUTED_VALUE"""),"")</f>
        <v/>
      </c>
      <c r="N484" s="52"/>
      <c r="O484" s="52"/>
      <c r="P484" s="52"/>
    </row>
    <row r="485">
      <c r="A485" s="58"/>
      <c r="B485" s="52"/>
      <c r="C485" s="52"/>
      <c r="D485" s="52"/>
      <c r="E485" s="52"/>
      <c r="F485" s="52"/>
      <c r="G485" s="52"/>
      <c r="H485" s="52"/>
      <c r="I485" s="52"/>
      <c r="J485" s="52"/>
      <c r="K485" s="59"/>
      <c r="L485" s="52"/>
      <c r="M485" s="52" t="str">
        <f>IFERROR(__xludf.DUMMYFUNCTION("""COMPUTED_VALUE"""),"")</f>
        <v/>
      </c>
      <c r="N485" s="52"/>
      <c r="O485" s="52"/>
      <c r="P485" s="52"/>
    </row>
    <row r="486">
      <c r="A486" s="58"/>
      <c r="B486" s="52"/>
      <c r="C486" s="52"/>
      <c r="D486" s="52"/>
      <c r="E486" s="52"/>
      <c r="F486" s="52"/>
      <c r="G486" s="52"/>
      <c r="H486" s="52"/>
      <c r="I486" s="52"/>
      <c r="J486" s="52"/>
      <c r="K486" s="59"/>
      <c r="L486" s="52"/>
      <c r="M486" s="52" t="str">
        <f>IFERROR(__xludf.DUMMYFUNCTION("""COMPUTED_VALUE"""),"")</f>
        <v/>
      </c>
      <c r="N486" s="52"/>
      <c r="O486" s="52"/>
      <c r="P486" s="52"/>
    </row>
    <row r="487">
      <c r="A487" s="58"/>
      <c r="B487" s="52"/>
      <c r="C487" s="52"/>
      <c r="D487" s="52"/>
      <c r="E487" s="52"/>
      <c r="F487" s="52"/>
      <c r="G487" s="52"/>
      <c r="H487" s="52"/>
      <c r="I487" s="52"/>
      <c r="J487" s="52"/>
      <c r="K487" s="59"/>
      <c r="L487" s="52"/>
      <c r="M487" s="52" t="str">
        <f>IFERROR(__xludf.DUMMYFUNCTION("""COMPUTED_VALUE"""),"")</f>
        <v/>
      </c>
      <c r="N487" s="52"/>
      <c r="O487" s="52"/>
      <c r="P487" s="52"/>
    </row>
    <row r="488">
      <c r="A488" s="58"/>
      <c r="B488" s="52"/>
      <c r="C488" s="52"/>
      <c r="D488" s="52"/>
      <c r="E488" s="52"/>
      <c r="F488" s="52"/>
      <c r="G488" s="52"/>
      <c r="H488" s="52"/>
      <c r="I488" s="52"/>
      <c r="J488" s="52"/>
      <c r="K488" s="59"/>
      <c r="L488" s="52"/>
      <c r="M488" s="52" t="str">
        <f>IFERROR(__xludf.DUMMYFUNCTION("""COMPUTED_VALUE"""),"")</f>
        <v/>
      </c>
      <c r="N488" s="52"/>
      <c r="O488" s="52"/>
      <c r="P488" s="52"/>
    </row>
    <row r="489">
      <c r="A489" s="58"/>
      <c r="B489" s="52"/>
      <c r="C489" s="52"/>
      <c r="D489" s="52"/>
      <c r="E489" s="52"/>
      <c r="F489" s="52"/>
      <c r="G489" s="52"/>
      <c r="H489" s="52"/>
      <c r="I489" s="52"/>
      <c r="J489" s="52"/>
      <c r="K489" s="59"/>
      <c r="L489" s="52"/>
      <c r="M489" s="52" t="str">
        <f>IFERROR(__xludf.DUMMYFUNCTION("""COMPUTED_VALUE"""),"")</f>
        <v/>
      </c>
      <c r="N489" s="52"/>
      <c r="O489" s="52"/>
      <c r="P489" s="52"/>
    </row>
    <row r="490">
      <c r="A490" s="58"/>
      <c r="B490" s="52"/>
      <c r="C490" s="52"/>
      <c r="D490" s="52"/>
      <c r="E490" s="52"/>
      <c r="F490" s="52"/>
      <c r="G490" s="52"/>
      <c r="H490" s="52"/>
      <c r="I490" s="52"/>
      <c r="J490" s="52"/>
      <c r="K490" s="59"/>
      <c r="L490" s="52"/>
      <c r="M490" s="52" t="str">
        <f>IFERROR(__xludf.DUMMYFUNCTION("""COMPUTED_VALUE"""),"")</f>
        <v/>
      </c>
      <c r="N490" s="52"/>
      <c r="O490" s="52"/>
      <c r="P490" s="52"/>
    </row>
    <row r="491">
      <c r="A491" s="58"/>
      <c r="B491" s="52"/>
      <c r="C491" s="52"/>
      <c r="D491" s="52"/>
      <c r="E491" s="52"/>
      <c r="F491" s="52"/>
      <c r="G491" s="52"/>
      <c r="H491" s="52"/>
      <c r="I491" s="52"/>
      <c r="J491" s="52"/>
      <c r="K491" s="59"/>
      <c r="L491" s="52"/>
      <c r="M491" s="52" t="str">
        <f>IFERROR(__xludf.DUMMYFUNCTION("""COMPUTED_VALUE"""),"")</f>
        <v/>
      </c>
      <c r="N491" s="52"/>
      <c r="O491" s="52"/>
      <c r="P491" s="52"/>
    </row>
    <row r="492">
      <c r="A492" s="58"/>
      <c r="B492" s="52"/>
      <c r="C492" s="52"/>
      <c r="D492" s="52"/>
      <c r="E492" s="52"/>
      <c r="F492" s="52"/>
      <c r="G492" s="52"/>
      <c r="H492" s="52"/>
      <c r="I492" s="52"/>
      <c r="J492" s="52"/>
      <c r="K492" s="59"/>
      <c r="L492" s="52"/>
      <c r="M492" s="52" t="str">
        <f>IFERROR(__xludf.DUMMYFUNCTION("""COMPUTED_VALUE"""),"")</f>
        <v/>
      </c>
      <c r="N492" s="52"/>
      <c r="O492" s="52"/>
      <c r="P492" s="52"/>
    </row>
    <row r="493">
      <c r="A493" s="58"/>
      <c r="B493" s="52"/>
      <c r="C493" s="52"/>
      <c r="D493" s="52"/>
      <c r="E493" s="52"/>
      <c r="F493" s="52"/>
      <c r="G493" s="52"/>
      <c r="H493" s="52"/>
      <c r="I493" s="52"/>
      <c r="J493" s="52"/>
      <c r="K493" s="59"/>
      <c r="L493" s="52"/>
      <c r="M493" s="52" t="str">
        <f>IFERROR(__xludf.DUMMYFUNCTION("""COMPUTED_VALUE"""),"")</f>
        <v/>
      </c>
      <c r="N493" s="52"/>
      <c r="O493" s="52"/>
      <c r="P493" s="52"/>
    </row>
    <row r="494">
      <c r="A494" s="58"/>
      <c r="B494" s="52"/>
      <c r="C494" s="52"/>
      <c r="D494" s="52"/>
      <c r="E494" s="52"/>
      <c r="F494" s="52"/>
      <c r="G494" s="52"/>
      <c r="H494" s="52"/>
      <c r="I494" s="52"/>
      <c r="J494" s="52"/>
      <c r="K494" s="59"/>
      <c r="L494" s="52"/>
      <c r="M494" s="52" t="str">
        <f>IFERROR(__xludf.DUMMYFUNCTION("""COMPUTED_VALUE"""),"")</f>
        <v/>
      </c>
      <c r="N494" s="52"/>
      <c r="O494" s="52"/>
      <c r="P494" s="52"/>
    </row>
    <row r="495">
      <c r="A495" s="58"/>
      <c r="B495" s="52"/>
      <c r="C495" s="52"/>
      <c r="D495" s="52"/>
      <c r="E495" s="52"/>
      <c r="F495" s="52"/>
      <c r="G495" s="52"/>
      <c r="H495" s="52"/>
      <c r="I495" s="52"/>
      <c r="J495" s="52"/>
      <c r="K495" s="59"/>
      <c r="L495" s="52"/>
      <c r="M495" s="52" t="str">
        <f>IFERROR(__xludf.DUMMYFUNCTION("""COMPUTED_VALUE"""),"")</f>
        <v/>
      </c>
      <c r="N495" s="52"/>
      <c r="O495" s="52"/>
      <c r="P495" s="52"/>
    </row>
    <row r="496">
      <c r="A496" s="58"/>
      <c r="B496" s="52"/>
      <c r="C496" s="52"/>
      <c r="D496" s="52"/>
      <c r="E496" s="52"/>
      <c r="F496" s="52"/>
      <c r="G496" s="52"/>
      <c r="H496" s="52"/>
      <c r="I496" s="52"/>
      <c r="J496" s="52"/>
      <c r="K496" s="59"/>
      <c r="L496" s="52"/>
      <c r="M496" s="52" t="str">
        <f>IFERROR(__xludf.DUMMYFUNCTION("""COMPUTED_VALUE"""),"")</f>
        <v/>
      </c>
      <c r="N496" s="52"/>
      <c r="O496" s="52"/>
      <c r="P496" s="52"/>
    </row>
    <row r="497">
      <c r="A497" s="58"/>
      <c r="B497" s="52"/>
      <c r="C497" s="52"/>
      <c r="D497" s="52"/>
      <c r="E497" s="52"/>
      <c r="F497" s="52"/>
      <c r="G497" s="52"/>
      <c r="H497" s="52"/>
      <c r="I497" s="52"/>
      <c r="J497" s="52"/>
      <c r="K497" s="59"/>
      <c r="L497" s="52"/>
      <c r="M497" s="52" t="str">
        <f>IFERROR(__xludf.DUMMYFUNCTION("""COMPUTED_VALUE"""),"")</f>
        <v/>
      </c>
      <c r="N497" s="52"/>
      <c r="O497" s="52"/>
      <c r="P497" s="52"/>
    </row>
    <row r="498">
      <c r="A498" s="58"/>
      <c r="B498" s="52"/>
      <c r="C498" s="52"/>
      <c r="D498" s="52"/>
      <c r="E498" s="52"/>
      <c r="F498" s="52"/>
      <c r="G498" s="52"/>
      <c r="H498" s="52"/>
      <c r="I498" s="52"/>
      <c r="J498" s="52"/>
      <c r="K498" s="59"/>
      <c r="L498" s="52"/>
      <c r="M498" s="52" t="str">
        <f>IFERROR(__xludf.DUMMYFUNCTION("""COMPUTED_VALUE"""),"")</f>
        <v/>
      </c>
      <c r="N498" s="52"/>
      <c r="O498" s="52"/>
      <c r="P498" s="52"/>
    </row>
    <row r="499">
      <c r="A499" s="58"/>
      <c r="B499" s="52"/>
      <c r="C499" s="52"/>
      <c r="D499" s="52"/>
      <c r="E499" s="52"/>
      <c r="F499" s="52"/>
      <c r="G499" s="52"/>
      <c r="H499" s="52"/>
      <c r="I499" s="52"/>
      <c r="J499" s="52"/>
      <c r="K499" s="59"/>
      <c r="L499" s="52"/>
      <c r="M499" s="52" t="str">
        <f>IFERROR(__xludf.DUMMYFUNCTION("""COMPUTED_VALUE"""),"")</f>
        <v/>
      </c>
      <c r="N499" s="52"/>
      <c r="O499" s="52"/>
      <c r="P499" s="52"/>
    </row>
    <row r="500">
      <c r="A500" s="58"/>
      <c r="B500" s="52"/>
      <c r="C500" s="52"/>
      <c r="D500" s="52"/>
      <c r="E500" s="52"/>
      <c r="F500" s="52"/>
      <c r="G500" s="52"/>
      <c r="H500" s="52"/>
      <c r="I500" s="52"/>
      <c r="J500" s="52"/>
      <c r="K500" s="59"/>
      <c r="L500" s="52"/>
      <c r="M500" s="52" t="str">
        <f>IFERROR(__xludf.DUMMYFUNCTION("""COMPUTED_VALUE"""),"")</f>
        <v/>
      </c>
      <c r="N500" s="52"/>
      <c r="O500" s="52"/>
      <c r="P500" s="52"/>
    </row>
    <row r="501">
      <c r="A501" s="58"/>
      <c r="B501" s="52"/>
      <c r="C501" s="52"/>
      <c r="D501" s="52"/>
      <c r="E501" s="52"/>
      <c r="F501" s="52"/>
      <c r="G501" s="52"/>
      <c r="H501" s="52"/>
      <c r="I501" s="52"/>
      <c r="J501" s="52"/>
      <c r="K501" s="59"/>
      <c r="L501" s="52"/>
      <c r="M501" s="52" t="str">
        <f>IFERROR(__xludf.DUMMYFUNCTION("""COMPUTED_VALUE"""),"")</f>
        <v/>
      </c>
      <c r="N501" s="52"/>
      <c r="O501" s="52"/>
      <c r="P501" s="52"/>
    </row>
    <row r="502">
      <c r="A502" s="58"/>
      <c r="B502" s="52"/>
      <c r="C502" s="52"/>
      <c r="D502" s="52"/>
      <c r="E502" s="52"/>
      <c r="F502" s="52"/>
      <c r="G502" s="52"/>
      <c r="H502" s="52"/>
      <c r="I502" s="52"/>
      <c r="J502" s="52"/>
      <c r="K502" s="59"/>
      <c r="L502" s="52"/>
      <c r="M502" s="52" t="str">
        <f>IFERROR(__xludf.DUMMYFUNCTION("""COMPUTED_VALUE"""),"")</f>
        <v/>
      </c>
      <c r="N502" s="52"/>
      <c r="O502" s="52"/>
      <c r="P502" s="52"/>
    </row>
    <row r="503">
      <c r="A503" s="58"/>
      <c r="B503" s="52"/>
      <c r="C503" s="52"/>
      <c r="D503" s="52"/>
      <c r="E503" s="52"/>
      <c r="F503" s="52"/>
      <c r="G503" s="52"/>
      <c r="H503" s="52"/>
      <c r="I503" s="52"/>
      <c r="J503" s="52"/>
      <c r="K503" s="59"/>
      <c r="L503" s="52"/>
      <c r="M503" s="52" t="str">
        <f>IFERROR(__xludf.DUMMYFUNCTION("""COMPUTED_VALUE"""),"")</f>
        <v/>
      </c>
      <c r="N503" s="52"/>
      <c r="O503" s="52"/>
      <c r="P503" s="52"/>
    </row>
    <row r="504">
      <c r="A504" s="58"/>
      <c r="B504" s="52"/>
      <c r="C504" s="52"/>
      <c r="D504" s="52"/>
      <c r="E504" s="52"/>
      <c r="F504" s="52"/>
      <c r="G504" s="52"/>
      <c r="H504" s="52"/>
      <c r="I504" s="52"/>
      <c r="J504" s="52"/>
      <c r="K504" s="59"/>
      <c r="L504" s="52"/>
      <c r="M504" s="52" t="str">
        <f>IFERROR(__xludf.DUMMYFUNCTION("""COMPUTED_VALUE"""),"")</f>
        <v/>
      </c>
      <c r="N504" s="52"/>
      <c r="O504" s="52"/>
      <c r="P504" s="52"/>
    </row>
    <row r="505">
      <c r="A505" s="58"/>
      <c r="B505" s="52"/>
      <c r="C505" s="52"/>
      <c r="D505" s="52"/>
      <c r="E505" s="52"/>
      <c r="F505" s="52"/>
      <c r="G505" s="52"/>
      <c r="H505" s="52"/>
      <c r="I505" s="52"/>
      <c r="J505" s="52"/>
      <c r="K505" s="59"/>
      <c r="L505" s="52"/>
      <c r="M505" s="52" t="str">
        <f>IFERROR(__xludf.DUMMYFUNCTION("""COMPUTED_VALUE"""),"")</f>
        <v/>
      </c>
      <c r="N505" s="52"/>
      <c r="O505" s="52"/>
      <c r="P505" s="52"/>
    </row>
    <row r="506">
      <c r="A506" s="58"/>
      <c r="B506" s="52"/>
      <c r="C506" s="52"/>
      <c r="D506" s="52"/>
      <c r="E506" s="52"/>
      <c r="F506" s="52"/>
      <c r="G506" s="52"/>
      <c r="H506" s="52"/>
      <c r="I506" s="52"/>
      <c r="J506" s="52"/>
      <c r="K506" s="59"/>
      <c r="L506" s="52"/>
      <c r="M506" s="52" t="str">
        <f>IFERROR(__xludf.DUMMYFUNCTION("""COMPUTED_VALUE"""),"")</f>
        <v/>
      </c>
      <c r="N506" s="52"/>
      <c r="O506" s="52"/>
      <c r="P506" s="52"/>
    </row>
    <row r="507">
      <c r="A507" s="58"/>
      <c r="B507" s="52"/>
      <c r="C507" s="52"/>
      <c r="D507" s="52"/>
      <c r="E507" s="52"/>
      <c r="F507" s="52"/>
      <c r="G507" s="52"/>
      <c r="H507" s="52"/>
      <c r="I507" s="52"/>
      <c r="J507" s="52"/>
      <c r="K507" s="59"/>
      <c r="L507" s="52"/>
      <c r="M507" s="52" t="str">
        <f>IFERROR(__xludf.DUMMYFUNCTION("""COMPUTED_VALUE"""),"")</f>
        <v/>
      </c>
      <c r="N507" s="52"/>
      <c r="O507" s="52"/>
      <c r="P507" s="52"/>
    </row>
    <row r="508">
      <c r="A508" s="58"/>
      <c r="B508" s="52"/>
      <c r="C508" s="52"/>
      <c r="D508" s="52"/>
      <c r="E508" s="52"/>
      <c r="F508" s="52"/>
      <c r="G508" s="52"/>
      <c r="H508" s="52"/>
      <c r="I508" s="52"/>
      <c r="J508" s="52"/>
      <c r="K508" s="59"/>
      <c r="L508" s="52"/>
      <c r="M508" s="52" t="str">
        <f>IFERROR(__xludf.DUMMYFUNCTION("""COMPUTED_VALUE"""),"")</f>
        <v/>
      </c>
      <c r="N508" s="52"/>
      <c r="O508" s="52"/>
      <c r="P508" s="52"/>
    </row>
    <row r="509">
      <c r="A509" s="58"/>
      <c r="B509" s="52"/>
      <c r="C509" s="52"/>
      <c r="D509" s="52"/>
      <c r="E509" s="52"/>
      <c r="F509" s="52"/>
      <c r="G509" s="52"/>
      <c r="H509" s="52"/>
      <c r="I509" s="52"/>
      <c r="J509" s="52"/>
      <c r="K509" s="59"/>
      <c r="L509" s="52"/>
      <c r="M509" s="52" t="str">
        <f>IFERROR(__xludf.DUMMYFUNCTION("""COMPUTED_VALUE"""),"")</f>
        <v/>
      </c>
      <c r="N509" s="52"/>
      <c r="O509" s="52"/>
      <c r="P509" s="52"/>
    </row>
    <row r="510">
      <c r="A510" s="58"/>
      <c r="B510" s="52"/>
      <c r="C510" s="52"/>
      <c r="D510" s="52"/>
      <c r="E510" s="52"/>
      <c r="F510" s="52"/>
      <c r="G510" s="52"/>
      <c r="H510" s="52"/>
      <c r="I510" s="52"/>
      <c r="J510" s="52"/>
      <c r="K510" s="59"/>
      <c r="L510" s="52"/>
      <c r="M510" s="52" t="str">
        <f>IFERROR(__xludf.DUMMYFUNCTION("""COMPUTED_VALUE"""),"")</f>
        <v/>
      </c>
      <c r="N510" s="52"/>
      <c r="O510" s="52"/>
      <c r="P510" s="52"/>
    </row>
    <row r="511">
      <c r="A511" s="58"/>
      <c r="B511" s="52"/>
      <c r="C511" s="52"/>
      <c r="D511" s="52"/>
      <c r="E511" s="52"/>
      <c r="F511" s="52"/>
      <c r="G511" s="52"/>
      <c r="H511" s="52"/>
      <c r="I511" s="52"/>
      <c r="J511" s="52"/>
      <c r="K511" s="59"/>
      <c r="L511" s="52"/>
      <c r="M511" s="52" t="str">
        <f>IFERROR(__xludf.DUMMYFUNCTION("""COMPUTED_VALUE"""),"")</f>
        <v/>
      </c>
      <c r="N511" s="52"/>
      <c r="O511" s="52"/>
      <c r="P511" s="52"/>
    </row>
    <row r="512">
      <c r="A512" s="58"/>
      <c r="B512" s="52"/>
      <c r="C512" s="52"/>
      <c r="D512" s="52"/>
      <c r="E512" s="52"/>
      <c r="F512" s="52"/>
      <c r="G512" s="52"/>
      <c r="H512" s="52"/>
      <c r="I512" s="52"/>
      <c r="J512" s="52"/>
      <c r="K512" s="59"/>
      <c r="L512" s="52"/>
      <c r="M512" s="52" t="str">
        <f>IFERROR(__xludf.DUMMYFUNCTION("""COMPUTED_VALUE"""),"")</f>
        <v/>
      </c>
      <c r="N512" s="52"/>
      <c r="O512" s="52"/>
      <c r="P512" s="52"/>
    </row>
    <row r="513">
      <c r="A513" s="58"/>
      <c r="B513" s="52"/>
      <c r="C513" s="52"/>
      <c r="D513" s="52"/>
      <c r="E513" s="52"/>
      <c r="F513" s="52"/>
      <c r="G513" s="52"/>
      <c r="H513" s="52"/>
      <c r="I513" s="52"/>
      <c r="J513" s="52"/>
      <c r="K513" s="59"/>
      <c r="L513" s="52"/>
      <c r="M513" s="52" t="str">
        <f>IFERROR(__xludf.DUMMYFUNCTION("""COMPUTED_VALUE"""),"")</f>
        <v/>
      </c>
      <c r="N513" s="52"/>
      <c r="O513" s="52"/>
      <c r="P513" s="52"/>
    </row>
    <row r="514">
      <c r="A514" s="58"/>
      <c r="B514" s="52"/>
      <c r="C514" s="52"/>
      <c r="D514" s="52"/>
      <c r="E514" s="52"/>
      <c r="F514" s="52"/>
      <c r="G514" s="52"/>
      <c r="H514" s="52"/>
      <c r="I514" s="52"/>
      <c r="J514" s="52"/>
      <c r="K514" s="59"/>
      <c r="L514" s="52"/>
      <c r="M514" s="52" t="str">
        <f>IFERROR(__xludf.DUMMYFUNCTION("""COMPUTED_VALUE"""),"")</f>
        <v/>
      </c>
      <c r="N514" s="52"/>
      <c r="O514" s="52"/>
      <c r="P514" s="52"/>
    </row>
    <row r="515">
      <c r="A515" s="58"/>
      <c r="B515" s="52"/>
      <c r="C515" s="52"/>
      <c r="D515" s="52"/>
      <c r="E515" s="52"/>
      <c r="F515" s="52"/>
      <c r="G515" s="52"/>
      <c r="H515" s="52"/>
      <c r="I515" s="52"/>
      <c r="J515" s="52"/>
      <c r="K515" s="59"/>
      <c r="L515" s="52"/>
      <c r="M515" s="52" t="str">
        <f>IFERROR(__xludf.DUMMYFUNCTION("""COMPUTED_VALUE"""),"")</f>
        <v/>
      </c>
      <c r="N515" s="52"/>
      <c r="O515" s="52"/>
      <c r="P515" s="52"/>
    </row>
    <row r="516">
      <c r="A516" s="58"/>
      <c r="B516" s="52"/>
      <c r="C516" s="52"/>
      <c r="D516" s="52"/>
      <c r="E516" s="52"/>
      <c r="F516" s="52"/>
      <c r="G516" s="52"/>
      <c r="H516" s="52"/>
      <c r="I516" s="52"/>
      <c r="J516" s="52"/>
      <c r="K516" s="59"/>
      <c r="L516" s="52"/>
      <c r="M516" s="52" t="str">
        <f>IFERROR(__xludf.DUMMYFUNCTION("""COMPUTED_VALUE"""),"")</f>
        <v/>
      </c>
      <c r="N516" s="52"/>
      <c r="O516" s="52"/>
      <c r="P516" s="52"/>
    </row>
    <row r="517">
      <c r="A517" s="58"/>
      <c r="B517" s="52"/>
      <c r="C517" s="52"/>
      <c r="D517" s="52"/>
      <c r="E517" s="52"/>
      <c r="F517" s="52"/>
      <c r="G517" s="52"/>
      <c r="H517" s="52"/>
      <c r="I517" s="52"/>
      <c r="J517" s="52"/>
      <c r="K517" s="59"/>
      <c r="L517" s="52"/>
      <c r="M517" s="52" t="str">
        <f>IFERROR(__xludf.DUMMYFUNCTION("""COMPUTED_VALUE"""),"")</f>
        <v/>
      </c>
      <c r="N517" s="52"/>
      <c r="O517" s="52"/>
      <c r="P517" s="52"/>
    </row>
    <row r="518">
      <c r="A518" s="58"/>
      <c r="B518" s="52"/>
      <c r="C518" s="52"/>
      <c r="D518" s="52"/>
      <c r="E518" s="52"/>
      <c r="F518" s="52"/>
      <c r="G518" s="52"/>
      <c r="H518" s="52"/>
      <c r="I518" s="52"/>
      <c r="J518" s="52"/>
      <c r="K518" s="59"/>
      <c r="L518" s="52"/>
      <c r="M518" s="52" t="str">
        <f>IFERROR(__xludf.DUMMYFUNCTION("""COMPUTED_VALUE"""),"")</f>
        <v/>
      </c>
      <c r="N518" s="52"/>
      <c r="O518" s="52"/>
      <c r="P518" s="52"/>
    </row>
    <row r="519">
      <c r="A519" s="58"/>
      <c r="B519" s="52"/>
      <c r="C519" s="52"/>
      <c r="D519" s="52"/>
      <c r="E519" s="52"/>
      <c r="F519" s="52"/>
      <c r="G519" s="52"/>
      <c r="H519" s="52"/>
      <c r="I519" s="52"/>
      <c r="J519" s="52"/>
      <c r="K519" s="59"/>
      <c r="L519" s="52"/>
      <c r="M519" s="52" t="str">
        <f>IFERROR(__xludf.DUMMYFUNCTION("""COMPUTED_VALUE"""),"")</f>
        <v/>
      </c>
      <c r="N519" s="52"/>
      <c r="O519" s="52"/>
      <c r="P519" s="52"/>
    </row>
    <row r="520">
      <c r="A520" s="58"/>
      <c r="B520" s="52"/>
      <c r="C520" s="52"/>
      <c r="D520" s="52"/>
      <c r="E520" s="52"/>
      <c r="F520" s="52"/>
      <c r="G520" s="52"/>
      <c r="H520" s="52"/>
      <c r="I520" s="52"/>
      <c r="J520" s="52"/>
      <c r="K520" s="59"/>
      <c r="L520" s="52"/>
      <c r="M520" s="52" t="str">
        <f>IFERROR(__xludf.DUMMYFUNCTION("""COMPUTED_VALUE"""),"")</f>
        <v/>
      </c>
      <c r="N520" s="52"/>
      <c r="O520" s="52"/>
      <c r="P520" s="52"/>
    </row>
    <row r="521">
      <c r="A521" s="58"/>
      <c r="B521" s="52"/>
      <c r="C521" s="52"/>
      <c r="D521" s="52"/>
      <c r="E521" s="52"/>
      <c r="F521" s="52"/>
      <c r="G521" s="52"/>
      <c r="H521" s="52"/>
      <c r="I521" s="52"/>
      <c r="J521" s="52"/>
      <c r="K521" s="59"/>
      <c r="L521" s="52"/>
      <c r="M521" s="52" t="str">
        <f>IFERROR(__xludf.DUMMYFUNCTION("""COMPUTED_VALUE"""),"")</f>
        <v/>
      </c>
      <c r="N521" s="52"/>
      <c r="O521" s="52"/>
      <c r="P521" s="52"/>
    </row>
    <row r="522">
      <c r="A522" s="58"/>
      <c r="B522" s="52"/>
      <c r="C522" s="52"/>
      <c r="D522" s="52"/>
      <c r="E522" s="52"/>
      <c r="F522" s="52"/>
      <c r="G522" s="52"/>
      <c r="H522" s="52"/>
      <c r="I522" s="52"/>
      <c r="J522" s="52"/>
      <c r="K522" s="59"/>
      <c r="L522" s="52"/>
      <c r="M522" s="52" t="str">
        <f>IFERROR(__xludf.DUMMYFUNCTION("""COMPUTED_VALUE"""),"")</f>
        <v/>
      </c>
      <c r="N522" s="52"/>
      <c r="O522" s="52"/>
      <c r="P522" s="52"/>
    </row>
    <row r="523">
      <c r="A523" s="58"/>
      <c r="B523" s="52"/>
      <c r="C523" s="52"/>
      <c r="D523" s="52"/>
      <c r="E523" s="52"/>
      <c r="F523" s="52"/>
      <c r="G523" s="52"/>
      <c r="H523" s="52"/>
      <c r="I523" s="52"/>
      <c r="J523" s="52"/>
      <c r="K523" s="59"/>
      <c r="L523" s="52"/>
      <c r="M523" s="52" t="str">
        <f>IFERROR(__xludf.DUMMYFUNCTION("""COMPUTED_VALUE"""),"")</f>
        <v/>
      </c>
      <c r="N523" s="52"/>
      <c r="O523" s="52"/>
      <c r="P523" s="52"/>
    </row>
    <row r="524">
      <c r="A524" s="58"/>
      <c r="B524" s="52"/>
      <c r="C524" s="52"/>
      <c r="D524" s="52"/>
      <c r="E524" s="52"/>
      <c r="F524" s="52"/>
      <c r="G524" s="52"/>
      <c r="H524" s="52"/>
      <c r="I524" s="52"/>
      <c r="J524" s="52"/>
      <c r="K524" s="59"/>
      <c r="L524" s="52"/>
      <c r="M524" s="52" t="str">
        <f>IFERROR(__xludf.DUMMYFUNCTION("""COMPUTED_VALUE"""),"")</f>
        <v/>
      </c>
      <c r="N524" s="52"/>
      <c r="O524" s="52"/>
      <c r="P524" s="52"/>
    </row>
    <row r="525">
      <c r="A525" s="58"/>
      <c r="B525" s="52"/>
      <c r="C525" s="52"/>
      <c r="D525" s="52"/>
      <c r="E525" s="52"/>
      <c r="F525" s="52"/>
      <c r="G525" s="52"/>
      <c r="H525" s="52"/>
      <c r="I525" s="52"/>
      <c r="J525" s="52"/>
      <c r="K525" s="59"/>
      <c r="L525" s="52"/>
      <c r="M525" s="52" t="str">
        <f>IFERROR(__xludf.DUMMYFUNCTION("""COMPUTED_VALUE"""),"")</f>
        <v/>
      </c>
      <c r="N525" s="52"/>
      <c r="O525" s="52"/>
      <c r="P525" s="52"/>
    </row>
    <row r="526">
      <c r="A526" s="58"/>
      <c r="B526" s="52"/>
      <c r="C526" s="52"/>
      <c r="D526" s="52"/>
      <c r="E526" s="52"/>
      <c r="F526" s="52"/>
      <c r="G526" s="52"/>
      <c r="H526" s="52"/>
      <c r="I526" s="52"/>
      <c r="J526" s="52"/>
      <c r="K526" s="59"/>
      <c r="L526" s="52"/>
      <c r="M526" s="52" t="str">
        <f>IFERROR(__xludf.DUMMYFUNCTION("""COMPUTED_VALUE"""),"")</f>
        <v/>
      </c>
      <c r="N526" s="52"/>
      <c r="O526" s="52"/>
      <c r="P526" s="52"/>
    </row>
    <row r="527">
      <c r="A527" s="58"/>
      <c r="B527" s="52"/>
      <c r="C527" s="52"/>
      <c r="D527" s="52"/>
      <c r="E527" s="52"/>
      <c r="F527" s="52"/>
      <c r="G527" s="52"/>
      <c r="H527" s="52"/>
      <c r="I527" s="52"/>
      <c r="J527" s="52"/>
      <c r="K527" s="59"/>
      <c r="L527" s="52"/>
      <c r="M527" s="52" t="str">
        <f>IFERROR(__xludf.DUMMYFUNCTION("""COMPUTED_VALUE"""),"")</f>
        <v/>
      </c>
      <c r="N527" s="52"/>
      <c r="O527" s="52"/>
      <c r="P527" s="52"/>
    </row>
    <row r="528">
      <c r="A528" s="58"/>
      <c r="B528" s="52"/>
      <c r="C528" s="52"/>
      <c r="D528" s="52"/>
      <c r="E528" s="52"/>
      <c r="F528" s="52"/>
      <c r="G528" s="52"/>
      <c r="H528" s="52"/>
      <c r="I528" s="52"/>
      <c r="J528" s="52"/>
      <c r="K528" s="59"/>
      <c r="L528" s="52"/>
      <c r="M528" s="52" t="str">
        <f>IFERROR(__xludf.DUMMYFUNCTION("""COMPUTED_VALUE"""),"")</f>
        <v/>
      </c>
      <c r="N528" s="52"/>
      <c r="O528" s="52"/>
      <c r="P528" s="52"/>
    </row>
    <row r="529">
      <c r="A529" s="58"/>
      <c r="B529" s="52"/>
      <c r="C529" s="52"/>
      <c r="D529" s="52"/>
      <c r="E529" s="52"/>
      <c r="F529" s="52"/>
      <c r="G529" s="52"/>
      <c r="H529" s="52"/>
      <c r="I529" s="52"/>
      <c r="J529" s="52"/>
      <c r="K529" s="59"/>
      <c r="L529" s="52"/>
      <c r="M529" s="52" t="str">
        <f>IFERROR(__xludf.DUMMYFUNCTION("""COMPUTED_VALUE"""),"")</f>
        <v/>
      </c>
      <c r="N529" s="52"/>
      <c r="O529" s="52"/>
      <c r="P529" s="52"/>
    </row>
    <row r="530">
      <c r="A530" s="58"/>
      <c r="B530" s="52"/>
      <c r="C530" s="52"/>
      <c r="D530" s="52"/>
      <c r="E530" s="52"/>
      <c r="F530" s="52"/>
      <c r="G530" s="52"/>
      <c r="H530" s="52"/>
      <c r="I530" s="52"/>
      <c r="J530" s="52"/>
      <c r="K530" s="59"/>
      <c r="L530" s="52"/>
      <c r="M530" s="52" t="str">
        <f>IFERROR(__xludf.DUMMYFUNCTION("""COMPUTED_VALUE"""),"")</f>
        <v/>
      </c>
      <c r="N530" s="52"/>
      <c r="O530" s="52"/>
      <c r="P530" s="52"/>
    </row>
    <row r="531">
      <c r="A531" s="58"/>
      <c r="B531" s="52"/>
      <c r="C531" s="52"/>
      <c r="D531" s="52"/>
      <c r="E531" s="52"/>
      <c r="F531" s="52"/>
      <c r="G531" s="52"/>
      <c r="H531" s="52"/>
      <c r="I531" s="52"/>
      <c r="J531" s="52"/>
      <c r="K531" s="59"/>
      <c r="L531" s="52"/>
      <c r="M531" s="52" t="str">
        <f>IFERROR(__xludf.DUMMYFUNCTION("""COMPUTED_VALUE"""),"")</f>
        <v/>
      </c>
      <c r="N531" s="52"/>
      <c r="O531" s="52"/>
      <c r="P531" s="52"/>
    </row>
    <row r="532">
      <c r="A532" s="58"/>
      <c r="B532" s="52"/>
      <c r="C532" s="52"/>
      <c r="D532" s="52"/>
      <c r="E532" s="52"/>
      <c r="F532" s="52"/>
      <c r="G532" s="52"/>
      <c r="H532" s="52"/>
      <c r="I532" s="52"/>
      <c r="J532" s="52"/>
      <c r="K532" s="59"/>
      <c r="L532" s="52"/>
      <c r="M532" s="52" t="str">
        <f>IFERROR(__xludf.DUMMYFUNCTION("""COMPUTED_VALUE"""),"")</f>
        <v/>
      </c>
      <c r="N532" s="52"/>
      <c r="O532" s="52"/>
      <c r="P532" s="52"/>
    </row>
    <row r="533">
      <c r="A533" s="58"/>
      <c r="B533" s="52"/>
      <c r="C533" s="52"/>
      <c r="D533" s="52"/>
      <c r="E533" s="52"/>
      <c r="F533" s="52"/>
      <c r="G533" s="52"/>
      <c r="H533" s="52"/>
      <c r="I533" s="52"/>
      <c r="J533" s="52"/>
      <c r="K533" s="59"/>
      <c r="L533" s="52"/>
      <c r="M533" s="52" t="str">
        <f>IFERROR(__xludf.DUMMYFUNCTION("""COMPUTED_VALUE"""),"")</f>
        <v/>
      </c>
      <c r="N533" s="52"/>
      <c r="O533" s="52"/>
      <c r="P533" s="52"/>
    </row>
    <row r="534">
      <c r="A534" s="58"/>
      <c r="B534" s="52"/>
      <c r="C534" s="52"/>
      <c r="D534" s="52"/>
      <c r="E534" s="52"/>
      <c r="F534" s="52"/>
      <c r="G534" s="52"/>
      <c r="H534" s="52"/>
      <c r="I534" s="52"/>
      <c r="J534" s="52"/>
      <c r="K534" s="59"/>
      <c r="L534" s="52"/>
      <c r="M534" s="52" t="str">
        <f>IFERROR(__xludf.DUMMYFUNCTION("""COMPUTED_VALUE"""),"")</f>
        <v/>
      </c>
      <c r="N534" s="52"/>
      <c r="O534" s="52"/>
      <c r="P534" s="52"/>
    </row>
    <row r="535">
      <c r="A535" s="58"/>
      <c r="B535" s="52"/>
      <c r="C535" s="52"/>
      <c r="D535" s="52"/>
      <c r="E535" s="52"/>
      <c r="F535" s="52"/>
      <c r="G535" s="52"/>
      <c r="H535" s="52"/>
      <c r="I535" s="52"/>
      <c r="J535" s="52"/>
      <c r="K535" s="59"/>
      <c r="L535" s="52"/>
      <c r="M535" s="52" t="str">
        <f>IFERROR(__xludf.DUMMYFUNCTION("""COMPUTED_VALUE"""),"")</f>
        <v/>
      </c>
      <c r="N535" s="52"/>
      <c r="O535" s="52"/>
      <c r="P535" s="52"/>
    </row>
    <row r="536">
      <c r="A536" s="58"/>
      <c r="B536" s="52"/>
      <c r="C536" s="52"/>
      <c r="D536" s="52"/>
      <c r="E536" s="52"/>
      <c r="F536" s="52"/>
      <c r="G536" s="52"/>
      <c r="H536" s="52"/>
      <c r="I536" s="52"/>
      <c r="J536" s="52"/>
      <c r="K536" s="59"/>
      <c r="L536" s="52"/>
      <c r="M536" s="52" t="str">
        <f>IFERROR(__xludf.DUMMYFUNCTION("""COMPUTED_VALUE"""),"")</f>
        <v/>
      </c>
      <c r="N536" s="52"/>
      <c r="O536" s="52"/>
      <c r="P536" s="52"/>
    </row>
    <row r="537">
      <c r="A537" s="58"/>
      <c r="B537" s="52"/>
      <c r="C537" s="52"/>
      <c r="D537" s="52"/>
      <c r="E537" s="52"/>
      <c r="F537" s="52"/>
      <c r="G537" s="52"/>
      <c r="H537" s="52"/>
      <c r="I537" s="52"/>
      <c r="J537" s="52"/>
      <c r="K537" s="59"/>
      <c r="L537" s="52"/>
      <c r="M537" s="52" t="str">
        <f>IFERROR(__xludf.DUMMYFUNCTION("""COMPUTED_VALUE"""),"")</f>
        <v/>
      </c>
      <c r="N537" s="52"/>
      <c r="O537" s="52"/>
      <c r="P537" s="52"/>
    </row>
    <row r="538">
      <c r="A538" s="58"/>
      <c r="B538" s="52"/>
      <c r="C538" s="52"/>
      <c r="D538" s="52"/>
      <c r="E538" s="52"/>
      <c r="F538" s="52"/>
      <c r="G538" s="52"/>
      <c r="H538" s="52"/>
      <c r="I538" s="52"/>
      <c r="J538" s="52"/>
      <c r="K538" s="59"/>
      <c r="L538" s="52"/>
      <c r="M538" s="52" t="str">
        <f>IFERROR(__xludf.DUMMYFUNCTION("""COMPUTED_VALUE"""),"")</f>
        <v/>
      </c>
      <c r="N538" s="52"/>
      <c r="O538" s="52"/>
      <c r="P538" s="52"/>
    </row>
    <row r="539">
      <c r="A539" s="58"/>
      <c r="B539" s="52"/>
      <c r="C539" s="52"/>
      <c r="D539" s="52"/>
      <c r="E539" s="52"/>
      <c r="F539" s="52"/>
      <c r="G539" s="52"/>
      <c r="H539" s="52"/>
      <c r="I539" s="52"/>
      <c r="J539" s="52"/>
      <c r="K539" s="59"/>
      <c r="L539" s="52"/>
      <c r="M539" s="52" t="str">
        <f>IFERROR(__xludf.DUMMYFUNCTION("""COMPUTED_VALUE"""),"")</f>
        <v/>
      </c>
      <c r="N539" s="52"/>
      <c r="O539" s="52"/>
      <c r="P539" s="52"/>
    </row>
    <row r="540">
      <c r="A540" s="58"/>
      <c r="B540" s="52"/>
      <c r="C540" s="52"/>
      <c r="D540" s="52"/>
      <c r="E540" s="52"/>
      <c r="F540" s="52"/>
      <c r="G540" s="52"/>
      <c r="H540" s="52"/>
      <c r="I540" s="52"/>
      <c r="J540" s="52"/>
      <c r="K540" s="59"/>
      <c r="L540" s="52"/>
      <c r="M540" s="52" t="str">
        <f>IFERROR(__xludf.DUMMYFUNCTION("""COMPUTED_VALUE"""),"")</f>
        <v/>
      </c>
      <c r="N540" s="52"/>
      <c r="O540" s="52"/>
      <c r="P540" s="52"/>
    </row>
    <row r="541">
      <c r="A541" s="58"/>
      <c r="B541" s="52"/>
      <c r="C541" s="52"/>
      <c r="D541" s="52"/>
      <c r="E541" s="52"/>
      <c r="F541" s="52"/>
      <c r="G541" s="52"/>
      <c r="H541" s="52"/>
      <c r="I541" s="52"/>
      <c r="J541" s="52"/>
      <c r="K541" s="59"/>
      <c r="L541" s="52"/>
      <c r="M541" s="52" t="str">
        <f>IFERROR(__xludf.DUMMYFUNCTION("""COMPUTED_VALUE"""),"")</f>
        <v/>
      </c>
      <c r="N541" s="52"/>
      <c r="O541" s="52"/>
      <c r="P541" s="52"/>
    </row>
    <row r="542">
      <c r="A542" s="58"/>
      <c r="B542" s="52"/>
      <c r="C542" s="52"/>
      <c r="D542" s="52"/>
      <c r="E542" s="52"/>
      <c r="F542" s="52"/>
      <c r="G542" s="52"/>
      <c r="H542" s="52"/>
      <c r="I542" s="52"/>
      <c r="J542" s="52"/>
      <c r="K542" s="59"/>
      <c r="L542" s="52"/>
      <c r="M542" s="52" t="str">
        <f>IFERROR(__xludf.DUMMYFUNCTION("""COMPUTED_VALUE"""),"")</f>
        <v/>
      </c>
      <c r="N542" s="52"/>
      <c r="O542" s="52"/>
      <c r="P542" s="52"/>
    </row>
    <row r="543">
      <c r="A543" s="58"/>
      <c r="B543" s="52"/>
      <c r="C543" s="52"/>
      <c r="D543" s="52"/>
      <c r="E543" s="52"/>
      <c r="F543" s="52"/>
      <c r="G543" s="52"/>
      <c r="H543" s="52"/>
      <c r="I543" s="52"/>
      <c r="J543" s="52"/>
      <c r="K543" s="59"/>
      <c r="L543" s="52"/>
      <c r="M543" s="52" t="str">
        <f>IFERROR(__xludf.DUMMYFUNCTION("""COMPUTED_VALUE"""),"")</f>
        <v/>
      </c>
      <c r="N543" s="52"/>
      <c r="O543" s="52"/>
      <c r="P543" s="52"/>
    </row>
    <row r="544">
      <c r="A544" s="58"/>
      <c r="B544" s="52"/>
      <c r="C544" s="52"/>
      <c r="D544" s="52"/>
      <c r="E544" s="52"/>
      <c r="F544" s="52"/>
      <c r="G544" s="52"/>
      <c r="H544" s="52"/>
      <c r="I544" s="52"/>
      <c r="J544" s="52"/>
      <c r="K544" s="59"/>
      <c r="L544" s="52"/>
      <c r="M544" s="52" t="str">
        <f>IFERROR(__xludf.DUMMYFUNCTION("""COMPUTED_VALUE"""),"")</f>
        <v/>
      </c>
      <c r="N544" s="52"/>
      <c r="O544" s="52"/>
      <c r="P544" s="52"/>
    </row>
    <row r="545">
      <c r="A545" s="58"/>
      <c r="B545" s="52"/>
      <c r="C545" s="52"/>
      <c r="D545" s="52"/>
      <c r="E545" s="52"/>
      <c r="F545" s="52"/>
      <c r="G545" s="52"/>
      <c r="H545" s="52"/>
      <c r="I545" s="52"/>
      <c r="J545" s="52"/>
      <c r="K545" s="59"/>
      <c r="L545" s="52"/>
      <c r="M545" s="52" t="str">
        <f>IFERROR(__xludf.DUMMYFUNCTION("""COMPUTED_VALUE"""),"")</f>
        <v/>
      </c>
      <c r="N545" s="52"/>
      <c r="O545" s="52"/>
      <c r="P545" s="52"/>
    </row>
    <row r="546">
      <c r="A546" s="58"/>
      <c r="B546" s="52"/>
      <c r="C546" s="52"/>
      <c r="D546" s="52"/>
      <c r="E546" s="52"/>
      <c r="F546" s="52"/>
      <c r="G546" s="52"/>
      <c r="H546" s="52"/>
      <c r="I546" s="52"/>
      <c r="J546" s="52"/>
      <c r="K546" s="59"/>
      <c r="L546" s="52"/>
      <c r="M546" s="52" t="str">
        <f>IFERROR(__xludf.DUMMYFUNCTION("""COMPUTED_VALUE"""),"")</f>
        <v/>
      </c>
      <c r="N546" s="52"/>
      <c r="O546" s="52"/>
      <c r="P546" s="52"/>
    </row>
    <row r="547">
      <c r="A547" s="58"/>
      <c r="B547" s="52"/>
      <c r="C547" s="52"/>
      <c r="D547" s="52"/>
      <c r="E547" s="52"/>
      <c r="F547" s="52"/>
      <c r="G547" s="52"/>
      <c r="H547" s="52"/>
      <c r="I547" s="52"/>
      <c r="J547" s="52"/>
      <c r="K547" s="59"/>
      <c r="L547" s="52"/>
      <c r="M547" s="52" t="str">
        <f>IFERROR(__xludf.DUMMYFUNCTION("""COMPUTED_VALUE"""),"")</f>
        <v/>
      </c>
      <c r="N547" s="52"/>
      <c r="O547" s="52"/>
      <c r="P547" s="52"/>
    </row>
    <row r="548">
      <c r="A548" s="58"/>
      <c r="B548" s="52"/>
      <c r="C548" s="52"/>
      <c r="D548" s="52"/>
      <c r="E548" s="52"/>
      <c r="F548" s="52"/>
      <c r="G548" s="52"/>
      <c r="H548" s="52"/>
      <c r="I548" s="52"/>
      <c r="J548" s="52"/>
      <c r="K548" s="59"/>
      <c r="L548" s="52"/>
      <c r="M548" s="52" t="str">
        <f>IFERROR(__xludf.DUMMYFUNCTION("""COMPUTED_VALUE"""),"")</f>
        <v/>
      </c>
      <c r="N548" s="52"/>
      <c r="O548" s="52"/>
      <c r="P548" s="52"/>
    </row>
    <row r="549">
      <c r="A549" s="58"/>
      <c r="B549" s="52"/>
      <c r="C549" s="52"/>
      <c r="D549" s="52"/>
      <c r="E549" s="52"/>
      <c r="F549" s="52"/>
      <c r="G549" s="52"/>
      <c r="H549" s="52"/>
      <c r="I549" s="52"/>
      <c r="J549" s="52"/>
      <c r="K549" s="59"/>
      <c r="L549" s="52"/>
      <c r="M549" s="52" t="str">
        <f>IFERROR(__xludf.DUMMYFUNCTION("""COMPUTED_VALUE"""),"")</f>
        <v/>
      </c>
      <c r="N549" s="52"/>
      <c r="O549" s="52"/>
      <c r="P549" s="52"/>
    </row>
    <row r="550">
      <c r="A550" s="58"/>
      <c r="B550" s="52"/>
      <c r="C550" s="52"/>
      <c r="D550" s="52"/>
      <c r="E550" s="52"/>
      <c r="F550" s="52"/>
      <c r="G550" s="52"/>
      <c r="H550" s="52"/>
      <c r="I550" s="52"/>
      <c r="J550" s="52"/>
      <c r="K550" s="59"/>
      <c r="L550" s="52"/>
      <c r="M550" s="52" t="str">
        <f>IFERROR(__xludf.DUMMYFUNCTION("""COMPUTED_VALUE"""),"")</f>
        <v/>
      </c>
      <c r="N550" s="52"/>
      <c r="O550" s="52"/>
      <c r="P550" s="52"/>
    </row>
    <row r="551">
      <c r="A551" s="58"/>
      <c r="B551" s="52"/>
      <c r="C551" s="52"/>
      <c r="D551" s="52"/>
      <c r="E551" s="52"/>
      <c r="F551" s="52"/>
      <c r="G551" s="52"/>
      <c r="H551" s="52"/>
      <c r="I551" s="52"/>
      <c r="J551" s="52"/>
      <c r="K551" s="59"/>
      <c r="L551" s="52"/>
      <c r="M551" s="52" t="str">
        <f>IFERROR(__xludf.DUMMYFUNCTION("""COMPUTED_VALUE"""),"")</f>
        <v/>
      </c>
      <c r="N551" s="52"/>
      <c r="O551" s="52"/>
      <c r="P551" s="52"/>
    </row>
    <row r="552">
      <c r="A552" s="58"/>
      <c r="B552" s="52"/>
      <c r="C552" s="52"/>
      <c r="D552" s="52"/>
      <c r="E552" s="52"/>
      <c r="F552" s="52"/>
      <c r="G552" s="52"/>
      <c r="H552" s="52"/>
      <c r="I552" s="52"/>
      <c r="J552" s="52"/>
      <c r="K552" s="59"/>
      <c r="L552" s="52"/>
      <c r="M552" s="52" t="str">
        <f>IFERROR(__xludf.DUMMYFUNCTION("""COMPUTED_VALUE"""),"")</f>
        <v/>
      </c>
      <c r="N552" s="52"/>
      <c r="O552" s="52"/>
      <c r="P552" s="52"/>
    </row>
    <row r="553">
      <c r="A553" s="58"/>
      <c r="B553" s="52"/>
      <c r="C553" s="52"/>
      <c r="D553" s="52"/>
      <c r="E553" s="52"/>
      <c r="F553" s="52"/>
      <c r="G553" s="52"/>
      <c r="H553" s="52"/>
      <c r="I553" s="52"/>
      <c r="J553" s="52"/>
      <c r="K553" s="59"/>
      <c r="L553" s="52"/>
      <c r="M553" s="52" t="str">
        <f>IFERROR(__xludf.DUMMYFUNCTION("""COMPUTED_VALUE"""),"")</f>
        <v/>
      </c>
      <c r="N553" s="52"/>
      <c r="O553" s="52"/>
      <c r="P553" s="52"/>
    </row>
    <row r="554">
      <c r="A554" s="58"/>
      <c r="B554" s="52"/>
      <c r="C554" s="52"/>
      <c r="D554" s="52"/>
      <c r="E554" s="52"/>
      <c r="F554" s="52"/>
      <c r="G554" s="52"/>
      <c r="H554" s="52"/>
      <c r="I554" s="52"/>
      <c r="J554" s="52"/>
      <c r="K554" s="59"/>
      <c r="L554" s="52"/>
      <c r="M554" s="52" t="str">
        <f>IFERROR(__xludf.DUMMYFUNCTION("""COMPUTED_VALUE"""),"")</f>
        <v/>
      </c>
      <c r="N554" s="52"/>
      <c r="O554" s="52"/>
      <c r="P554" s="52"/>
    </row>
    <row r="555">
      <c r="A555" s="58"/>
      <c r="B555" s="52"/>
      <c r="C555" s="52"/>
      <c r="D555" s="52"/>
      <c r="E555" s="52"/>
      <c r="F555" s="52"/>
      <c r="G555" s="52"/>
      <c r="H555" s="52"/>
      <c r="I555" s="52"/>
      <c r="J555" s="52"/>
      <c r="K555" s="59"/>
      <c r="L555" s="52"/>
      <c r="M555" s="52" t="str">
        <f>IFERROR(__xludf.DUMMYFUNCTION("""COMPUTED_VALUE"""),"")</f>
        <v/>
      </c>
      <c r="N555" s="52"/>
      <c r="O555" s="52"/>
      <c r="P555" s="52"/>
    </row>
    <row r="556">
      <c r="A556" s="58"/>
      <c r="B556" s="52"/>
      <c r="C556" s="52"/>
      <c r="D556" s="52"/>
      <c r="E556" s="52"/>
      <c r="F556" s="52"/>
      <c r="G556" s="52"/>
      <c r="H556" s="52"/>
      <c r="I556" s="52"/>
      <c r="J556" s="52"/>
      <c r="K556" s="59"/>
      <c r="L556" s="52"/>
      <c r="M556" s="52" t="str">
        <f>IFERROR(__xludf.DUMMYFUNCTION("""COMPUTED_VALUE"""),"")</f>
        <v/>
      </c>
      <c r="N556" s="52"/>
      <c r="O556" s="52"/>
      <c r="P556" s="52"/>
    </row>
    <row r="557">
      <c r="A557" s="58"/>
      <c r="B557" s="52"/>
      <c r="C557" s="52"/>
      <c r="D557" s="52"/>
      <c r="E557" s="52"/>
      <c r="F557" s="52"/>
      <c r="G557" s="52"/>
      <c r="H557" s="52"/>
      <c r="I557" s="52"/>
      <c r="J557" s="52"/>
      <c r="K557" s="59"/>
      <c r="L557" s="52"/>
      <c r="M557" s="52" t="str">
        <f>IFERROR(__xludf.DUMMYFUNCTION("""COMPUTED_VALUE"""),"")</f>
        <v/>
      </c>
      <c r="N557" s="52"/>
      <c r="O557" s="52"/>
      <c r="P557" s="52"/>
    </row>
    <row r="558">
      <c r="A558" s="58"/>
      <c r="B558" s="52"/>
      <c r="C558" s="52"/>
      <c r="D558" s="52"/>
      <c r="E558" s="52"/>
      <c r="F558" s="52"/>
      <c r="G558" s="52"/>
      <c r="H558" s="52"/>
      <c r="I558" s="52"/>
      <c r="J558" s="52"/>
      <c r="K558" s="59"/>
      <c r="L558" s="52"/>
      <c r="M558" s="52" t="str">
        <f>IFERROR(__xludf.DUMMYFUNCTION("""COMPUTED_VALUE"""),"")</f>
        <v/>
      </c>
      <c r="N558" s="52"/>
      <c r="O558" s="52"/>
      <c r="P558" s="52"/>
    </row>
    <row r="559">
      <c r="A559" s="58"/>
      <c r="B559" s="52"/>
      <c r="C559" s="52"/>
      <c r="D559" s="52"/>
      <c r="E559" s="52"/>
      <c r="F559" s="52"/>
      <c r="G559" s="52"/>
      <c r="H559" s="52"/>
      <c r="I559" s="52"/>
      <c r="J559" s="52"/>
      <c r="K559" s="59"/>
      <c r="L559" s="52"/>
      <c r="M559" s="52" t="str">
        <f>IFERROR(__xludf.DUMMYFUNCTION("""COMPUTED_VALUE"""),"")</f>
        <v/>
      </c>
      <c r="N559" s="52"/>
      <c r="O559" s="52"/>
      <c r="P559" s="52"/>
    </row>
    <row r="560">
      <c r="A560" s="58"/>
      <c r="B560" s="52"/>
      <c r="C560" s="52"/>
      <c r="D560" s="52"/>
      <c r="E560" s="52"/>
      <c r="F560" s="52"/>
      <c r="G560" s="52"/>
      <c r="H560" s="52"/>
      <c r="I560" s="52"/>
      <c r="J560" s="52"/>
      <c r="K560" s="59"/>
      <c r="L560" s="52"/>
      <c r="M560" s="52" t="str">
        <f>IFERROR(__xludf.DUMMYFUNCTION("""COMPUTED_VALUE"""),"")</f>
        <v/>
      </c>
      <c r="N560" s="52"/>
      <c r="O560" s="52"/>
      <c r="P560" s="52"/>
    </row>
    <row r="561">
      <c r="A561" s="58"/>
      <c r="B561" s="52"/>
      <c r="C561" s="52"/>
      <c r="D561" s="52"/>
      <c r="E561" s="52"/>
      <c r="F561" s="52"/>
      <c r="G561" s="52"/>
      <c r="H561" s="52"/>
      <c r="I561" s="52"/>
      <c r="J561" s="52"/>
      <c r="K561" s="59"/>
      <c r="L561" s="52"/>
      <c r="M561" s="52" t="str">
        <f>IFERROR(__xludf.DUMMYFUNCTION("""COMPUTED_VALUE"""),"")</f>
        <v/>
      </c>
      <c r="N561" s="52"/>
      <c r="O561" s="52"/>
      <c r="P561" s="52"/>
    </row>
    <row r="562">
      <c r="A562" s="58"/>
      <c r="B562" s="52"/>
      <c r="C562" s="52"/>
      <c r="D562" s="52"/>
      <c r="E562" s="52"/>
      <c r="F562" s="52"/>
      <c r="G562" s="52"/>
      <c r="H562" s="52"/>
      <c r="I562" s="52"/>
      <c r="J562" s="52"/>
      <c r="K562" s="59"/>
      <c r="L562" s="52"/>
      <c r="M562" s="52" t="str">
        <f>IFERROR(__xludf.DUMMYFUNCTION("""COMPUTED_VALUE"""),"")</f>
        <v/>
      </c>
      <c r="N562" s="52"/>
      <c r="O562" s="52"/>
      <c r="P562" s="52"/>
    </row>
    <row r="563">
      <c r="A563" s="58"/>
      <c r="B563" s="52"/>
      <c r="C563" s="52"/>
      <c r="D563" s="52"/>
      <c r="E563" s="52"/>
      <c r="F563" s="52"/>
      <c r="G563" s="52"/>
      <c r="H563" s="52"/>
      <c r="I563" s="52"/>
      <c r="J563" s="52"/>
      <c r="K563" s="59"/>
      <c r="L563" s="52"/>
      <c r="M563" s="52" t="str">
        <f>IFERROR(__xludf.DUMMYFUNCTION("""COMPUTED_VALUE"""),"")</f>
        <v/>
      </c>
      <c r="N563" s="52"/>
      <c r="O563" s="52"/>
      <c r="P563" s="52"/>
    </row>
    <row r="564">
      <c r="A564" s="58"/>
      <c r="B564" s="52"/>
      <c r="C564" s="52"/>
      <c r="D564" s="52"/>
      <c r="E564" s="52"/>
      <c r="F564" s="52"/>
      <c r="G564" s="52"/>
      <c r="H564" s="52"/>
      <c r="I564" s="52"/>
      <c r="J564" s="52"/>
      <c r="K564" s="59"/>
      <c r="L564" s="52"/>
      <c r="M564" s="52" t="str">
        <f>IFERROR(__xludf.DUMMYFUNCTION("""COMPUTED_VALUE"""),"")</f>
        <v/>
      </c>
      <c r="N564" s="52"/>
      <c r="O564" s="52"/>
      <c r="P564" s="52"/>
    </row>
    <row r="565">
      <c r="A565" s="58"/>
      <c r="B565" s="52"/>
      <c r="C565" s="52"/>
      <c r="D565" s="52"/>
      <c r="E565" s="52"/>
      <c r="F565" s="52"/>
      <c r="G565" s="52"/>
      <c r="H565" s="52"/>
      <c r="I565" s="52"/>
      <c r="J565" s="52"/>
      <c r="K565" s="59"/>
      <c r="L565" s="52"/>
      <c r="M565" s="52" t="str">
        <f>IFERROR(__xludf.DUMMYFUNCTION("""COMPUTED_VALUE"""),"")</f>
        <v/>
      </c>
      <c r="N565" s="52"/>
      <c r="O565" s="52"/>
      <c r="P565" s="52"/>
    </row>
    <row r="566">
      <c r="A566" s="58"/>
      <c r="B566" s="52"/>
      <c r="C566" s="52"/>
      <c r="D566" s="52"/>
      <c r="E566" s="52"/>
      <c r="F566" s="52"/>
      <c r="G566" s="52"/>
      <c r="H566" s="52"/>
      <c r="I566" s="52"/>
      <c r="J566" s="52"/>
      <c r="K566" s="59"/>
      <c r="L566" s="52"/>
      <c r="M566" s="52" t="str">
        <f>IFERROR(__xludf.DUMMYFUNCTION("""COMPUTED_VALUE"""),"")</f>
        <v/>
      </c>
      <c r="N566" s="52"/>
      <c r="O566" s="52"/>
      <c r="P566" s="52"/>
    </row>
    <row r="567">
      <c r="A567" s="58"/>
      <c r="B567" s="52"/>
      <c r="C567" s="52"/>
      <c r="D567" s="52"/>
      <c r="E567" s="52"/>
      <c r="F567" s="52"/>
      <c r="G567" s="52"/>
      <c r="H567" s="52"/>
      <c r="I567" s="52"/>
      <c r="J567" s="52"/>
      <c r="K567" s="59"/>
      <c r="L567" s="52"/>
      <c r="M567" s="52" t="str">
        <f>IFERROR(__xludf.DUMMYFUNCTION("""COMPUTED_VALUE"""),"")</f>
        <v/>
      </c>
      <c r="N567" s="52"/>
      <c r="O567" s="52"/>
      <c r="P567" s="52"/>
    </row>
    <row r="568">
      <c r="A568" s="58"/>
      <c r="B568" s="52"/>
      <c r="C568" s="52"/>
      <c r="D568" s="52"/>
      <c r="E568" s="52"/>
      <c r="F568" s="52"/>
      <c r="G568" s="52"/>
      <c r="H568" s="52"/>
      <c r="I568" s="52"/>
      <c r="J568" s="52"/>
      <c r="K568" s="59"/>
      <c r="L568" s="52"/>
      <c r="M568" s="52" t="str">
        <f>IFERROR(__xludf.DUMMYFUNCTION("""COMPUTED_VALUE"""),"")</f>
        <v/>
      </c>
      <c r="N568" s="52"/>
      <c r="O568" s="52"/>
      <c r="P568" s="52"/>
    </row>
    <row r="569">
      <c r="A569" s="58"/>
      <c r="B569" s="52"/>
      <c r="C569" s="52"/>
      <c r="D569" s="52"/>
      <c r="E569" s="52"/>
      <c r="F569" s="52"/>
      <c r="G569" s="52"/>
      <c r="H569" s="52"/>
      <c r="I569" s="52"/>
      <c r="J569" s="52"/>
      <c r="K569" s="59"/>
      <c r="L569" s="52"/>
      <c r="M569" s="52" t="str">
        <f>IFERROR(__xludf.DUMMYFUNCTION("""COMPUTED_VALUE"""),"")</f>
        <v/>
      </c>
      <c r="N569" s="52"/>
      <c r="O569" s="52"/>
      <c r="P569" s="52"/>
    </row>
    <row r="570">
      <c r="A570" s="58"/>
      <c r="B570" s="52"/>
      <c r="C570" s="52"/>
      <c r="D570" s="52"/>
      <c r="E570" s="52"/>
      <c r="F570" s="52"/>
      <c r="G570" s="52"/>
      <c r="H570" s="52"/>
      <c r="I570" s="52"/>
      <c r="J570" s="52"/>
      <c r="K570" s="59"/>
      <c r="L570" s="52"/>
      <c r="M570" s="52" t="str">
        <f>IFERROR(__xludf.DUMMYFUNCTION("""COMPUTED_VALUE"""),"")</f>
        <v/>
      </c>
      <c r="N570" s="52"/>
      <c r="O570" s="52"/>
      <c r="P570" s="52"/>
    </row>
    <row r="571">
      <c r="A571" s="58"/>
      <c r="B571" s="52"/>
      <c r="C571" s="52"/>
      <c r="D571" s="52"/>
      <c r="E571" s="52"/>
      <c r="F571" s="52"/>
      <c r="G571" s="52"/>
      <c r="H571" s="52"/>
      <c r="I571" s="52"/>
      <c r="J571" s="52"/>
      <c r="K571" s="59"/>
      <c r="L571" s="52"/>
      <c r="M571" s="52" t="str">
        <f>IFERROR(__xludf.DUMMYFUNCTION("""COMPUTED_VALUE"""),"")</f>
        <v/>
      </c>
      <c r="N571" s="52"/>
      <c r="O571" s="52"/>
      <c r="P571" s="52"/>
    </row>
    <row r="572">
      <c r="A572" s="58"/>
      <c r="B572" s="52"/>
      <c r="C572" s="52"/>
      <c r="D572" s="52"/>
      <c r="E572" s="52"/>
      <c r="F572" s="52"/>
      <c r="G572" s="52"/>
      <c r="H572" s="52"/>
      <c r="I572" s="52"/>
      <c r="J572" s="52"/>
      <c r="K572" s="59"/>
      <c r="L572" s="52"/>
      <c r="M572" s="52" t="str">
        <f>IFERROR(__xludf.DUMMYFUNCTION("""COMPUTED_VALUE"""),"")</f>
        <v/>
      </c>
      <c r="N572" s="52"/>
      <c r="O572" s="52"/>
      <c r="P572" s="52"/>
    </row>
    <row r="573">
      <c r="A573" s="58"/>
      <c r="B573" s="52"/>
      <c r="C573" s="52"/>
      <c r="D573" s="52"/>
      <c r="E573" s="52"/>
      <c r="F573" s="52"/>
      <c r="G573" s="52"/>
      <c r="H573" s="52"/>
      <c r="I573" s="52"/>
      <c r="J573" s="52"/>
      <c r="K573" s="59"/>
      <c r="L573" s="52"/>
      <c r="M573" s="52" t="str">
        <f>IFERROR(__xludf.DUMMYFUNCTION("""COMPUTED_VALUE"""),"")</f>
        <v/>
      </c>
      <c r="N573" s="52"/>
      <c r="O573" s="52"/>
      <c r="P573" s="52"/>
    </row>
    <row r="574">
      <c r="A574" s="58"/>
      <c r="B574" s="52"/>
      <c r="C574" s="52"/>
      <c r="D574" s="52"/>
      <c r="E574" s="52"/>
      <c r="F574" s="52"/>
      <c r="G574" s="52"/>
      <c r="H574" s="52"/>
      <c r="I574" s="52"/>
      <c r="J574" s="52"/>
      <c r="K574" s="59"/>
      <c r="L574" s="52"/>
      <c r="M574" s="52" t="str">
        <f>IFERROR(__xludf.DUMMYFUNCTION("""COMPUTED_VALUE"""),"")</f>
        <v/>
      </c>
      <c r="N574" s="52"/>
      <c r="O574" s="52"/>
      <c r="P574" s="52"/>
    </row>
    <row r="575">
      <c r="A575" s="58"/>
      <c r="B575" s="52"/>
      <c r="C575" s="52"/>
      <c r="D575" s="52"/>
      <c r="E575" s="52"/>
      <c r="F575" s="52"/>
      <c r="G575" s="52"/>
      <c r="H575" s="52"/>
      <c r="I575" s="52"/>
      <c r="J575" s="52"/>
      <c r="K575" s="59"/>
      <c r="L575" s="52"/>
      <c r="M575" s="52" t="str">
        <f>IFERROR(__xludf.DUMMYFUNCTION("""COMPUTED_VALUE"""),"")</f>
        <v/>
      </c>
      <c r="N575" s="52"/>
      <c r="O575" s="52"/>
      <c r="P575" s="52"/>
    </row>
    <row r="576">
      <c r="A576" s="58"/>
      <c r="B576" s="52"/>
      <c r="C576" s="52"/>
      <c r="D576" s="52"/>
      <c r="E576" s="52"/>
      <c r="F576" s="52"/>
      <c r="G576" s="52"/>
      <c r="H576" s="52"/>
      <c r="I576" s="52"/>
      <c r="J576" s="52"/>
      <c r="K576" s="59"/>
      <c r="L576" s="52"/>
      <c r="M576" s="52" t="str">
        <f>IFERROR(__xludf.DUMMYFUNCTION("""COMPUTED_VALUE"""),"")</f>
        <v/>
      </c>
      <c r="N576" s="52"/>
      <c r="O576" s="52"/>
      <c r="P576" s="52"/>
    </row>
    <row r="577">
      <c r="A577" s="58"/>
      <c r="B577" s="52"/>
      <c r="C577" s="52"/>
      <c r="D577" s="52"/>
      <c r="E577" s="52"/>
      <c r="F577" s="52"/>
      <c r="G577" s="52"/>
      <c r="H577" s="52"/>
      <c r="I577" s="52"/>
      <c r="J577" s="52"/>
      <c r="K577" s="59"/>
      <c r="L577" s="52"/>
      <c r="M577" s="52" t="str">
        <f>IFERROR(__xludf.DUMMYFUNCTION("""COMPUTED_VALUE"""),"")</f>
        <v/>
      </c>
      <c r="N577" s="52"/>
      <c r="O577" s="52"/>
      <c r="P577" s="52"/>
    </row>
    <row r="578">
      <c r="A578" s="58"/>
      <c r="B578" s="52"/>
      <c r="C578" s="52"/>
      <c r="D578" s="52"/>
      <c r="E578" s="52"/>
      <c r="F578" s="52"/>
      <c r="G578" s="52"/>
      <c r="H578" s="52"/>
      <c r="I578" s="52"/>
      <c r="J578" s="52"/>
      <c r="K578" s="59"/>
      <c r="L578" s="52"/>
      <c r="M578" s="52" t="str">
        <f>IFERROR(__xludf.DUMMYFUNCTION("""COMPUTED_VALUE"""),"")</f>
        <v/>
      </c>
      <c r="N578" s="52"/>
      <c r="O578" s="52"/>
      <c r="P578" s="52"/>
    </row>
    <row r="579">
      <c r="A579" s="58"/>
      <c r="B579" s="52"/>
      <c r="C579" s="52"/>
      <c r="D579" s="52"/>
      <c r="E579" s="52"/>
      <c r="F579" s="52"/>
      <c r="G579" s="52"/>
      <c r="H579" s="52"/>
      <c r="I579" s="52"/>
      <c r="J579" s="52"/>
      <c r="K579" s="59"/>
      <c r="L579" s="52"/>
      <c r="M579" s="52" t="str">
        <f>IFERROR(__xludf.DUMMYFUNCTION("""COMPUTED_VALUE"""),"")</f>
        <v/>
      </c>
      <c r="N579" s="52"/>
      <c r="O579" s="52"/>
      <c r="P579" s="52"/>
    </row>
    <row r="580">
      <c r="A580" s="58"/>
      <c r="B580" s="52"/>
      <c r="C580" s="52"/>
      <c r="D580" s="52"/>
      <c r="E580" s="52"/>
      <c r="F580" s="52"/>
      <c r="G580" s="52"/>
      <c r="H580" s="52"/>
      <c r="I580" s="52"/>
      <c r="J580" s="52"/>
      <c r="K580" s="59"/>
      <c r="L580" s="52"/>
      <c r="M580" s="52" t="str">
        <f>IFERROR(__xludf.DUMMYFUNCTION("""COMPUTED_VALUE"""),"")</f>
        <v/>
      </c>
      <c r="N580" s="52"/>
      <c r="O580" s="52"/>
      <c r="P580" s="52"/>
    </row>
    <row r="581">
      <c r="A581" s="58"/>
      <c r="B581" s="52"/>
      <c r="C581" s="52"/>
      <c r="D581" s="52"/>
      <c r="E581" s="52"/>
      <c r="F581" s="52"/>
      <c r="G581" s="52"/>
      <c r="H581" s="52"/>
      <c r="I581" s="52"/>
      <c r="J581" s="52"/>
      <c r="K581" s="59"/>
      <c r="L581" s="52"/>
      <c r="M581" s="52" t="str">
        <f>IFERROR(__xludf.DUMMYFUNCTION("""COMPUTED_VALUE"""),"")</f>
        <v/>
      </c>
      <c r="N581" s="52"/>
      <c r="O581" s="52"/>
      <c r="P581" s="52"/>
    </row>
    <row r="582">
      <c r="A582" s="58"/>
      <c r="B582" s="52"/>
      <c r="C582" s="52"/>
      <c r="D582" s="52"/>
      <c r="E582" s="52"/>
      <c r="F582" s="52"/>
      <c r="G582" s="52"/>
      <c r="H582" s="52"/>
      <c r="I582" s="52"/>
      <c r="J582" s="52"/>
      <c r="K582" s="59"/>
      <c r="L582" s="52"/>
      <c r="M582" s="52" t="str">
        <f>IFERROR(__xludf.DUMMYFUNCTION("""COMPUTED_VALUE"""),"")</f>
        <v/>
      </c>
      <c r="N582" s="52"/>
      <c r="O582" s="52"/>
      <c r="P582" s="52"/>
    </row>
    <row r="583">
      <c r="A583" s="58"/>
      <c r="B583" s="52"/>
      <c r="C583" s="52"/>
      <c r="D583" s="52"/>
      <c r="E583" s="52"/>
      <c r="F583" s="52"/>
      <c r="G583" s="52"/>
      <c r="H583" s="52"/>
      <c r="I583" s="52"/>
      <c r="J583" s="52"/>
      <c r="K583" s="59"/>
      <c r="L583" s="52"/>
      <c r="M583" s="52" t="str">
        <f>IFERROR(__xludf.DUMMYFUNCTION("""COMPUTED_VALUE"""),"")</f>
        <v/>
      </c>
      <c r="N583" s="52"/>
      <c r="O583" s="52"/>
      <c r="P583" s="52"/>
    </row>
    <row r="584">
      <c r="A584" s="58"/>
      <c r="B584" s="52"/>
      <c r="C584" s="52"/>
      <c r="D584" s="52"/>
      <c r="E584" s="52"/>
      <c r="F584" s="52"/>
      <c r="G584" s="52"/>
      <c r="H584" s="52"/>
      <c r="I584" s="52"/>
      <c r="J584" s="52"/>
      <c r="K584" s="59"/>
      <c r="L584" s="52"/>
      <c r="M584" s="52" t="str">
        <f>IFERROR(__xludf.DUMMYFUNCTION("""COMPUTED_VALUE"""),"")</f>
        <v/>
      </c>
      <c r="N584" s="52"/>
      <c r="O584" s="52"/>
      <c r="P584" s="52"/>
    </row>
    <row r="585">
      <c r="A585" s="58"/>
      <c r="B585" s="52"/>
      <c r="C585" s="52"/>
      <c r="D585" s="52"/>
      <c r="E585" s="52"/>
      <c r="F585" s="52"/>
      <c r="G585" s="52"/>
      <c r="H585" s="52"/>
      <c r="I585" s="52"/>
      <c r="J585" s="52"/>
      <c r="K585" s="59"/>
      <c r="L585" s="52"/>
      <c r="M585" s="52" t="str">
        <f>IFERROR(__xludf.DUMMYFUNCTION("""COMPUTED_VALUE"""),"")</f>
        <v/>
      </c>
      <c r="N585" s="52"/>
      <c r="O585" s="52"/>
      <c r="P585" s="52"/>
    </row>
    <row r="586">
      <c r="A586" s="58"/>
      <c r="B586" s="52"/>
      <c r="C586" s="52"/>
      <c r="D586" s="52"/>
      <c r="E586" s="52"/>
      <c r="F586" s="52"/>
      <c r="G586" s="52"/>
      <c r="H586" s="52"/>
      <c r="I586" s="52"/>
      <c r="J586" s="52"/>
      <c r="K586" s="59"/>
      <c r="L586" s="52"/>
      <c r="M586" s="52" t="str">
        <f>IFERROR(__xludf.DUMMYFUNCTION("""COMPUTED_VALUE"""),"")</f>
        <v/>
      </c>
      <c r="N586" s="52"/>
      <c r="O586" s="52"/>
      <c r="P586" s="52"/>
    </row>
    <row r="587">
      <c r="A587" s="58"/>
      <c r="B587" s="52"/>
      <c r="C587" s="52"/>
      <c r="D587" s="52"/>
      <c r="E587" s="52"/>
      <c r="F587" s="52"/>
      <c r="G587" s="52"/>
      <c r="H587" s="52"/>
      <c r="I587" s="52"/>
      <c r="J587" s="52"/>
      <c r="K587" s="59"/>
      <c r="L587" s="52"/>
      <c r="M587" s="52" t="str">
        <f>IFERROR(__xludf.DUMMYFUNCTION("""COMPUTED_VALUE"""),"")</f>
        <v/>
      </c>
      <c r="N587" s="52"/>
      <c r="O587" s="52"/>
      <c r="P587" s="52"/>
    </row>
    <row r="588">
      <c r="A588" s="58"/>
      <c r="B588" s="52"/>
      <c r="C588" s="52"/>
      <c r="D588" s="52"/>
      <c r="E588" s="52"/>
      <c r="F588" s="52"/>
      <c r="G588" s="52"/>
      <c r="H588" s="52"/>
      <c r="I588" s="52"/>
      <c r="J588" s="52"/>
      <c r="K588" s="59"/>
      <c r="L588" s="52"/>
      <c r="M588" s="52" t="str">
        <f>IFERROR(__xludf.DUMMYFUNCTION("""COMPUTED_VALUE"""),"")</f>
        <v/>
      </c>
      <c r="N588" s="52"/>
      <c r="O588" s="52"/>
      <c r="P588" s="52"/>
    </row>
    <row r="589">
      <c r="A589" s="58"/>
      <c r="B589" s="52"/>
      <c r="C589" s="52"/>
      <c r="D589" s="52"/>
      <c r="E589" s="52"/>
      <c r="F589" s="52"/>
      <c r="G589" s="52"/>
      <c r="H589" s="52"/>
      <c r="I589" s="52"/>
      <c r="J589" s="52"/>
      <c r="K589" s="59"/>
      <c r="L589" s="52"/>
      <c r="M589" s="52" t="str">
        <f>IFERROR(__xludf.DUMMYFUNCTION("""COMPUTED_VALUE"""),"")</f>
        <v/>
      </c>
      <c r="N589" s="52"/>
      <c r="O589" s="52"/>
      <c r="P589" s="52"/>
    </row>
    <row r="590">
      <c r="A590" s="58"/>
      <c r="B590" s="52"/>
      <c r="C590" s="52"/>
      <c r="D590" s="52"/>
      <c r="E590" s="52"/>
      <c r="F590" s="52"/>
      <c r="G590" s="52"/>
      <c r="H590" s="52"/>
      <c r="I590" s="52"/>
      <c r="J590" s="52"/>
      <c r="K590" s="59"/>
      <c r="L590" s="52"/>
      <c r="M590" s="52" t="str">
        <f>IFERROR(__xludf.DUMMYFUNCTION("""COMPUTED_VALUE"""),"")</f>
        <v/>
      </c>
      <c r="N590" s="52"/>
      <c r="O590" s="52"/>
      <c r="P590" s="52"/>
    </row>
    <row r="591">
      <c r="A591" s="58"/>
      <c r="B591" s="52"/>
      <c r="C591" s="52"/>
      <c r="D591" s="52"/>
      <c r="E591" s="52"/>
      <c r="F591" s="52"/>
      <c r="G591" s="52"/>
      <c r="H591" s="52"/>
      <c r="I591" s="52"/>
      <c r="J591" s="52"/>
      <c r="K591" s="59"/>
      <c r="L591" s="52"/>
      <c r="M591" s="52" t="str">
        <f>IFERROR(__xludf.DUMMYFUNCTION("""COMPUTED_VALUE"""),"")</f>
        <v/>
      </c>
      <c r="N591" s="52"/>
      <c r="O591" s="52"/>
      <c r="P591" s="52"/>
    </row>
    <row r="592">
      <c r="A592" s="58"/>
      <c r="B592" s="52"/>
      <c r="C592" s="52"/>
      <c r="D592" s="52"/>
      <c r="E592" s="52"/>
      <c r="F592" s="52"/>
      <c r="G592" s="52"/>
      <c r="H592" s="52"/>
      <c r="I592" s="52"/>
      <c r="J592" s="52"/>
      <c r="K592" s="59"/>
      <c r="L592" s="52"/>
      <c r="M592" s="52" t="str">
        <f>IFERROR(__xludf.DUMMYFUNCTION("""COMPUTED_VALUE"""),"")</f>
        <v/>
      </c>
      <c r="N592" s="52"/>
      <c r="O592" s="52"/>
      <c r="P592" s="52"/>
    </row>
    <row r="593">
      <c r="A593" s="58"/>
      <c r="B593" s="52"/>
      <c r="C593" s="52"/>
      <c r="D593" s="52"/>
      <c r="E593" s="52"/>
      <c r="F593" s="52"/>
      <c r="G593" s="52"/>
      <c r="H593" s="52"/>
      <c r="I593" s="52"/>
      <c r="J593" s="52"/>
      <c r="K593" s="59"/>
      <c r="L593" s="52"/>
      <c r="M593" s="52" t="str">
        <f>IFERROR(__xludf.DUMMYFUNCTION("""COMPUTED_VALUE"""),"")</f>
        <v/>
      </c>
      <c r="N593" s="52"/>
      <c r="O593" s="52"/>
      <c r="P593" s="52"/>
    </row>
    <row r="594">
      <c r="A594" s="58"/>
      <c r="B594" s="52"/>
      <c r="C594" s="52"/>
      <c r="D594" s="52"/>
      <c r="E594" s="52"/>
      <c r="F594" s="52"/>
      <c r="G594" s="52"/>
      <c r="H594" s="52"/>
      <c r="I594" s="52"/>
      <c r="J594" s="52"/>
      <c r="K594" s="59"/>
      <c r="L594" s="52"/>
      <c r="M594" s="52" t="str">
        <f>IFERROR(__xludf.DUMMYFUNCTION("""COMPUTED_VALUE"""),"")</f>
        <v/>
      </c>
      <c r="N594" s="52"/>
      <c r="O594" s="52"/>
      <c r="P594" s="52"/>
    </row>
    <row r="595">
      <c r="A595" s="58"/>
      <c r="B595" s="52"/>
      <c r="C595" s="52"/>
      <c r="D595" s="52"/>
      <c r="E595" s="52"/>
      <c r="F595" s="52"/>
      <c r="G595" s="52"/>
      <c r="H595" s="52"/>
      <c r="I595" s="52"/>
      <c r="J595" s="52"/>
      <c r="K595" s="59"/>
      <c r="L595" s="52"/>
      <c r="M595" s="52" t="str">
        <f>IFERROR(__xludf.DUMMYFUNCTION("""COMPUTED_VALUE"""),"")</f>
        <v/>
      </c>
      <c r="N595" s="52"/>
      <c r="O595" s="52"/>
      <c r="P595" s="52"/>
    </row>
    <row r="596">
      <c r="A596" s="58"/>
      <c r="B596" s="52"/>
      <c r="C596" s="52"/>
      <c r="D596" s="52"/>
      <c r="E596" s="52"/>
      <c r="F596" s="52"/>
      <c r="G596" s="52"/>
      <c r="H596" s="52"/>
      <c r="I596" s="52"/>
      <c r="J596" s="52"/>
      <c r="K596" s="59"/>
      <c r="L596" s="52"/>
      <c r="M596" s="52" t="str">
        <f>IFERROR(__xludf.DUMMYFUNCTION("""COMPUTED_VALUE"""),"")</f>
        <v/>
      </c>
      <c r="N596" s="52"/>
      <c r="O596" s="52"/>
      <c r="P596" s="52"/>
    </row>
    <row r="597">
      <c r="A597" s="58"/>
      <c r="B597" s="52"/>
      <c r="C597" s="52"/>
      <c r="D597" s="52"/>
      <c r="E597" s="52"/>
      <c r="F597" s="52"/>
      <c r="G597" s="52"/>
      <c r="H597" s="52"/>
      <c r="I597" s="52"/>
      <c r="J597" s="52"/>
      <c r="K597" s="59"/>
      <c r="L597" s="52"/>
      <c r="M597" s="52" t="str">
        <f>IFERROR(__xludf.DUMMYFUNCTION("""COMPUTED_VALUE"""),"")</f>
        <v/>
      </c>
      <c r="N597" s="52"/>
      <c r="O597" s="52"/>
      <c r="P597" s="52"/>
    </row>
    <row r="598">
      <c r="A598" s="58"/>
      <c r="B598" s="52"/>
      <c r="C598" s="52"/>
      <c r="D598" s="52"/>
      <c r="E598" s="52"/>
      <c r="F598" s="52"/>
      <c r="G598" s="52"/>
      <c r="H598" s="52"/>
      <c r="I598" s="52"/>
      <c r="J598" s="52"/>
      <c r="K598" s="59"/>
      <c r="L598" s="52"/>
      <c r="M598" s="52" t="str">
        <f>IFERROR(__xludf.DUMMYFUNCTION("""COMPUTED_VALUE"""),"")</f>
        <v/>
      </c>
      <c r="N598" s="52"/>
      <c r="O598" s="52"/>
      <c r="P598" s="52"/>
    </row>
    <row r="599">
      <c r="A599" s="58"/>
      <c r="B599" s="52"/>
      <c r="C599" s="52"/>
      <c r="D599" s="52"/>
      <c r="E599" s="52"/>
      <c r="F599" s="52"/>
      <c r="G599" s="52"/>
      <c r="H599" s="52"/>
      <c r="I599" s="52"/>
      <c r="J599" s="52"/>
      <c r="K599" s="59"/>
      <c r="L599" s="52"/>
      <c r="M599" s="52" t="str">
        <f>IFERROR(__xludf.DUMMYFUNCTION("""COMPUTED_VALUE"""),"")</f>
        <v/>
      </c>
      <c r="N599" s="52"/>
      <c r="O599" s="52"/>
      <c r="P599" s="52"/>
    </row>
    <row r="600">
      <c r="A600" s="58"/>
      <c r="B600" s="52"/>
      <c r="C600" s="52"/>
      <c r="D600" s="52"/>
      <c r="E600" s="52"/>
      <c r="F600" s="52"/>
      <c r="G600" s="52"/>
      <c r="H600" s="52"/>
      <c r="I600" s="52"/>
      <c r="J600" s="52"/>
      <c r="K600" s="59"/>
      <c r="L600" s="52"/>
      <c r="M600" s="52" t="str">
        <f>IFERROR(__xludf.DUMMYFUNCTION("""COMPUTED_VALUE"""),"")</f>
        <v/>
      </c>
      <c r="N600" s="52"/>
      <c r="O600" s="52"/>
      <c r="P600" s="52"/>
    </row>
    <row r="601">
      <c r="A601" s="58"/>
      <c r="B601" s="52"/>
      <c r="C601" s="52"/>
      <c r="D601" s="52"/>
      <c r="E601" s="52"/>
      <c r="F601" s="52"/>
      <c r="G601" s="52"/>
      <c r="H601" s="52"/>
      <c r="I601" s="52"/>
      <c r="J601" s="52"/>
      <c r="K601" s="59"/>
      <c r="L601" s="52"/>
      <c r="M601" s="52" t="str">
        <f>IFERROR(__xludf.DUMMYFUNCTION("""COMPUTED_VALUE"""),"")</f>
        <v/>
      </c>
      <c r="N601" s="52"/>
      <c r="O601" s="52"/>
      <c r="P601" s="52"/>
    </row>
    <row r="602">
      <c r="A602" s="58"/>
      <c r="B602" s="52"/>
      <c r="C602" s="52"/>
      <c r="D602" s="52"/>
      <c r="E602" s="52"/>
      <c r="F602" s="52"/>
      <c r="G602" s="52"/>
      <c r="H602" s="52"/>
      <c r="I602" s="52"/>
      <c r="J602" s="52"/>
      <c r="K602" s="59"/>
      <c r="L602" s="52"/>
      <c r="M602" s="52" t="str">
        <f>IFERROR(__xludf.DUMMYFUNCTION("""COMPUTED_VALUE"""),"")</f>
        <v/>
      </c>
      <c r="N602" s="52"/>
      <c r="O602" s="52"/>
      <c r="P602" s="52"/>
    </row>
    <row r="603">
      <c r="A603" s="58"/>
      <c r="B603" s="52"/>
      <c r="C603" s="52"/>
      <c r="D603" s="52"/>
      <c r="E603" s="52"/>
      <c r="F603" s="52"/>
      <c r="G603" s="52"/>
      <c r="H603" s="52"/>
      <c r="I603" s="52"/>
      <c r="J603" s="52"/>
      <c r="K603" s="59"/>
      <c r="L603" s="52"/>
      <c r="M603" s="52" t="str">
        <f>IFERROR(__xludf.DUMMYFUNCTION("""COMPUTED_VALUE"""),"")</f>
        <v/>
      </c>
      <c r="N603" s="52"/>
      <c r="O603" s="52"/>
      <c r="P603" s="52"/>
    </row>
    <row r="604">
      <c r="A604" s="58"/>
      <c r="B604" s="52"/>
      <c r="C604" s="52"/>
      <c r="D604" s="52"/>
      <c r="E604" s="52"/>
      <c r="F604" s="52"/>
      <c r="G604" s="52"/>
      <c r="H604" s="52"/>
      <c r="I604" s="52"/>
      <c r="J604" s="52"/>
      <c r="K604" s="59"/>
      <c r="L604" s="52"/>
      <c r="M604" s="52" t="str">
        <f>IFERROR(__xludf.DUMMYFUNCTION("""COMPUTED_VALUE"""),"")</f>
        <v/>
      </c>
      <c r="N604" s="52"/>
      <c r="O604" s="52"/>
      <c r="P604" s="52"/>
    </row>
    <row r="605">
      <c r="A605" s="58"/>
      <c r="B605" s="52"/>
      <c r="C605" s="52"/>
      <c r="D605" s="52"/>
      <c r="E605" s="52"/>
      <c r="F605" s="52"/>
      <c r="G605" s="52"/>
      <c r="H605" s="52"/>
      <c r="I605" s="52"/>
      <c r="J605" s="52"/>
      <c r="K605" s="59"/>
      <c r="L605" s="52"/>
      <c r="M605" s="52" t="str">
        <f>IFERROR(__xludf.DUMMYFUNCTION("""COMPUTED_VALUE"""),"")</f>
        <v/>
      </c>
      <c r="N605" s="52"/>
      <c r="O605" s="52"/>
      <c r="P605" s="52"/>
    </row>
    <row r="606">
      <c r="A606" s="58"/>
      <c r="B606" s="52"/>
      <c r="C606" s="52"/>
      <c r="D606" s="52"/>
      <c r="E606" s="52"/>
      <c r="F606" s="52"/>
      <c r="G606" s="52"/>
      <c r="H606" s="52"/>
      <c r="I606" s="52"/>
      <c r="J606" s="52"/>
      <c r="K606" s="59"/>
      <c r="L606" s="52"/>
      <c r="M606" s="52" t="str">
        <f>IFERROR(__xludf.DUMMYFUNCTION("""COMPUTED_VALUE"""),"")</f>
        <v/>
      </c>
      <c r="N606" s="52"/>
      <c r="O606" s="52"/>
      <c r="P606" s="52"/>
    </row>
    <row r="607">
      <c r="A607" s="58"/>
      <c r="B607" s="52"/>
      <c r="C607" s="52"/>
      <c r="D607" s="52"/>
      <c r="E607" s="52"/>
      <c r="F607" s="52"/>
      <c r="G607" s="52"/>
      <c r="H607" s="52"/>
      <c r="I607" s="52"/>
      <c r="J607" s="52"/>
      <c r="K607" s="59"/>
      <c r="L607" s="52"/>
      <c r="M607" s="52" t="str">
        <f>IFERROR(__xludf.DUMMYFUNCTION("""COMPUTED_VALUE"""),"")</f>
        <v/>
      </c>
      <c r="N607" s="52"/>
      <c r="O607" s="52"/>
      <c r="P607" s="52"/>
    </row>
    <row r="608">
      <c r="A608" s="58"/>
      <c r="B608" s="52"/>
      <c r="C608" s="52"/>
      <c r="D608" s="52"/>
      <c r="E608" s="52"/>
      <c r="F608" s="52"/>
      <c r="G608" s="52"/>
      <c r="H608" s="52"/>
      <c r="I608" s="52"/>
      <c r="J608" s="52"/>
      <c r="K608" s="59"/>
      <c r="L608" s="52"/>
      <c r="M608" s="52" t="str">
        <f>IFERROR(__xludf.DUMMYFUNCTION("""COMPUTED_VALUE"""),"")</f>
        <v/>
      </c>
      <c r="N608" s="52"/>
      <c r="O608" s="52"/>
      <c r="P608" s="52"/>
    </row>
    <row r="609">
      <c r="A609" s="58"/>
      <c r="B609" s="52"/>
      <c r="C609" s="52"/>
      <c r="D609" s="52"/>
      <c r="E609" s="52"/>
      <c r="F609" s="52"/>
      <c r="G609" s="52"/>
      <c r="H609" s="52"/>
      <c r="I609" s="52"/>
      <c r="J609" s="52"/>
      <c r="K609" s="59"/>
      <c r="L609" s="52"/>
      <c r="M609" s="52" t="str">
        <f>IFERROR(__xludf.DUMMYFUNCTION("""COMPUTED_VALUE"""),"")</f>
        <v/>
      </c>
      <c r="N609" s="52"/>
      <c r="O609" s="52"/>
      <c r="P609" s="52"/>
    </row>
    <row r="610">
      <c r="A610" s="58"/>
      <c r="B610" s="52"/>
      <c r="C610" s="52"/>
      <c r="D610" s="52"/>
      <c r="E610" s="52"/>
      <c r="F610" s="52"/>
      <c r="G610" s="52"/>
      <c r="H610" s="52"/>
      <c r="I610" s="52"/>
      <c r="J610" s="52"/>
      <c r="K610" s="59"/>
      <c r="L610" s="52"/>
      <c r="M610" s="52" t="str">
        <f>IFERROR(__xludf.DUMMYFUNCTION("""COMPUTED_VALUE"""),"")</f>
        <v/>
      </c>
      <c r="N610" s="52"/>
      <c r="O610" s="52"/>
      <c r="P610" s="52"/>
    </row>
    <row r="611">
      <c r="A611" s="58"/>
      <c r="B611" s="52"/>
      <c r="C611" s="52"/>
      <c r="D611" s="52"/>
      <c r="E611" s="52"/>
      <c r="F611" s="52"/>
      <c r="G611" s="52"/>
      <c r="H611" s="52"/>
      <c r="I611" s="52"/>
      <c r="J611" s="52"/>
      <c r="K611" s="59"/>
      <c r="L611" s="52"/>
      <c r="M611" s="52" t="str">
        <f>IFERROR(__xludf.DUMMYFUNCTION("""COMPUTED_VALUE"""),"")</f>
        <v/>
      </c>
      <c r="N611" s="52"/>
      <c r="O611" s="52"/>
      <c r="P611" s="52"/>
    </row>
    <row r="612">
      <c r="A612" s="58"/>
      <c r="B612" s="52"/>
      <c r="C612" s="52"/>
      <c r="D612" s="52"/>
      <c r="E612" s="52"/>
      <c r="F612" s="52"/>
      <c r="G612" s="52"/>
      <c r="H612" s="52"/>
      <c r="I612" s="52"/>
      <c r="J612" s="52"/>
      <c r="K612" s="59"/>
      <c r="L612" s="52"/>
      <c r="M612" s="52" t="str">
        <f>IFERROR(__xludf.DUMMYFUNCTION("""COMPUTED_VALUE"""),"")</f>
        <v/>
      </c>
      <c r="N612" s="52"/>
      <c r="O612" s="52"/>
      <c r="P612" s="52"/>
    </row>
    <row r="613">
      <c r="A613" s="58"/>
      <c r="B613" s="52"/>
      <c r="C613" s="52"/>
      <c r="D613" s="52"/>
      <c r="E613" s="52"/>
      <c r="F613" s="52"/>
      <c r="G613" s="52"/>
      <c r="H613" s="52"/>
      <c r="I613" s="52"/>
      <c r="J613" s="52"/>
      <c r="K613" s="59"/>
      <c r="L613" s="52"/>
      <c r="M613" s="52" t="str">
        <f>IFERROR(__xludf.DUMMYFUNCTION("""COMPUTED_VALUE"""),"")</f>
        <v/>
      </c>
      <c r="N613" s="52"/>
      <c r="O613" s="52"/>
      <c r="P613" s="52"/>
    </row>
    <row r="614">
      <c r="A614" s="58"/>
      <c r="B614" s="52"/>
      <c r="C614" s="52"/>
      <c r="D614" s="52"/>
      <c r="E614" s="52"/>
      <c r="F614" s="52"/>
      <c r="G614" s="52"/>
      <c r="H614" s="52"/>
      <c r="I614" s="52"/>
      <c r="J614" s="52"/>
      <c r="K614" s="59"/>
      <c r="L614" s="52"/>
      <c r="M614" s="52" t="str">
        <f>IFERROR(__xludf.DUMMYFUNCTION("""COMPUTED_VALUE"""),"")</f>
        <v/>
      </c>
      <c r="N614" s="52"/>
      <c r="O614" s="52"/>
      <c r="P614" s="52"/>
    </row>
    <row r="615">
      <c r="A615" s="58"/>
      <c r="B615" s="52"/>
      <c r="C615" s="52"/>
      <c r="D615" s="52"/>
      <c r="E615" s="52"/>
      <c r="F615" s="52"/>
      <c r="G615" s="52"/>
      <c r="H615" s="52"/>
      <c r="I615" s="52"/>
      <c r="J615" s="52"/>
      <c r="K615" s="59"/>
      <c r="L615" s="52"/>
      <c r="M615" s="52" t="str">
        <f>IFERROR(__xludf.DUMMYFUNCTION("""COMPUTED_VALUE"""),"")</f>
        <v/>
      </c>
      <c r="N615" s="52"/>
      <c r="O615" s="52"/>
      <c r="P615" s="52"/>
    </row>
    <row r="616">
      <c r="A616" s="58"/>
      <c r="B616" s="52"/>
      <c r="C616" s="52"/>
      <c r="D616" s="52"/>
      <c r="E616" s="52"/>
      <c r="F616" s="52"/>
      <c r="G616" s="52"/>
      <c r="H616" s="52"/>
      <c r="I616" s="52"/>
      <c r="J616" s="52"/>
      <c r="K616" s="59"/>
      <c r="L616" s="52"/>
      <c r="M616" s="52" t="str">
        <f>IFERROR(__xludf.DUMMYFUNCTION("""COMPUTED_VALUE"""),"")</f>
        <v/>
      </c>
      <c r="N616" s="52"/>
      <c r="O616" s="52"/>
      <c r="P616" s="52"/>
    </row>
    <row r="617">
      <c r="A617" s="58"/>
      <c r="B617" s="52"/>
      <c r="C617" s="52"/>
      <c r="D617" s="52"/>
      <c r="E617" s="52"/>
      <c r="F617" s="52"/>
      <c r="G617" s="52"/>
      <c r="H617" s="52"/>
      <c r="I617" s="52"/>
      <c r="J617" s="52"/>
      <c r="K617" s="59"/>
      <c r="L617" s="52"/>
      <c r="M617" s="52" t="str">
        <f>IFERROR(__xludf.DUMMYFUNCTION("""COMPUTED_VALUE"""),"")</f>
        <v/>
      </c>
      <c r="N617" s="52"/>
      <c r="O617" s="52"/>
      <c r="P617" s="52"/>
    </row>
    <row r="618">
      <c r="A618" s="58"/>
      <c r="B618" s="52"/>
      <c r="C618" s="52"/>
      <c r="D618" s="52"/>
      <c r="E618" s="52"/>
      <c r="F618" s="52"/>
      <c r="G618" s="52"/>
      <c r="H618" s="52"/>
      <c r="I618" s="52"/>
      <c r="J618" s="52"/>
      <c r="K618" s="59"/>
      <c r="L618" s="52"/>
      <c r="M618" s="52" t="str">
        <f>IFERROR(__xludf.DUMMYFUNCTION("""COMPUTED_VALUE"""),"")</f>
        <v/>
      </c>
      <c r="N618" s="52"/>
      <c r="O618" s="52"/>
      <c r="P618" s="52"/>
    </row>
    <row r="619">
      <c r="A619" s="58"/>
      <c r="B619" s="52"/>
      <c r="C619" s="52"/>
      <c r="D619" s="52"/>
      <c r="E619" s="52"/>
      <c r="F619" s="52"/>
      <c r="G619" s="52"/>
      <c r="H619" s="52"/>
      <c r="I619" s="52"/>
      <c r="J619" s="52"/>
      <c r="K619" s="59"/>
      <c r="L619" s="52"/>
      <c r="M619" s="52" t="str">
        <f>IFERROR(__xludf.DUMMYFUNCTION("""COMPUTED_VALUE"""),"")</f>
        <v/>
      </c>
      <c r="N619" s="52"/>
      <c r="O619" s="52"/>
      <c r="P619" s="52"/>
    </row>
    <row r="620">
      <c r="A620" s="58"/>
      <c r="B620" s="52"/>
      <c r="C620" s="52"/>
      <c r="D620" s="52"/>
      <c r="E620" s="52"/>
      <c r="F620" s="52"/>
      <c r="G620" s="52"/>
      <c r="H620" s="52"/>
      <c r="I620" s="52"/>
      <c r="J620" s="52"/>
      <c r="K620" s="59"/>
      <c r="L620" s="52"/>
      <c r="M620" s="52" t="str">
        <f>IFERROR(__xludf.DUMMYFUNCTION("""COMPUTED_VALUE"""),"")</f>
        <v/>
      </c>
      <c r="N620" s="52"/>
      <c r="O620" s="52"/>
      <c r="P620" s="52"/>
    </row>
    <row r="621">
      <c r="A621" s="58"/>
      <c r="B621" s="52"/>
      <c r="C621" s="52"/>
      <c r="D621" s="52"/>
      <c r="E621" s="52"/>
      <c r="F621" s="52"/>
      <c r="G621" s="52"/>
      <c r="H621" s="52"/>
      <c r="I621" s="52"/>
      <c r="J621" s="52"/>
      <c r="K621" s="59"/>
      <c r="L621" s="52"/>
      <c r="M621" s="52" t="str">
        <f>IFERROR(__xludf.DUMMYFUNCTION("""COMPUTED_VALUE"""),"")</f>
        <v/>
      </c>
      <c r="N621" s="52"/>
      <c r="O621" s="52"/>
      <c r="P621" s="52"/>
    </row>
    <row r="622">
      <c r="A622" s="58"/>
      <c r="B622" s="52"/>
      <c r="C622" s="52"/>
      <c r="D622" s="52"/>
      <c r="E622" s="52"/>
      <c r="F622" s="52"/>
      <c r="G622" s="52"/>
      <c r="H622" s="52"/>
      <c r="I622" s="52"/>
      <c r="J622" s="52"/>
      <c r="K622" s="59"/>
      <c r="L622" s="52"/>
      <c r="M622" s="52" t="str">
        <f>IFERROR(__xludf.DUMMYFUNCTION("""COMPUTED_VALUE"""),"")</f>
        <v/>
      </c>
      <c r="N622" s="52"/>
      <c r="O622" s="52"/>
      <c r="P622" s="52"/>
    </row>
    <row r="623">
      <c r="A623" s="58"/>
      <c r="B623" s="52"/>
      <c r="C623" s="52"/>
      <c r="D623" s="52"/>
      <c r="E623" s="52"/>
      <c r="F623" s="52"/>
      <c r="G623" s="52"/>
      <c r="H623" s="52"/>
      <c r="I623" s="52"/>
      <c r="J623" s="52"/>
      <c r="K623" s="59"/>
      <c r="L623" s="52"/>
      <c r="M623" s="52" t="str">
        <f>IFERROR(__xludf.DUMMYFUNCTION("""COMPUTED_VALUE"""),"")</f>
        <v/>
      </c>
      <c r="N623" s="52"/>
      <c r="O623" s="52"/>
      <c r="P623" s="52"/>
    </row>
    <row r="624">
      <c r="A624" s="58"/>
      <c r="B624" s="52"/>
      <c r="C624" s="52"/>
      <c r="D624" s="52"/>
      <c r="E624" s="52"/>
      <c r="F624" s="52"/>
      <c r="G624" s="52"/>
      <c r="H624" s="52"/>
      <c r="I624" s="52"/>
      <c r="J624" s="52"/>
      <c r="K624" s="59"/>
      <c r="L624" s="52"/>
      <c r="M624" s="52" t="str">
        <f>IFERROR(__xludf.DUMMYFUNCTION("""COMPUTED_VALUE"""),"")</f>
        <v/>
      </c>
      <c r="N624" s="52"/>
      <c r="O624" s="52"/>
      <c r="P624" s="52"/>
    </row>
    <row r="625">
      <c r="A625" s="58"/>
      <c r="B625" s="52"/>
      <c r="C625" s="52"/>
      <c r="D625" s="52"/>
      <c r="E625" s="52"/>
      <c r="F625" s="52"/>
      <c r="G625" s="52"/>
      <c r="H625" s="52"/>
      <c r="I625" s="52"/>
      <c r="J625" s="52"/>
      <c r="K625" s="59"/>
      <c r="L625" s="52"/>
      <c r="M625" s="52" t="str">
        <f>IFERROR(__xludf.DUMMYFUNCTION("""COMPUTED_VALUE"""),"")</f>
        <v/>
      </c>
      <c r="N625" s="52"/>
      <c r="O625" s="52"/>
      <c r="P625" s="52"/>
    </row>
    <row r="626">
      <c r="A626" s="58"/>
      <c r="B626" s="52"/>
      <c r="C626" s="52"/>
      <c r="D626" s="52"/>
      <c r="E626" s="52"/>
      <c r="F626" s="52"/>
      <c r="G626" s="52"/>
      <c r="H626" s="52"/>
      <c r="I626" s="52"/>
      <c r="J626" s="52"/>
      <c r="K626" s="59"/>
      <c r="L626" s="52"/>
      <c r="M626" s="52" t="str">
        <f>IFERROR(__xludf.DUMMYFUNCTION("""COMPUTED_VALUE"""),"")</f>
        <v/>
      </c>
      <c r="N626" s="52"/>
      <c r="O626" s="52"/>
      <c r="P626" s="52"/>
    </row>
    <row r="627">
      <c r="A627" s="58"/>
      <c r="B627" s="52"/>
      <c r="C627" s="52"/>
      <c r="D627" s="52"/>
      <c r="E627" s="52"/>
      <c r="F627" s="52"/>
      <c r="G627" s="52"/>
      <c r="H627" s="52"/>
      <c r="I627" s="52"/>
      <c r="J627" s="52"/>
      <c r="K627" s="59"/>
      <c r="L627" s="52"/>
      <c r="M627" s="52" t="str">
        <f>IFERROR(__xludf.DUMMYFUNCTION("""COMPUTED_VALUE"""),"")</f>
        <v/>
      </c>
      <c r="N627" s="52"/>
      <c r="O627" s="52"/>
      <c r="P627" s="52"/>
    </row>
    <row r="628">
      <c r="A628" s="58"/>
      <c r="B628" s="52"/>
      <c r="C628" s="52"/>
      <c r="D628" s="52"/>
      <c r="E628" s="52"/>
      <c r="F628" s="52"/>
      <c r="G628" s="52"/>
      <c r="H628" s="52"/>
      <c r="I628" s="52"/>
      <c r="J628" s="52"/>
      <c r="K628" s="59"/>
      <c r="L628" s="52"/>
      <c r="M628" s="52" t="str">
        <f>IFERROR(__xludf.DUMMYFUNCTION("""COMPUTED_VALUE"""),"")</f>
        <v/>
      </c>
      <c r="N628" s="52"/>
      <c r="O628" s="52"/>
      <c r="P628" s="52"/>
    </row>
    <row r="629">
      <c r="A629" s="58"/>
      <c r="B629" s="52"/>
      <c r="C629" s="52"/>
      <c r="D629" s="52"/>
      <c r="E629" s="52"/>
      <c r="F629" s="52"/>
      <c r="G629" s="52"/>
      <c r="H629" s="52"/>
      <c r="I629" s="52"/>
      <c r="J629" s="52"/>
      <c r="K629" s="59"/>
      <c r="L629" s="52"/>
      <c r="M629" s="52" t="str">
        <f>IFERROR(__xludf.DUMMYFUNCTION("""COMPUTED_VALUE"""),"")</f>
        <v/>
      </c>
      <c r="N629" s="52"/>
      <c r="O629" s="52"/>
      <c r="P629" s="52"/>
    </row>
    <row r="630">
      <c r="A630" s="58"/>
      <c r="B630" s="52"/>
      <c r="C630" s="52"/>
      <c r="D630" s="52"/>
      <c r="E630" s="52"/>
      <c r="F630" s="52"/>
      <c r="G630" s="52"/>
      <c r="H630" s="52"/>
      <c r="I630" s="52"/>
      <c r="J630" s="52"/>
      <c r="K630" s="59"/>
      <c r="L630" s="52"/>
      <c r="M630" s="52" t="str">
        <f>IFERROR(__xludf.DUMMYFUNCTION("""COMPUTED_VALUE"""),"")</f>
        <v/>
      </c>
      <c r="N630" s="52"/>
      <c r="O630" s="52"/>
      <c r="P630" s="52"/>
    </row>
    <row r="631">
      <c r="A631" s="58"/>
      <c r="B631" s="52"/>
      <c r="C631" s="52"/>
      <c r="D631" s="52"/>
      <c r="E631" s="52"/>
      <c r="F631" s="52"/>
      <c r="G631" s="52"/>
      <c r="H631" s="52"/>
      <c r="I631" s="52"/>
      <c r="J631" s="52"/>
      <c r="K631" s="59"/>
      <c r="L631" s="52"/>
      <c r="M631" s="52" t="str">
        <f>IFERROR(__xludf.DUMMYFUNCTION("""COMPUTED_VALUE"""),"")</f>
        <v/>
      </c>
      <c r="N631" s="52"/>
      <c r="O631" s="52"/>
      <c r="P631" s="52"/>
    </row>
    <row r="632">
      <c r="A632" s="58"/>
      <c r="B632" s="52"/>
      <c r="C632" s="52"/>
      <c r="D632" s="52"/>
      <c r="E632" s="52"/>
      <c r="F632" s="52"/>
      <c r="G632" s="52"/>
      <c r="H632" s="52"/>
      <c r="I632" s="52"/>
      <c r="J632" s="52"/>
      <c r="K632" s="59"/>
      <c r="L632" s="52"/>
      <c r="M632" s="52" t="str">
        <f>IFERROR(__xludf.DUMMYFUNCTION("""COMPUTED_VALUE"""),"")</f>
        <v/>
      </c>
      <c r="N632" s="52"/>
      <c r="O632" s="52"/>
      <c r="P632" s="52"/>
    </row>
    <row r="633">
      <c r="A633" s="58"/>
      <c r="B633" s="52"/>
      <c r="C633" s="52"/>
      <c r="D633" s="52"/>
      <c r="E633" s="52"/>
      <c r="F633" s="52"/>
      <c r="G633" s="52"/>
      <c r="H633" s="52"/>
      <c r="I633" s="52"/>
      <c r="J633" s="52"/>
      <c r="K633" s="59"/>
      <c r="L633" s="52"/>
      <c r="M633" s="52" t="str">
        <f>IFERROR(__xludf.DUMMYFUNCTION("""COMPUTED_VALUE"""),"")</f>
        <v/>
      </c>
      <c r="N633" s="52"/>
      <c r="O633" s="52"/>
      <c r="P633" s="52"/>
    </row>
    <row r="634">
      <c r="A634" s="58"/>
      <c r="B634" s="52"/>
      <c r="C634" s="52"/>
      <c r="D634" s="52"/>
      <c r="E634" s="52"/>
      <c r="F634" s="52"/>
      <c r="G634" s="52"/>
      <c r="H634" s="52"/>
      <c r="I634" s="52"/>
      <c r="J634" s="52"/>
      <c r="K634" s="59"/>
      <c r="L634" s="52"/>
      <c r="M634" s="52" t="str">
        <f>IFERROR(__xludf.DUMMYFUNCTION("""COMPUTED_VALUE"""),"")</f>
        <v/>
      </c>
      <c r="N634" s="52"/>
      <c r="O634" s="52"/>
      <c r="P634" s="52"/>
    </row>
    <row r="635">
      <c r="A635" s="58"/>
      <c r="B635" s="52"/>
      <c r="C635" s="52"/>
      <c r="D635" s="52"/>
      <c r="E635" s="52"/>
      <c r="F635" s="52"/>
      <c r="G635" s="52"/>
      <c r="H635" s="52"/>
      <c r="I635" s="52"/>
      <c r="J635" s="52"/>
      <c r="K635" s="59"/>
      <c r="L635" s="52"/>
      <c r="M635" s="52" t="str">
        <f>IFERROR(__xludf.DUMMYFUNCTION("""COMPUTED_VALUE"""),"")</f>
        <v/>
      </c>
      <c r="N635" s="52"/>
      <c r="O635" s="52"/>
      <c r="P635" s="52"/>
    </row>
    <row r="636">
      <c r="A636" s="58"/>
      <c r="B636" s="52"/>
      <c r="C636" s="52"/>
      <c r="D636" s="52"/>
      <c r="E636" s="52"/>
      <c r="F636" s="52"/>
      <c r="G636" s="52"/>
      <c r="H636" s="52"/>
      <c r="I636" s="52"/>
      <c r="J636" s="52"/>
      <c r="K636" s="59"/>
      <c r="L636" s="52"/>
      <c r="M636" s="52" t="str">
        <f>IFERROR(__xludf.DUMMYFUNCTION("""COMPUTED_VALUE"""),"")</f>
        <v/>
      </c>
      <c r="N636" s="52"/>
      <c r="O636" s="52"/>
      <c r="P636" s="52"/>
    </row>
    <row r="637">
      <c r="A637" s="58"/>
      <c r="B637" s="52"/>
      <c r="C637" s="52"/>
      <c r="D637" s="52"/>
      <c r="E637" s="52"/>
      <c r="F637" s="52"/>
      <c r="G637" s="52"/>
      <c r="H637" s="52"/>
      <c r="I637" s="52"/>
      <c r="J637" s="52"/>
      <c r="K637" s="59"/>
      <c r="L637" s="52"/>
      <c r="M637" s="52" t="str">
        <f>IFERROR(__xludf.DUMMYFUNCTION("""COMPUTED_VALUE"""),"")</f>
        <v/>
      </c>
      <c r="N637" s="52"/>
      <c r="O637" s="52"/>
      <c r="P637" s="52"/>
    </row>
    <row r="638">
      <c r="A638" s="58"/>
      <c r="B638" s="52"/>
      <c r="C638" s="52"/>
      <c r="D638" s="52"/>
      <c r="E638" s="52"/>
      <c r="F638" s="52"/>
      <c r="G638" s="52"/>
      <c r="H638" s="52"/>
      <c r="I638" s="52"/>
      <c r="J638" s="52"/>
      <c r="K638" s="59"/>
      <c r="L638" s="52"/>
      <c r="M638" s="52" t="str">
        <f>IFERROR(__xludf.DUMMYFUNCTION("""COMPUTED_VALUE"""),"")</f>
        <v/>
      </c>
      <c r="N638" s="52"/>
      <c r="O638" s="52"/>
      <c r="P638" s="52"/>
    </row>
    <row r="639">
      <c r="A639" s="58"/>
      <c r="B639" s="52"/>
      <c r="C639" s="52"/>
      <c r="D639" s="52"/>
      <c r="E639" s="52"/>
      <c r="F639" s="52"/>
      <c r="G639" s="52"/>
      <c r="H639" s="52"/>
      <c r="I639" s="52"/>
      <c r="J639" s="52"/>
      <c r="K639" s="59"/>
      <c r="L639" s="52"/>
      <c r="M639" s="52" t="str">
        <f>IFERROR(__xludf.DUMMYFUNCTION("""COMPUTED_VALUE"""),"")</f>
        <v/>
      </c>
      <c r="N639" s="52"/>
      <c r="O639" s="52"/>
      <c r="P639" s="52"/>
    </row>
    <row r="640">
      <c r="A640" s="58"/>
      <c r="B640" s="52"/>
      <c r="C640" s="52"/>
      <c r="D640" s="52"/>
      <c r="E640" s="52"/>
      <c r="F640" s="52"/>
      <c r="G640" s="52"/>
      <c r="H640" s="52"/>
      <c r="I640" s="52"/>
      <c r="J640" s="52"/>
      <c r="K640" s="59"/>
      <c r="L640" s="52"/>
      <c r="M640" s="52" t="str">
        <f>IFERROR(__xludf.DUMMYFUNCTION("""COMPUTED_VALUE"""),"")</f>
        <v/>
      </c>
      <c r="N640" s="52"/>
      <c r="O640" s="52"/>
      <c r="P640" s="52"/>
    </row>
    <row r="641">
      <c r="A641" s="58"/>
      <c r="B641" s="52"/>
      <c r="C641" s="52"/>
      <c r="D641" s="52"/>
      <c r="E641" s="52"/>
      <c r="F641" s="52"/>
      <c r="G641" s="52"/>
      <c r="H641" s="52"/>
      <c r="I641" s="52"/>
      <c r="J641" s="52"/>
      <c r="K641" s="59"/>
      <c r="L641" s="52"/>
      <c r="M641" s="52" t="str">
        <f>IFERROR(__xludf.DUMMYFUNCTION("""COMPUTED_VALUE"""),"")</f>
        <v/>
      </c>
      <c r="N641" s="52"/>
      <c r="O641" s="52"/>
      <c r="P641" s="52"/>
    </row>
    <row r="642">
      <c r="A642" s="58"/>
      <c r="B642" s="52"/>
      <c r="C642" s="52"/>
      <c r="D642" s="52"/>
      <c r="E642" s="52"/>
      <c r="F642" s="52"/>
      <c r="G642" s="52"/>
      <c r="H642" s="52"/>
      <c r="I642" s="52"/>
      <c r="J642" s="52"/>
      <c r="K642" s="59"/>
      <c r="L642" s="52"/>
      <c r="M642" s="52" t="str">
        <f>IFERROR(__xludf.DUMMYFUNCTION("""COMPUTED_VALUE"""),"")</f>
        <v/>
      </c>
      <c r="N642" s="52"/>
      <c r="O642" s="52"/>
      <c r="P642" s="52"/>
    </row>
    <row r="643">
      <c r="A643" s="58"/>
      <c r="B643" s="52"/>
      <c r="C643" s="52"/>
      <c r="D643" s="52"/>
      <c r="E643" s="52"/>
      <c r="F643" s="52"/>
      <c r="G643" s="52"/>
      <c r="H643" s="52"/>
      <c r="I643" s="52"/>
      <c r="J643" s="52"/>
      <c r="K643" s="59"/>
      <c r="L643" s="52"/>
      <c r="M643" s="52" t="str">
        <f>IFERROR(__xludf.DUMMYFUNCTION("""COMPUTED_VALUE"""),"")</f>
        <v/>
      </c>
      <c r="N643" s="52"/>
      <c r="O643" s="52"/>
      <c r="P643" s="52"/>
    </row>
    <row r="644">
      <c r="A644" s="58"/>
      <c r="B644" s="52"/>
      <c r="C644" s="52"/>
      <c r="D644" s="52"/>
      <c r="E644" s="52"/>
      <c r="F644" s="52"/>
      <c r="G644" s="52"/>
      <c r="H644" s="52"/>
      <c r="I644" s="52"/>
      <c r="J644" s="52"/>
      <c r="K644" s="59"/>
      <c r="L644" s="52"/>
      <c r="M644" s="52" t="str">
        <f>IFERROR(__xludf.DUMMYFUNCTION("""COMPUTED_VALUE"""),"")</f>
        <v/>
      </c>
      <c r="N644" s="52"/>
      <c r="O644" s="52"/>
      <c r="P644" s="52"/>
    </row>
    <row r="645">
      <c r="A645" s="58"/>
      <c r="B645" s="52"/>
      <c r="C645" s="52"/>
      <c r="D645" s="52"/>
      <c r="E645" s="52"/>
      <c r="F645" s="52"/>
      <c r="G645" s="52"/>
      <c r="H645" s="52"/>
      <c r="I645" s="52"/>
      <c r="J645" s="52"/>
      <c r="K645" s="59"/>
      <c r="L645" s="52"/>
      <c r="M645" s="52" t="str">
        <f>IFERROR(__xludf.DUMMYFUNCTION("""COMPUTED_VALUE"""),"")</f>
        <v/>
      </c>
      <c r="N645" s="52"/>
      <c r="O645" s="52"/>
      <c r="P645" s="52"/>
    </row>
    <row r="646">
      <c r="A646" s="58"/>
      <c r="B646" s="52"/>
      <c r="C646" s="52"/>
      <c r="D646" s="52"/>
      <c r="E646" s="52"/>
      <c r="F646" s="52"/>
      <c r="G646" s="52"/>
      <c r="H646" s="52"/>
      <c r="I646" s="52"/>
      <c r="J646" s="52"/>
      <c r="K646" s="59"/>
      <c r="L646" s="52"/>
      <c r="M646" s="52" t="str">
        <f>IFERROR(__xludf.DUMMYFUNCTION("""COMPUTED_VALUE"""),"")</f>
        <v/>
      </c>
      <c r="N646" s="52"/>
      <c r="O646" s="52"/>
      <c r="P646" s="52"/>
    </row>
    <row r="647">
      <c r="A647" s="58"/>
      <c r="B647" s="52"/>
      <c r="C647" s="52"/>
      <c r="D647" s="52"/>
      <c r="E647" s="52"/>
      <c r="F647" s="52"/>
      <c r="G647" s="52"/>
      <c r="H647" s="52"/>
      <c r="I647" s="52"/>
      <c r="J647" s="52"/>
      <c r="K647" s="59"/>
      <c r="L647" s="52"/>
      <c r="M647" s="52" t="str">
        <f>IFERROR(__xludf.DUMMYFUNCTION("""COMPUTED_VALUE"""),"")</f>
        <v/>
      </c>
      <c r="N647" s="52"/>
      <c r="O647" s="52"/>
      <c r="P647" s="52"/>
    </row>
    <row r="648">
      <c r="A648" s="58"/>
      <c r="B648" s="52"/>
      <c r="C648" s="52"/>
      <c r="D648" s="52"/>
      <c r="E648" s="52"/>
      <c r="F648" s="52"/>
      <c r="G648" s="52"/>
      <c r="H648" s="52"/>
      <c r="I648" s="52"/>
      <c r="J648" s="52"/>
      <c r="K648" s="59"/>
      <c r="L648" s="52"/>
      <c r="M648" s="52" t="str">
        <f>IFERROR(__xludf.DUMMYFUNCTION("""COMPUTED_VALUE"""),"")</f>
        <v/>
      </c>
      <c r="N648" s="52"/>
      <c r="O648" s="52"/>
      <c r="P648" s="52"/>
    </row>
    <row r="649">
      <c r="A649" s="58"/>
      <c r="B649" s="52"/>
      <c r="C649" s="52"/>
      <c r="D649" s="52"/>
      <c r="E649" s="52"/>
      <c r="F649" s="52"/>
      <c r="G649" s="52"/>
      <c r="H649" s="52"/>
      <c r="I649" s="52"/>
      <c r="J649" s="52"/>
      <c r="K649" s="59"/>
      <c r="L649" s="52"/>
      <c r="M649" s="52" t="str">
        <f>IFERROR(__xludf.DUMMYFUNCTION("""COMPUTED_VALUE"""),"")</f>
        <v/>
      </c>
      <c r="N649" s="52"/>
      <c r="O649" s="52"/>
      <c r="P649" s="52"/>
    </row>
    <row r="650">
      <c r="A650" s="58"/>
      <c r="B650" s="52"/>
      <c r="C650" s="52"/>
      <c r="D650" s="52"/>
      <c r="E650" s="52"/>
      <c r="F650" s="52"/>
      <c r="G650" s="52"/>
      <c r="H650" s="52"/>
      <c r="I650" s="52"/>
      <c r="J650" s="52"/>
      <c r="K650" s="59"/>
      <c r="L650" s="52"/>
      <c r="M650" s="52" t="str">
        <f>IFERROR(__xludf.DUMMYFUNCTION("""COMPUTED_VALUE"""),"")</f>
        <v/>
      </c>
      <c r="N650" s="52"/>
      <c r="O650" s="52"/>
      <c r="P650" s="52"/>
    </row>
    <row r="651">
      <c r="A651" s="58"/>
      <c r="B651" s="52"/>
      <c r="C651" s="52"/>
      <c r="D651" s="52"/>
      <c r="E651" s="52"/>
      <c r="F651" s="52"/>
      <c r="G651" s="52"/>
      <c r="H651" s="52"/>
      <c r="I651" s="52"/>
      <c r="J651" s="52"/>
      <c r="K651" s="59"/>
      <c r="L651" s="52"/>
      <c r="M651" s="52" t="str">
        <f>IFERROR(__xludf.DUMMYFUNCTION("""COMPUTED_VALUE"""),"")</f>
        <v/>
      </c>
      <c r="N651" s="52"/>
      <c r="O651" s="52"/>
      <c r="P651" s="52"/>
    </row>
    <row r="652">
      <c r="A652" s="58"/>
      <c r="B652" s="52"/>
      <c r="C652" s="52"/>
      <c r="D652" s="52"/>
      <c r="E652" s="52"/>
      <c r="F652" s="52"/>
      <c r="G652" s="52"/>
      <c r="H652" s="52"/>
      <c r="I652" s="52"/>
      <c r="J652" s="52"/>
      <c r="K652" s="59"/>
      <c r="L652" s="52"/>
      <c r="M652" s="52" t="str">
        <f>IFERROR(__xludf.DUMMYFUNCTION("""COMPUTED_VALUE"""),"")</f>
        <v/>
      </c>
      <c r="N652" s="52"/>
      <c r="O652" s="52"/>
      <c r="P652" s="52"/>
    </row>
    <row r="653">
      <c r="A653" s="58"/>
      <c r="B653" s="52"/>
      <c r="C653" s="52"/>
      <c r="D653" s="52"/>
      <c r="E653" s="52"/>
      <c r="F653" s="52"/>
      <c r="G653" s="52"/>
      <c r="H653" s="52"/>
      <c r="I653" s="52"/>
      <c r="J653" s="52"/>
      <c r="K653" s="59"/>
      <c r="L653" s="52"/>
      <c r="M653" s="52" t="str">
        <f>IFERROR(__xludf.DUMMYFUNCTION("""COMPUTED_VALUE"""),"")</f>
        <v/>
      </c>
      <c r="N653" s="52"/>
      <c r="O653" s="52"/>
      <c r="P653" s="52"/>
    </row>
    <row r="654">
      <c r="A654" s="58"/>
      <c r="B654" s="52"/>
      <c r="C654" s="52"/>
      <c r="D654" s="52"/>
      <c r="E654" s="52"/>
      <c r="F654" s="52"/>
      <c r="G654" s="52"/>
      <c r="H654" s="52"/>
      <c r="I654" s="52"/>
      <c r="J654" s="52"/>
      <c r="K654" s="59"/>
      <c r="L654" s="52"/>
      <c r="M654" s="52" t="str">
        <f>IFERROR(__xludf.DUMMYFUNCTION("""COMPUTED_VALUE"""),"")</f>
        <v/>
      </c>
      <c r="N654" s="52"/>
      <c r="O654" s="52"/>
      <c r="P654" s="52"/>
    </row>
    <row r="655">
      <c r="A655" s="58"/>
      <c r="B655" s="52"/>
      <c r="C655" s="52"/>
      <c r="D655" s="52"/>
      <c r="E655" s="52"/>
      <c r="F655" s="52"/>
      <c r="G655" s="52"/>
      <c r="H655" s="52"/>
      <c r="I655" s="52"/>
      <c r="J655" s="52"/>
      <c r="K655" s="59"/>
      <c r="L655" s="52"/>
      <c r="M655" s="52" t="str">
        <f>IFERROR(__xludf.DUMMYFUNCTION("""COMPUTED_VALUE"""),"")</f>
        <v/>
      </c>
      <c r="N655" s="52"/>
      <c r="O655" s="52"/>
      <c r="P655" s="52"/>
    </row>
    <row r="656">
      <c r="A656" s="58"/>
      <c r="B656" s="52"/>
      <c r="C656" s="52"/>
      <c r="D656" s="52"/>
      <c r="E656" s="52"/>
      <c r="F656" s="52"/>
      <c r="G656" s="52"/>
      <c r="H656" s="52"/>
      <c r="I656" s="52"/>
      <c r="J656" s="52"/>
      <c r="K656" s="59"/>
      <c r="L656" s="52"/>
      <c r="M656" s="52" t="str">
        <f>IFERROR(__xludf.DUMMYFUNCTION("""COMPUTED_VALUE"""),"")</f>
        <v/>
      </c>
      <c r="N656" s="52"/>
      <c r="O656" s="52"/>
      <c r="P656" s="52"/>
    </row>
    <row r="657">
      <c r="A657" s="58"/>
      <c r="B657" s="52"/>
      <c r="C657" s="52"/>
      <c r="D657" s="52"/>
      <c r="E657" s="52"/>
      <c r="F657" s="52"/>
      <c r="G657" s="52"/>
      <c r="H657" s="52"/>
      <c r="I657" s="52"/>
      <c r="J657" s="52"/>
      <c r="K657" s="59"/>
      <c r="L657" s="52"/>
      <c r="M657" s="52" t="str">
        <f>IFERROR(__xludf.DUMMYFUNCTION("""COMPUTED_VALUE"""),"")</f>
        <v/>
      </c>
      <c r="N657" s="52"/>
      <c r="O657" s="52"/>
      <c r="P657" s="52"/>
    </row>
    <row r="658">
      <c r="A658" s="58"/>
      <c r="B658" s="52"/>
      <c r="C658" s="52"/>
      <c r="D658" s="52"/>
      <c r="E658" s="52"/>
      <c r="F658" s="52"/>
      <c r="G658" s="52"/>
      <c r="H658" s="52"/>
      <c r="I658" s="52"/>
      <c r="J658" s="52"/>
      <c r="K658" s="59"/>
      <c r="L658" s="52"/>
      <c r="M658" s="52" t="str">
        <f>IFERROR(__xludf.DUMMYFUNCTION("""COMPUTED_VALUE"""),"")</f>
        <v/>
      </c>
      <c r="N658" s="52"/>
      <c r="O658" s="52"/>
      <c r="P658" s="52"/>
    </row>
    <row r="659">
      <c r="A659" s="58"/>
      <c r="B659" s="52"/>
      <c r="C659" s="52"/>
      <c r="D659" s="52"/>
      <c r="E659" s="52"/>
      <c r="F659" s="52"/>
      <c r="G659" s="52"/>
      <c r="H659" s="52"/>
      <c r="I659" s="52"/>
      <c r="J659" s="52"/>
      <c r="K659" s="59"/>
      <c r="L659" s="52"/>
      <c r="M659" s="52" t="str">
        <f>IFERROR(__xludf.DUMMYFUNCTION("""COMPUTED_VALUE"""),"")</f>
        <v/>
      </c>
      <c r="N659" s="52"/>
      <c r="O659" s="52"/>
      <c r="P659" s="52"/>
    </row>
    <row r="660">
      <c r="A660" s="58"/>
      <c r="B660" s="52"/>
      <c r="C660" s="52"/>
      <c r="D660" s="52"/>
      <c r="E660" s="52"/>
      <c r="F660" s="52"/>
      <c r="G660" s="52"/>
      <c r="H660" s="52"/>
      <c r="I660" s="52"/>
      <c r="J660" s="52"/>
      <c r="K660" s="59"/>
      <c r="L660" s="52"/>
      <c r="M660" s="52" t="str">
        <f>IFERROR(__xludf.DUMMYFUNCTION("""COMPUTED_VALUE"""),"")</f>
        <v/>
      </c>
      <c r="N660" s="52"/>
      <c r="O660" s="52"/>
      <c r="P660" s="52"/>
    </row>
    <row r="661">
      <c r="A661" s="58"/>
      <c r="B661" s="52"/>
      <c r="C661" s="52"/>
      <c r="D661" s="52"/>
      <c r="E661" s="52"/>
      <c r="F661" s="52"/>
      <c r="G661" s="52"/>
      <c r="H661" s="52"/>
      <c r="I661" s="52"/>
      <c r="J661" s="52"/>
      <c r="K661" s="59"/>
      <c r="L661" s="52"/>
      <c r="M661" s="52" t="str">
        <f>IFERROR(__xludf.DUMMYFUNCTION("""COMPUTED_VALUE"""),"")</f>
        <v/>
      </c>
      <c r="N661" s="52"/>
      <c r="O661" s="52"/>
      <c r="P661" s="52"/>
    </row>
    <row r="662">
      <c r="A662" s="58"/>
      <c r="B662" s="52"/>
      <c r="C662" s="52"/>
      <c r="D662" s="52"/>
      <c r="E662" s="52"/>
      <c r="F662" s="52"/>
      <c r="G662" s="52"/>
      <c r="H662" s="52"/>
      <c r="I662" s="52"/>
      <c r="J662" s="52"/>
      <c r="K662" s="59"/>
      <c r="L662" s="52"/>
      <c r="M662" s="52" t="str">
        <f>IFERROR(__xludf.DUMMYFUNCTION("""COMPUTED_VALUE"""),"")</f>
        <v/>
      </c>
      <c r="N662" s="52"/>
      <c r="O662" s="52"/>
      <c r="P662" s="52"/>
    </row>
    <row r="663">
      <c r="A663" s="58"/>
      <c r="B663" s="52"/>
      <c r="C663" s="52"/>
      <c r="D663" s="52"/>
      <c r="E663" s="52"/>
      <c r="F663" s="52"/>
      <c r="G663" s="52"/>
      <c r="H663" s="52"/>
      <c r="I663" s="52"/>
      <c r="J663" s="52"/>
      <c r="K663" s="59"/>
      <c r="L663" s="52"/>
      <c r="M663" s="52" t="str">
        <f>IFERROR(__xludf.DUMMYFUNCTION("""COMPUTED_VALUE"""),"")</f>
        <v/>
      </c>
      <c r="N663" s="52"/>
      <c r="O663" s="52"/>
      <c r="P663" s="52"/>
    </row>
    <row r="664">
      <c r="A664" s="58"/>
      <c r="B664" s="52"/>
      <c r="C664" s="52"/>
      <c r="D664" s="52"/>
      <c r="E664" s="52"/>
      <c r="F664" s="52"/>
      <c r="G664" s="52"/>
      <c r="H664" s="52"/>
      <c r="I664" s="52"/>
      <c r="J664" s="52"/>
      <c r="K664" s="59"/>
      <c r="L664" s="52"/>
      <c r="M664" s="52" t="str">
        <f>IFERROR(__xludf.DUMMYFUNCTION("""COMPUTED_VALUE"""),"")</f>
        <v/>
      </c>
      <c r="N664" s="52"/>
      <c r="O664" s="52"/>
      <c r="P664" s="52"/>
    </row>
    <row r="665">
      <c r="A665" s="58"/>
      <c r="B665" s="52"/>
      <c r="C665" s="52"/>
      <c r="D665" s="52"/>
      <c r="E665" s="52"/>
      <c r="F665" s="52"/>
      <c r="G665" s="52"/>
      <c r="H665" s="52"/>
      <c r="I665" s="52"/>
      <c r="J665" s="52"/>
      <c r="K665" s="59"/>
      <c r="L665" s="52"/>
      <c r="M665" s="52" t="str">
        <f>IFERROR(__xludf.DUMMYFUNCTION("""COMPUTED_VALUE"""),"")</f>
        <v/>
      </c>
      <c r="N665" s="52"/>
      <c r="O665" s="52"/>
      <c r="P665" s="52"/>
    </row>
    <row r="666">
      <c r="A666" s="58"/>
      <c r="B666" s="52"/>
      <c r="C666" s="52"/>
      <c r="D666" s="52"/>
      <c r="E666" s="52"/>
      <c r="F666" s="52"/>
      <c r="G666" s="52"/>
      <c r="H666" s="52"/>
      <c r="I666" s="52"/>
      <c r="J666" s="52"/>
      <c r="K666" s="59"/>
      <c r="L666" s="52"/>
      <c r="M666" s="52" t="str">
        <f>IFERROR(__xludf.DUMMYFUNCTION("""COMPUTED_VALUE"""),"")</f>
        <v/>
      </c>
      <c r="N666" s="52"/>
      <c r="O666" s="52"/>
      <c r="P666" s="52"/>
    </row>
    <row r="667">
      <c r="A667" s="58"/>
      <c r="B667" s="52"/>
      <c r="C667" s="52"/>
      <c r="D667" s="52"/>
      <c r="E667" s="52"/>
      <c r="F667" s="52"/>
      <c r="G667" s="52"/>
      <c r="H667" s="52"/>
      <c r="I667" s="52"/>
      <c r="J667" s="52"/>
      <c r="K667" s="59"/>
      <c r="L667" s="52"/>
      <c r="M667" s="52" t="str">
        <f>IFERROR(__xludf.DUMMYFUNCTION("""COMPUTED_VALUE"""),"")</f>
        <v/>
      </c>
      <c r="N667" s="52"/>
      <c r="O667" s="52"/>
      <c r="P667" s="52"/>
    </row>
    <row r="668">
      <c r="A668" s="58"/>
      <c r="B668" s="52"/>
      <c r="C668" s="52"/>
      <c r="D668" s="52"/>
      <c r="E668" s="52"/>
      <c r="F668" s="52"/>
      <c r="G668" s="52"/>
      <c r="H668" s="52"/>
      <c r="I668" s="52"/>
      <c r="J668" s="52"/>
      <c r="K668" s="59"/>
      <c r="L668" s="52"/>
      <c r="M668" s="52" t="str">
        <f>IFERROR(__xludf.DUMMYFUNCTION("""COMPUTED_VALUE"""),"")</f>
        <v/>
      </c>
      <c r="N668" s="52"/>
      <c r="O668" s="52"/>
      <c r="P668" s="52"/>
    </row>
    <row r="669">
      <c r="A669" s="58"/>
      <c r="B669" s="52"/>
      <c r="C669" s="52"/>
      <c r="D669" s="52"/>
      <c r="E669" s="52"/>
      <c r="F669" s="52"/>
      <c r="G669" s="52"/>
      <c r="H669" s="52"/>
      <c r="I669" s="52"/>
      <c r="J669" s="52"/>
      <c r="K669" s="59"/>
      <c r="L669" s="52"/>
      <c r="M669" s="52" t="str">
        <f>IFERROR(__xludf.DUMMYFUNCTION("""COMPUTED_VALUE"""),"")</f>
        <v/>
      </c>
      <c r="N669" s="52"/>
      <c r="O669" s="52"/>
      <c r="P669" s="52"/>
    </row>
    <row r="670">
      <c r="A670" s="58"/>
      <c r="B670" s="52"/>
      <c r="C670" s="52"/>
      <c r="D670" s="52"/>
      <c r="E670" s="52"/>
      <c r="F670" s="52"/>
      <c r="G670" s="52"/>
      <c r="H670" s="52"/>
      <c r="I670" s="52"/>
      <c r="J670" s="52"/>
      <c r="K670" s="59"/>
      <c r="L670" s="52"/>
      <c r="M670" s="52" t="str">
        <f>IFERROR(__xludf.DUMMYFUNCTION("""COMPUTED_VALUE"""),"")</f>
        <v/>
      </c>
      <c r="N670" s="52"/>
      <c r="O670" s="52"/>
      <c r="P670" s="52"/>
    </row>
    <row r="671">
      <c r="A671" s="58"/>
      <c r="B671" s="52"/>
      <c r="C671" s="52"/>
      <c r="D671" s="52"/>
      <c r="E671" s="52"/>
      <c r="F671" s="52"/>
      <c r="G671" s="52"/>
      <c r="H671" s="52"/>
      <c r="I671" s="52"/>
      <c r="J671" s="52"/>
      <c r="K671" s="59"/>
      <c r="L671" s="52"/>
      <c r="M671" s="52" t="str">
        <f>IFERROR(__xludf.DUMMYFUNCTION("""COMPUTED_VALUE"""),"")</f>
        <v/>
      </c>
      <c r="N671" s="52"/>
      <c r="O671" s="52"/>
      <c r="P671" s="52"/>
    </row>
    <row r="672">
      <c r="A672" s="58"/>
      <c r="B672" s="52"/>
      <c r="C672" s="52"/>
      <c r="D672" s="52"/>
      <c r="E672" s="52"/>
      <c r="F672" s="52"/>
      <c r="G672" s="52"/>
      <c r="H672" s="52"/>
      <c r="I672" s="52"/>
      <c r="J672" s="52"/>
      <c r="K672" s="59"/>
      <c r="L672" s="52"/>
      <c r="M672" s="52" t="str">
        <f>IFERROR(__xludf.DUMMYFUNCTION("""COMPUTED_VALUE"""),"")</f>
        <v/>
      </c>
      <c r="N672" s="52"/>
      <c r="O672" s="52"/>
      <c r="P672" s="52"/>
    </row>
    <row r="673">
      <c r="A673" s="58"/>
      <c r="B673" s="52"/>
      <c r="C673" s="52"/>
      <c r="D673" s="52"/>
      <c r="E673" s="52"/>
      <c r="F673" s="52"/>
      <c r="G673" s="52"/>
      <c r="H673" s="52"/>
      <c r="I673" s="52"/>
      <c r="J673" s="52"/>
      <c r="K673" s="59"/>
      <c r="L673" s="52"/>
      <c r="M673" s="52" t="str">
        <f>IFERROR(__xludf.DUMMYFUNCTION("""COMPUTED_VALUE"""),"")</f>
        <v/>
      </c>
      <c r="N673" s="52"/>
      <c r="O673" s="52"/>
      <c r="P673" s="52"/>
    </row>
    <row r="674">
      <c r="A674" s="58"/>
      <c r="B674" s="52"/>
      <c r="C674" s="52"/>
      <c r="D674" s="52"/>
      <c r="E674" s="52"/>
      <c r="F674" s="52"/>
      <c r="G674" s="52"/>
      <c r="H674" s="52"/>
      <c r="I674" s="52"/>
      <c r="J674" s="52"/>
      <c r="K674" s="59"/>
      <c r="L674" s="52"/>
      <c r="M674" s="52" t="str">
        <f>IFERROR(__xludf.DUMMYFUNCTION("""COMPUTED_VALUE"""),"")</f>
        <v/>
      </c>
      <c r="N674" s="52"/>
      <c r="O674" s="52"/>
      <c r="P674" s="52"/>
    </row>
    <row r="675">
      <c r="A675" s="58"/>
      <c r="B675" s="52"/>
      <c r="C675" s="52"/>
      <c r="D675" s="52"/>
      <c r="E675" s="52"/>
      <c r="F675" s="52"/>
      <c r="G675" s="52"/>
      <c r="H675" s="52"/>
      <c r="I675" s="52"/>
      <c r="J675" s="52"/>
      <c r="K675" s="59"/>
      <c r="L675" s="52"/>
      <c r="M675" s="52" t="str">
        <f>IFERROR(__xludf.DUMMYFUNCTION("""COMPUTED_VALUE"""),"")</f>
        <v/>
      </c>
      <c r="N675" s="52"/>
      <c r="O675" s="52"/>
      <c r="P675" s="52"/>
    </row>
    <row r="676">
      <c r="A676" s="58"/>
      <c r="B676" s="52"/>
      <c r="C676" s="52"/>
      <c r="D676" s="52"/>
      <c r="E676" s="52"/>
      <c r="F676" s="52"/>
      <c r="G676" s="52"/>
      <c r="H676" s="52"/>
      <c r="I676" s="52"/>
      <c r="J676" s="52"/>
      <c r="K676" s="59"/>
      <c r="L676" s="52"/>
      <c r="M676" s="52" t="str">
        <f>IFERROR(__xludf.DUMMYFUNCTION("""COMPUTED_VALUE"""),"")</f>
        <v/>
      </c>
      <c r="N676" s="52"/>
      <c r="O676" s="52"/>
      <c r="P676" s="52"/>
    </row>
    <row r="677">
      <c r="A677" s="58"/>
      <c r="B677" s="52"/>
      <c r="C677" s="52"/>
      <c r="D677" s="52"/>
      <c r="E677" s="52"/>
      <c r="F677" s="52"/>
      <c r="G677" s="52"/>
      <c r="H677" s="52"/>
      <c r="I677" s="52"/>
      <c r="J677" s="52"/>
      <c r="K677" s="59"/>
      <c r="L677" s="52"/>
      <c r="M677" s="52" t="str">
        <f>IFERROR(__xludf.DUMMYFUNCTION("""COMPUTED_VALUE"""),"")</f>
        <v/>
      </c>
      <c r="N677" s="52"/>
      <c r="O677" s="52"/>
      <c r="P677" s="52"/>
    </row>
    <row r="678">
      <c r="A678" s="58"/>
      <c r="B678" s="52"/>
      <c r="C678" s="52"/>
      <c r="D678" s="52"/>
      <c r="E678" s="52"/>
      <c r="F678" s="52"/>
      <c r="G678" s="52"/>
      <c r="H678" s="52"/>
      <c r="I678" s="52"/>
      <c r="J678" s="52"/>
      <c r="K678" s="59"/>
      <c r="L678" s="52"/>
      <c r="M678" s="52" t="str">
        <f>IFERROR(__xludf.DUMMYFUNCTION("""COMPUTED_VALUE"""),"")</f>
        <v/>
      </c>
      <c r="N678" s="52"/>
      <c r="O678" s="52"/>
      <c r="P678" s="52"/>
    </row>
    <row r="679">
      <c r="A679" s="58"/>
      <c r="B679" s="52"/>
      <c r="C679" s="52"/>
      <c r="D679" s="52"/>
      <c r="E679" s="52"/>
      <c r="F679" s="52"/>
      <c r="G679" s="52"/>
      <c r="H679" s="52"/>
      <c r="I679" s="52"/>
      <c r="J679" s="52"/>
      <c r="K679" s="59"/>
      <c r="L679" s="52"/>
      <c r="M679" s="52" t="str">
        <f>IFERROR(__xludf.DUMMYFUNCTION("""COMPUTED_VALUE"""),"")</f>
        <v/>
      </c>
      <c r="N679" s="52"/>
      <c r="O679" s="52"/>
      <c r="P679" s="52"/>
    </row>
    <row r="680">
      <c r="A680" s="58"/>
      <c r="B680" s="52"/>
      <c r="C680" s="52"/>
      <c r="D680" s="52"/>
      <c r="E680" s="52"/>
      <c r="F680" s="52"/>
      <c r="G680" s="52"/>
      <c r="H680" s="52"/>
      <c r="I680" s="52"/>
      <c r="J680" s="52"/>
      <c r="K680" s="59"/>
      <c r="L680" s="52"/>
      <c r="M680" s="52" t="str">
        <f>IFERROR(__xludf.DUMMYFUNCTION("""COMPUTED_VALUE"""),"")</f>
        <v/>
      </c>
      <c r="N680" s="52"/>
      <c r="O680" s="52"/>
      <c r="P680" s="52"/>
    </row>
    <row r="681">
      <c r="A681" s="58"/>
      <c r="B681" s="52"/>
      <c r="C681" s="52"/>
      <c r="D681" s="52"/>
      <c r="E681" s="52"/>
      <c r="F681" s="52"/>
      <c r="G681" s="52"/>
      <c r="H681" s="52"/>
      <c r="I681" s="52"/>
      <c r="J681" s="52"/>
      <c r="K681" s="59"/>
      <c r="L681" s="52"/>
      <c r="M681" s="52" t="str">
        <f>IFERROR(__xludf.DUMMYFUNCTION("""COMPUTED_VALUE"""),"")</f>
        <v/>
      </c>
      <c r="N681" s="52"/>
      <c r="O681" s="52"/>
      <c r="P681" s="52"/>
    </row>
    <row r="682">
      <c r="A682" s="58"/>
      <c r="B682" s="52"/>
      <c r="C682" s="52"/>
      <c r="D682" s="52"/>
      <c r="E682" s="52"/>
      <c r="F682" s="52"/>
      <c r="G682" s="52"/>
      <c r="H682" s="52"/>
      <c r="I682" s="52"/>
      <c r="J682" s="52"/>
      <c r="K682" s="59"/>
      <c r="L682" s="52"/>
      <c r="M682" s="52" t="str">
        <f>IFERROR(__xludf.DUMMYFUNCTION("""COMPUTED_VALUE"""),"")</f>
        <v/>
      </c>
      <c r="N682" s="52"/>
      <c r="O682" s="52"/>
      <c r="P682" s="52"/>
    </row>
    <row r="683">
      <c r="A683" s="58"/>
      <c r="B683" s="52"/>
      <c r="C683" s="52"/>
      <c r="D683" s="52"/>
      <c r="E683" s="52"/>
      <c r="F683" s="52"/>
      <c r="G683" s="52"/>
      <c r="H683" s="52"/>
      <c r="I683" s="52"/>
      <c r="J683" s="52"/>
      <c r="K683" s="59"/>
      <c r="L683" s="52"/>
      <c r="M683" s="52" t="str">
        <f>IFERROR(__xludf.DUMMYFUNCTION("""COMPUTED_VALUE"""),"")</f>
        <v/>
      </c>
      <c r="N683" s="52"/>
      <c r="O683" s="52"/>
      <c r="P683" s="52"/>
    </row>
    <row r="684">
      <c r="A684" s="58"/>
      <c r="B684" s="52"/>
      <c r="C684" s="52"/>
      <c r="D684" s="52"/>
      <c r="E684" s="52"/>
      <c r="F684" s="52"/>
      <c r="G684" s="52"/>
      <c r="H684" s="52"/>
      <c r="I684" s="52"/>
      <c r="J684" s="52"/>
      <c r="K684" s="59"/>
      <c r="L684" s="52"/>
      <c r="M684" s="52" t="str">
        <f>IFERROR(__xludf.DUMMYFUNCTION("""COMPUTED_VALUE"""),"")</f>
        <v/>
      </c>
      <c r="N684" s="52"/>
      <c r="O684" s="52"/>
      <c r="P684" s="52"/>
    </row>
    <row r="685">
      <c r="A685" s="58"/>
      <c r="B685" s="52"/>
      <c r="C685" s="52"/>
      <c r="D685" s="52"/>
      <c r="E685" s="52"/>
      <c r="F685" s="52"/>
      <c r="G685" s="52"/>
      <c r="H685" s="52"/>
      <c r="I685" s="52"/>
      <c r="J685" s="52"/>
      <c r="K685" s="59"/>
      <c r="L685" s="52"/>
      <c r="M685" s="52" t="str">
        <f>IFERROR(__xludf.DUMMYFUNCTION("""COMPUTED_VALUE"""),"")</f>
        <v/>
      </c>
      <c r="N685" s="52"/>
      <c r="O685" s="52"/>
      <c r="P685" s="52"/>
    </row>
    <row r="686">
      <c r="A686" s="58"/>
      <c r="B686" s="52"/>
      <c r="C686" s="52"/>
      <c r="D686" s="52"/>
      <c r="E686" s="52"/>
      <c r="F686" s="52"/>
      <c r="G686" s="52"/>
      <c r="H686" s="52"/>
      <c r="I686" s="52"/>
      <c r="J686" s="52"/>
      <c r="K686" s="59"/>
      <c r="L686" s="52"/>
      <c r="M686" s="52" t="str">
        <f>IFERROR(__xludf.DUMMYFUNCTION("""COMPUTED_VALUE"""),"")</f>
        <v/>
      </c>
      <c r="N686" s="52"/>
      <c r="O686" s="52"/>
      <c r="P686" s="52"/>
    </row>
    <row r="687">
      <c r="A687" s="58"/>
      <c r="B687" s="52"/>
      <c r="C687" s="52"/>
      <c r="D687" s="52"/>
      <c r="E687" s="52"/>
      <c r="F687" s="52"/>
      <c r="G687" s="52"/>
      <c r="H687" s="52"/>
      <c r="I687" s="52"/>
      <c r="J687" s="52"/>
      <c r="K687" s="59"/>
      <c r="L687" s="52"/>
      <c r="M687" s="52" t="str">
        <f>IFERROR(__xludf.DUMMYFUNCTION("""COMPUTED_VALUE"""),"")</f>
        <v/>
      </c>
      <c r="N687" s="52"/>
      <c r="O687" s="52"/>
      <c r="P687" s="52"/>
    </row>
    <row r="688">
      <c r="A688" s="58"/>
      <c r="B688" s="52"/>
      <c r="C688" s="52"/>
      <c r="D688" s="52"/>
      <c r="E688" s="52"/>
      <c r="F688" s="52"/>
      <c r="G688" s="52"/>
      <c r="H688" s="52"/>
      <c r="I688" s="52"/>
      <c r="J688" s="52"/>
      <c r="K688" s="59"/>
      <c r="L688" s="52"/>
      <c r="M688" s="52" t="str">
        <f>IFERROR(__xludf.DUMMYFUNCTION("""COMPUTED_VALUE"""),"")</f>
        <v/>
      </c>
      <c r="N688" s="52"/>
      <c r="O688" s="52"/>
      <c r="P688" s="52"/>
    </row>
    <row r="689">
      <c r="A689" s="58"/>
      <c r="B689" s="52"/>
      <c r="C689" s="52"/>
      <c r="D689" s="52"/>
      <c r="E689" s="52"/>
      <c r="F689" s="52"/>
      <c r="G689" s="52"/>
      <c r="H689" s="52"/>
      <c r="I689" s="52"/>
      <c r="J689" s="52"/>
      <c r="K689" s="59"/>
      <c r="L689" s="52"/>
      <c r="M689" s="52" t="str">
        <f>IFERROR(__xludf.DUMMYFUNCTION("""COMPUTED_VALUE"""),"")</f>
        <v/>
      </c>
      <c r="N689" s="52"/>
      <c r="O689" s="52"/>
      <c r="P689" s="52"/>
    </row>
    <row r="690">
      <c r="A690" s="58"/>
      <c r="B690" s="52"/>
      <c r="C690" s="52"/>
      <c r="D690" s="52"/>
      <c r="E690" s="52"/>
      <c r="F690" s="52"/>
      <c r="G690" s="52"/>
      <c r="H690" s="52"/>
      <c r="I690" s="52"/>
      <c r="J690" s="52"/>
      <c r="K690" s="59"/>
      <c r="L690" s="52"/>
      <c r="M690" s="52" t="str">
        <f>IFERROR(__xludf.DUMMYFUNCTION("""COMPUTED_VALUE"""),"")</f>
        <v/>
      </c>
      <c r="N690" s="52"/>
      <c r="O690" s="52"/>
      <c r="P690" s="52"/>
    </row>
    <row r="691">
      <c r="A691" s="58"/>
      <c r="B691" s="52"/>
      <c r="C691" s="52"/>
      <c r="D691" s="52"/>
      <c r="E691" s="52"/>
      <c r="F691" s="52"/>
      <c r="G691" s="52"/>
      <c r="H691" s="52"/>
      <c r="I691" s="52"/>
      <c r="J691" s="52"/>
      <c r="K691" s="59"/>
      <c r="L691" s="52"/>
      <c r="M691" s="52" t="str">
        <f>IFERROR(__xludf.DUMMYFUNCTION("""COMPUTED_VALUE"""),"")</f>
        <v/>
      </c>
      <c r="N691" s="52"/>
      <c r="O691" s="52"/>
      <c r="P691" s="52"/>
    </row>
    <row r="692">
      <c r="A692" s="58"/>
      <c r="B692" s="52"/>
      <c r="C692" s="52"/>
      <c r="D692" s="52"/>
      <c r="E692" s="52"/>
      <c r="F692" s="52"/>
      <c r="G692" s="52"/>
      <c r="H692" s="52"/>
      <c r="I692" s="52"/>
      <c r="J692" s="52"/>
      <c r="K692" s="59"/>
      <c r="L692" s="52"/>
      <c r="M692" s="52" t="str">
        <f>IFERROR(__xludf.DUMMYFUNCTION("""COMPUTED_VALUE"""),"")</f>
        <v/>
      </c>
      <c r="N692" s="52"/>
      <c r="O692" s="52"/>
      <c r="P692" s="52"/>
    </row>
    <row r="693">
      <c r="A693" s="58"/>
      <c r="B693" s="52"/>
      <c r="C693" s="52"/>
      <c r="D693" s="52"/>
      <c r="E693" s="52"/>
      <c r="F693" s="52"/>
      <c r="G693" s="52"/>
      <c r="H693" s="52"/>
      <c r="I693" s="52"/>
      <c r="J693" s="52"/>
      <c r="K693" s="59"/>
      <c r="L693" s="52"/>
      <c r="M693" s="52" t="str">
        <f>IFERROR(__xludf.DUMMYFUNCTION("""COMPUTED_VALUE"""),"")</f>
        <v/>
      </c>
      <c r="N693" s="52"/>
      <c r="O693" s="52"/>
      <c r="P693" s="52"/>
    </row>
    <row r="694">
      <c r="A694" s="58"/>
      <c r="B694" s="52"/>
      <c r="C694" s="52"/>
      <c r="D694" s="52"/>
      <c r="E694" s="52"/>
      <c r="F694" s="52"/>
      <c r="G694" s="52"/>
      <c r="H694" s="52"/>
      <c r="I694" s="52"/>
      <c r="J694" s="52"/>
      <c r="K694" s="59"/>
      <c r="L694" s="52"/>
      <c r="M694" s="52" t="str">
        <f>IFERROR(__xludf.DUMMYFUNCTION("""COMPUTED_VALUE"""),"")</f>
        <v/>
      </c>
      <c r="N694" s="52"/>
      <c r="O694" s="52"/>
      <c r="P694" s="52"/>
    </row>
    <row r="695">
      <c r="A695" s="58"/>
      <c r="B695" s="52"/>
      <c r="C695" s="52"/>
      <c r="D695" s="52"/>
      <c r="E695" s="52"/>
      <c r="F695" s="52"/>
      <c r="G695" s="52"/>
      <c r="H695" s="52"/>
      <c r="I695" s="52"/>
      <c r="J695" s="52"/>
      <c r="K695" s="59"/>
      <c r="L695" s="52"/>
      <c r="M695" s="52" t="str">
        <f>IFERROR(__xludf.DUMMYFUNCTION("""COMPUTED_VALUE"""),"")</f>
        <v/>
      </c>
      <c r="N695" s="52"/>
      <c r="O695" s="52"/>
      <c r="P695" s="52"/>
    </row>
    <row r="696">
      <c r="A696" s="58"/>
      <c r="B696" s="52"/>
      <c r="C696" s="52"/>
      <c r="D696" s="52"/>
      <c r="E696" s="52"/>
      <c r="F696" s="52"/>
      <c r="G696" s="52"/>
      <c r="H696" s="52"/>
      <c r="I696" s="52"/>
      <c r="J696" s="52"/>
      <c r="K696" s="59"/>
      <c r="L696" s="52"/>
      <c r="M696" s="52" t="str">
        <f>IFERROR(__xludf.DUMMYFUNCTION("""COMPUTED_VALUE"""),"")</f>
        <v/>
      </c>
      <c r="N696" s="52"/>
      <c r="O696" s="52"/>
      <c r="P696" s="52"/>
    </row>
    <row r="697">
      <c r="A697" s="58"/>
      <c r="B697" s="52"/>
      <c r="C697" s="52"/>
      <c r="D697" s="52"/>
      <c r="E697" s="52"/>
      <c r="F697" s="52"/>
      <c r="G697" s="52"/>
      <c r="H697" s="52"/>
      <c r="I697" s="52"/>
      <c r="J697" s="52"/>
      <c r="K697" s="59"/>
      <c r="L697" s="52"/>
      <c r="M697" s="52" t="str">
        <f>IFERROR(__xludf.DUMMYFUNCTION("""COMPUTED_VALUE"""),"")</f>
        <v/>
      </c>
      <c r="N697" s="52"/>
      <c r="O697" s="52"/>
      <c r="P697" s="52"/>
    </row>
    <row r="698">
      <c r="A698" s="58"/>
      <c r="B698" s="52"/>
      <c r="C698" s="52"/>
      <c r="D698" s="52"/>
      <c r="E698" s="52"/>
      <c r="F698" s="52"/>
      <c r="G698" s="52"/>
      <c r="H698" s="52"/>
      <c r="I698" s="52"/>
      <c r="J698" s="52"/>
      <c r="K698" s="59"/>
      <c r="L698" s="52"/>
      <c r="M698" s="52" t="str">
        <f>IFERROR(__xludf.DUMMYFUNCTION("""COMPUTED_VALUE"""),"")</f>
        <v/>
      </c>
      <c r="N698" s="52"/>
      <c r="O698" s="52"/>
      <c r="P698" s="52"/>
    </row>
    <row r="699">
      <c r="A699" s="58"/>
      <c r="B699" s="52"/>
      <c r="C699" s="52"/>
      <c r="D699" s="52"/>
      <c r="E699" s="52"/>
      <c r="F699" s="52"/>
      <c r="G699" s="52"/>
      <c r="H699" s="52"/>
      <c r="I699" s="52"/>
      <c r="J699" s="52"/>
      <c r="K699" s="59"/>
      <c r="L699" s="52"/>
      <c r="M699" s="52" t="str">
        <f>IFERROR(__xludf.DUMMYFUNCTION("""COMPUTED_VALUE"""),"")</f>
        <v/>
      </c>
      <c r="N699" s="52"/>
      <c r="O699" s="52"/>
      <c r="P699" s="52"/>
    </row>
    <row r="700">
      <c r="A700" s="58"/>
      <c r="B700" s="52"/>
      <c r="C700" s="52"/>
      <c r="D700" s="52"/>
      <c r="E700" s="52"/>
      <c r="F700" s="52"/>
      <c r="G700" s="52"/>
      <c r="H700" s="52"/>
      <c r="I700" s="52"/>
      <c r="J700" s="52"/>
      <c r="K700" s="59"/>
      <c r="L700" s="52"/>
      <c r="M700" s="52" t="str">
        <f>IFERROR(__xludf.DUMMYFUNCTION("""COMPUTED_VALUE"""),"")</f>
        <v/>
      </c>
      <c r="N700" s="52"/>
      <c r="O700" s="52"/>
      <c r="P700" s="52"/>
    </row>
    <row r="701">
      <c r="A701" s="58"/>
      <c r="B701" s="52"/>
      <c r="C701" s="52"/>
      <c r="D701" s="52"/>
      <c r="E701" s="52"/>
      <c r="F701" s="52"/>
      <c r="G701" s="52"/>
      <c r="H701" s="52"/>
      <c r="I701" s="52"/>
      <c r="J701" s="52"/>
      <c r="K701" s="59"/>
      <c r="L701" s="52"/>
      <c r="M701" s="52" t="str">
        <f>IFERROR(__xludf.DUMMYFUNCTION("""COMPUTED_VALUE"""),"")</f>
        <v/>
      </c>
      <c r="N701" s="52"/>
      <c r="O701" s="52"/>
      <c r="P701" s="52"/>
    </row>
    <row r="702">
      <c r="A702" s="58"/>
      <c r="B702" s="52"/>
      <c r="C702" s="52"/>
      <c r="D702" s="52"/>
      <c r="E702" s="52"/>
      <c r="F702" s="52"/>
      <c r="G702" s="52"/>
      <c r="H702" s="52"/>
      <c r="I702" s="52"/>
      <c r="J702" s="52"/>
      <c r="K702" s="59"/>
      <c r="L702" s="52"/>
      <c r="M702" s="52" t="str">
        <f>IFERROR(__xludf.DUMMYFUNCTION("""COMPUTED_VALUE"""),"")</f>
        <v/>
      </c>
      <c r="N702" s="52"/>
      <c r="O702" s="52"/>
      <c r="P702" s="52"/>
    </row>
    <row r="703">
      <c r="A703" s="58"/>
      <c r="B703" s="52"/>
      <c r="C703" s="52"/>
      <c r="D703" s="52"/>
      <c r="E703" s="52"/>
      <c r="F703" s="52"/>
      <c r="G703" s="52"/>
      <c r="H703" s="52"/>
      <c r="I703" s="52"/>
      <c r="J703" s="52"/>
      <c r="K703" s="59"/>
      <c r="L703" s="52"/>
      <c r="M703" s="52" t="str">
        <f>IFERROR(__xludf.DUMMYFUNCTION("""COMPUTED_VALUE"""),"")</f>
        <v/>
      </c>
      <c r="N703" s="52"/>
      <c r="O703" s="52"/>
      <c r="P703" s="52"/>
    </row>
    <row r="704">
      <c r="A704" s="58"/>
      <c r="B704" s="52"/>
      <c r="C704" s="52"/>
      <c r="D704" s="52"/>
      <c r="E704" s="52"/>
      <c r="F704" s="52"/>
      <c r="G704" s="52"/>
      <c r="H704" s="52"/>
      <c r="I704" s="52"/>
      <c r="J704" s="52"/>
      <c r="K704" s="59"/>
      <c r="L704" s="52"/>
      <c r="M704" s="52" t="str">
        <f>IFERROR(__xludf.DUMMYFUNCTION("""COMPUTED_VALUE"""),"")</f>
        <v/>
      </c>
      <c r="N704" s="52"/>
      <c r="O704" s="52"/>
      <c r="P704" s="52"/>
    </row>
    <row r="705">
      <c r="A705" s="58"/>
      <c r="B705" s="52"/>
      <c r="C705" s="52"/>
      <c r="D705" s="52"/>
      <c r="E705" s="52"/>
      <c r="F705" s="52"/>
      <c r="G705" s="52"/>
      <c r="H705" s="52"/>
      <c r="I705" s="52"/>
      <c r="J705" s="52"/>
      <c r="K705" s="59"/>
      <c r="L705" s="52"/>
      <c r="M705" s="52" t="str">
        <f>IFERROR(__xludf.DUMMYFUNCTION("""COMPUTED_VALUE"""),"")</f>
        <v/>
      </c>
      <c r="N705" s="52"/>
      <c r="O705" s="52"/>
      <c r="P705" s="52"/>
    </row>
    <row r="706">
      <c r="A706" s="58"/>
      <c r="B706" s="52"/>
      <c r="C706" s="52"/>
      <c r="D706" s="52"/>
      <c r="E706" s="52"/>
      <c r="F706" s="52"/>
      <c r="G706" s="52"/>
      <c r="H706" s="52"/>
      <c r="I706" s="52"/>
      <c r="J706" s="52"/>
      <c r="K706" s="59"/>
      <c r="L706" s="52"/>
      <c r="M706" s="52" t="str">
        <f>IFERROR(__xludf.DUMMYFUNCTION("""COMPUTED_VALUE"""),"")</f>
        <v/>
      </c>
      <c r="N706" s="52"/>
      <c r="O706" s="52"/>
      <c r="P706" s="52"/>
    </row>
    <row r="707">
      <c r="A707" s="58"/>
      <c r="B707" s="52"/>
      <c r="C707" s="52"/>
      <c r="D707" s="52"/>
      <c r="E707" s="52"/>
      <c r="F707" s="52"/>
      <c r="G707" s="52"/>
      <c r="H707" s="52"/>
      <c r="I707" s="52"/>
      <c r="J707" s="52"/>
      <c r="K707" s="59"/>
      <c r="L707" s="52"/>
      <c r="M707" s="52" t="str">
        <f>IFERROR(__xludf.DUMMYFUNCTION("""COMPUTED_VALUE"""),"")</f>
        <v/>
      </c>
      <c r="N707" s="52"/>
      <c r="O707" s="52"/>
      <c r="P707" s="52"/>
    </row>
    <row r="708">
      <c r="A708" s="58"/>
      <c r="B708" s="52"/>
      <c r="C708" s="52"/>
      <c r="D708" s="52"/>
      <c r="E708" s="52"/>
      <c r="F708" s="52"/>
      <c r="G708" s="52"/>
      <c r="H708" s="52"/>
      <c r="I708" s="52"/>
      <c r="J708" s="52"/>
      <c r="K708" s="59"/>
      <c r="L708" s="52"/>
      <c r="M708" s="52" t="str">
        <f>IFERROR(__xludf.DUMMYFUNCTION("""COMPUTED_VALUE"""),"")</f>
        <v/>
      </c>
      <c r="N708" s="52"/>
      <c r="O708" s="52"/>
      <c r="P708" s="52"/>
    </row>
    <row r="709">
      <c r="A709" s="58"/>
      <c r="B709" s="52"/>
      <c r="C709" s="52"/>
      <c r="D709" s="52"/>
      <c r="E709" s="52"/>
      <c r="F709" s="52"/>
      <c r="G709" s="52"/>
      <c r="H709" s="52"/>
      <c r="I709" s="52"/>
      <c r="J709" s="52"/>
      <c r="K709" s="59"/>
      <c r="L709" s="52"/>
      <c r="M709" s="52" t="str">
        <f>IFERROR(__xludf.DUMMYFUNCTION("""COMPUTED_VALUE"""),"")</f>
        <v/>
      </c>
      <c r="N709" s="52"/>
      <c r="O709" s="52"/>
      <c r="P709" s="52"/>
    </row>
    <row r="710">
      <c r="A710" s="58"/>
      <c r="B710" s="52"/>
      <c r="C710" s="52"/>
      <c r="D710" s="52"/>
      <c r="E710" s="52"/>
      <c r="F710" s="52"/>
      <c r="G710" s="52"/>
      <c r="H710" s="52"/>
      <c r="I710" s="52"/>
      <c r="J710" s="52"/>
      <c r="K710" s="59"/>
      <c r="L710" s="52"/>
      <c r="M710" s="52" t="str">
        <f>IFERROR(__xludf.DUMMYFUNCTION("""COMPUTED_VALUE"""),"")</f>
        <v/>
      </c>
      <c r="N710" s="52"/>
      <c r="O710" s="52"/>
      <c r="P710" s="52"/>
    </row>
    <row r="711">
      <c r="A711" s="58"/>
      <c r="B711" s="52"/>
      <c r="C711" s="52"/>
      <c r="D711" s="52"/>
      <c r="E711" s="52"/>
      <c r="F711" s="52"/>
      <c r="G711" s="52"/>
      <c r="H711" s="52"/>
      <c r="I711" s="52"/>
      <c r="J711" s="52"/>
      <c r="K711" s="59"/>
      <c r="L711" s="52"/>
      <c r="M711" s="52" t="str">
        <f>IFERROR(__xludf.DUMMYFUNCTION("""COMPUTED_VALUE"""),"")</f>
        <v/>
      </c>
      <c r="N711" s="52"/>
      <c r="O711" s="52"/>
      <c r="P711" s="52"/>
    </row>
    <row r="712">
      <c r="A712" s="58"/>
      <c r="B712" s="52"/>
      <c r="C712" s="52"/>
      <c r="D712" s="52"/>
      <c r="E712" s="52"/>
      <c r="F712" s="52"/>
      <c r="G712" s="52"/>
      <c r="H712" s="52"/>
      <c r="I712" s="52"/>
      <c r="J712" s="52"/>
      <c r="K712" s="59"/>
      <c r="L712" s="52"/>
      <c r="M712" s="52" t="str">
        <f>IFERROR(__xludf.DUMMYFUNCTION("""COMPUTED_VALUE"""),"")</f>
        <v/>
      </c>
      <c r="N712" s="52"/>
      <c r="O712" s="52"/>
      <c r="P712" s="52"/>
    </row>
    <row r="713">
      <c r="A713" s="58"/>
      <c r="B713" s="52"/>
      <c r="C713" s="52"/>
      <c r="D713" s="52"/>
      <c r="E713" s="52"/>
      <c r="F713" s="52"/>
      <c r="G713" s="52"/>
      <c r="H713" s="52"/>
      <c r="I713" s="52"/>
      <c r="J713" s="52"/>
      <c r="K713" s="59"/>
      <c r="L713" s="52"/>
      <c r="M713" s="52" t="str">
        <f>IFERROR(__xludf.DUMMYFUNCTION("""COMPUTED_VALUE"""),"")</f>
        <v/>
      </c>
      <c r="N713" s="52"/>
      <c r="O713" s="52"/>
      <c r="P713" s="52"/>
    </row>
    <row r="714">
      <c r="A714" s="58"/>
      <c r="B714" s="52"/>
      <c r="C714" s="52"/>
      <c r="D714" s="52"/>
      <c r="E714" s="52"/>
      <c r="F714" s="52"/>
      <c r="G714" s="52"/>
      <c r="H714" s="52"/>
      <c r="I714" s="52"/>
      <c r="J714" s="52"/>
      <c r="K714" s="59"/>
      <c r="L714" s="52"/>
      <c r="M714" s="52" t="str">
        <f>IFERROR(__xludf.DUMMYFUNCTION("""COMPUTED_VALUE"""),"")</f>
        <v/>
      </c>
      <c r="N714" s="52"/>
      <c r="O714" s="52"/>
      <c r="P714" s="52"/>
    </row>
    <row r="715">
      <c r="A715" s="58"/>
      <c r="B715" s="52"/>
      <c r="C715" s="52"/>
      <c r="D715" s="52"/>
      <c r="E715" s="52"/>
      <c r="F715" s="52"/>
      <c r="G715" s="52"/>
      <c r="H715" s="52"/>
      <c r="I715" s="52"/>
      <c r="J715" s="52"/>
      <c r="K715" s="59"/>
      <c r="L715" s="52"/>
      <c r="M715" s="52" t="str">
        <f>IFERROR(__xludf.DUMMYFUNCTION("""COMPUTED_VALUE"""),"")</f>
        <v/>
      </c>
      <c r="N715" s="52"/>
      <c r="O715" s="52"/>
      <c r="P715" s="52"/>
    </row>
    <row r="716">
      <c r="A716" s="58"/>
      <c r="B716" s="52"/>
      <c r="C716" s="52"/>
      <c r="D716" s="52"/>
      <c r="E716" s="52"/>
      <c r="F716" s="52"/>
      <c r="G716" s="52"/>
      <c r="H716" s="52"/>
      <c r="I716" s="52"/>
      <c r="J716" s="52"/>
      <c r="K716" s="59"/>
      <c r="L716" s="52"/>
      <c r="M716" s="52" t="str">
        <f>IFERROR(__xludf.DUMMYFUNCTION("""COMPUTED_VALUE"""),"")</f>
        <v/>
      </c>
      <c r="N716" s="52"/>
      <c r="O716" s="52"/>
      <c r="P716" s="52"/>
    </row>
    <row r="717">
      <c r="A717" s="58"/>
      <c r="B717" s="52"/>
      <c r="C717" s="52"/>
      <c r="D717" s="52"/>
      <c r="E717" s="52"/>
      <c r="F717" s="52"/>
      <c r="G717" s="52"/>
      <c r="H717" s="52"/>
      <c r="I717" s="52"/>
      <c r="J717" s="52"/>
      <c r="K717" s="59"/>
      <c r="L717" s="52"/>
      <c r="M717" s="52" t="str">
        <f>IFERROR(__xludf.DUMMYFUNCTION("""COMPUTED_VALUE"""),"")</f>
        <v/>
      </c>
      <c r="N717" s="52"/>
      <c r="O717" s="52"/>
      <c r="P717" s="52"/>
    </row>
    <row r="718">
      <c r="A718" s="58"/>
      <c r="B718" s="52"/>
      <c r="C718" s="52"/>
      <c r="D718" s="52"/>
      <c r="E718" s="52"/>
      <c r="F718" s="52"/>
      <c r="G718" s="52"/>
      <c r="H718" s="52"/>
      <c r="I718" s="52"/>
      <c r="J718" s="52"/>
      <c r="K718" s="59"/>
      <c r="L718" s="52"/>
      <c r="M718" s="52" t="str">
        <f>IFERROR(__xludf.DUMMYFUNCTION("""COMPUTED_VALUE"""),"")</f>
        <v/>
      </c>
      <c r="N718" s="52"/>
      <c r="O718" s="52"/>
      <c r="P718" s="52"/>
    </row>
    <row r="719">
      <c r="A719" s="58"/>
      <c r="B719" s="52"/>
      <c r="C719" s="52"/>
      <c r="D719" s="52"/>
      <c r="E719" s="52"/>
      <c r="F719" s="52"/>
      <c r="G719" s="52"/>
      <c r="H719" s="52"/>
      <c r="I719" s="52"/>
      <c r="J719" s="52"/>
      <c r="K719" s="59"/>
      <c r="L719" s="52"/>
      <c r="M719" s="52" t="str">
        <f>IFERROR(__xludf.DUMMYFUNCTION("""COMPUTED_VALUE"""),"")</f>
        <v/>
      </c>
      <c r="N719" s="52"/>
      <c r="O719" s="52"/>
      <c r="P719" s="52"/>
    </row>
    <row r="720">
      <c r="A720" s="58"/>
      <c r="B720" s="52"/>
      <c r="C720" s="52"/>
      <c r="D720" s="52"/>
      <c r="E720" s="52"/>
      <c r="F720" s="52"/>
      <c r="G720" s="52"/>
      <c r="H720" s="52"/>
      <c r="I720" s="52"/>
      <c r="J720" s="52"/>
      <c r="K720" s="59"/>
      <c r="L720" s="52"/>
      <c r="M720" s="52" t="str">
        <f>IFERROR(__xludf.DUMMYFUNCTION("""COMPUTED_VALUE"""),"")</f>
        <v/>
      </c>
      <c r="N720" s="52"/>
      <c r="O720" s="52"/>
      <c r="P720" s="52"/>
    </row>
    <row r="721">
      <c r="A721" s="58"/>
      <c r="B721" s="52"/>
      <c r="C721" s="52"/>
      <c r="D721" s="52"/>
      <c r="E721" s="52"/>
      <c r="F721" s="52"/>
      <c r="G721" s="52"/>
      <c r="H721" s="52"/>
      <c r="I721" s="52"/>
      <c r="J721" s="52"/>
      <c r="K721" s="59"/>
      <c r="L721" s="52"/>
      <c r="M721" s="52" t="str">
        <f>IFERROR(__xludf.DUMMYFUNCTION("""COMPUTED_VALUE"""),"")</f>
        <v/>
      </c>
      <c r="N721" s="52"/>
      <c r="O721" s="52"/>
      <c r="P721" s="52"/>
    </row>
    <row r="722">
      <c r="A722" s="58"/>
      <c r="B722" s="52"/>
      <c r="C722" s="52"/>
      <c r="D722" s="52"/>
      <c r="E722" s="52"/>
      <c r="F722" s="52"/>
      <c r="G722" s="52"/>
      <c r="H722" s="52"/>
      <c r="I722" s="52"/>
      <c r="J722" s="52"/>
      <c r="K722" s="59"/>
      <c r="L722" s="52"/>
      <c r="M722" s="52" t="str">
        <f>IFERROR(__xludf.DUMMYFUNCTION("""COMPUTED_VALUE"""),"")</f>
        <v/>
      </c>
      <c r="N722" s="52"/>
      <c r="O722" s="52"/>
      <c r="P722" s="52"/>
    </row>
    <row r="723">
      <c r="A723" s="58"/>
      <c r="B723" s="52"/>
      <c r="C723" s="52"/>
      <c r="D723" s="52"/>
      <c r="E723" s="52"/>
      <c r="F723" s="52"/>
      <c r="G723" s="52"/>
      <c r="H723" s="52"/>
      <c r="I723" s="52"/>
      <c r="J723" s="52"/>
      <c r="K723" s="59"/>
      <c r="L723" s="52"/>
      <c r="M723" s="52" t="str">
        <f>IFERROR(__xludf.DUMMYFUNCTION("""COMPUTED_VALUE"""),"")</f>
        <v/>
      </c>
      <c r="N723" s="52"/>
      <c r="O723" s="52"/>
      <c r="P723" s="52"/>
    </row>
    <row r="724">
      <c r="A724" s="58"/>
      <c r="B724" s="52"/>
      <c r="C724" s="52"/>
      <c r="D724" s="52"/>
      <c r="E724" s="52"/>
      <c r="F724" s="52"/>
      <c r="G724" s="52"/>
      <c r="H724" s="52"/>
      <c r="I724" s="52"/>
      <c r="J724" s="52"/>
      <c r="K724" s="59"/>
      <c r="L724" s="52"/>
      <c r="M724" s="52" t="str">
        <f>IFERROR(__xludf.DUMMYFUNCTION("""COMPUTED_VALUE"""),"")</f>
        <v/>
      </c>
      <c r="N724" s="52"/>
      <c r="O724" s="52"/>
      <c r="P724" s="52"/>
    </row>
    <row r="725">
      <c r="A725" s="58"/>
      <c r="B725" s="52"/>
      <c r="C725" s="52"/>
      <c r="D725" s="52"/>
      <c r="E725" s="52"/>
      <c r="F725" s="52"/>
      <c r="G725" s="52"/>
      <c r="H725" s="52"/>
      <c r="I725" s="52"/>
      <c r="J725" s="52"/>
      <c r="K725" s="59"/>
      <c r="L725" s="52"/>
      <c r="M725" s="52" t="str">
        <f>IFERROR(__xludf.DUMMYFUNCTION("""COMPUTED_VALUE"""),"")</f>
        <v/>
      </c>
      <c r="N725" s="52"/>
      <c r="O725" s="52"/>
      <c r="P725" s="52"/>
    </row>
    <row r="726">
      <c r="A726" s="58"/>
      <c r="B726" s="52"/>
      <c r="C726" s="52"/>
      <c r="D726" s="52"/>
      <c r="E726" s="52"/>
      <c r="F726" s="52"/>
      <c r="G726" s="52"/>
      <c r="H726" s="52"/>
      <c r="I726" s="52"/>
      <c r="J726" s="52"/>
      <c r="K726" s="59"/>
      <c r="L726" s="52"/>
      <c r="M726" s="52" t="str">
        <f>IFERROR(__xludf.DUMMYFUNCTION("""COMPUTED_VALUE"""),"")</f>
        <v/>
      </c>
      <c r="N726" s="52"/>
      <c r="O726" s="52"/>
      <c r="P726" s="52"/>
    </row>
    <row r="727">
      <c r="A727" s="58"/>
      <c r="B727" s="52"/>
      <c r="C727" s="52"/>
      <c r="D727" s="52"/>
      <c r="E727" s="52"/>
      <c r="F727" s="52"/>
      <c r="G727" s="52"/>
      <c r="H727" s="52"/>
      <c r="I727" s="52"/>
      <c r="J727" s="52"/>
      <c r="K727" s="59"/>
      <c r="L727" s="52"/>
      <c r="M727" s="52" t="str">
        <f>IFERROR(__xludf.DUMMYFUNCTION("""COMPUTED_VALUE"""),"")</f>
        <v/>
      </c>
      <c r="N727" s="52"/>
      <c r="O727" s="52"/>
      <c r="P727" s="52"/>
    </row>
    <row r="728">
      <c r="A728" s="58"/>
      <c r="B728" s="52"/>
      <c r="C728" s="52"/>
      <c r="D728" s="52"/>
      <c r="E728" s="52"/>
      <c r="F728" s="52"/>
      <c r="G728" s="52"/>
      <c r="H728" s="52"/>
      <c r="I728" s="52"/>
      <c r="J728" s="52"/>
      <c r="K728" s="59"/>
      <c r="L728" s="52"/>
      <c r="M728" s="52" t="str">
        <f>IFERROR(__xludf.DUMMYFUNCTION("""COMPUTED_VALUE"""),"")</f>
        <v/>
      </c>
      <c r="N728" s="52"/>
      <c r="O728" s="52"/>
      <c r="P728" s="52"/>
    </row>
    <row r="729">
      <c r="A729" s="58"/>
      <c r="B729" s="52"/>
      <c r="C729" s="52"/>
      <c r="D729" s="52"/>
      <c r="E729" s="52"/>
      <c r="F729" s="52"/>
      <c r="G729" s="52"/>
      <c r="H729" s="52"/>
      <c r="I729" s="52"/>
      <c r="J729" s="52"/>
      <c r="K729" s="59"/>
      <c r="L729" s="52"/>
      <c r="M729" s="52" t="str">
        <f>IFERROR(__xludf.DUMMYFUNCTION("""COMPUTED_VALUE"""),"")</f>
        <v/>
      </c>
      <c r="N729" s="52"/>
      <c r="O729" s="52"/>
      <c r="P729" s="52"/>
    </row>
    <row r="730">
      <c r="A730" s="58"/>
      <c r="B730" s="52"/>
      <c r="C730" s="52"/>
      <c r="D730" s="52"/>
      <c r="E730" s="52"/>
      <c r="F730" s="52"/>
      <c r="G730" s="52"/>
      <c r="H730" s="52"/>
      <c r="I730" s="52"/>
      <c r="J730" s="52"/>
      <c r="K730" s="59"/>
      <c r="L730" s="52"/>
      <c r="M730" s="52" t="str">
        <f>IFERROR(__xludf.DUMMYFUNCTION("""COMPUTED_VALUE"""),"")</f>
        <v/>
      </c>
      <c r="N730" s="52"/>
      <c r="O730" s="52"/>
      <c r="P730" s="52"/>
    </row>
    <row r="731">
      <c r="A731" s="58"/>
      <c r="B731" s="52"/>
      <c r="C731" s="52"/>
      <c r="D731" s="52"/>
      <c r="E731" s="52"/>
      <c r="F731" s="52"/>
      <c r="G731" s="52"/>
      <c r="H731" s="52"/>
      <c r="I731" s="52"/>
      <c r="J731" s="52"/>
      <c r="K731" s="59"/>
      <c r="L731" s="52"/>
      <c r="M731" s="52" t="str">
        <f>IFERROR(__xludf.DUMMYFUNCTION("""COMPUTED_VALUE"""),"")</f>
        <v/>
      </c>
      <c r="N731" s="52"/>
      <c r="O731" s="52"/>
      <c r="P731" s="52"/>
    </row>
    <row r="732">
      <c r="A732" s="58"/>
      <c r="B732" s="52"/>
      <c r="C732" s="52"/>
      <c r="D732" s="52"/>
      <c r="E732" s="52"/>
      <c r="F732" s="52"/>
      <c r="G732" s="52"/>
      <c r="H732" s="52"/>
      <c r="I732" s="52"/>
      <c r="J732" s="52"/>
      <c r="K732" s="59"/>
      <c r="L732" s="52"/>
      <c r="M732" s="52" t="str">
        <f>IFERROR(__xludf.DUMMYFUNCTION("""COMPUTED_VALUE"""),"")</f>
        <v/>
      </c>
      <c r="N732" s="52"/>
      <c r="O732" s="52"/>
      <c r="P732" s="52"/>
    </row>
    <row r="733">
      <c r="A733" s="58"/>
      <c r="B733" s="52"/>
      <c r="C733" s="52"/>
      <c r="D733" s="52"/>
      <c r="E733" s="52"/>
      <c r="F733" s="52"/>
      <c r="G733" s="52"/>
      <c r="H733" s="52"/>
      <c r="I733" s="52"/>
      <c r="J733" s="52"/>
      <c r="K733" s="59"/>
      <c r="L733" s="52"/>
      <c r="M733" s="52" t="str">
        <f>IFERROR(__xludf.DUMMYFUNCTION("""COMPUTED_VALUE"""),"")</f>
        <v/>
      </c>
      <c r="N733" s="52"/>
      <c r="O733" s="52"/>
      <c r="P733" s="52"/>
    </row>
    <row r="734">
      <c r="A734" s="58"/>
      <c r="B734" s="52"/>
      <c r="C734" s="52"/>
      <c r="D734" s="52"/>
      <c r="E734" s="52"/>
      <c r="F734" s="52"/>
      <c r="G734" s="52"/>
      <c r="H734" s="52"/>
      <c r="I734" s="52"/>
      <c r="J734" s="52"/>
      <c r="K734" s="59"/>
      <c r="L734" s="52"/>
      <c r="M734" s="52" t="str">
        <f>IFERROR(__xludf.DUMMYFUNCTION("""COMPUTED_VALUE"""),"")</f>
        <v/>
      </c>
      <c r="N734" s="52"/>
      <c r="O734" s="52"/>
      <c r="P734" s="52"/>
    </row>
    <row r="735">
      <c r="A735" s="58"/>
      <c r="B735" s="52"/>
      <c r="C735" s="52"/>
      <c r="D735" s="52"/>
      <c r="E735" s="52"/>
      <c r="F735" s="52"/>
      <c r="G735" s="52"/>
      <c r="H735" s="52"/>
      <c r="I735" s="52"/>
      <c r="J735" s="52"/>
      <c r="K735" s="59"/>
      <c r="L735" s="52"/>
      <c r="M735" s="52" t="str">
        <f>IFERROR(__xludf.DUMMYFUNCTION("""COMPUTED_VALUE"""),"")</f>
        <v/>
      </c>
      <c r="N735" s="52"/>
      <c r="O735" s="52"/>
      <c r="P735" s="52"/>
    </row>
    <row r="736">
      <c r="A736" s="58"/>
      <c r="B736" s="52"/>
      <c r="C736" s="52"/>
      <c r="D736" s="52"/>
      <c r="E736" s="52"/>
      <c r="F736" s="52"/>
      <c r="G736" s="52"/>
      <c r="H736" s="52"/>
      <c r="I736" s="52"/>
      <c r="J736" s="52"/>
      <c r="K736" s="59"/>
      <c r="L736" s="52"/>
      <c r="M736" s="52" t="str">
        <f>IFERROR(__xludf.DUMMYFUNCTION("""COMPUTED_VALUE"""),"")</f>
        <v/>
      </c>
      <c r="N736" s="52"/>
      <c r="O736" s="52"/>
      <c r="P736" s="52"/>
    </row>
    <row r="737">
      <c r="A737" s="58"/>
      <c r="B737" s="52"/>
      <c r="C737" s="52"/>
      <c r="D737" s="52"/>
      <c r="E737" s="52"/>
      <c r="F737" s="52"/>
      <c r="G737" s="52"/>
      <c r="H737" s="52"/>
      <c r="I737" s="52"/>
      <c r="J737" s="52"/>
      <c r="K737" s="59"/>
      <c r="L737" s="52"/>
      <c r="M737" s="52" t="str">
        <f>IFERROR(__xludf.DUMMYFUNCTION("""COMPUTED_VALUE"""),"")</f>
        <v/>
      </c>
      <c r="N737" s="52"/>
      <c r="O737" s="52"/>
      <c r="P737" s="52"/>
    </row>
    <row r="738">
      <c r="A738" s="58"/>
      <c r="B738" s="52"/>
      <c r="C738" s="52"/>
      <c r="D738" s="52"/>
      <c r="E738" s="52"/>
      <c r="F738" s="52"/>
      <c r="G738" s="52"/>
      <c r="H738" s="52"/>
      <c r="I738" s="52"/>
      <c r="J738" s="52"/>
      <c r="K738" s="59"/>
      <c r="L738" s="52"/>
      <c r="M738" s="52" t="str">
        <f>IFERROR(__xludf.DUMMYFUNCTION("""COMPUTED_VALUE"""),"")</f>
        <v/>
      </c>
      <c r="N738" s="52"/>
      <c r="O738" s="52"/>
      <c r="P738" s="52"/>
    </row>
    <row r="739">
      <c r="A739" s="58"/>
      <c r="B739" s="52"/>
      <c r="C739" s="52"/>
      <c r="D739" s="52"/>
      <c r="E739" s="52"/>
      <c r="F739" s="52"/>
      <c r="G739" s="52"/>
      <c r="H739" s="52"/>
      <c r="I739" s="52"/>
      <c r="J739" s="52"/>
      <c r="K739" s="59"/>
      <c r="L739" s="52"/>
      <c r="M739" s="52" t="str">
        <f>IFERROR(__xludf.DUMMYFUNCTION("""COMPUTED_VALUE"""),"")</f>
        <v/>
      </c>
      <c r="N739" s="52"/>
      <c r="O739" s="52"/>
      <c r="P739" s="52"/>
    </row>
    <row r="740">
      <c r="A740" s="58"/>
      <c r="B740" s="52"/>
      <c r="C740" s="52"/>
      <c r="D740" s="52"/>
      <c r="E740" s="52"/>
      <c r="F740" s="52"/>
      <c r="G740" s="52"/>
      <c r="H740" s="52"/>
      <c r="I740" s="52"/>
      <c r="J740" s="52"/>
      <c r="K740" s="59"/>
      <c r="L740" s="52"/>
      <c r="M740" s="52" t="str">
        <f>IFERROR(__xludf.DUMMYFUNCTION("""COMPUTED_VALUE"""),"")</f>
        <v/>
      </c>
      <c r="N740" s="52"/>
      <c r="O740" s="52"/>
      <c r="P740" s="52"/>
    </row>
    <row r="741">
      <c r="A741" s="58"/>
      <c r="B741" s="52"/>
      <c r="C741" s="52"/>
      <c r="D741" s="52"/>
      <c r="E741" s="52"/>
      <c r="F741" s="52"/>
      <c r="G741" s="52"/>
      <c r="H741" s="52"/>
      <c r="I741" s="52"/>
      <c r="J741" s="52"/>
      <c r="K741" s="59"/>
      <c r="L741" s="52"/>
      <c r="M741" s="52" t="str">
        <f>IFERROR(__xludf.DUMMYFUNCTION("""COMPUTED_VALUE"""),"")</f>
        <v/>
      </c>
      <c r="N741" s="52"/>
      <c r="O741" s="52"/>
      <c r="P741" s="52"/>
    </row>
    <row r="742">
      <c r="A742" s="58"/>
      <c r="B742" s="52"/>
      <c r="C742" s="52"/>
      <c r="D742" s="52"/>
      <c r="E742" s="52"/>
      <c r="F742" s="52"/>
      <c r="G742" s="52"/>
      <c r="H742" s="52"/>
      <c r="I742" s="52"/>
      <c r="J742" s="52"/>
      <c r="K742" s="59"/>
      <c r="L742" s="52"/>
      <c r="M742" s="52" t="str">
        <f>IFERROR(__xludf.DUMMYFUNCTION("""COMPUTED_VALUE"""),"")</f>
        <v/>
      </c>
      <c r="N742" s="52"/>
      <c r="O742" s="52"/>
      <c r="P742" s="52"/>
    </row>
    <row r="743">
      <c r="A743" s="58"/>
      <c r="B743" s="52"/>
      <c r="C743" s="52"/>
      <c r="D743" s="52"/>
      <c r="E743" s="52"/>
      <c r="F743" s="52"/>
      <c r="G743" s="52"/>
      <c r="H743" s="52"/>
      <c r="I743" s="52"/>
      <c r="J743" s="52"/>
      <c r="K743" s="59"/>
      <c r="L743" s="52"/>
      <c r="M743" s="52" t="str">
        <f>IFERROR(__xludf.DUMMYFUNCTION("""COMPUTED_VALUE"""),"")</f>
        <v/>
      </c>
      <c r="N743" s="52"/>
      <c r="O743" s="52"/>
      <c r="P743" s="52"/>
    </row>
    <row r="744">
      <c r="A744" s="58"/>
      <c r="B744" s="52"/>
      <c r="C744" s="52"/>
      <c r="D744" s="52"/>
      <c r="E744" s="52"/>
      <c r="F744" s="52"/>
      <c r="G744" s="52"/>
      <c r="H744" s="52"/>
      <c r="I744" s="52"/>
      <c r="J744" s="52"/>
      <c r="K744" s="59"/>
      <c r="L744" s="52"/>
      <c r="M744" s="52" t="str">
        <f>IFERROR(__xludf.DUMMYFUNCTION("""COMPUTED_VALUE"""),"")</f>
        <v/>
      </c>
      <c r="N744" s="52"/>
      <c r="O744" s="52"/>
      <c r="P744" s="52"/>
    </row>
    <row r="745">
      <c r="A745" s="58"/>
      <c r="B745" s="52"/>
      <c r="C745" s="52"/>
      <c r="D745" s="52"/>
      <c r="E745" s="52"/>
      <c r="F745" s="52"/>
      <c r="G745" s="52"/>
      <c r="H745" s="52"/>
      <c r="I745" s="52"/>
      <c r="J745" s="52"/>
      <c r="K745" s="59"/>
      <c r="L745" s="52"/>
      <c r="M745" s="52" t="str">
        <f>IFERROR(__xludf.DUMMYFUNCTION("""COMPUTED_VALUE"""),"")</f>
        <v/>
      </c>
      <c r="N745" s="52"/>
      <c r="O745" s="52"/>
      <c r="P745" s="52"/>
    </row>
    <row r="746">
      <c r="A746" s="58"/>
      <c r="B746" s="52"/>
      <c r="C746" s="52"/>
      <c r="D746" s="52"/>
      <c r="E746" s="52"/>
      <c r="F746" s="52"/>
      <c r="G746" s="52"/>
      <c r="H746" s="52"/>
      <c r="I746" s="52"/>
      <c r="J746" s="52"/>
      <c r="K746" s="59"/>
      <c r="L746" s="52"/>
      <c r="M746" s="52" t="str">
        <f>IFERROR(__xludf.DUMMYFUNCTION("""COMPUTED_VALUE"""),"")</f>
        <v/>
      </c>
      <c r="N746" s="52"/>
      <c r="O746" s="52"/>
      <c r="P746" s="52"/>
    </row>
    <row r="747">
      <c r="A747" s="58"/>
      <c r="B747" s="52"/>
      <c r="C747" s="52"/>
      <c r="D747" s="52"/>
      <c r="E747" s="52"/>
      <c r="F747" s="52"/>
      <c r="G747" s="52"/>
      <c r="H747" s="52"/>
      <c r="I747" s="52"/>
      <c r="J747" s="52"/>
      <c r="K747" s="59"/>
      <c r="L747" s="52"/>
      <c r="M747" s="52" t="str">
        <f>IFERROR(__xludf.DUMMYFUNCTION("""COMPUTED_VALUE"""),"")</f>
        <v/>
      </c>
      <c r="N747" s="52"/>
      <c r="O747" s="52"/>
      <c r="P747" s="52"/>
    </row>
    <row r="748">
      <c r="A748" s="58"/>
      <c r="B748" s="52"/>
      <c r="C748" s="52"/>
      <c r="D748" s="52"/>
      <c r="E748" s="52"/>
      <c r="F748" s="52"/>
      <c r="G748" s="52"/>
      <c r="H748" s="52"/>
      <c r="I748" s="52"/>
      <c r="J748" s="52"/>
      <c r="K748" s="59"/>
      <c r="L748" s="52"/>
      <c r="M748" s="52" t="str">
        <f>IFERROR(__xludf.DUMMYFUNCTION("""COMPUTED_VALUE"""),"")</f>
        <v/>
      </c>
      <c r="N748" s="52"/>
      <c r="O748" s="52"/>
      <c r="P748" s="52"/>
    </row>
    <row r="749">
      <c r="A749" s="58"/>
      <c r="B749" s="52"/>
      <c r="C749" s="52"/>
      <c r="D749" s="52"/>
      <c r="E749" s="52"/>
      <c r="F749" s="52"/>
      <c r="G749" s="52"/>
      <c r="H749" s="52"/>
      <c r="I749" s="52"/>
      <c r="J749" s="52"/>
      <c r="K749" s="59"/>
      <c r="L749" s="52"/>
      <c r="M749" s="52" t="str">
        <f>IFERROR(__xludf.DUMMYFUNCTION("""COMPUTED_VALUE"""),"")</f>
        <v/>
      </c>
      <c r="N749" s="52"/>
      <c r="O749" s="52"/>
      <c r="P749" s="52"/>
    </row>
    <row r="750">
      <c r="A750" s="58"/>
      <c r="B750" s="52"/>
      <c r="C750" s="52"/>
      <c r="D750" s="52"/>
      <c r="E750" s="52"/>
      <c r="F750" s="52"/>
      <c r="G750" s="52"/>
      <c r="H750" s="52"/>
      <c r="I750" s="52"/>
      <c r="J750" s="52"/>
      <c r="K750" s="59"/>
      <c r="L750" s="52"/>
      <c r="M750" s="52" t="str">
        <f>IFERROR(__xludf.DUMMYFUNCTION("""COMPUTED_VALUE"""),"")</f>
        <v/>
      </c>
      <c r="N750" s="52"/>
      <c r="O750" s="52"/>
      <c r="P750" s="52"/>
    </row>
    <row r="751">
      <c r="A751" s="58"/>
      <c r="B751" s="52"/>
      <c r="C751" s="52"/>
      <c r="D751" s="52"/>
      <c r="E751" s="52"/>
      <c r="F751" s="52"/>
      <c r="G751" s="52"/>
      <c r="H751" s="52"/>
      <c r="I751" s="52"/>
      <c r="J751" s="52"/>
      <c r="K751" s="59"/>
      <c r="L751" s="52"/>
      <c r="M751" s="52" t="str">
        <f>IFERROR(__xludf.DUMMYFUNCTION("""COMPUTED_VALUE"""),"")</f>
        <v/>
      </c>
      <c r="N751" s="52"/>
      <c r="O751" s="52"/>
      <c r="P751" s="52"/>
    </row>
    <row r="752">
      <c r="A752" s="58"/>
      <c r="B752" s="52"/>
      <c r="C752" s="52"/>
      <c r="D752" s="52"/>
      <c r="E752" s="52"/>
      <c r="F752" s="52"/>
      <c r="G752" s="52"/>
      <c r="H752" s="52"/>
      <c r="I752" s="52"/>
      <c r="J752" s="52"/>
      <c r="K752" s="59"/>
      <c r="L752" s="52"/>
      <c r="M752" s="52" t="str">
        <f>IFERROR(__xludf.DUMMYFUNCTION("""COMPUTED_VALUE"""),"")</f>
        <v/>
      </c>
      <c r="N752" s="52"/>
      <c r="O752" s="52"/>
      <c r="P752" s="52"/>
    </row>
    <row r="753">
      <c r="A753" s="58"/>
      <c r="B753" s="52"/>
      <c r="C753" s="52"/>
      <c r="D753" s="52"/>
      <c r="E753" s="52"/>
      <c r="F753" s="52"/>
      <c r="G753" s="52"/>
      <c r="H753" s="52"/>
      <c r="I753" s="52"/>
      <c r="J753" s="52"/>
      <c r="K753" s="59"/>
      <c r="L753" s="52"/>
      <c r="M753" s="52" t="str">
        <f>IFERROR(__xludf.DUMMYFUNCTION("""COMPUTED_VALUE"""),"")</f>
        <v/>
      </c>
      <c r="N753" s="52"/>
      <c r="O753" s="52"/>
      <c r="P753" s="52"/>
    </row>
    <row r="754">
      <c r="A754" s="58"/>
      <c r="B754" s="52"/>
      <c r="C754" s="52"/>
      <c r="D754" s="52"/>
      <c r="E754" s="52"/>
      <c r="F754" s="52"/>
      <c r="G754" s="52"/>
      <c r="H754" s="52"/>
      <c r="I754" s="52"/>
      <c r="J754" s="52"/>
      <c r="K754" s="59"/>
      <c r="L754" s="52"/>
      <c r="M754" s="52" t="str">
        <f>IFERROR(__xludf.DUMMYFUNCTION("""COMPUTED_VALUE"""),"")</f>
        <v/>
      </c>
      <c r="N754" s="52"/>
      <c r="O754" s="52"/>
      <c r="P754" s="52"/>
    </row>
    <row r="755">
      <c r="A755" s="58"/>
      <c r="B755" s="52"/>
      <c r="C755" s="52"/>
      <c r="D755" s="52"/>
      <c r="E755" s="52"/>
      <c r="F755" s="52"/>
      <c r="G755" s="52"/>
      <c r="H755" s="52"/>
      <c r="I755" s="52"/>
      <c r="J755" s="52"/>
      <c r="K755" s="59"/>
      <c r="L755" s="52"/>
      <c r="M755" s="52" t="str">
        <f>IFERROR(__xludf.DUMMYFUNCTION("""COMPUTED_VALUE"""),"")</f>
        <v/>
      </c>
      <c r="N755" s="52"/>
      <c r="O755" s="52"/>
      <c r="P755" s="52"/>
    </row>
    <row r="756">
      <c r="A756" s="58"/>
      <c r="B756" s="52"/>
      <c r="C756" s="52"/>
      <c r="D756" s="52"/>
      <c r="E756" s="52"/>
      <c r="F756" s="52"/>
      <c r="G756" s="52"/>
      <c r="H756" s="52"/>
      <c r="I756" s="52"/>
      <c r="J756" s="52"/>
      <c r="K756" s="59"/>
      <c r="L756" s="52"/>
      <c r="M756" s="52" t="str">
        <f>IFERROR(__xludf.DUMMYFUNCTION("""COMPUTED_VALUE"""),"")</f>
        <v/>
      </c>
      <c r="N756" s="52"/>
      <c r="O756" s="52"/>
      <c r="P756" s="52"/>
    </row>
    <row r="757">
      <c r="A757" s="58"/>
      <c r="B757" s="52"/>
      <c r="C757" s="52"/>
      <c r="D757" s="52"/>
      <c r="E757" s="52"/>
      <c r="F757" s="52"/>
      <c r="G757" s="52"/>
      <c r="H757" s="52"/>
      <c r="I757" s="52"/>
      <c r="J757" s="52"/>
      <c r="K757" s="59"/>
      <c r="L757" s="52"/>
      <c r="M757" s="52" t="str">
        <f>IFERROR(__xludf.DUMMYFUNCTION("""COMPUTED_VALUE"""),"")</f>
        <v/>
      </c>
      <c r="N757" s="52"/>
      <c r="O757" s="52"/>
      <c r="P757" s="52"/>
    </row>
    <row r="758">
      <c r="A758" s="58"/>
      <c r="B758" s="52"/>
      <c r="C758" s="52"/>
      <c r="D758" s="52"/>
      <c r="E758" s="52"/>
      <c r="F758" s="52"/>
      <c r="G758" s="52"/>
      <c r="H758" s="52"/>
      <c r="I758" s="52"/>
      <c r="J758" s="52"/>
      <c r="K758" s="59"/>
      <c r="L758" s="52"/>
      <c r="M758" s="52" t="str">
        <f>IFERROR(__xludf.DUMMYFUNCTION("""COMPUTED_VALUE"""),"")</f>
        <v/>
      </c>
      <c r="N758" s="52"/>
      <c r="O758" s="52"/>
      <c r="P758" s="52"/>
    </row>
    <row r="759">
      <c r="A759" s="58"/>
      <c r="B759" s="52"/>
      <c r="C759" s="52"/>
      <c r="D759" s="52"/>
      <c r="E759" s="52"/>
      <c r="F759" s="52"/>
      <c r="G759" s="52"/>
      <c r="H759" s="52"/>
      <c r="I759" s="52"/>
      <c r="J759" s="52"/>
      <c r="K759" s="59"/>
      <c r="L759" s="52"/>
      <c r="M759" s="52" t="str">
        <f>IFERROR(__xludf.DUMMYFUNCTION("""COMPUTED_VALUE"""),"")</f>
        <v/>
      </c>
      <c r="N759" s="52"/>
      <c r="O759" s="52"/>
      <c r="P759" s="52"/>
    </row>
    <row r="760">
      <c r="A760" s="58"/>
      <c r="B760" s="52"/>
      <c r="C760" s="52"/>
      <c r="D760" s="52"/>
      <c r="E760" s="52"/>
      <c r="F760" s="52"/>
      <c r="G760" s="52"/>
      <c r="H760" s="52"/>
      <c r="I760" s="52"/>
      <c r="J760" s="52"/>
      <c r="K760" s="59"/>
      <c r="L760" s="52"/>
      <c r="M760" s="52" t="str">
        <f>IFERROR(__xludf.DUMMYFUNCTION("""COMPUTED_VALUE"""),"")</f>
        <v/>
      </c>
      <c r="N760" s="52"/>
      <c r="O760" s="52"/>
      <c r="P760" s="52"/>
    </row>
    <row r="761">
      <c r="A761" s="58"/>
      <c r="B761" s="52"/>
      <c r="C761" s="52"/>
      <c r="D761" s="52"/>
      <c r="E761" s="52"/>
      <c r="F761" s="52"/>
      <c r="G761" s="52"/>
      <c r="H761" s="52"/>
      <c r="I761" s="52"/>
      <c r="J761" s="52"/>
      <c r="K761" s="59"/>
      <c r="L761" s="52"/>
      <c r="M761" s="52" t="str">
        <f>IFERROR(__xludf.DUMMYFUNCTION("""COMPUTED_VALUE"""),"")</f>
        <v/>
      </c>
      <c r="N761" s="52"/>
      <c r="O761" s="52"/>
      <c r="P761" s="52"/>
    </row>
    <row r="762">
      <c r="A762" s="58"/>
      <c r="B762" s="52"/>
      <c r="C762" s="52"/>
      <c r="D762" s="52"/>
      <c r="E762" s="52"/>
      <c r="F762" s="52"/>
      <c r="G762" s="52"/>
      <c r="H762" s="52"/>
      <c r="I762" s="52"/>
      <c r="J762" s="52"/>
      <c r="K762" s="59"/>
      <c r="L762" s="52"/>
      <c r="M762" s="52" t="str">
        <f>IFERROR(__xludf.DUMMYFUNCTION("""COMPUTED_VALUE"""),"")</f>
        <v/>
      </c>
      <c r="N762" s="52"/>
      <c r="O762" s="52"/>
      <c r="P762" s="52"/>
    </row>
    <row r="763">
      <c r="A763" s="58"/>
      <c r="B763" s="52"/>
      <c r="C763" s="52"/>
      <c r="D763" s="52"/>
      <c r="E763" s="52"/>
      <c r="F763" s="52"/>
      <c r="G763" s="52"/>
      <c r="H763" s="52"/>
      <c r="I763" s="52"/>
      <c r="J763" s="52"/>
      <c r="K763" s="59"/>
      <c r="L763" s="52"/>
      <c r="M763" s="52" t="str">
        <f>IFERROR(__xludf.DUMMYFUNCTION("""COMPUTED_VALUE"""),"")</f>
        <v/>
      </c>
      <c r="N763" s="52"/>
      <c r="O763" s="52"/>
      <c r="P763" s="52"/>
    </row>
    <row r="764">
      <c r="A764" s="58"/>
      <c r="B764" s="52"/>
      <c r="C764" s="52"/>
      <c r="D764" s="52"/>
      <c r="E764" s="52"/>
      <c r="F764" s="52"/>
      <c r="G764" s="52"/>
      <c r="H764" s="52"/>
      <c r="I764" s="52"/>
      <c r="J764" s="52"/>
      <c r="K764" s="59"/>
      <c r="L764" s="52"/>
      <c r="M764" s="52" t="str">
        <f>IFERROR(__xludf.DUMMYFUNCTION("""COMPUTED_VALUE"""),"")</f>
        <v/>
      </c>
      <c r="N764" s="52"/>
      <c r="O764" s="52"/>
      <c r="P764" s="52"/>
    </row>
    <row r="765">
      <c r="A765" s="58"/>
      <c r="B765" s="52"/>
      <c r="C765" s="52"/>
      <c r="D765" s="52"/>
      <c r="E765" s="52"/>
      <c r="F765" s="52"/>
      <c r="G765" s="52"/>
      <c r="H765" s="52"/>
      <c r="I765" s="52"/>
      <c r="J765" s="52"/>
      <c r="K765" s="59"/>
      <c r="L765" s="52"/>
      <c r="M765" s="52" t="str">
        <f>IFERROR(__xludf.DUMMYFUNCTION("""COMPUTED_VALUE"""),"")</f>
        <v/>
      </c>
      <c r="N765" s="52"/>
      <c r="O765" s="52"/>
      <c r="P765" s="52"/>
    </row>
    <row r="766">
      <c r="A766" s="58"/>
      <c r="B766" s="52"/>
      <c r="C766" s="52"/>
      <c r="D766" s="52"/>
      <c r="E766" s="52"/>
      <c r="F766" s="52"/>
      <c r="G766" s="52"/>
      <c r="H766" s="52"/>
      <c r="I766" s="52"/>
      <c r="J766" s="52"/>
      <c r="K766" s="59"/>
      <c r="L766" s="52"/>
      <c r="M766" s="52" t="str">
        <f>IFERROR(__xludf.DUMMYFUNCTION("""COMPUTED_VALUE"""),"")</f>
        <v/>
      </c>
      <c r="N766" s="52"/>
      <c r="O766" s="52"/>
      <c r="P766" s="52"/>
    </row>
    <row r="767">
      <c r="A767" s="58"/>
      <c r="B767" s="52"/>
      <c r="C767" s="52"/>
      <c r="D767" s="52"/>
      <c r="E767" s="52"/>
      <c r="F767" s="52"/>
      <c r="G767" s="52"/>
      <c r="H767" s="52"/>
      <c r="I767" s="52"/>
      <c r="J767" s="52"/>
      <c r="K767" s="59"/>
      <c r="L767" s="52"/>
      <c r="M767" s="52" t="str">
        <f>IFERROR(__xludf.DUMMYFUNCTION("""COMPUTED_VALUE"""),"")</f>
        <v/>
      </c>
      <c r="N767" s="52"/>
      <c r="O767" s="52"/>
      <c r="P767" s="52"/>
    </row>
    <row r="768">
      <c r="A768" s="58"/>
      <c r="B768" s="52"/>
      <c r="C768" s="52"/>
      <c r="D768" s="52"/>
      <c r="E768" s="52"/>
      <c r="F768" s="52"/>
      <c r="G768" s="52"/>
      <c r="H768" s="52"/>
      <c r="I768" s="52"/>
      <c r="J768" s="52"/>
      <c r="K768" s="59"/>
      <c r="L768" s="52"/>
      <c r="M768" s="52" t="str">
        <f>IFERROR(__xludf.DUMMYFUNCTION("""COMPUTED_VALUE"""),"")</f>
        <v/>
      </c>
      <c r="N768" s="52"/>
      <c r="O768" s="52"/>
      <c r="P768" s="52"/>
    </row>
    <row r="769">
      <c r="A769" s="58"/>
      <c r="B769" s="52"/>
      <c r="C769" s="52"/>
      <c r="D769" s="52"/>
      <c r="E769" s="52"/>
      <c r="F769" s="52"/>
      <c r="G769" s="52"/>
      <c r="H769" s="52"/>
      <c r="I769" s="52"/>
      <c r="J769" s="52"/>
      <c r="K769" s="59"/>
      <c r="L769" s="52"/>
      <c r="M769" s="52" t="str">
        <f>IFERROR(__xludf.DUMMYFUNCTION("""COMPUTED_VALUE"""),"")</f>
        <v/>
      </c>
      <c r="N769" s="52"/>
      <c r="O769" s="52"/>
      <c r="P769" s="52"/>
    </row>
    <row r="770">
      <c r="A770" s="58"/>
      <c r="B770" s="52"/>
      <c r="C770" s="52"/>
      <c r="D770" s="52"/>
      <c r="E770" s="52"/>
      <c r="F770" s="52"/>
      <c r="G770" s="52"/>
      <c r="H770" s="52"/>
      <c r="I770" s="52"/>
      <c r="J770" s="52"/>
      <c r="K770" s="59"/>
      <c r="L770" s="52"/>
      <c r="M770" s="52" t="str">
        <f>IFERROR(__xludf.DUMMYFUNCTION("""COMPUTED_VALUE"""),"")</f>
        <v/>
      </c>
      <c r="N770" s="52"/>
      <c r="O770" s="52"/>
      <c r="P770" s="52"/>
    </row>
    <row r="771">
      <c r="A771" s="58"/>
      <c r="B771" s="52"/>
      <c r="C771" s="52"/>
      <c r="D771" s="52"/>
      <c r="E771" s="52"/>
      <c r="F771" s="52"/>
      <c r="G771" s="52"/>
      <c r="H771" s="52"/>
      <c r="I771" s="52"/>
      <c r="J771" s="52"/>
      <c r="K771" s="59"/>
      <c r="L771" s="52"/>
      <c r="M771" s="52" t="str">
        <f>IFERROR(__xludf.DUMMYFUNCTION("""COMPUTED_VALUE"""),"")</f>
        <v/>
      </c>
      <c r="N771" s="52"/>
      <c r="O771" s="52"/>
      <c r="P771" s="52"/>
    </row>
    <row r="772">
      <c r="A772" s="58"/>
      <c r="B772" s="52"/>
      <c r="C772" s="52"/>
      <c r="D772" s="52"/>
      <c r="E772" s="52"/>
      <c r="F772" s="52"/>
      <c r="G772" s="52"/>
      <c r="H772" s="52"/>
      <c r="I772" s="52"/>
      <c r="J772" s="52"/>
      <c r="K772" s="59"/>
      <c r="L772" s="52"/>
      <c r="M772" s="52" t="str">
        <f>IFERROR(__xludf.DUMMYFUNCTION("""COMPUTED_VALUE"""),"")</f>
        <v/>
      </c>
      <c r="N772" s="52"/>
      <c r="O772" s="52"/>
      <c r="P772" s="52"/>
    </row>
    <row r="773">
      <c r="A773" s="58"/>
      <c r="B773" s="52"/>
      <c r="C773" s="52"/>
      <c r="D773" s="52"/>
      <c r="E773" s="52"/>
      <c r="F773" s="52"/>
      <c r="G773" s="52"/>
      <c r="H773" s="52"/>
      <c r="I773" s="52"/>
      <c r="J773" s="52"/>
      <c r="K773" s="59"/>
      <c r="L773" s="52"/>
      <c r="M773" s="52" t="str">
        <f>IFERROR(__xludf.DUMMYFUNCTION("""COMPUTED_VALUE"""),"")</f>
        <v/>
      </c>
      <c r="N773" s="52"/>
      <c r="O773" s="52"/>
      <c r="P773" s="52"/>
    </row>
    <row r="774">
      <c r="A774" s="58"/>
      <c r="B774" s="52"/>
      <c r="C774" s="52"/>
      <c r="D774" s="52"/>
      <c r="E774" s="52"/>
      <c r="F774" s="52"/>
      <c r="G774" s="52"/>
      <c r="H774" s="52"/>
      <c r="I774" s="52"/>
      <c r="J774" s="52"/>
      <c r="K774" s="59"/>
      <c r="L774" s="52"/>
      <c r="M774" s="52" t="str">
        <f>IFERROR(__xludf.DUMMYFUNCTION("""COMPUTED_VALUE"""),"")</f>
        <v/>
      </c>
      <c r="N774" s="52"/>
      <c r="O774" s="52"/>
      <c r="P774" s="52"/>
    </row>
    <row r="775">
      <c r="A775" s="58"/>
      <c r="B775" s="52"/>
      <c r="C775" s="52"/>
      <c r="D775" s="52"/>
      <c r="E775" s="52"/>
      <c r="F775" s="52"/>
      <c r="G775" s="52"/>
      <c r="H775" s="52"/>
      <c r="I775" s="52"/>
      <c r="J775" s="52"/>
      <c r="K775" s="59"/>
      <c r="L775" s="52"/>
      <c r="M775" s="52" t="str">
        <f>IFERROR(__xludf.DUMMYFUNCTION("""COMPUTED_VALUE"""),"")</f>
        <v/>
      </c>
      <c r="N775" s="52"/>
      <c r="O775" s="52"/>
      <c r="P775" s="52"/>
    </row>
    <row r="776">
      <c r="A776" s="58"/>
      <c r="B776" s="52"/>
      <c r="C776" s="52"/>
      <c r="D776" s="52"/>
      <c r="E776" s="52"/>
      <c r="F776" s="52"/>
      <c r="G776" s="52"/>
      <c r="H776" s="52"/>
      <c r="I776" s="52"/>
      <c r="J776" s="52"/>
      <c r="K776" s="59"/>
      <c r="L776" s="52"/>
      <c r="M776" s="52" t="str">
        <f>IFERROR(__xludf.DUMMYFUNCTION("""COMPUTED_VALUE"""),"")</f>
        <v/>
      </c>
      <c r="N776" s="52"/>
      <c r="O776" s="52"/>
      <c r="P776" s="52"/>
    </row>
    <row r="777">
      <c r="A777" s="58"/>
      <c r="B777" s="52"/>
      <c r="C777" s="52"/>
      <c r="D777" s="52"/>
      <c r="E777" s="52"/>
      <c r="F777" s="52"/>
      <c r="G777" s="52"/>
      <c r="H777" s="52"/>
      <c r="I777" s="52"/>
      <c r="J777" s="52"/>
      <c r="K777" s="59"/>
      <c r="L777" s="52"/>
      <c r="M777" s="52" t="str">
        <f>IFERROR(__xludf.DUMMYFUNCTION("""COMPUTED_VALUE"""),"")</f>
        <v/>
      </c>
      <c r="N777" s="52"/>
      <c r="O777" s="52"/>
      <c r="P777" s="52"/>
    </row>
    <row r="778">
      <c r="A778" s="58"/>
      <c r="B778" s="52"/>
      <c r="C778" s="52"/>
      <c r="D778" s="52"/>
      <c r="E778" s="52"/>
      <c r="F778" s="52"/>
      <c r="G778" s="52"/>
      <c r="H778" s="52"/>
      <c r="I778" s="52"/>
      <c r="J778" s="52"/>
      <c r="K778" s="59"/>
      <c r="L778" s="52"/>
      <c r="M778" s="52" t="str">
        <f>IFERROR(__xludf.DUMMYFUNCTION("""COMPUTED_VALUE"""),"")</f>
        <v/>
      </c>
      <c r="N778" s="52"/>
      <c r="O778" s="52"/>
      <c r="P778" s="52"/>
    </row>
    <row r="779">
      <c r="A779" s="58"/>
      <c r="B779" s="52"/>
      <c r="C779" s="52"/>
      <c r="D779" s="52"/>
      <c r="E779" s="52"/>
      <c r="F779" s="52"/>
      <c r="G779" s="52"/>
      <c r="H779" s="52"/>
      <c r="I779" s="52"/>
      <c r="J779" s="52"/>
      <c r="K779" s="59"/>
      <c r="L779" s="52"/>
      <c r="M779" s="52" t="str">
        <f>IFERROR(__xludf.DUMMYFUNCTION("""COMPUTED_VALUE"""),"")</f>
        <v/>
      </c>
      <c r="N779" s="52"/>
      <c r="O779" s="52"/>
      <c r="P779" s="52"/>
    </row>
    <row r="780">
      <c r="A780" s="58"/>
      <c r="B780" s="52"/>
      <c r="C780" s="52"/>
      <c r="D780" s="52"/>
      <c r="E780" s="52"/>
      <c r="F780" s="52"/>
      <c r="G780" s="52"/>
      <c r="H780" s="52"/>
      <c r="I780" s="52"/>
      <c r="J780" s="52"/>
      <c r="K780" s="59"/>
      <c r="L780" s="52"/>
      <c r="M780" s="52" t="str">
        <f>IFERROR(__xludf.DUMMYFUNCTION("""COMPUTED_VALUE"""),"")</f>
        <v/>
      </c>
      <c r="N780" s="52"/>
      <c r="O780" s="52"/>
      <c r="P780" s="52"/>
    </row>
    <row r="781">
      <c r="A781" s="58"/>
      <c r="B781" s="52"/>
      <c r="C781" s="52"/>
      <c r="D781" s="52"/>
      <c r="E781" s="52"/>
      <c r="F781" s="52"/>
      <c r="G781" s="52"/>
      <c r="H781" s="52"/>
      <c r="I781" s="52"/>
      <c r="J781" s="52"/>
      <c r="K781" s="59"/>
      <c r="L781" s="52"/>
      <c r="M781" s="52" t="str">
        <f>IFERROR(__xludf.DUMMYFUNCTION("""COMPUTED_VALUE"""),"")</f>
        <v/>
      </c>
      <c r="N781" s="52"/>
      <c r="O781" s="52"/>
      <c r="P781" s="52"/>
    </row>
    <row r="782">
      <c r="A782" s="58"/>
      <c r="B782" s="52"/>
      <c r="C782" s="52"/>
      <c r="D782" s="52"/>
      <c r="E782" s="52"/>
      <c r="F782" s="52"/>
      <c r="G782" s="52"/>
      <c r="H782" s="52"/>
      <c r="I782" s="52"/>
      <c r="J782" s="52"/>
      <c r="K782" s="59"/>
      <c r="L782" s="52"/>
      <c r="M782" s="52" t="str">
        <f>IFERROR(__xludf.DUMMYFUNCTION("""COMPUTED_VALUE"""),"")</f>
        <v/>
      </c>
      <c r="N782" s="52"/>
      <c r="O782" s="52"/>
      <c r="P782" s="52"/>
    </row>
  </sheetData>
  <conditionalFormatting sqref="B1 C1:C782">
    <cfRule type="cellIs" dxfId="0" priority="1" operator="equal">
      <formula>"TRUE"</formula>
    </cfRule>
  </conditionalFormatting>
  <conditionalFormatting sqref="I1:I782">
    <cfRule type="cellIs" dxfId="1" priority="2" operator="greaterThanOrEqual">
      <formula>100</formula>
    </cfRule>
  </conditionalFormatting>
  <conditionalFormatting sqref="I1:I782">
    <cfRule type="cellIs" dxfId="2" priority="3" operator="greaterThanOrEqual">
      <formula>70</formula>
    </cfRule>
  </conditionalFormatting>
  <conditionalFormatting sqref="I1:I782">
    <cfRule type="cellIs" dxfId="3" priority="4" operator="lessThanOrEqual">
      <formula>25</formula>
    </cfRule>
  </conditionalFormatting>
  <conditionalFormatting sqref="I1:I782">
    <cfRule type="cellIs" dxfId="4" priority="5" operator="lessThanOrEqual">
      <formula>30</formula>
    </cfRule>
  </conditionalFormatting>
  <conditionalFormatting sqref="I1:I782">
    <cfRule type="cellIs" dxfId="5" priority="6" operator="lessThanOrEqual">
      <formula>40</formula>
    </cfRule>
  </conditionalFormatting>
  <conditionalFormatting sqref="J1:J782">
    <cfRule type="cellIs" dxfId="6" priority="7" operator="equal">
      <formula>"Breakfast"</formula>
    </cfRule>
  </conditionalFormatting>
  <conditionalFormatting sqref="J1:J782">
    <cfRule type="cellIs" dxfId="7" priority="8" operator="equal">
      <formula>"Breakfast/Lunch"</formula>
    </cfRule>
  </conditionalFormatting>
  <conditionalFormatting sqref="J1:J782">
    <cfRule type="cellIs" dxfId="8" priority="9" operator="equal">
      <formula>"Lunch"</formula>
    </cfRule>
  </conditionalFormatting>
  <conditionalFormatting sqref="J1:J782">
    <cfRule type="cellIs" dxfId="9" priority="10" operator="equal">
      <formula>"Lunch/Dinner"</formula>
    </cfRule>
  </conditionalFormatting>
  <conditionalFormatting sqref="J1:J782">
    <cfRule type="cellIs" dxfId="10" priority="11" operator="equal">
      <formula>"Dinner"</formula>
    </cfRule>
  </conditionalFormatting>
  <conditionalFormatting sqref="L1:P782">
    <cfRule type="cellIs" dxfId="11" priority="12" operator="equal">
      <formula>"Monday"</formula>
    </cfRule>
  </conditionalFormatting>
  <conditionalFormatting sqref="L1:P782">
    <cfRule type="cellIs" dxfId="12" priority="13" operator="equal">
      <formula>"Tuesday"</formula>
    </cfRule>
  </conditionalFormatting>
  <conditionalFormatting sqref="L1:P782">
    <cfRule type="cellIs" dxfId="13" priority="14" operator="equal">
      <formula>"Wednesday"</formula>
    </cfRule>
  </conditionalFormatting>
  <conditionalFormatting sqref="L1:P782">
    <cfRule type="cellIs" dxfId="14" priority="15" operator="equal">
      <formula>"Thursday"</formula>
    </cfRule>
  </conditionalFormatting>
  <conditionalFormatting sqref="L1:P782">
    <cfRule type="cellIs" dxfId="15" priority="16" operator="equal">
      <formula>"Friday"</formula>
    </cfRule>
  </conditionalFormatting>
  <conditionalFormatting sqref="K4:K782">
    <cfRule type="expression" dxfId="16" priority="17">
      <formula>AND(K4&lt;&gt;"", ISEVEN(SUMPRODUCT((K$4:K4&lt;&gt;OFFSET(K$4:K4,-1,0))*(K$4:K4&lt;&gt;""))))</formula>
    </cfRule>
  </conditionalFormatting>
  <drawing r:id="rId2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783F04"/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8" max="8" width="7.88"/>
    <col customWidth="1" min="12" max="12" width="9.75"/>
    <col customWidth="1" min="13" max="13" width="7.0"/>
    <col customWidth="1" min="14" max="16" width="12.0"/>
    <col customWidth="1" min="17" max="19" width="24.25"/>
  </cols>
  <sheetData>
    <row r="1">
      <c r="A1" s="51" t="s">
        <v>115</v>
      </c>
      <c r="B1" s="51" t="s">
        <v>116</v>
      </c>
      <c r="C1" s="51" t="s">
        <v>117</v>
      </c>
      <c r="D1" s="51" t="s">
        <v>118</v>
      </c>
      <c r="E1" s="51" t="s">
        <v>119</v>
      </c>
      <c r="F1" s="51" t="s">
        <v>120</v>
      </c>
      <c r="G1" s="51" t="s">
        <v>121</v>
      </c>
      <c r="H1" s="51" t="s">
        <v>122</v>
      </c>
      <c r="I1" s="51" t="s">
        <v>123</v>
      </c>
      <c r="J1" s="51" t="s">
        <v>124</v>
      </c>
      <c r="K1" s="51" t="s">
        <v>125</v>
      </c>
      <c r="L1" s="51" t="s">
        <v>126</v>
      </c>
      <c r="M1" s="51" t="s">
        <v>145</v>
      </c>
      <c r="N1" s="51" t="s">
        <v>146</v>
      </c>
      <c r="O1" s="51" t="s">
        <v>147</v>
      </c>
      <c r="P1" s="51" t="s">
        <v>127</v>
      </c>
      <c r="Q1" s="61"/>
      <c r="R1" s="61"/>
      <c r="S1" s="61"/>
    </row>
    <row r="2">
      <c r="A2" s="58">
        <v>45544.86615630787</v>
      </c>
      <c r="B2" s="52" t="s">
        <v>148</v>
      </c>
      <c r="C2" s="52" t="b">
        <v>0</v>
      </c>
      <c r="D2" s="52"/>
      <c r="E2" s="52"/>
      <c r="F2" s="52"/>
      <c r="G2" s="52"/>
      <c r="H2" s="52">
        <v>87.0</v>
      </c>
      <c r="I2" s="52"/>
      <c r="J2" s="55" t="s">
        <v>12</v>
      </c>
      <c r="K2" s="59">
        <v>45544.0</v>
      </c>
      <c r="L2" s="52" t="s">
        <v>129</v>
      </c>
      <c r="M2" s="52" t="s">
        <v>18</v>
      </c>
      <c r="N2" s="57" t="str">
        <f>IFERROR(__xludf.DUMMYFUNCTION("BYROW('F24'!K2:K282, LAMBDA(r,
  IF(r="""","""",
    LET(
      nextVal, IFERROR(INDEX('F24'!K2:K282, ROW(r)-ROW('F24'!K2)+2), """"),
      IF(r &lt;&gt; nextVal,
         IFERROR(
           SUM(FILTER('F24'!H2:H282, 'F24'!K2:K282 = r, 'F24'!M2:M282 = ""MF""))"&amp;",
           """"
         ),
         """"
      )
    )
  )
))"),"")</f>
        <v/>
      </c>
      <c r="O2" s="57" t="str">
        <f>IFERROR(__xludf.DUMMYFUNCTION("BYROW('F24'!K2:K282, LAMBDA(r,
  IF(r="""","""",
    LET(
      nextVal, IFERROR(INDEX('F24'!K2:K282, ROW(r)-ROW('F24'!K2)+2), """"),
      IF(r &lt;&gt; nextVal,
         IFERROR(
           SUM(FILTER('F24'!H2:H282, 'F24'!K2:K282 = r, 'F24'!M2:M282 = ""BF""))"&amp;",
           """"
         ),
         """"
      )
    )
  )
))"),"")</f>
        <v/>
      </c>
      <c r="P2" s="57" t="str">
        <f>IFERROR(__xludf.DUMMYFUNCTION("BYROW('F24'!K2:K282, LAMBDA(r,
  IF(r="""","""",
    LET(
      nextVal, IFERROR(INDEX('F24'!K2:K282, ROW(r)-ROW('F24'!K2)+2), """"),
      IF(r &lt;&gt; nextVal,
         IFERROR(
           SUM(FILTER('F24'!H2:H282, 'F24'!K2:K282 = r)),
           """"
      "&amp;"   ),
         """"
      )
    )
  )
))
"),"")</f>
        <v/>
      </c>
      <c r="Q2" s="57"/>
      <c r="R2" s="57"/>
      <c r="S2" s="57"/>
    </row>
    <row r="3">
      <c r="A3" s="58">
        <v>45545.36308341436</v>
      </c>
      <c r="B3" s="52" t="s">
        <v>139</v>
      </c>
      <c r="C3" s="52" t="b">
        <v>0</v>
      </c>
      <c r="D3" s="52"/>
      <c r="E3" s="52"/>
      <c r="F3" s="52"/>
      <c r="G3" s="52"/>
      <c r="H3" s="60">
        <v>43.0</v>
      </c>
      <c r="I3" s="52"/>
      <c r="J3" s="52" t="s">
        <v>12</v>
      </c>
      <c r="K3" s="59">
        <v>45544.0</v>
      </c>
      <c r="L3" s="52" t="s">
        <v>129</v>
      </c>
      <c r="M3" s="52" t="s">
        <v>19</v>
      </c>
      <c r="N3" s="61">
        <f>IFERROR(__xludf.DUMMYFUNCTION("""COMPUTED_VALUE"""),87.0)</f>
        <v>87</v>
      </c>
      <c r="O3" s="61">
        <f>IFERROR(__xludf.DUMMYFUNCTION("""COMPUTED_VALUE"""),43.0)</f>
        <v>43</v>
      </c>
      <c r="P3" s="61">
        <f>IFERROR(__xludf.DUMMYFUNCTION("""COMPUTED_VALUE"""),130.0)</f>
        <v>130</v>
      </c>
      <c r="Q3" s="61"/>
      <c r="R3" s="61"/>
      <c r="S3" s="61"/>
    </row>
    <row r="4">
      <c r="A4" s="58">
        <v>45545.62025076389</v>
      </c>
      <c r="B4" s="52" t="s">
        <v>139</v>
      </c>
      <c r="C4" s="52" t="b">
        <v>0</v>
      </c>
      <c r="D4" s="52"/>
      <c r="E4" s="52"/>
      <c r="F4" s="52"/>
      <c r="G4" s="52"/>
      <c r="H4" s="60">
        <v>42.0</v>
      </c>
      <c r="I4" s="52"/>
      <c r="J4" s="52" t="s">
        <v>11</v>
      </c>
      <c r="K4" s="59">
        <v>45545.0</v>
      </c>
      <c r="L4" s="52" t="s">
        <v>132</v>
      </c>
      <c r="M4" s="52" t="s">
        <v>19</v>
      </c>
      <c r="N4" s="61" t="str">
        <f>IFERROR(__xludf.DUMMYFUNCTION("""COMPUTED_VALUE"""),"")</f>
        <v/>
      </c>
      <c r="O4" s="61" t="str">
        <f>IFERROR(__xludf.DUMMYFUNCTION("""COMPUTED_VALUE"""),"")</f>
        <v/>
      </c>
      <c r="P4" s="61" t="str">
        <f>IFERROR(__xludf.DUMMYFUNCTION("""COMPUTED_VALUE"""),"")</f>
        <v/>
      </c>
      <c r="Q4" s="61"/>
      <c r="R4" s="61"/>
      <c r="S4" s="61"/>
    </row>
    <row r="5">
      <c r="A5" s="58">
        <v>45545.87770733796</v>
      </c>
      <c r="B5" s="52" t="s">
        <v>149</v>
      </c>
      <c r="C5" s="52" t="b">
        <v>0</v>
      </c>
      <c r="D5" s="52"/>
      <c r="E5" s="52"/>
      <c r="F5" s="52"/>
      <c r="G5" s="52"/>
      <c r="H5" s="60">
        <v>61.0</v>
      </c>
      <c r="I5" s="52"/>
      <c r="J5" s="52" t="s">
        <v>12</v>
      </c>
      <c r="K5" s="59">
        <v>45545.0</v>
      </c>
      <c r="L5" s="52" t="s">
        <v>132</v>
      </c>
      <c r="M5" s="52" t="s">
        <v>19</v>
      </c>
      <c r="N5" s="61" t="str">
        <f>IFERROR(__xludf.DUMMYFUNCTION("""COMPUTED_VALUE"""),"")</f>
        <v/>
      </c>
      <c r="O5" s="61" t="str">
        <f>IFERROR(__xludf.DUMMYFUNCTION("""COMPUTED_VALUE"""),"")</f>
        <v/>
      </c>
      <c r="P5" s="61" t="str">
        <f>IFERROR(__xludf.DUMMYFUNCTION("""COMPUTED_VALUE"""),"")</f>
        <v/>
      </c>
      <c r="Q5" s="61"/>
      <c r="R5" s="61"/>
      <c r="S5" s="61"/>
    </row>
    <row r="6">
      <c r="A6" s="58">
        <v>45545.88722300926</v>
      </c>
      <c r="B6" s="52" t="s">
        <v>134</v>
      </c>
      <c r="C6" s="52" t="b">
        <v>0</v>
      </c>
      <c r="D6" s="52"/>
      <c r="E6" s="52"/>
      <c r="F6" s="52"/>
      <c r="G6" s="52"/>
      <c r="H6" s="60">
        <v>145.0</v>
      </c>
      <c r="I6" s="52"/>
      <c r="J6" s="52" t="s">
        <v>12</v>
      </c>
      <c r="K6" s="59">
        <v>45545.0</v>
      </c>
      <c r="L6" s="52" t="s">
        <v>132</v>
      </c>
      <c r="M6" s="52" t="s">
        <v>18</v>
      </c>
      <c r="N6" s="61">
        <f>IFERROR(__xludf.DUMMYFUNCTION("""COMPUTED_VALUE"""),145.0)</f>
        <v>145</v>
      </c>
      <c r="O6" s="61">
        <f>IFERROR(__xludf.DUMMYFUNCTION("""COMPUTED_VALUE"""),103.0)</f>
        <v>103</v>
      </c>
      <c r="P6" s="61">
        <f>IFERROR(__xludf.DUMMYFUNCTION("""COMPUTED_VALUE"""),248.0)</f>
        <v>248</v>
      </c>
      <c r="Q6" s="61"/>
      <c r="R6" s="61"/>
      <c r="S6" s="61"/>
    </row>
    <row r="7">
      <c r="A7" s="58">
        <v>45546.43262083334</v>
      </c>
      <c r="B7" s="52" t="s">
        <v>136</v>
      </c>
      <c r="C7" s="52" t="b">
        <v>0</v>
      </c>
      <c r="D7" s="52"/>
      <c r="E7" s="52"/>
      <c r="F7" s="52"/>
      <c r="G7" s="52"/>
      <c r="H7" s="60">
        <v>39.0</v>
      </c>
      <c r="I7" s="52"/>
      <c r="J7" s="52" t="s">
        <v>10</v>
      </c>
      <c r="K7" s="59">
        <v>45546.0</v>
      </c>
      <c r="L7" s="52" t="s">
        <v>135</v>
      </c>
      <c r="M7" s="52" t="s">
        <v>19</v>
      </c>
      <c r="N7" s="62" t="str">
        <f>IFERROR(__xludf.DUMMYFUNCTION("""COMPUTED_VALUE"""),"")</f>
        <v/>
      </c>
      <c r="O7" s="62" t="str">
        <f>IFERROR(__xludf.DUMMYFUNCTION("""COMPUTED_VALUE"""),"")</f>
        <v/>
      </c>
      <c r="P7" s="62" t="str">
        <f>IFERROR(__xludf.DUMMYFUNCTION("""COMPUTED_VALUE"""),"")</f>
        <v/>
      </c>
      <c r="Q7" s="62"/>
      <c r="R7" s="62"/>
      <c r="S7" s="62"/>
    </row>
    <row r="8">
      <c r="A8" s="58">
        <v>45546.62570864584</v>
      </c>
      <c r="B8" s="52" t="s">
        <v>149</v>
      </c>
      <c r="C8" s="52" t="b">
        <v>0</v>
      </c>
      <c r="D8" s="52"/>
      <c r="E8" s="52"/>
      <c r="F8" s="52"/>
      <c r="G8" s="52"/>
      <c r="H8" s="60">
        <v>38.0</v>
      </c>
      <c r="I8" s="52"/>
      <c r="J8" s="52" t="s">
        <v>11</v>
      </c>
      <c r="K8" s="59">
        <v>45546.0</v>
      </c>
      <c r="L8" s="52" t="s">
        <v>135</v>
      </c>
      <c r="M8" s="52" t="s">
        <v>19</v>
      </c>
      <c r="N8" s="62" t="str">
        <f>IFERROR(__xludf.DUMMYFUNCTION("""COMPUTED_VALUE"""),"")</f>
        <v/>
      </c>
      <c r="O8" s="62" t="str">
        <f>IFERROR(__xludf.DUMMYFUNCTION("""COMPUTED_VALUE"""),"")</f>
        <v/>
      </c>
      <c r="P8" s="62" t="str">
        <f>IFERROR(__xludf.DUMMYFUNCTION("""COMPUTED_VALUE"""),"")</f>
        <v/>
      </c>
      <c r="Q8" s="62"/>
      <c r="R8" s="62"/>
      <c r="S8" s="62"/>
    </row>
    <row r="9">
      <c r="A9" s="58">
        <v>45546.64865887731</v>
      </c>
      <c r="B9" s="52" t="s">
        <v>148</v>
      </c>
      <c r="C9" s="52" t="b">
        <v>0</v>
      </c>
      <c r="D9" s="52"/>
      <c r="E9" s="52"/>
      <c r="F9" s="52"/>
      <c r="G9" s="52"/>
      <c r="H9" s="60">
        <v>89.0</v>
      </c>
      <c r="I9" s="52"/>
      <c r="J9" s="52" t="s">
        <v>11</v>
      </c>
      <c r="K9" s="59">
        <v>45546.0</v>
      </c>
      <c r="L9" s="52" t="s">
        <v>135</v>
      </c>
      <c r="M9" s="52" t="s">
        <v>18</v>
      </c>
      <c r="N9" s="57" t="str">
        <f>IFERROR(__xludf.DUMMYFUNCTION("""COMPUTED_VALUE"""),"")</f>
        <v/>
      </c>
      <c r="O9" s="57" t="str">
        <f>IFERROR(__xludf.DUMMYFUNCTION("""COMPUTED_VALUE"""),"")</f>
        <v/>
      </c>
      <c r="P9" s="57" t="str">
        <f>IFERROR(__xludf.DUMMYFUNCTION("""COMPUTED_VALUE"""),"")</f>
        <v/>
      </c>
      <c r="Q9" s="57"/>
      <c r="R9" s="57"/>
      <c r="S9" s="57"/>
    </row>
    <row r="10">
      <c r="A10" s="58">
        <v>45546.78278149306</v>
      </c>
      <c r="B10" s="52" t="s">
        <v>150</v>
      </c>
      <c r="C10" s="52" t="b">
        <v>0</v>
      </c>
      <c r="D10" s="52"/>
      <c r="E10" s="52"/>
      <c r="F10" s="52"/>
      <c r="G10" s="52"/>
      <c r="H10" s="60">
        <v>27.0</v>
      </c>
      <c r="I10" s="52"/>
      <c r="J10" s="52" t="s">
        <v>12</v>
      </c>
      <c r="K10" s="59">
        <v>45546.0</v>
      </c>
      <c r="L10" s="52" t="s">
        <v>135</v>
      </c>
      <c r="M10" s="52" t="s">
        <v>19</v>
      </c>
      <c r="N10" s="62" t="str">
        <f>IFERROR(__xludf.DUMMYFUNCTION("""COMPUTED_VALUE"""),"")</f>
        <v/>
      </c>
      <c r="O10" s="62" t="str">
        <f>IFERROR(__xludf.DUMMYFUNCTION("""COMPUTED_VALUE"""),"")</f>
        <v/>
      </c>
      <c r="P10" s="62" t="str">
        <f>IFERROR(__xludf.DUMMYFUNCTION("""COMPUTED_VALUE"""),"")</f>
        <v/>
      </c>
      <c r="Q10" s="62"/>
      <c r="R10" s="62"/>
      <c r="S10" s="62"/>
    </row>
    <row r="11">
      <c r="A11" s="58">
        <v>45547.56181012731</v>
      </c>
      <c r="B11" s="52" t="s">
        <v>151</v>
      </c>
      <c r="C11" s="52" t="b">
        <v>0</v>
      </c>
      <c r="D11" s="52"/>
      <c r="E11" s="52"/>
      <c r="F11" s="52"/>
      <c r="G11" s="52"/>
      <c r="H11" s="60">
        <v>31.0</v>
      </c>
      <c r="I11" s="52"/>
      <c r="J11" s="52" t="s">
        <v>12</v>
      </c>
      <c r="K11" s="59">
        <v>45546.0</v>
      </c>
      <c r="L11" s="52" t="s">
        <v>135</v>
      </c>
      <c r="M11" s="52" t="s">
        <v>19</v>
      </c>
      <c r="N11" s="62">
        <f>IFERROR(__xludf.DUMMYFUNCTION("""COMPUTED_VALUE"""),89.0)</f>
        <v>89</v>
      </c>
      <c r="O11" s="62">
        <f>IFERROR(__xludf.DUMMYFUNCTION("""COMPUTED_VALUE"""),135.0)</f>
        <v>135</v>
      </c>
      <c r="P11" s="62">
        <f>IFERROR(__xludf.DUMMYFUNCTION("""COMPUTED_VALUE"""),224.0)</f>
        <v>224</v>
      </c>
      <c r="Q11" s="62"/>
      <c r="R11" s="62"/>
      <c r="S11" s="62"/>
    </row>
    <row r="12">
      <c r="A12" s="58">
        <v>45547.59639425926</v>
      </c>
      <c r="B12" s="52" t="s">
        <v>152</v>
      </c>
      <c r="C12" s="52" t="b">
        <v>0</v>
      </c>
      <c r="D12" s="52"/>
      <c r="E12" s="52"/>
      <c r="F12" s="52"/>
      <c r="G12" s="52"/>
      <c r="H12" s="60">
        <v>48.0</v>
      </c>
      <c r="I12" s="52"/>
      <c r="J12" s="52" t="s">
        <v>11</v>
      </c>
      <c r="K12" s="59">
        <v>45547.0</v>
      </c>
      <c r="L12" s="52" t="s">
        <v>137</v>
      </c>
      <c r="M12" s="52" t="s">
        <v>18</v>
      </c>
      <c r="N12" s="62" t="str">
        <f>IFERROR(__xludf.DUMMYFUNCTION("""COMPUTED_VALUE"""),"")</f>
        <v/>
      </c>
      <c r="O12" s="62" t="str">
        <f>IFERROR(__xludf.DUMMYFUNCTION("""COMPUTED_VALUE"""),"")</f>
        <v/>
      </c>
      <c r="P12" s="62" t="str">
        <f>IFERROR(__xludf.DUMMYFUNCTION("""COMPUTED_VALUE"""),"")</f>
        <v/>
      </c>
      <c r="Q12" s="62"/>
      <c r="R12" s="62"/>
      <c r="S12" s="62"/>
    </row>
    <row r="13">
      <c r="A13" s="58">
        <v>45547.62611564815</v>
      </c>
      <c r="B13" s="52" t="s">
        <v>149</v>
      </c>
      <c r="C13" s="52" t="b">
        <v>0</v>
      </c>
      <c r="D13" s="52"/>
      <c r="E13" s="52"/>
      <c r="F13" s="52"/>
      <c r="G13" s="52"/>
      <c r="H13" s="60">
        <v>66.0</v>
      </c>
      <c r="I13" s="52"/>
      <c r="J13" s="52" t="s">
        <v>11</v>
      </c>
      <c r="K13" s="59">
        <v>45547.0</v>
      </c>
      <c r="L13" s="52" t="s">
        <v>137</v>
      </c>
      <c r="M13" s="52" t="s">
        <v>19</v>
      </c>
      <c r="N13" s="62" t="str">
        <f>IFERROR(__xludf.DUMMYFUNCTION("""COMPUTED_VALUE"""),"")</f>
        <v/>
      </c>
      <c r="O13" s="62" t="str">
        <f>IFERROR(__xludf.DUMMYFUNCTION("""COMPUTED_VALUE"""),"")</f>
        <v/>
      </c>
      <c r="P13" s="62" t="str">
        <f>IFERROR(__xludf.DUMMYFUNCTION("""COMPUTED_VALUE"""),"")</f>
        <v/>
      </c>
      <c r="Q13" s="62"/>
      <c r="R13" s="62"/>
      <c r="S13" s="62"/>
    </row>
    <row r="14">
      <c r="A14" s="58">
        <v>45547.82239225695</v>
      </c>
      <c r="B14" s="52" t="s">
        <v>148</v>
      </c>
      <c r="C14" s="52" t="b">
        <v>0</v>
      </c>
      <c r="D14" s="52"/>
      <c r="E14" s="52"/>
      <c r="F14" s="52"/>
      <c r="G14" s="52"/>
      <c r="H14" s="60">
        <v>156.0</v>
      </c>
      <c r="I14" s="52"/>
      <c r="J14" s="52" t="s">
        <v>12</v>
      </c>
      <c r="K14" s="59">
        <v>45547.0</v>
      </c>
      <c r="L14" s="52" t="s">
        <v>137</v>
      </c>
      <c r="M14" s="52" t="s">
        <v>19</v>
      </c>
      <c r="N14" s="62" t="str">
        <f>IFERROR(__xludf.DUMMYFUNCTION("""COMPUTED_VALUE"""),"")</f>
        <v/>
      </c>
      <c r="O14" s="62" t="str">
        <f>IFERROR(__xludf.DUMMYFUNCTION("""COMPUTED_VALUE"""),"")</f>
        <v/>
      </c>
      <c r="P14" s="62" t="str">
        <f>IFERROR(__xludf.DUMMYFUNCTION("""COMPUTED_VALUE"""),"")</f>
        <v/>
      </c>
      <c r="Q14" s="62"/>
      <c r="R14" s="62"/>
      <c r="S14" s="62"/>
    </row>
    <row r="15">
      <c r="A15" s="58">
        <v>45547.87524983796</v>
      </c>
      <c r="B15" s="52" t="s">
        <v>148</v>
      </c>
      <c r="C15" s="52" t="b">
        <v>0</v>
      </c>
      <c r="D15" s="52"/>
      <c r="E15" s="52"/>
      <c r="F15" s="52"/>
      <c r="G15" s="52"/>
      <c r="H15" s="60">
        <v>52.0</v>
      </c>
      <c r="I15" s="52"/>
      <c r="J15" s="52" t="s">
        <v>12</v>
      </c>
      <c r="K15" s="59">
        <v>45547.0</v>
      </c>
      <c r="L15" s="52" t="s">
        <v>137</v>
      </c>
      <c r="M15" s="52" t="s">
        <v>19</v>
      </c>
      <c r="N15" s="62">
        <f>IFERROR(__xludf.DUMMYFUNCTION("""COMPUTED_VALUE"""),48.0)</f>
        <v>48</v>
      </c>
      <c r="O15" s="62">
        <f>IFERROR(__xludf.DUMMYFUNCTION("""COMPUTED_VALUE"""),274.0)</f>
        <v>274</v>
      </c>
      <c r="P15" s="62">
        <f>IFERROR(__xludf.DUMMYFUNCTION("""COMPUTED_VALUE"""),322.0)</f>
        <v>322</v>
      </c>
      <c r="Q15" s="62"/>
      <c r="R15" s="62"/>
      <c r="S15" s="62"/>
    </row>
    <row r="16">
      <c r="A16" s="58">
        <v>45548.39078780093</v>
      </c>
      <c r="B16" s="52" t="s">
        <v>136</v>
      </c>
      <c r="C16" s="52" t="b">
        <v>0</v>
      </c>
      <c r="D16" s="52"/>
      <c r="E16" s="52"/>
      <c r="F16" s="52"/>
      <c r="G16" s="52"/>
      <c r="H16" s="60">
        <v>31.0</v>
      </c>
      <c r="I16" s="52"/>
      <c r="J16" s="52" t="s">
        <v>10</v>
      </c>
      <c r="K16" s="59">
        <v>45548.0</v>
      </c>
      <c r="L16" s="52" t="s">
        <v>138</v>
      </c>
      <c r="M16" s="52" t="s">
        <v>19</v>
      </c>
      <c r="N16" s="62" t="str">
        <f>IFERROR(__xludf.DUMMYFUNCTION("""COMPUTED_VALUE"""),"")</f>
        <v/>
      </c>
      <c r="O16" s="62" t="str">
        <f>IFERROR(__xludf.DUMMYFUNCTION("""COMPUTED_VALUE"""),"")</f>
        <v/>
      </c>
      <c r="P16" s="62" t="str">
        <f>IFERROR(__xludf.DUMMYFUNCTION("""COMPUTED_VALUE"""),"")</f>
        <v/>
      </c>
      <c r="Q16" s="62"/>
      <c r="R16" s="62"/>
      <c r="S16" s="62"/>
    </row>
    <row r="17">
      <c r="A17" s="58">
        <v>45548.55851023148</v>
      </c>
      <c r="B17" s="52" t="s">
        <v>151</v>
      </c>
      <c r="C17" s="52" t="b">
        <v>0</v>
      </c>
      <c r="D17" s="52"/>
      <c r="E17" s="52"/>
      <c r="F17" s="52"/>
      <c r="G17" s="52"/>
      <c r="H17" s="60">
        <v>125.0</v>
      </c>
      <c r="I17" s="52"/>
      <c r="J17" s="52" t="s">
        <v>13</v>
      </c>
      <c r="K17" s="59">
        <v>45548.0</v>
      </c>
      <c r="L17" s="52" t="s">
        <v>138</v>
      </c>
      <c r="M17" s="52" t="s">
        <v>19</v>
      </c>
      <c r="N17" s="62" t="str">
        <f>IFERROR(__xludf.DUMMYFUNCTION("""COMPUTED_VALUE"""),"")</f>
        <v/>
      </c>
      <c r="O17" s="62" t="str">
        <f>IFERROR(__xludf.DUMMYFUNCTION("""COMPUTED_VALUE"""),"")</f>
        <v/>
      </c>
      <c r="P17" s="62" t="str">
        <f>IFERROR(__xludf.DUMMYFUNCTION("""COMPUTED_VALUE"""),"")</f>
        <v/>
      </c>
      <c r="Q17" s="62"/>
      <c r="R17" s="62"/>
      <c r="S17" s="62"/>
    </row>
    <row r="18">
      <c r="A18" s="58">
        <v>45548.64349383102</v>
      </c>
      <c r="B18" s="52" t="s">
        <v>130</v>
      </c>
      <c r="C18" s="52" t="b">
        <v>0</v>
      </c>
      <c r="D18" s="52"/>
      <c r="E18" s="52"/>
      <c r="F18" s="52"/>
      <c r="G18" s="52"/>
      <c r="H18" s="60">
        <v>86.0</v>
      </c>
      <c r="I18" s="52"/>
      <c r="J18" s="52" t="s">
        <v>11</v>
      </c>
      <c r="K18" s="59">
        <v>45548.0</v>
      </c>
      <c r="L18" s="52" t="s">
        <v>138</v>
      </c>
      <c r="M18" s="52" t="s">
        <v>18</v>
      </c>
      <c r="N18" s="62">
        <f>IFERROR(__xludf.DUMMYFUNCTION("""COMPUTED_VALUE"""),86.0)</f>
        <v>86</v>
      </c>
      <c r="O18" s="62">
        <f>IFERROR(__xludf.DUMMYFUNCTION("""COMPUTED_VALUE"""),156.0)</f>
        <v>156</v>
      </c>
      <c r="P18" s="62">
        <f>IFERROR(__xludf.DUMMYFUNCTION("""COMPUTED_VALUE"""),242.0)</f>
        <v>242</v>
      </c>
      <c r="Q18" s="62"/>
      <c r="R18" s="62"/>
      <c r="S18" s="62"/>
    </row>
    <row r="19">
      <c r="A19" s="58">
        <v>45551.61069817129</v>
      </c>
      <c r="B19" s="52" t="s">
        <v>149</v>
      </c>
      <c r="C19" s="52" t="b">
        <v>0</v>
      </c>
      <c r="D19" s="52"/>
      <c r="E19" s="52"/>
      <c r="F19" s="52"/>
      <c r="G19" s="52"/>
      <c r="H19" s="60">
        <v>23.0</v>
      </c>
      <c r="I19" s="52"/>
      <c r="J19" s="52" t="s">
        <v>11</v>
      </c>
      <c r="K19" s="59">
        <v>45551.0</v>
      </c>
      <c r="L19" s="52" t="s">
        <v>129</v>
      </c>
      <c r="M19" s="52" t="s">
        <v>19</v>
      </c>
      <c r="N19" s="62" t="str">
        <f>IFERROR(__xludf.DUMMYFUNCTION("""COMPUTED_VALUE"""),"")</f>
        <v/>
      </c>
      <c r="O19" s="62" t="str">
        <f>IFERROR(__xludf.DUMMYFUNCTION("""COMPUTED_VALUE"""),"")</f>
        <v/>
      </c>
      <c r="P19" s="62" t="str">
        <f>IFERROR(__xludf.DUMMYFUNCTION("""COMPUTED_VALUE"""),"")</f>
        <v/>
      </c>
      <c r="Q19" s="62"/>
      <c r="R19" s="62"/>
      <c r="S19" s="62"/>
    </row>
    <row r="20">
      <c r="A20" s="58">
        <v>45554.81459185185</v>
      </c>
      <c r="B20" s="52" t="s">
        <v>148</v>
      </c>
      <c r="C20" s="52" t="b">
        <v>0</v>
      </c>
      <c r="D20" s="52"/>
      <c r="E20" s="52"/>
      <c r="F20" s="52"/>
      <c r="G20" s="52"/>
      <c r="H20" s="60">
        <v>106.0</v>
      </c>
      <c r="I20" s="52"/>
      <c r="J20" s="52" t="s">
        <v>12</v>
      </c>
      <c r="K20" s="59">
        <v>45551.0</v>
      </c>
      <c r="L20" s="52" t="s">
        <v>129</v>
      </c>
      <c r="M20" s="52" t="s">
        <v>19</v>
      </c>
      <c r="N20" s="62" t="str">
        <f>IFERROR(__xludf.DUMMYFUNCTION("""COMPUTED_VALUE"""),"")</f>
        <v/>
      </c>
      <c r="O20" s="62" t="str">
        <f>IFERROR(__xludf.DUMMYFUNCTION("""COMPUTED_VALUE"""),"")</f>
        <v/>
      </c>
      <c r="P20" s="62" t="str">
        <f>IFERROR(__xludf.DUMMYFUNCTION("""COMPUTED_VALUE"""),"")</f>
        <v/>
      </c>
      <c r="Q20" s="62"/>
      <c r="R20" s="62"/>
      <c r="S20" s="62"/>
    </row>
    <row r="21">
      <c r="A21" s="58">
        <v>45551.64530604167</v>
      </c>
      <c r="B21" s="52" t="s">
        <v>148</v>
      </c>
      <c r="C21" s="52" t="b">
        <v>0</v>
      </c>
      <c r="D21" s="52"/>
      <c r="E21" s="52"/>
      <c r="F21" s="52"/>
      <c r="G21" s="52"/>
      <c r="H21" s="60">
        <v>110.0</v>
      </c>
      <c r="I21" s="52"/>
      <c r="J21" s="52" t="s">
        <v>11</v>
      </c>
      <c r="K21" s="59">
        <v>45551.0</v>
      </c>
      <c r="L21" s="52" t="s">
        <v>129</v>
      </c>
      <c r="M21" s="52" t="s">
        <v>18</v>
      </c>
      <c r="N21" s="62" t="str">
        <f>IFERROR(__xludf.DUMMYFUNCTION("""COMPUTED_VALUE"""),"")</f>
        <v/>
      </c>
      <c r="O21" s="62" t="str">
        <f>IFERROR(__xludf.DUMMYFUNCTION("""COMPUTED_VALUE"""),"")</f>
        <v/>
      </c>
      <c r="P21" s="62" t="str">
        <f>IFERROR(__xludf.DUMMYFUNCTION("""COMPUTED_VALUE"""),"")</f>
        <v/>
      </c>
      <c r="Q21" s="62"/>
      <c r="R21" s="62"/>
      <c r="S21" s="62"/>
    </row>
    <row r="22">
      <c r="A22" s="58">
        <v>45551.7566603588</v>
      </c>
      <c r="B22" s="52" t="s">
        <v>130</v>
      </c>
      <c r="C22" s="52" t="b">
        <v>0</v>
      </c>
      <c r="D22" s="52"/>
      <c r="E22" s="52"/>
      <c r="F22" s="52"/>
      <c r="G22" s="52"/>
      <c r="H22" s="60">
        <v>6.0</v>
      </c>
      <c r="I22" s="52"/>
      <c r="J22" s="52" t="s">
        <v>11</v>
      </c>
      <c r="K22" s="59">
        <v>45551.0</v>
      </c>
      <c r="L22" s="52" t="s">
        <v>129</v>
      </c>
      <c r="M22" s="52" t="s">
        <v>18</v>
      </c>
      <c r="N22" s="62" t="str">
        <f>IFERROR(__xludf.DUMMYFUNCTION("""COMPUTED_VALUE"""),"")</f>
        <v/>
      </c>
      <c r="O22" s="62" t="str">
        <f>IFERROR(__xludf.DUMMYFUNCTION("""COMPUTED_VALUE"""),"")</f>
        <v/>
      </c>
      <c r="P22" s="62" t="str">
        <f>IFERROR(__xludf.DUMMYFUNCTION("""COMPUTED_VALUE"""),"")</f>
        <v/>
      </c>
      <c r="Q22" s="62"/>
      <c r="R22" s="62"/>
      <c r="S22" s="62"/>
    </row>
    <row r="23">
      <c r="A23" s="58">
        <v>45552.01394332176</v>
      </c>
      <c r="B23" s="52" t="s">
        <v>151</v>
      </c>
      <c r="C23" s="52" t="b">
        <v>0</v>
      </c>
      <c r="D23" s="52"/>
      <c r="E23" s="52"/>
      <c r="F23" s="52"/>
      <c r="G23" s="52"/>
      <c r="H23" s="60">
        <v>41.0</v>
      </c>
      <c r="I23" s="52"/>
      <c r="J23" s="52" t="s">
        <v>12</v>
      </c>
      <c r="K23" s="59">
        <v>45551.0</v>
      </c>
      <c r="L23" s="52" t="s">
        <v>129</v>
      </c>
      <c r="M23" s="52" t="s">
        <v>19</v>
      </c>
      <c r="N23" s="62" t="str">
        <f>IFERROR(__xludf.DUMMYFUNCTION("""COMPUTED_VALUE"""),"")</f>
        <v/>
      </c>
      <c r="O23" s="62" t="str">
        <f>IFERROR(__xludf.DUMMYFUNCTION("""COMPUTED_VALUE"""),"")</f>
        <v/>
      </c>
      <c r="P23" s="62" t="str">
        <f>IFERROR(__xludf.DUMMYFUNCTION("""COMPUTED_VALUE"""),"")</f>
        <v/>
      </c>
      <c r="Q23" s="62"/>
      <c r="R23" s="62"/>
      <c r="S23" s="62"/>
    </row>
    <row r="24">
      <c r="A24" s="58">
        <v>45552.34760138889</v>
      </c>
      <c r="B24" s="52" t="s">
        <v>131</v>
      </c>
      <c r="C24" s="52" t="b">
        <v>0</v>
      </c>
      <c r="D24" s="52"/>
      <c r="E24" s="52"/>
      <c r="F24" s="52"/>
      <c r="G24" s="52"/>
      <c r="H24" s="60">
        <v>31.0</v>
      </c>
      <c r="I24" s="52"/>
      <c r="J24" s="52" t="s">
        <v>12</v>
      </c>
      <c r="K24" s="59">
        <v>45551.0</v>
      </c>
      <c r="L24" s="52" t="s">
        <v>129</v>
      </c>
      <c r="M24" s="52" t="s">
        <v>19</v>
      </c>
      <c r="N24" s="62" t="str">
        <f>IFERROR(__xludf.DUMMYFUNCTION("""COMPUTED_VALUE"""),"")</f>
        <v/>
      </c>
      <c r="O24" s="62" t="str">
        <f>IFERROR(__xludf.DUMMYFUNCTION("""COMPUTED_VALUE"""),"")</f>
        <v/>
      </c>
      <c r="P24" s="62" t="str">
        <f>IFERROR(__xludf.DUMMYFUNCTION("""COMPUTED_VALUE"""),"")</f>
        <v/>
      </c>
      <c r="Q24" s="62"/>
      <c r="R24" s="62"/>
      <c r="S24" s="62"/>
    </row>
    <row r="25">
      <c r="A25" s="58">
        <v>45554.32230869213</v>
      </c>
      <c r="B25" s="52" t="s">
        <v>153</v>
      </c>
      <c r="C25" s="52" t="b">
        <v>0</v>
      </c>
      <c r="D25" s="52"/>
      <c r="E25" s="52"/>
      <c r="F25" s="52"/>
      <c r="G25" s="52"/>
      <c r="H25" s="60">
        <v>60.0</v>
      </c>
      <c r="I25" s="52"/>
      <c r="J25" s="52" t="s">
        <v>10</v>
      </c>
      <c r="K25" s="59">
        <v>45551.0</v>
      </c>
      <c r="L25" s="52" t="s">
        <v>129</v>
      </c>
      <c r="M25" s="52" t="s">
        <v>19</v>
      </c>
      <c r="N25" s="62">
        <f>IFERROR(__xludf.DUMMYFUNCTION("""COMPUTED_VALUE"""),116.0)</f>
        <v>116</v>
      </c>
      <c r="O25" s="62">
        <f>IFERROR(__xludf.DUMMYFUNCTION("""COMPUTED_VALUE"""),261.0)</f>
        <v>261</v>
      </c>
      <c r="P25" s="62">
        <f>IFERROR(__xludf.DUMMYFUNCTION("""COMPUTED_VALUE"""),377.0)</f>
        <v>377</v>
      </c>
      <c r="Q25" s="62"/>
      <c r="R25" s="62"/>
      <c r="S25" s="62"/>
    </row>
    <row r="26">
      <c r="A26" s="58">
        <v>45552.54491509259</v>
      </c>
      <c r="B26" s="52" t="s">
        <v>150</v>
      </c>
      <c r="C26" s="52" t="b">
        <v>0</v>
      </c>
      <c r="D26" s="52"/>
      <c r="E26" s="52"/>
      <c r="F26" s="52"/>
      <c r="G26" s="52"/>
      <c r="H26" s="60">
        <v>72.0</v>
      </c>
      <c r="I26" s="52"/>
      <c r="J26" s="52" t="s">
        <v>11</v>
      </c>
      <c r="K26" s="59">
        <v>45552.0</v>
      </c>
      <c r="L26" s="52" t="s">
        <v>132</v>
      </c>
      <c r="M26" s="52" t="s">
        <v>18</v>
      </c>
      <c r="N26" s="62" t="str">
        <f>IFERROR(__xludf.DUMMYFUNCTION("""COMPUTED_VALUE"""),"")</f>
        <v/>
      </c>
      <c r="O26" s="62" t="str">
        <f>IFERROR(__xludf.DUMMYFUNCTION("""COMPUTED_VALUE"""),"")</f>
        <v/>
      </c>
      <c r="P26" s="62" t="str">
        <f>IFERROR(__xludf.DUMMYFUNCTION("""COMPUTED_VALUE"""),"")</f>
        <v/>
      </c>
      <c r="Q26" s="62"/>
      <c r="R26" s="62"/>
      <c r="S26" s="62"/>
    </row>
    <row r="27">
      <c r="A27" s="58">
        <v>45552.6205062963</v>
      </c>
      <c r="B27" s="52" t="s">
        <v>152</v>
      </c>
      <c r="C27" s="52" t="b">
        <v>0</v>
      </c>
      <c r="D27" s="52"/>
      <c r="E27" s="52"/>
      <c r="F27" s="52"/>
      <c r="G27" s="52"/>
      <c r="H27" s="60">
        <v>43.0</v>
      </c>
      <c r="I27" s="52"/>
      <c r="J27" s="52" t="s">
        <v>11</v>
      </c>
      <c r="K27" s="59">
        <v>45552.0</v>
      </c>
      <c r="L27" s="52" t="s">
        <v>132</v>
      </c>
      <c r="M27" s="52" t="s">
        <v>18</v>
      </c>
      <c r="N27" s="62" t="str">
        <f>IFERROR(__xludf.DUMMYFUNCTION("""COMPUTED_VALUE"""),"")</f>
        <v/>
      </c>
      <c r="O27" s="62" t="str">
        <f>IFERROR(__xludf.DUMMYFUNCTION("""COMPUTED_VALUE"""),"")</f>
        <v/>
      </c>
      <c r="P27" s="62" t="str">
        <f>IFERROR(__xludf.DUMMYFUNCTION("""COMPUTED_VALUE"""),"")</f>
        <v/>
      </c>
      <c r="Q27" s="62"/>
      <c r="R27" s="62"/>
      <c r="S27" s="62"/>
    </row>
    <row r="28">
      <c r="A28" s="58">
        <v>45552.62500240741</v>
      </c>
      <c r="B28" s="52" t="s">
        <v>131</v>
      </c>
      <c r="C28" s="52" t="b">
        <v>0</v>
      </c>
      <c r="D28" s="52"/>
      <c r="E28" s="52"/>
      <c r="F28" s="52"/>
      <c r="G28" s="52"/>
      <c r="H28" s="60">
        <v>66.0</v>
      </c>
      <c r="I28" s="52"/>
      <c r="J28" s="52" t="s">
        <v>11</v>
      </c>
      <c r="K28" s="59">
        <v>45552.0</v>
      </c>
      <c r="L28" s="52" t="s">
        <v>132</v>
      </c>
      <c r="M28" s="52" t="s">
        <v>19</v>
      </c>
      <c r="N28" s="62" t="str">
        <f>IFERROR(__xludf.DUMMYFUNCTION("""COMPUTED_VALUE"""),"")</f>
        <v/>
      </c>
      <c r="O28" s="62" t="str">
        <f>IFERROR(__xludf.DUMMYFUNCTION("""COMPUTED_VALUE"""),"")</f>
        <v/>
      </c>
      <c r="P28" s="62" t="str">
        <f>IFERROR(__xludf.DUMMYFUNCTION("""COMPUTED_VALUE"""),"")</f>
        <v/>
      </c>
      <c r="Q28" s="62"/>
      <c r="R28" s="62"/>
      <c r="S28" s="62"/>
    </row>
    <row r="29">
      <c r="A29" s="58">
        <v>45552.87054040509</v>
      </c>
      <c r="B29" s="52" t="s">
        <v>134</v>
      </c>
      <c r="C29" s="52" t="b">
        <v>0</v>
      </c>
      <c r="D29" s="52"/>
      <c r="E29" s="52"/>
      <c r="F29" s="52"/>
      <c r="G29" s="52"/>
      <c r="H29" s="60">
        <v>228.0</v>
      </c>
      <c r="I29" s="52"/>
      <c r="J29" s="52" t="s">
        <v>12</v>
      </c>
      <c r="K29" s="59">
        <v>45552.0</v>
      </c>
      <c r="L29" s="52" t="s">
        <v>132</v>
      </c>
      <c r="M29" s="52" t="s">
        <v>18</v>
      </c>
      <c r="N29" s="62" t="str">
        <f>IFERROR(__xludf.DUMMYFUNCTION("""COMPUTED_VALUE"""),"")</f>
        <v/>
      </c>
      <c r="O29" s="62" t="str">
        <f>IFERROR(__xludf.DUMMYFUNCTION("""COMPUTED_VALUE"""),"")</f>
        <v/>
      </c>
      <c r="P29" s="62" t="str">
        <f>IFERROR(__xludf.DUMMYFUNCTION("""COMPUTED_VALUE"""),"")</f>
        <v/>
      </c>
      <c r="Q29" s="62"/>
      <c r="R29" s="62"/>
      <c r="S29" s="62"/>
    </row>
    <row r="30">
      <c r="A30" s="58">
        <v>45552.8729933912</v>
      </c>
      <c r="B30" s="52" t="s">
        <v>149</v>
      </c>
      <c r="C30" s="52" t="b">
        <v>0</v>
      </c>
      <c r="D30" s="52"/>
      <c r="E30" s="52"/>
      <c r="F30" s="52"/>
      <c r="G30" s="52"/>
      <c r="H30" s="60">
        <v>58.0</v>
      </c>
      <c r="I30" s="52"/>
      <c r="J30" s="52" t="s">
        <v>12</v>
      </c>
      <c r="K30" s="59">
        <v>45552.0</v>
      </c>
      <c r="L30" s="52" t="s">
        <v>132</v>
      </c>
      <c r="M30" s="52" t="s">
        <v>19</v>
      </c>
      <c r="N30" s="62">
        <f>IFERROR(__xludf.DUMMYFUNCTION("""COMPUTED_VALUE"""),343.0)</f>
        <v>343</v>
      </c>
      <c r="O30" s="62">
        <f>IFERROR(__xludf.DUMMYFUNCTION("""COMPUTED_VALUE"""),124.0)</f>
        <v>124</v>
      </c>
      <c r="P30" s="62">
        <f>IFERROR(__xludf.DUMMYFUNCTION("""COMPUTED_VALUE"""),467.0)</f>
        <v>467</v>
      </c>
      <c r="Q30" s="62"/>
      <c r="R30" s="62"/>
      <c r="S30" s="62"/>
    </row>
    <row r="31">
      <c r="A31" s="58">
        <v>45553.42340201389</v>
      </c>
      <c r="B31" s="52" t="s">
        <v>154</v>
      </c>
      <c r="C31" s="52" t="b">
        <v>0</v>
      </c>
      <c r="D31" s="52"/>
      <c r="E31" s="52"/>
      <c r="F31" s="52"/>
      <c r="G31" s="52"/>
      <c r="H31" s="60">
        <v>56.0</v>
      </c>
      <c r="I31" s="52"/>
      <c r="J31" s="52" t="s">
        <v>10</v>
      </c>
      <c r="K31" s="59">
        <v>45553.0</v>
      </c>
      <c r="L31" s="52" t="s">
        <v>135</v>
      </c>
      <c r="M31" s="52" t="s">
        <v>19</v>
      </c>
      <c r="N31" s="62" t="str">
        <f>IFERROR(__xludf.DUMMYFUNCTION("""COMPUTED_VALUE"""),"")</f>
        <v/>
      </c>
      <c r="O31" s="62" t="str">
        <f>IFERROR(__xludf.DUMMYFUNCTION("""COMPUTED_VALUE"""),"")</f>
        <v/>
      </c>
      <c r="P31" s="62" t="str">
        <f>IFERROR(__xludf.DUMMYFUNCTION("""COMPUTED_VALUE"""),"")</f>
        <v/>
      </c>
      <c r="Q31" s="62"/>
      <c r="R31" s="62"/>
      <c r="S31" s="62"/>
    </row>
    <row r="32">
      <c r="A32" s="58">
        <v>45553.50043195602</v>
      </c>
      <c r="B32" s="52" t="s">
        <v>130</v>
      </c>
      <c r="C32" s="52" t="b">
        <v>0</v>
      </c>
      <c r="D32" s="52"/>
      <c r="E32" s="52"/>
      <c r="F32" s="52"/>
      <c r="G32" s="52"/>
      <c r="H32" s="60">
        <v>4.0</v>
      </c>
      <c r="I32" s="52"/>
      <c r="J32" s="52" t="s">
        <v>11</v>
      </c>
      <c r="K32" s="59">
        <v>45553.0</v>
      </c>
      <c r="L32" s="52" t="s">
        <v>135</v>
      </c>
      <c r="M32" s="52" t="s">
        <v>18</v>
      </c>
      <c r="N32" s="62" t="str">
        <f>IFERROR(__xludf.DUMMYFUNCTION("""COMPUTED_VALUE"""),"")</f>
        <v/>
      </c>
      <c r="O32" s="62" t="str">
        <f>IFERROR(__xludf.DUMMYFUNCTION("""COMPUTED_VALUE"""),"")</f>
        <v/>
      </c>
      <c r="P32" s="62" t="str">
        <f>IFERROR(__xludf.DUMMYFUNCTION("""COMPUTED_VALUE"""),"")</f>
        <v/>
      </c>
      <c r="Q32" s="62"/>
      <c r="R32" s="62"/>
      <c r="S32" s="62"/>
    </row>
    <row r="33">
      <c r="A33" s="58">
        <v>45553.64605501157</v>
      </c>
      <c r="B33" s="52" t="s">
        <v>148</v>
      </c>
      <c r="C33" s="52" t="b">
        <v>0</v>
      </c>
      <c r="D33" s="52"/>
      <c r="E33" s="52"/>
      <c r="F33" s="52"/>
      <c r="G33" s="52"/>
      <c r="H33" s="60">
        <v>102.0</v>
      </c>
      <c r="I33" s="52"/>
      <c r="J33" s="52" t="s">
        <v>11</v>
      </c>
      <c r="K33" s="59">
        <v>45553.0</v>
      </c>
      <c r="L33" s="52" t="s">
        <v>135</v>
      </c>
      <c r="M33" s="52" t="s">
        <v>18</v>
      </c>
      <c r="N33" s="62" t="str">
        <f>IFERROR(__xludf.DUMMYFUNCTION("""COMPUTED_VALUE"""),"")</f>
        <v/>
      </c>
      <c r="O33" s="62" t="str">
        <f>IFERROR(__xludf.DUMMYFUNCTION("""COMPUTED_VALUE"""),"")</f>
        <v/>
      </c>
      <c r="P33" s="62" t="str">
        <f>IFERROR(__xludf.DUMMYFUNCTION("""COMPUTED_VALUE"""),"")</f>
        <v/>
      </c>
      <c r="Q33" s="62"/>
      <c r="R33" s="62"/>
      <c r="S33" s="62"/>
    </row>
    <row r="34">
      <c r="A34" s="58">
        <v>45554.75354304398</v>
      </c>
      <c r="B34" s="52" t="s">
        <v>151</v>
      </c>
      <c r="C34" s="52" t="b">
        <v>0</v>
      </c>
      <c r="D34" s="52"/>
      <c r="E34" s="52"/>
      <c r="F34" s="52"/>
      <c r="G34" s="52"/>
      <c r="H34" s="60">
        <v>60.0</v>
      </c>
      <c r="I34" s="52"/>
      <c r="J34" s="52" t="s">
        <v>12</v>
      </c>
      <c r="K34" s="59">
        <v>45553.0</v>
      </c>
      <c r="L34" s="52" t="s">
        <v>135</v>
      </c>
      <c r="M34" s="52" t="s">
        <v>19</v>
      </c>
      <c r="N34" s="62">
        <f>IFERROR(__xludf.DUMMYFUNCTION("""COMPUTED_VALUE"""),106.0)</f>
        <v>106</v>
      </c>
      <c r="O34" s="62">
        <f>IFERROR(__xludf.DUMMYFUNCTION("""COMPUTED_VALUE"""),116.0)</f>
        <v>116</v>
      </c>
      <c r="P34" s="62">
        <f>IFERROR(__xludf.DUMMYFUNCTION("""COMPUTED_VALUE"""),222.0)</f>
        <v>222</v>
      </c>
      <c r="Q34" s="62"/>
      <c r="R34" s="62"/>
      <c r="S34" s="62"/>
    </row>
    <row r="35">
      <c r="A35" s="58">
        <v>45554.4743065625</v>
      </c>
      <c r="B35" s="52" t="s">
        <v>153</v>
      </c>
      <c r="C35" s="52" t="b">
        <v>0</v>
      </c>
      <c r="D35" s="52"/>
      <c r="E35" s="52"/>
      <c r="F35" s="52"/>
      <c r="G35" s="52"/>
      <c r="H35" s="60">
        <v>52.0</v>
      </c>
      <c r="I35" s="52"/>
      <c r="J35" s="52" t="s">
        <v>10</v>
      </c>
      <c r="K35" s="59">
        <v>45554.0</v>
      </c>
      <c r="L35" s="52" t="s">
        <v>137</v>
      </c>
      <c r="M35" s="52" t="s">
        <v>19</v>
      </c>
      <c r="N35" s="62" t="str">
        <f>IFERROR(__xludf.DUMMYFUNCTION("""COMPUTED_VALUE"""),"")</f>
        <v/>
      </c>
      <c r="O35" s="62" t="str">
        <f>IFERROR(__xludf.DUMMYFUNCTION("""COMPUTED_VALUE"""),"")</f>
        <v/>
      </c>
      <c r="P35" s="62" t="str">
        <f>IFERROR(__xludf.DUMMYFUNCTION("""COMPUTED_VALUE"""),"")</f>
        <v/>
      </c>
      <c r="Q35" s="62"/>
      <c r="R35" s="62"/>
      <c r="S35" s="62"/>
    </row>
    <row r="36">
      <c r="A36" s="58">
        <v>45554.5587539699</v>
      </c>
      <c r="B36" s="52" t="s">
        <v>150</v>
      </c>
      <c r="C36" s="52" t="b">
        <v>0</v>
      </c>
      <c r="D36" s="52"/>
      <c r="E36" s="52"/>
      <c r="F36" s="52"/>
      <c r="G36" s="52"/>
      <c r="H36" s="60">
        <v>43.0</v>
      </c>
      <c r="I36" s="52"/>
      <c r="J36" s="52" t="s">
        <v>11</v>
      </c>
      <c r="K36" s="59">
        <v>45554.0</v>
      </c>
      <c r="L36" s="52" t="s">
        <v>137</v>
      </c>
      <c r="M36" s="52" t="s">
        <v>18</v>
      </c>
      <c r="N36" s="62" t="str">
        <f>IFERROR(__xludf.DUMMYFUNCTION("""COMPUTED_VALUE"""),"")</f>
        <v/>
      </c>
      <c r="O36" s="62" t="str">
        <f>IFERROR(__xludf.DUMMYFUNCTION("""COMPUTED_VALUE"""),"")</f>
        <v/>
      </c>
      <c r="P36" s="62" t="str">
        <f>IFERROR(__xludf.DUMMYFUNCTION("""COMPUTED_VALUE"""),"")</f>
        <v/>
      </c>
      <c r="Q36" s="62"/>
      <c r="R36" s="62"/>
      <c r="S36" s="62"/>
    </row>
    <row r="37">
      <c r="A37" s="58">
        <v>45554.62659813657</v>
      </c>
      <c r="B37" s="52" t="s">
        <v>149</v>
      </c>
      <c r="C37" s="52" t="b">
        <v>0</v>
      </c>
      <c r="D37" s="52"/>
      <c r="E37" s="52"/>
      <c r="F37" s="52"/>
      <c r="G37" s="52"/>
      <c r="H37" s="60">
        <v>66.0</v>
      </c>
      <c r="I37" s="52"/>
      <c r="J37" s="52" t="s">
        <v>11</v>
      </c>
      <c r="K37" s="59">
        <v>45554.0</v>
      </c>
      <c r="L37" s="52" t="s">
        <v>137</v>
      </c>
      <c r="M37" s="52" t="s">
        <v>19</v>
      </c>
      <c r="N37" s="62" t="str">
        <f>IFERROR(__xludf.DUMMYFUNCTION("""COMPUTED_VALUE"""),"")</f>
        <v/>
      </c>
      <c r="O37" s="62" t="str">
        <f>IFERROR(__xludf.DUMMYFUNCTION("""COMPUTED_VALUE"""),"")</f>
        <v/>
      </c>
      <c r="P37" s="62" t="str">
        <f>IFERROR(__xludf.DUMMYFUNCTION("""COMPUTED_VALUE"""),"")</f>
        <v/>
      </c>
      <c r="Q37" s="62"/>
      <c r="R37" s="62"/>
      <c r="S37" s="62"/>
    </row>
    <row r="38">
      <c r="A38" s="58">
        <v>45554.87533193287</v>
      </c>
      <c r="B38" s="52" t="s">
        <v>148</v>
      </c>
      <c r="C38" s="52" t="b">
        <v>0</v>
      </c>
      <c r="D38" s="52"/>
      <c r="E38" s="52"/>
      <c r="F38" s="52"/>
      <c r="G38" s="52"/>
      <c r="H38" s="60">
        <v>37.0</v>
      </c>
      <c r="I38" s="52"/>
      <c r="J38" s="52" t="s">
        <v>12</v>
      </c>
      <c r="K38" s="59">
        <v>45554.0</v>
      </c>
      <c r="L38" s="52" t="s">
        <v>137</v>
      </c>
      <c r="M38" s="52" t="s">
        <v>18</v>
      </c>
      <c r="N38" s="62" t="str">
        <f>IFERROR(__xludf.DUMMYFUNCTION("""COMPUTED_VALUE"""),"")</f>
        <v/>
      </c>
      <c r="O38" s="62" t="str">
        <f>IFERROR(__xludf.DUMMYFUNCTION("""COMPUTED_VALUE"""),"")</f>
        <v/>
      </c>
      <c r="P38" s="62" t="str">
        <f>IFERROR(__xludf.DUMMYFUNCTION("""COMPUTED_VALUE"""),"")</f>
        <v/>
      </c>
      <c r="Q38" s="62"/>
      <c r="R38" s="62"/>
      <c r="S38" s="62"/>
    </row>
    <row r="39">
      <c r="A39" s="58">
        <v>45554.95315145834</v>
      </c>
      <c r="B39" s="52" t="s">
        <v>152</v>
      </c>
      <c r="C39" s="52" t="b">
        <v>0</v>
      </c>
      <c r="D39" s="52"/>
      <c r="E39" s="52"/>
      <c r="F39" s="52"/>
      <c r="G39" s="52"/>
      <c r="H39" s="60">
        <v>54.0</v>
      </c>
      <c r="I39" s="52"/>
      <c r="J39" s="52" t="s">
        <v>11</v>
      </c>
      <c r="K39" s="59">
        <v>45554.0</v>
      </c>
      <c r="L39" s="52" t="s">
        <v>137</v>
      </c>
      <c r="M39" s="52" t="s">
        <v>18</v>
      </c>
      <c r="N39" s="62">
        <f>IFERROR(__xludf.DUMMYFUNCTION("""COMPUTED_VALUE"""),134.0)</f>
        <v>134</v>
      </c>
      <c r="O39" s="62">
        <f>IFERROR(__xludf.DUMMYFUNCTION("""COMPUTED_VALUE"""),118.0)</f>
        <v>118</v>
      </c>
      <c r="P39" s="62">
        <f>IFERROR(__xludf.DUMMYFUNCTION("""COMPUTED_VALUE"""),252.0)</f>
        <v>252</v>
      </c>
      <c r="Q39" s="62"/>
      <c r="R39" s="62"/>
      <c r="S39" s="62"/>
    </row>
    <row r="40">
      <c r="A40" s="58">
        <v>45555.39507326389</v>
      </c>
      <c r="B40" s="52" t="s">
        <v>136</v>
      </c>
      <c r="C40" s="52" t="b">
        <v>0</v>
      </c>
      <c r="D40" s="52"/>
      <c r="E40" s="52"/>
      <c r="F40" s="52"/>
      <c r="G40" s="52"/>
      <c r="H40" s="60">
        <v>46.0</v>
      </c>
      <c r="I40" s="52"/>
      <c r="J40" s="52" t="s">
        <v>10</v>
      </c>
      <c r="K40" s="59">
        <v>45555.0</v>
      </c>
      <c r="L40" s="52" t="s">
        <v>138</v>
      </c>
      <c r="M40" s="52" t="s">
        <v>19</v>
      </c>
      <c r="N40" s="62" t="str">
        <f>IFERROR(__xludf.DUMMYFUNCTION("""COMPUTED_VALUE"""),"")</f>
        <v/>
      </c>
      <c r="O40" s="62" t="str">
        <f>IFERROR(__xludf.DUMMYFUNCTION("""COMPUTED_VALUE"""),"")</f>
        <v/>
      </c>
      <c r="P40" s="62" t="str">
        <f>IFERROR(__xludf.DUMMYFUNCTION("""COMPUTED_VALUE"""),"")</f>
        <v/>
      </c>
      <c r="Q40" s="62"/>
      <c r="R40" s="62"/>
      <c r="S40" s="62"/>
    </row>
    <row r="41">
      <c r="A41" s="58">
        <v>45555.64845209491</v>
      </c>
      <c r="B41" s="52" t="s">
        <v>130</v>
      </c>
      <c r="C41" s="52" t="b">
        <v>0</v>
      </c>
      <c r="D41" s="52"/>
      <c r="E41" s="52"/>
      <c r="F41" s="52"/>
      <c r="G41" s="52"/>
      <c r="H41" s="60">
        <v>129.0</v>
      </c>
      <c r="I41" s="52"/>
      <c r="J41" s="52" t="s">
        <v>11</v>
      </c>
      <c r="K41" s="59">
        <v>45555.0</v>
      </c>
      <c r="L41" s="52" t="s">
        <v>138</v>
      </c>
      <c r="M41" s="52" t="s">
        <v>18</v>
      </c>
      <c r="N41" s="62" t="str">
        <f>IFERROR(__xludf.DUMMYFUNCTION("""COMPUTED_VALUE"""),"")</f>
        <v/>
      </c>
      <c r="O41" s="62" t="str">
        <f>IFERROR(__xludf.DUMMYFUNCTION("""COMPUTED_VALUE"""),"")</f>
        <v/>
      </c>
      <c r="P41" s="62" t="str">
        <f>IFERROR(__xludf.DUMMYFUNCTION("""COMPUTED_VALUE"""),"")</f>
        <v/>
      </c>
      <c r="Q41" s="62"/>
      <c r="R41" s="62"/>
      <c r="S41" s="62"/>
    </row>
    <row r="42">
      <c r="A42" s="58">
        <v>45555.72886400463</v>
      </c>
      <c r="B42" s="52" t="s">
        <v>148</v>
      </c>
      <c r="C42" s="52" t="b">
        <v>0</v>
      </c>
      <c r="D42" s="52"/>
      <c r="E42" s="52"/>
      <c r="F42" s="52"/>
      <c r="G42" s="52"/>
      <c r="H42" s="60">
        <v>25.0</v>
      </c>
      <c r="I42" s="52"/>
      <c r="J42" s="52" t="s">
        <v>12</v>
      </c>
      <c r="K42" s="59">
        <v>45555.0</v>
      </c>
      <c r="L42" s="52" t="s">
        <v>138</v>
      </c>
      <c r="M42" s="52" t="s">
        <v>18</v>
      </c>
      <c r="N42" s="62" t="str">
        <f>IFERROR(__xludf.DUMMYFUNCTION("""COMPUTED_VALUE"""),"")</f>
        <v/>
      </c>
      <c r="O42" s="62" t="str">
        <f>IFERROR(__xludf.DUMMYFUNCTION("""COMPUTED_VALUE"""),"")</f>
        <v/>
      </c>
      <c r="P42" s="62" t="str">
        <f>IFERROR(__xludf.DUMMYFUNCTION("""COMPUTED_VALUE"""),"")</f>
        <v/>
      </c>
      <c r="Q42" s="62"/>
      <c r="R42" s="62"/>
      <c r="S42" s="62"/>
    </row>
    <row r="43">
      <c r="A43" s="58">
        <v>45555.83370684028</v>
      </c>
      <c r="B43" s="52" t="s">
        <v>148</v>
      </c>
      <c r="C43" s="52" t="b">
        <v>0</v>
      </c>
      <c r="D43" s="52"/>
      <c r="E43" s="52"/>
      <c r="F43" s="52"/>
      <c r="G43" s="52"/>
      <c r="H43" s="60">
        <v>116.0</v>
      </c>
      <c r="I43" s="52"/>
      <c r="J43" s="52" t="s">
        <v>12</v>
      </c>
      <c r="K43" s="59">
        <v>45555.0</v>
      </c>
      <c r="L43" s="52" t="s">
        <v>138</v>
      </c>
      <c r="M43" s="52" t="s">
        <v>18</v>
      </c>
      <c r="N43" s="62">
        <f>IFERROR(__xludf.DUMMYFUNCTION("""COMPUTED_VALUE"""),270.0)</f>
        <v>270</v>
      </c>
      <c r="O43" s="62">
        <f>IFERROR(__xludf.DUMMYFUNCTION("""COMPUTED_VALUE"""),46.0)</f>
        <v>46</v>
      </c>
      <c r="P43" s="62">
        <f>IFERROR(__xludf.DUMMYFUNCTION("""COMPUTED_VALUE"""),316.0)</f>
        <v>316</v>
      </c>
      <c r="Q43" s="62"/>
      <c r="R43" s="62"/>
      <c r="S43" s="62"/>
    </row>
    <row r="44">
      <c r="A44" s="58">
        <v>45558.42487266204</v>
      </c>
      <c r="B44" s="52" t="s">
        <v>136</v>
      </c>
      <c r="C44" s="52" t="b">
        <v>0</v>
      </c>
      <c r="D44" s="52"/>
      <c r="E44" s="52"/>
      <c r="F44" s="52"/>
      <c r="G44" s="52"/>
      <c r="H44" s="60">
        <v>44.0</v>
      </c>
      <c r="I44" s="52"/>
      <c r="J44" s="52" t="s">
        <v>10</v>
      </c>
      <c r="K44" s="59">
        <v>45558.0</v>
      </c>
      <c r="L44" s="52" t="s">
        <v>129</v>
      </c>
      <c r="M44" s="52" t="s">
        <v>19</v>
      </c>
      <c r="N44" s="62" t="str">
        <f>IFERROR(__xludf.DUMMYFUNCTION("""COMPUTED_VALUE"""),"")</f>
        <v/>
      </c>
      <c r="O44" s="62" t="str">
        <f>IFERROR(__xludf.DUMMYFUNCTION("""COMPUTED_VALUE"""),"")</f>
        <v/>
      </c>
      <c r="P44" s="62" t="str">
        <f>IFERROR(__xludf.DUMMYFUNCTION("""COMPUTED_VALUE"""),"")</f>
        <v/>
      </c>
      <c r="Q44" s="62"/>
      <c r="R44" s="62"/>
      <c r="S44" s="62"/>
    </row>
    <row r="45">
      <c r="A45" s="58">
        <v>45558.50047752315</v>
      </c>
      <c r="B45" s="52" t="s">
        <v>130</v>
      </c>
      <c r="C45" s="52" t="b">
        <v>0</v>
      </c>
      <c r="D45" s="52"/>
      <c r="E45" s="52"/>
      <c r="F45" s="52"/>
      <c r="G45" s="52"/>
      <c r="H45" s="60">
        <v>5.0</v>
      </c>
      <c r="I45" s="52"/>
      <c r="J45" s="52" t="s">
        <v>11</v>
      </c>
      <c r="K45" s="59">
        <v>45558.0</v>
      </c>
      <c r="L45" s="52" t="s">
        <v>129</v>
      </c>
      <c r="M45" s="52" t="s">
        <v>18</v>
      </c>
      <c r="N45" s="62" t="str">
        <f>IFERROR(__xludf.DUMMYFUNCTION("""COMPUTED_VALUE"""),"")</f>
        <v/>
      </c>
      <c r="O45" s="62" t="str">
        <f>IFERROR(__xludf.DUMMYFUNCTION("""COMPUTED_VALUE"""),"")</f>
        <v/>
      </c>
      <c r="P45" s="62" t="str">
        <f>IFERROR(__xludf.DUMMYFUNCTION("""COMPUTED_VALUE"""),"")</f>
        <v/>
      </c>
      <c r="Q45" s="62"/>
      <c r="R45" s="62"/>
      <c r="S45" s="62"/>
    </row>
    <row r="46">
      <c r="A46" s="58">
        <v>45558.61324780092</v>
      </c>
      <c r="B46" s="52" t="s">
        <v>149</v>
      </c>
      <c r="C46" s="52" t="b">
        <v>0</v>
      </c>
      <c r="D46" s="52"/>
      <c r="E46" s="52"/>
      <c r="F46" s="52"/>
      <c r="G46" s="52"/>
      <c r="H46" s="60">
        <v>24.0</v>
      </c>
      <c r="I46" s="52"/>
      <c r="J46" s="52" t="s">
        <v>11</v>
      </c>
      <c r="K46" s="59">
        <v>45558.0</v>
      </c>
      <c r="L46" s="52" t="s">
        <v>129</v>
      </c>
      <c r="M46" s="52" t="s">
        <v>19</v>
      </c>
      <c r="N46" s="62" t="str">
        <f>IFERROR(__xludf.DUMMYFUNCTION("""COMPUTED_VALUE"""),"")</f>
        <v/>
      </c>
      <c r="O46" s="62" t="str">
        <f>IFERROR(__xludf.DUMMYFUNCTION("""COMPUTED_VALUE"""),"")</f>
        <v/>
      </c>
      <c r="P46" s="62" t="str">
        <f>IFERROR(__xludf.DUMMYFUNCTION("""COMPUTED_VALUE"""),"")</f>
        <v/>
      </c>
      <c r="Q46" s="62"/>
      <c r="R46" s="62"/>
      <c r="S46" s="62"/>
    </row>
    <row r="47">
      <c r="A47" s="58">
        <v>45558.64593916666</v>
      </c>
      <c r="B47" s="52" t="s">
        <v>148</v>
      </c>
      <c r="C47" s="52" t="b">
        <v>0</v>
      </c>
      <c r="D47" s="52"/>
      <c r="E47" s="52"/>
      <c r="F47" s="52"/>
      <c r="G47" s="52"/>
      <c r="H47" s="60">
        <v>125.0</v>
      </c>
      <c r="I47" s="52"/>
      <c r="J47" s="52" t="s">
        <v>11</v>
      </c>
      <c r="K47" s="59">
        <v>45558.0</v>
      </c>
      <c r="L47" s="52" t="s">
        <v>129</v>
      </c>
      <c r="M47" s="52" t="s">
        <v>18</v>
      </c>
      <c r="N47" s="62" t="str">
        <f>IFERROR(__xludf.DUMMYFUNCTION("""COMPUTED_VALUE"""),"")</f>
        <v/>
      </c>
      <c r="O47" s="62" t="str">
        <f>IFERROR(__xludf.DUMMYFUNCTION("""COMPUTED_VALUE"""),"")</f>
        <v/>
      </c>
      <c r="P47" s="62" t="str">
        <f>IFERROR(__xludf.DUMMYFUNCTION("""COMPUTED_VALUE"""),"")</f>
        <v/>
      </c>
      <c r="Q47" s="62"/>
      <c r="R47" s="62"/>
      <c r="S47" s="62"/>
    </row>
    <row r="48">
      <c r="A48" s="58">
        <v>45558.79197914352</v>
      </c>
      <c r="B48" s="52" t="s">
        <v>139</v>
      </c>
      <c r="C48" s="52" t="b">
        <v>0</v>
      </c>
      <c r="D48" s="52"/>
      <c r="E48" s="52"/>
      <c r="F48" s="52"/>
      <c r="G48" s="52"/>
      <c r="H48" s="60">
        <v>60.0</v>
      </c>
      <c r="I48" s="52"/>
      <c r="J48" s="52" t="s">
        <v>12</v>
      </c>
      <c r="K48" s="59">
        <v>45558.0</v>
      </c>
      <c r="L48" s="52" t="s">
        <v>129</v>
      </c>
      <c r="M48" s="52" t="s">
        <v>19</v>
      </c>
      <c r="N48" s="62" t="str">
        <f>IFERROR(__xludf.DUMMYFUNCTION("""COMPUTED_VALUE"""),"")</f>
        <v/>
      </c>
      <c r="O48" s="62" t="str">
        <f>IFERROR(__xludf.DUMMYFUNCTION("""COMPUTED_VALUE"""),"")</f>
        <v/>
      </c>
      <c r="P48" s="62" t="str">
        <f>IFERROR(__xludf.DUMMYFUNCTION("""COMPUTED_VALUE"""),"")</f>
        <v/>
      </c>
      <c r="Q48" s="62"/>
      <c r="R48" s="62"/>
      <c r="S48" s="62"/>
    </row>
    <row r="49">
      <c r="A49" s="58">
        <v>45558.92174229167</v>
      </c>
      <c r="B49" s="52" t="s">
        <v>152</v>
      </c>
      <c r="C49" s="52" t="b">
        <v>0</v>
      </c>
      <c r="D49" s="52"/>
      <c r="E49" s="52"/>
      <c r="F49" s="52"/>
      <c r="G49" s="52"/>
      <c r="H49" s="60">
        <v>75.0</v>
      </c>
      <c r="I49" s="52"/>
      <c r="J49" s="52" t="s">
        <v>12</v>
      </c>
      <c r="K49" s="59">
        <v>45558.0</v>
      </c>
      <c r="L49" s="52" t="s">
        <v>129</v>
      </c>
      <c r="M49" s="52" t="s">
        <v>18</v>
      </c>
      <c r="N49" s="62">
        <f>IFERROR(__xludf.DUMMYFUNCTION("""COMPUTED_VALUE"""),205.0)</f>
        <v>205</v>
      </c>
      <c r="O49" s="62">
        <f>IFERROR(__xludf.DUMMYFUNCTION("""COMPUTED_VALUE"""),128.0)</f>
        <v>128</v>
      </c>
      <c r="P49" s="62">
        <f>IFERROR(__xludf.DUMMYFUNCTION("""COMPUTED_VALUE"""),333.0)</f>
        <v>333</v>
      </c>
      <c r="Q49" s="62"/>
      <c r="R49" s="62"/>
      <c r="S49" s="62"/>
    </row>
    <row r="50">
      <c r="A50" s="58">
        <v>45559.6239921875</v>
      </c>
      <c r="B50" s="52" t="s">
        <v>139</v>
      </c>
      <c r="C50" s="52" t="b">
        <v>0</v>
      </c>
      <c r="D50" s="52"/>
      <c r="E50" s="52"/>
      <c r="F50" s="52"/>
      <c r="G50" s="52"/>
      <c r="H50" s="60">
        <v>67.0</v>
      </c>
      <c r="I50" s="52"/>
      <c r="J50" s="52" t="s">
        <v>11</v>
      </c>
      <c r="K50" s="59">
        <v>45559.0</v>
      </c>
      <c r="L50" s="52" t="s">
        <v>132</v>
      </c>
      <c r="M50" s="52" t="s">
        <v>19</v>
      </c>
      <c r="N50" s="62" t="str">
        <f>IFERROR(__xludf.DUMMYFUNCTION("""COMPUTED_VALUE"""),"")</f>
        <v/>
      </c>
      <c r="O50" s="62" t="str">
        <f>IFERROR(__xludf.DUMMYFUNCTION("""COMPUTED_VALUE"""),"")</f>
        <v/>
      </c>
      <c r="P50" s="62" t="str">
        <f>IFERROR(__xludf.DUMMYFUNCTION("""COMPUTED_VALUE"""),"")</f>
        <v/>
      </c>
      <c r="Q50" s="62"/>
      <c r="R50" s="62"/>
      <c r="S50" s="62"/>
    </row>
    <row r="51">
      <c r="A51" s="58">
        <v>45559.67859037037</v>
      </c>
      <c r="B51" s="52" t="s">
        <v>152</v>
      </c>
      <c r="C51" s="52" t="b">
        <v>0</v>
      </c>
      <c r="D51" s="52"/>
      <c r="E51" s="52"/>
      <c r="F51" s="52"/>
      <c r="G51" s="52"/>
      <c r="H51" s="60">
        <v>25.0</v>
      </c>
      <c r="I51" s="52"/>
      <c r="J51" s="52" t="s">
        <v>11</v>
      </c>
      <c r="K51" s="59">
        <v>45559.0</v>
      </c>
      <c r="L51" s="52" t="s">
        <v>132</v>
      </c>
      <c r="M51" s="52" t="s">
        <v>18</v>
      </c>
      <c r="N51" s="62" t="str">
        <f>IFERROR(__xludf.DUMMYFUNCTION("""COMPUTED_VALUE"""),"")</f>
        <v/>
      </c>
      <c r="O51" s="62" t="str">
        <f>IFERROR(__xludf.DUMMYFUNCTION("""COMPUTED_VALUE"""),"")</f>
        <v/>
      </c>
      <c r="P51" s="62" t="str">
        <f>IFERROR(__xludf.DUMMYFUNCTION("""COMPUTED_VALUE"""),"")</f>
        <v/>
      </c>
      <c r="Q51" s="62"/>
      <c r="R51" s="62"/>
      <c r="S51" s="62"/>
    </row>
    <row r="52">
      <c r="A52" s="58">
        <v>45559.87689609954</v>
      </c>
      <c r="B52" s="52" t="s">
        <v>149</v>
      </c>
      <c r="C52" s="52" t="b">
        <v>0</v>
      </c>
      <c r="D52" s="52"/>
      <c r="E52" s="52"/>
      <c r="F52" s="52"/>
      <c r="G52" s="52"/>
      <c r="H52" s="60">
        <v>81.0</v>
      </c>
      <c r="I52" s="52"/>
      <c r="J52" s="52" t="s">
        <v>12</v>
      </c>
      <c r="K52" s="59">
        <v>45559.0</v>
      </c>
      <c r="L52" s="52" t="s">
        <v>132</v>
      </c>
      <c r="M52" s="52" t="s">
        <v>19</v>
      </c>
      <c r="N52" s="62" t="str">
        <f>IFERROR(__xludf.DUMMYFUNCTION("""COMPUTED_VALUE"""),"")</f>
        <v/>
      </c>
      <c r="O52" s="62" t="str">
        <f>IFERROR(__xludf.DUMMYFUNCTION("""COMPUTED_VALUE"""),"")</f>
        <v/>
      </c>
      <c r="P52" s="62" t="str">
        <f>IFERROR(__xludf.DUMMYFUNCTION("""COMPUTED_VALUE"""),"")</f>
        <v/>
      </c>
      <c r="Q52" s="62"/>
      <c r="R52" s="62"/>
      <c r="S52" s="62"/>
    </row>
    <row r="53">
      <c r="A53" s="58">
        <v>45561.8036357176</v>
      </c>
      <c r="B53" s="52" t="s">
        <v>153</v>
      </c>
      <c r="C53" s="52" t="b">
        <v>0</v>
      </c>
      <c r="D53" s="52"/>
      <c r="E53" s="52"/>
      <c r="F53" s="52"/>
      <c r="G53" s="52"/>
      <c r="H53" s="60">
        <v>57.0</v>
      </c>
      <c r="I53" s="52"/>
      <c r="J53" s="52" t="s">
        <v>10</v>
      </c>
      <c r="K53" s="59">
        <v>45559.0</v>
      </c>
      <c r="L53" s="52" t="s">
        <v>132</v>
      </c>
      <c r="M53" s="52" t="s">
        <v>19</v>
      </c>
      <c r="N53" s="62">
        <f>IFERROR(__xludf.DUMMYFUNCTION("""COMPUTED_VALUE"""),25.0)</f>
        <v>25</v>
      </c>
      <c r="O53" s="62">
        <f>IFERROR(__xludf.DUMMYFUNCTION("""COMPUTED_VALUE"""),205.0)</f>
        <v>205</v>
      </c>
      <c r="P53" s="62">
        <f>IFERROR(__xludf.DUMMYFUNCTION("""COMPUTED_VALUE"""),230.0)</f>
        <v>230</v>
      </c>
      <c r="Q53" s="62"/>
      <c r="R53" s="62"/>
      <c r="S53" s="62"/>
    </row>
    <row r="54">
      <c r="A54" s="58">
        <v>45560.5155919213</v>
      </c>
      <c r="B54" s="52" t="s">
        <v>130</v>
      </c>
      <c r="C54" s="52" t="b">
        <v>0</v>
      </c>
      <c r="D54" s="52"/>
      <c r="E54" s="52"/>
      <c r="F54" s="52"/>
      <c r="G54" s="52"/>
      <c r="H54" s="60">
        <v>4.0</v>
      </c>
      <c r="I54" s="52"/>
      <c r="J54" s="52" t="s">
        <v>11</v>
      </c>
      <c r="K54" s="59">
        <v>45560.0</v>
      </c>
      <c r="L54" s="52" t="s">
        <v>135</v>
      </c>
      <c r="M54" s="52" t="s">
        <v>18</v>
      </c>
      <c r="N54" s="62" t="str">
        <f>IFERROR(__xludf.DUMMYFUNCTION("""COMPUTED_VALUE"""),"")</f>
        <v/>
      </c>
      <c r="O54" s="62" t="str">
        <f>IFERROR(__xludf.DUMMYFUNCTION("""COMPUTED_VALUE"""),"")</f>
        <v/>
      </c>
      <c r="P54" s="62" t="str">
        <f>IFERROR(__xludf.DUMMYFUNCTION("""COMPUTED_VALUE"""),"")</f>
        <v/>
      </c>
      <c r="Q54" s="62"/>
      <c r="R54" s="62"/>
      <c r="S54" s="62"/>
    </row>
    <row r="55">
      <c r="A55" s="58">
        <v>45560.62556248843</v>
      </c>
      <c r="B55" s="52" t="s">
        <v>149</v>
      </c>
      <c r="C55" s="52" t="b">
        <v>0</v>
      </c>
      <c r="D55" s="52"/>
      <c r="E55" s="52"/>
      <c r="F55" s="52"/>
      <c r="G55" s="52"/>
      <c r="H55" s="60">
        <v>71.0</v>
      </c>
      <c r="I55" s="52"/>
      <c r="J55" s="52" t="s">
        <v>11</v>
      </c>
      <c r="K55" s="59">
        <v>45560.0</v>
      </c>
      <c r="L55" s="52" t="s">
        <v>135</v>
      </c>
      <c r="M55" s="52" t="s">
        <v>19</v>
      </c>
      <c r="N55" s="62" t="str">
        <f>IFERROR(__xludf.DUMMYFUNCTION("""COMPUTED_VALUE"""),"")</f>
        <v/>
      </c>
      <c r="O55" s="62" t="str">
        <f>IFERROR(__xludf.DUMMYFUNCTION("""COMPUTED_VALUE"""),"")</f>
        <v/>
      </c>
      <c r="P55" s="62" t="str">
        <f>IFERROR(__xludf.DUMMYFUNCTION("""COMPUTED_VALUE"""),"")</f>
        <v/>
      </c>
      <c r="Q55" s="62"/>
      <c r="R55" s="62"/>
      <c r="S55" s="62"/>
    </row>
    <row r="56">
      <c r="A56" s="58">
        <v>45560.6461778125</v>
      </c>
      <c r="B56" s="52" t="s">
        <v>148</v>
      </c>
      <c r="C56" s="52" t="b">
        <v>0</v>
      </c>
      <c r="D56" s="52"/>
      <c r="E56" s="52"/>
      <c r="F56" s="52"/>
      <c r="G56" s="52"/>
      <c r="H56" s="60">
        <v>61.0</v>
      </c>
      <c r="I56" s="52"/>
      <c r="J56" s="52" t="s">
        <v>11</v>
      </c>
      <c r="K56" s="59">
        <v>45560.0</v>
      </c>
      <c r="L56" s="52" t="s">
        <v>135</v>
      </c>
      <c r="M56" s="52" t="s">
        <v>18</v>
      </c>
      <c r="N56" s="62">
        <f>IFERROR(__xludf.DUMMYFUNCTION("""COMPUTED_VALUE"""),65.0)</f>
        <v>65</v>
      </c>
      <c r="O56" s="62">
        <f>IFERROR(__xludf.DUMMYFUNCTION("""COMPUTED_VALUE"""),71.0)</f>
        <v>71</v>
      </c>
      <c r="P56" s="62">
        <f>IFERROR(__xludf.DUMMYFUNCTION("""COMPUTED_VALUE"""),136.0)</f>
        <v>136</v>
      </c>
      <c r="Q56" s="62"/>
      <c r="R56" s="62"/>
      <c r="S56" s="62"/>
    </row>
    <row r="57">
      <c r="A57" s="58">
        <v>45561.59317541667</v>
      </c>
      <c r="B57" s="52" t="s">
        <v>150</v>
      </c>
      <c r="C57" s="52" t="b">
        <v>0</v>
      </c>
      <c r="D57" s="52"/>
      <c r="E57" s="52"/>
      <c r="F57" s="52"/>
      <c r="G57" s="52"/>
      <c r="H57" s="60">
        <v>51.0</v>
      </c>
      <c r="I57" s="52"/>
      <c r="J57" s="52" t="s">
        <v>11</v>
      </c>
      <c r="K57" s="59">
        <v>45561.0</v>
      </c>
      <c r="L57" s="52" t="s">
        <v>137</v>
      </c>
      <c r="M57" s="52" t="s">
        <v>18</v>
      </c>
      <c r="N57" s="62" t="str">
        <f>IFERROR(__xludf.DUMMYFUNCTION("""COMPUTED_VALUE"""),"")</f>
        <v/>
      </c>
      <c r="O57" s="62" t="str">
        <f>IFERROR(__xludf.DUMMYFUNCTION("""COMPUTED_VALUE"""),"")</f>
        <v/>
      </c>
      <c r="P57" s="62" t="str">
        <f>IFERROR(__xludf.DUMMYFUNCTION("""COMPUTED_VALUE"""),"")</f>
        <v/>
      </c>
      <c r="Q57" s="62"/>
      <c r="R57" s="62"/>
      <c r="S57" s="62"/>
    </row>
    <row r="58">
      <c r="A58" s="58">
        <v>45561.62541203704</v>
      </c>
      <c r="B58" s="52" t="s">
        <v>149</v>
      </c>
      <c r="C58" s="52" t="b">
        <v>0</v>
      </c>
      <c r="D58" s="52"/>
      <c r="E58" s="52"/>
      <c r="F58" s="52"/>
      <c r="G58" s="52"/>
      <c r="H58" s="60">
        <v>131.0</v>
      </c>
      <c r="I58" s="52"/>
      <c r="J58" s="52" t="s">
        <v>11</v>
      </c>
      <c r="K58" s="59">
        <v>45561.0</v>
      </c>
      <c r="L58" s="52" t="s">
        <v>137</v>
      </c>
      <c r="M58" s="52" t="s">
        <v>19</v>
      </c>
      <c r="N58" s="62" t="str">
        <f>IFERROR(__xludf.DUMMYFUNCTION("""COMPUTED_VALUE"""),"")</f>
        <v/>
      </c>
      <c r="O58" s="62" t="str">
        <f>IFERROR(__xludf.DUMMYFUNCTION("""COMPUTED_VALUE"""),"")</f>
        <v/>
      </c>
      <c r="P58" s="62" t="str">
        <f>IFERROR(__xludf.DUMMYFUNCTION("""COMPUTED_VALUE"""),"")</f>
        <v/>
      </c>
      <c r="Q58" s="62"/>
      <c r="R58" s="62"/>
      <c r="S58" s="62"/>
    </row>
    <row r="59">
      <c r="A59" s="58">
        <v>45561.63828810185</v>
      </c>
      <c r="B59" s="52" t="s">
        <v>152</v>
      </c>
      <c r="C59" s="52" t="b">
        <v>0</v>
      </c>
      <c r="D59" s="52"/>
      <c r="E59" s="52"/>
      <c r="F59" s="52"/>
      <c r="G59" s="52"/>
      <c r="H59" s="60">
        <v>55.0</v>
      </c>
      <c r="I59" s="52"/>
      <c r="J59" s="52" t="s">
        <v>11</v>
      </c>
      <c r="K59" s="59">
        <v>45561.0</v>
      </c>
      <c r="L59" s="52" t="s">
        <v>137</v>
      </c>
      <c r="M59" s="52" t="s">
        <v>18</v>
      </c>
      <c r="N59" s="62" t="str">
        <f>IFERROR(__xludf.DUMMYFUNCTION("""COMPUTED_VALUE"""),"")</f>
        <v/>
      </c>
      <c r="O59" s="62" t="str">
        <f>IFERROR(__xludf.DUMMYFUNCTION("""COMPUTED_VALUE"""),"")</f>
        <v/>
      </c>
      <c r="P59" s="62" t="str">
        <f>IFERROR(__xludf.DUMMYFUNCTION("""COMPUTED_VALUE"""),"")</f>
        <v/>
      </c>
      <c r="Q59" s="62"/>
      <c r="R59" s="62"/>
      <c r="S59" s="62"/>
    </row>
    <row r="60">
      <c r="A60" s="58">
        <v>45561.80443417824</v>
      </c>
      <c r="B60" s="52" t="s">
        <v>153</v>
      </c>
      <c r="C60" s="52" t="b">
        <v>0</v>
      </c>
      <c r="D60" s="52"/>
      <c r="E60" s="52"/>
      <c r="F60" s="52"/>
      <c r="G60" s="52"/>
      <c r="H60" s="60">
        <v>53.0</v>
      </c>
      <c r="I60" s="52"/>
      <c r="J60" s="52" t="s">
        <v>10</v>
      </c>
      <c r="K60" s="59">
        <v>45561.0</v>
      </c>
      <c r="L60" s="52" t="s">
        <v>137</v>
      </c>
      <c r="M60" s="52" t="s">
        <v>19</v>
      </c>
      <c r="N60" s="62" t="str">
        <f>IFERROR(__xludf.DUMMYFUNCTION("""COMPUTED_VALUE"""),"")</f>
        <v/>
      </c>
      <c r="O60" s="62" t="str">
        <f>IFERROR(__xludf.DUMMYFUNCTION("""COMPUTED_VALUE"""),"")</f>
        <v/>
      </c>
      <c r="P60" s="62" t="str">
        <f>IFERROR(__xludf.DUMMYFUNCTION("""COMPUTED_VALUE"""),"")</f>
        <v/>
      </c>
      <c r="Q60" s="62"/>
      <c r="R60" s="62"/>
      <c r="S60" s="62"/>
    </row>
    <row r="61">
      <c r="A61" s="58">
        <v>45561.87399503472</v>
      </c>
      <c r="B61" s="52" t="s">
        <v>148</v>
      </c>
      <c r="C61" s="52" t="b">
        <v>0</v>
      </c>
      <c r="D61" s="52"/>
      <c r="E61" s="52"/>
      <c r="F61" s="52"/>
      <c r="G61" s="52"/>
      <c r="H61" s="60">
        <v>146.0</v>
      </c>
      <c r="I61" s="52"/>
      <c r="J61" s="52" t="s">
        <v>12</v>
      </c>
      <c r="K61" s="59">
        <v>45561.0</v>
      </c>
      <c r="L61" s="52" t="s">
        <v>137</v>
      </c>
      <c r="M61" s="52" t="s">
        <v>19</v>
      </c>
      <c r="N61" s="62">
        <f>IFERROR(__xludf.DUMMYFUNCTION("""COMPUTED_VALUE"""),106.0)</f>
        <v>106</v>
      </c>
      <c r="O61" s="62">
        <f>IFERROR(__xludf.DUMMYFUNCTION("""COMPUTED_VALUE"""),330.0)</f>
        <v>330</v>
      </c>
      <c r="P61" s="62">
        <f>IFERROR(__xludf.DUMMYFUNCTION("""COMPUTED_VALUE"""),436.0)</f>
        <v>436</v>
      </c>
      <c r="Q61" s="62"/>
      <c r="R61" s="62"/>
      <c r="S61" s="62"/>
    </row>
    <row r="62">
      <c r="A62" s="58">
        <v>45562.39118490741</v>
      </c>
      <c r="B62" s="52" t="s">
        <v>136</v>
      </c>
      <c r="C62" s="52" t="b">
        <v>0</v>
      </c>
      <c r="D62" s="52"/>
      <c r="E62" s="52"/>
      <c r="F62" s="52"/>
      <c r="G62" s="52"/>
      <c r="H62" s="60">
        <v>37.0</v>
      </c>
      <c r="I62" s="52"/>
      <c r="J62" s="52" t="s">
        <v>10</v>
      </c>
      <c r="K62" s="59">
        <v>45562.0</v>
      </c>
      <c r="L62" s="52" t="s">
        <v>138</v>
      </c>
      <c r="M62" s="52" t="s">
        <v>19</v>
      </c>
      <c r="N62" s="62" t="str">
        <f>IFERROR(__xludf.DUMMYFUNCTION("""COMPUTED_VALUE"""),"")</f>
        <v/>
      </c>
      <c r="O62" s="62" t="str">
        <f>IFERROR(__xludf.DUMMYFUNCTION("""COMPUTED_VALUE"""),"")</f>
        <v/>
      </c>
      <c r="P62" s="62" t="str">
        <f>IFERROR(__xludf.DUMMYFUNCTION("""COMPUTED_VALUE"""),"")</f>
        <v/>
      </c>
      <c r="Q62" s="62"/>
      <c r="R62" s="62"/>
      <c r="S62" s="62"/>
    </row>
    <row r="63">
      <c r="A63" s="58">
        <v>45562.64364069444</v>
      </c>
      <c r="B63" s="52" t="s">
        <v>130</v>
      </c>
      <c r="C63" s="52" t="b">
        <v>0</v>
      </c>
      <c r="D63" s="52"/>
      <c r="E63" s="52"/>
      <c r="F63" s="52"/>
      <c r="G63" s="52"/>
      <c r="H63" s="60">
        <v>129.0</v>
      </c>
      <c r="I63" s="52"/>
      <c r="J63" s="52" t="s">
        <v>11</v>
      </c>
      <c r="K63" s="59">
        <v>45562.0</v>
      </c>
      <c r="L63" s="52" t="s">
        <v>138</v>
      </c>
      <c r="M63" s="52" t="s">
        <v>18</v>
      </c>
      <c r="N63" s="62" t="str">
        <f>IFERROR(__xludf.DUMMYFUNCTION("""COMPUTED_VALUE"""),"")</f>
        <v/>
      </c>
      <c r="O63" s="62" t="str">
        <f>IFERROR(__xludf.DUMMYFUNCTION("""COMPUTED_VALUE"""),"")</f>
        <v/>
      </c>
      <c r="P63" s="62" t="str">
        <f>IFERROR(__xludf.DUMMYFUNCTION("""COMPUTED_VALUE"""),"")</f>
        <v/>
      </c>
      <c r="Q63" s="62"/>
      <c r="R63" s="62"/>
      <c r="S63" s="62"/>
    </row>
    <row r="64">
      <c r="A64" s="58">
        <v>45562.71993104167</v>
      </c>
      <c r="B64" s="52" t="s">
        <v>151</v>
      </c>
      <c r="C64" s="52" t="b">
        <v>0</v>
      </c>
      <c r="D64" s="52"/>
      <c r="E64" s="52"/>
      <c r="F64" s="52"/>
      <c r="G64" s="52"/>
      <c r="H64" s="60">
        <v>57.0</v>
      </c>
      <c r="I64" s="52"/>
      <c r="J64" s="52" t="s">
        <v>13</v>
      </c>
      <c r="K64" s="59">
        <v>45562.0</v>
      </c>
      <c r="L64" s="52" t="s">
        <v>138</v>
      </c>
      <c r="M64" s="52" t="s">
        <v>19</v>
      </c>
      <c r="N64" s="62" t="str">
        <f>IFERROR(__xludf.DUMMYFUNCTION("""COMPUTED_VALUE"""),"")</f>
        <v/>
      </c>
      <c r="O64" s="62" t="str">
        <f>IFERROR(__xludf.DUMMYFUNCTION("""COMPUTED_VALUE"""),"")</f>
        <v/>
      </c>
      <c r="P64" s="62" t="str">
        <f>IFERROR(__xludf.DUMMYFUNCTION("""COMPUTED_VALUE"""),"")</f>
        <v/>
      </c>
      <c r="Q64" s="62"/>
      <c r="R64" s="62"/>
      <c r="S64" s="62"/>
    </row>
    <row r="65">
      <c r="A65" s="58">
        <v>45562.83345502314</v>
      </c>
      <c r="B65" s="52" t="s">
        <v>148</v>
      </c>
      <c r="C65" s="52" t="b">
        <v>0</v>
      </c>
      <c r="D65" s="52"/>
      <c r="E65" s="52"/>
      <c r="F65" s="52"/>
      <c r="G65" s="52"/>
      <c r="H65" s="60">
        <v>144.0</v>
      </c>
      <c r="I65" s="52"/>
      <c r="J65" s="52" t="s">
        <v>12</v>
      </c>
      <c r="K65" s="59">
        <v>45562.0</v>
      </c>
      <c r="L65" s="52" t="s">
        <v>138</v>
      </c>
      <c r="M65" s="52" t="s">
        <v>18</v>
      </c>
      <c r="N65" s="62">
        <f>IFERROR(__xludf.DUMMYFUNCTION("""COMPUTED_VALUE"""),273.0)</f>
        <v>273</v>
      </c>
      <c r="O65" s="62">
        <f>IFERROR(__xludf.DUMMYFUNCTION("""COMPUTED_VALUE"""),94.0)</f>
        <v>94</v>
      </c>
      <c r="P65" s="62">
        <f>IFERROR(__xludf.DUMMYFUNCTION("""COMPUTED_VALUE"""),367.0)</f>
        <v>367</v>
      </c>
      <c r="Q65" s="62"/>
      <c r="R65" s="62"/>
      <c r="S65" s="62"/>
    </row>
    <row r="66">
      <c r="A66" s="58">
        <v>45565.41947628473</v>
      </c>
      <c r="B66" s="52" t="s">
        <v>136</v>
      </c>
      <c r="C66" s="52" t="b">
        <v>0</v>
      </c>
      <c r="D66" s="52"/>
      <c r="E66" s="52"/>
      <c r="F66" s="52"/>
      <c r="G66" s="52"/>
      <c r="H66" s="60">
        <v>82.0</v>
      </c>
      <c r="I66" s="52"/>
      <c r="J66" s="52" t="s">
        <v>10</v>
      </c>
      <c r="K66" s="59">
        <v>45565.0</v>
      </c>
      <c r="L66" s="52" t="s">
        <v>129</v>
      </c>
      <c r="M66" s="52" t="s">
        <v>19</v>
      </c>
      <c r="N66" s="62" t="str">
        <f>IFERROR(__xludf.DUMMYFUNCTION("""COMPUTED_VALUE"""),"")</f>
        <v/>
      </c>
      <c r="O66" s="62" t="str">
        <f>IFERROR(__xludf.DUMMYFUNCTION("""COMPUTED_VALUE"""),"")</f>
        <v/>
      </c>
      <c r="P66" s="62" t="str">
        <f>IFERROR(__xludf.DUMMYFUNCTION("""COMPUTED_VALUE"""),"")</f>
        <v/>
      </c>
      <c r="Q66" s="62"/>
      <c r="R66" s="62"/>
      <c r="S66" s="62"/>
    </row>
    <row r="67">
      <c r="A67" s="58">
        <v>45560.59333439815</v>
      </c>
      <c r="B67" s="52" t="s">
        <v>148</v>
      </c>
      <c r="C67" s="52" t="b">
        <v>0</v>
      </c>
      <c r="D67" s="52"/>
      <c r="E67" s="52"/>
      <c r="F67" s="52"/>
      <c r="G67" s="52"/>
      <c r="H67" s="60">
        <v>129.0</v>
      </c>
      <c r="I67" s="52"/>
      <c r="J67" s="52" t="s">
        <v>11</v>
      </c>
      <c r="K67" s="59">
        <v>45565.0</v>
      </c>
      <c r="L67" s="52" t="s">
        <v>129</v>
      </c>
      <c r="M67" s="52" t="s">
        <v>18</v>
      </c>
      <c r="N67" s="62" t="str">
        <f>IFERROR(__xludf.DUMMYFUNCTION("""COMPUTED_VALUE"""),"")</f>
        <v/>
      </c>
      <c r="O67" s="62" t="str">
        <f>IFERROR(__xludf.DUMMYFUNCTION("""COMPUTED_VALUE"""),"")</f>
        <v/>
      </c>
      <c r="P67" s="62" t="str">
        <f>IFERROR(__xludf.DUMMYFUNCTION("""COMPUTED_VALUE"""),"")</f>
        <v/>
      </c>
      <c r="Q67" s="62"/>
      <c r="R67" s="62"/>
      <c r="S67" s="62"/>
    </row>
    <row r="68">
      <c r="A68" s="58">
        <v>45565.50256039352</v>
      </c>
      <c r="B68" s="52" t="s">
        <v>130</v>
      </c>
      <c r="C68" s="52" t="b">
        <v>0</v>
      </c>
      <c r="D68" s="52"/>
      <c r="E68" s="52"/>
      <c r="F68" s="52"/>
      <c r="G68" s="52"/>
      <c r="H68" s="60">
        <v>5.0</v>
      </c>
      <c r="I68" s="52"/>
      <c r="J68" s="52" t="s">
        <v>11</v>
      </c>
      <c r="K68" s="59">
        <v>45565.0</v>
      </c>
      <c r="L68" s="52" t="s">
        <v>129</v>
      </c>
      <c r="M68" s="52" t="s">
        <v>18</v>
      </c>
      <c r="N68" s="62" t="str">
        <f>IFERROR(__xludf.DUMMYFUNCTION("""COMPUTED_VALUE"""),"")</f>
        <v/>
      </c>
      <c r="O68" s="62" t="str">
        <f>IFERROR(__xludf.DUMMYFUNCTION("""COMPUTED_VALUE"""),"")</f>
        <v/>
      </c>
      <c r="P68" s="62" t="str">
        <f>IFERROR(__xludf.DUMMYFUNCTION("""COMPUTED_VALUE"""),"")</f>
        <v/>
      </c>
      <c r="Q68" s="62"/>
      <c r="R68" s="62"/>
      <c r="S68" s="62"/>
    </row>
    <row r="69">
      <c r="A69" s="58">
        <v>45565.64490814815</v>
      </c>
      <c r="B69" s="52" t="s">
        <v>148</v>
      </c>
      <c r="C69" s="52" t="b">
        <v>0</v>
      </c>
      <c r="D69" s="52"/>
      <c r="E69" s="52"/>
      <c r="F69" s="52"/>
      <c r="G69" s="52"/>
      <c r="H69" s="60">
        <v>174.0</v>
      </c>
      <c r="I69" s="52"/>
      <c r="J69" s="52" t="s">
        <v>11</v>
      </c>
      <c r="K69" s="59">
        <v>45565.0</v>
      </c>
      <c r="L69" s="52" t="s">
        <v>129</v>
      </c>
      <c r="M69" s="52" t="s">
        <v>18</v>
      </c>
      <c r="N69" s="62" t="str">
        <f>IFERROR(__xludf.DUMMYFUNCTION("""COMPUTED_VALUE"""),"")</f>
        <v/>
      </c>
      <c r="O69" s="62" t="str">
        <f>IFERROR(__xludf.DUMMYFUNCTION("""COMPUTED_VALUE"""),"")</f>
        <v/>
      </c>
      <c r="P69" s="62" t="str">
        <f>IFERROR(__xludf.DUMMYFUNCTION("""COMPUTED_VALUE"""),"")</f>
        <v/>
      </c>
      <c r="Q69" s="62"/>
      <c r="R69" s="62"/>
      <c r="S69" s="62"/>
    </row>
    <row r="70">
      <c r="A70" s="58">
        <v>45565.75448940972</v>
      </c>
      <c r="B70" s="52" t="s">
        <v>149</v>
      </c>
      <c r="C70" s="52" t="b">
        <v>0</v>
      </c>
      <c r="D70" s="52"/>
      <c r="E70" s="52"/>
      <c r="F70" s="52"/>
      <c r="G70" s="52"/>
      <c r="H70" s="52">
        <v>51.0</v>
      </c>
      <c r="I70" s="52"/>
      <c r="J70" s="52" t="s">
        <v>11</v>
      </c>
      <c r="K70" s="59">
        <v>45565.0</v>
      </c>
      <c r="L70" s="52" t="s">
        <v>129</v>
      </c>
      <c r="M70" s="52" t="s">
        <v>19</v>
      </c>
      <c r="N70" s="62" t="str">
        <f>IFERROR(__xludf.DUMMYFUNCTION("""COMPUTED_VALUE"""),"")</f>
        <v/>
      </c>
      <c r="O70" s="62" t="str">
        <f>IFERROR(__xludf.DUMMYFUNCTION("""COMPUTED_VALUE"""),"")</f>
        <v/>
      </c>
      <c r="P70" s="62" t="str">
        <f>IFERROR(__xludf.DUMMYFUNCTION("""COMPUTED_VALUE"""),"")</f>
        <v/>
      </c>
      <c r="Q70" s="62"/>
      <c r="R70" s="62"/>
      <c r="S70" s="62"/>
    </row>
    <row r="71">
      <c r="A71" s="58">
        <v>45565.75571971065</v>
      </c>
      <c r="B71" s="52" t="s">
        <v>152</v>
      </c>
      <c r="C71" s="52" t="b">
        <v>0</v>
      </c>
      <c r="D71" s="52"/>
      <c r="E71" s="52"/>
      <c r="F71" s="52"/>
      <c r="G71" s="52"/>
      <c r="H71" s="52">
        <v>55.0</v>
      </c>
      <c r="I71" s="52"/>
      <c r="J71" s="52" t="s">
        <v>12</v>
      </c>
      <c r="K71" s="59">
        <v>45565.0</v>
      </c>
      <c r="L71" s="52" t="s">
        <v>129</v>
      </c>
      <c r="M71" s="52" t="s">
        <v>18</v>
      </c>
      <c r="N71" s="62" t="str">
        <f>IFERROR(__xludf.DUMMYFUNCTION("""COMPUTED_VALUE"""),"")</f>
        <v/>
      </c>
      <c r="O71" s="62" t="str">
        <f>IFERROR(__xludf.DUMMYFUNCTION("""COMPUTED_VALUE"""),"")</f>
        <v/>
      </c>
      <c r="P71" s="62" t="str">
        <f>IFERROR(__xludf.DUMMYFUNCTION("""COMPUTED_VALUE"""),"")</f>
        <v/>
      </c>
      <c r="Q71" s="62"/>
      <c r="R71" s="62"/>
      <c r="S71" s="62"/>
    </row>
    <row r="72">
      <c r="A72" s="58">
        <v>45565.94228159722</v>
      </c>
      <c r="B72" s="52" t="s">
        <v>151</v>
      </c>
      <c r="C72" s="52" t="b">
        <v>0</v>
      </c>
      <c r="D72" s="52"/>
      <c r="E72" s="52"/>
      <c r="F72" s="52"/>
      <c r="G72" s="52"/>
      <c r="H72" s="52">
        <v>31.0</v>
      </c>
      <c r="I72" s="52"/>
      <c r="J72" s="52" t="s">
        <v>12</v>
      </c>
      <c r="K72" s="59">
        <v>45565.0</v>
      </c>
      <c r="L72" s="52" t="s">
        <v>129</v>
      </c>
      <c r="M72" s="52" t="s">
        <v>19</v>
      </c>
      <c r="N72" s="62">
        <f>IFERROR(__xludf.DUMMYFUNCTION("""COMPUTED_VALUE"""),363.0)</f>
        <v>363</v>
      </c>
      <c r="O72" s="62">
        <f>IFERROR(__xludf.DUMMYFUNCTION("""COMPUTED_VALUE"""),164.0)</f>
        <v>164</v>
      </c>
      <c r="P72" s="62">
        <f>IFERROR(__xludf.DUMMYFUNCTION("""COMPUTED_VALUE"""),527.0)</f>
        <v>527</v>
      </c>
      <c r="Q72" s="62"/>
      <c r="R72" s="62"/>
      <c r="S72" s="62"/>
    </row>
    <row r="73">
      <c r="A73" s="58">
        <v>45566.64233320601</v>
      </c>
      <c r="B73" s="52" t="s">
        <v>152</v>
      </c>
      <c r="C73" s="52" t="b">
        <v>0</v>
      </c>
      <c r="D73" s="52"/>
      <c r="E73" s="52"/>
      <c r="F73" s="52"/>
      <c r="G73" s="52"/>
      <c r="H73" s="52">
        <v>65.0</v>
      </c>
      <c r="I73" s="52"/>
      <c r="J73" s="52" t="s">
        <v>11</v>
      </c>
      <c r="K73" s="59">
        <v>45566.0</v>
      </c>
      <c r="L73" s="52" t="s">
        <v>132</v>
      </c>
      <c r="M73" s="52" t="s">
        <v>18</v>
      </c>
      <c r="N73" s="62" t="str">
        <f>IFERROR(__xludf.DUMMYFUNCTION("""COMPUTED_VALUE"""),"")</f>
        <v/>
      </c>
      <c r="O73" s="62" t="str">
        <f>IFERROR(__xludf.DUMMYFUNCTION("""COMPUTED_VALUE"""),"")</f>
        <v/>
      </c>
      <c r="P73" s="62" t="str">
        <f>IFERROR(__xludf.DUMMYFUNCTION("""COMPUTED_VALUE"""),"")</f>
        <v/>
      </c>
      <c r="Q73" s="62"/>
      <c r="R73" s="62"/>
      <c r="S73" s="62"/>
    </row>
    <row r="74">
      <c r="A74" s="58">
        <v>45566.7738962037</v>
      </c>
      <c r="B74" s="52" t="s">
        <v>149</v>
      </c>
      <c r="C74" s="52" t="b">
        <v>0</v>
      </c>
      <c r="D74" s="52"/>
      <c r="E74" s="52"/>
      <c r="F74" s="52"/>
      <c r="G74" s="52"/>
      <c r="H74" s="52">
        <v>97.0</v>
      </c>
      <c r="I74" s="52"/>
      <c r="J74" s="52" t="s">
        <v>12</v>
      </c>
      <c r="K74" s="59">
        <v>45566.0</v>
      </c>
      <c r="L74" s="52" t="s">
        <v>132</v>
      </c>
      <c r="M74" s="52" t="s">
        <v>19</v>
      </c>
      <c r="N74" s="62" t="str">
        <f>IFERROR(__xludf.DUMMYFUNCTION("""COMPUTED_VALUE"""),"")</f>
        <v/>
      </c>
      <c r="O74" s="62" t="str">
        <f>IFERROR(__xludf.DUMMYFUNCTION("""COMPUTED_VALUE"""),"")</f>
        <v/>
      </c>
      <c r="P74" s="62" t="str">
        <f>IFERROR(__xludf.DUMMYFUNCTION("""COMPUTED_VALUE"""),"")</f>
        <v/>
      </c>
      <c r="Q74" s="62"/>
      <c r="R74" s="62"/>
      <c r="S74" s="62"/>
    </row>
    <row r="75">
      <c r="A75" s="58">
        <v>45566.87787091435</v>
      </c>
      <c r="B75" s="52" t="s">
        <v>134</v>
      </c>
      <c r="C75" s="52" t="b">
        <v>0</v>
      </c>
      <c r="D75" s="52"/>
      <c r="E75" s="52"/>
      <c r="F75" s="52"/>
      <c r="G75" s="52"/>
      <c r="H75" s="52">
        <v>237.0</v>
      </c>
      <c r="I75" s="52"/>
      <c r="J75" s="52" t="s">
        <v>12</v>
      </c>
      <c r="K75" s="59">
        <v>45566.0</v>
      </c>
      <c r="L75" s="52" t="s">
        <v>132</v>
      </c>
      <c r="M75" s="52" t="s">
        <v>18</v>
      </c>
      <c r="N75" s="62" t="str">
        <f>IFERROR(__xludf.DUMMYFUNCTION("""COMPUTED_VALUE"""),"")</f>
        <v/>
      </c>
      <c r="O75" s="62" t="str">
        <f>IFERROR(__xludf.DUMMYFUNCTION("""COMPUTED_VALUE"""),"")</f>
        <v/>
      </c>
      <c r="P75" s="62" t="str">
        <f>IFERROR(__xludf.DUMMYFUNCTION("""COMPUTED_VALUE"""),"")</f>
        <v/>
      </c>
      <c r="Q75" s="62"/>
      <c r="R75" s="62"/>
      <c r="S75" s="62"/>
    </row>
    <row r="76">
      <c r="A76" s="58">
        <v>45566.89440203704</v>
      </c>
      <c r="B76" s="52" t="s">
        <v>149</v>
      </c>
      <c r="C76" s="52" t="b">
        <v>0</v>
      </c>
      <c r="D76" s="52"/>
      <c r="E76" s="52"/>
      <c r="F76" s="52"/>
      <c r="G76" s="52"/>
      <c r="H76" s="52">
        <v>90.0</v>
      </c>
      <c r="I76" s="52"/>
      <c r="J76" s="52" t="s">
        <v>12</v>
      </c>
      <c r="K76" s="59">
        <v>45566.0</v>
      </c>
      <c r="L76" s="52" t="s">
        <v>132</v>
      </c>
      <c r="M76" s="52" t="s">
        <v>19</v>
      </c>
      <c r="N76" s="62">
        <f>IFERROR(__xludf.DUMMYFUNCTION("""COMPUTED_VALUE"""),302.0)</f>
        <v>302</v>
      </c>
      <c r="O76" s="62">
        <f>IFERROR(__xludf.DUMMYFUNCTION("""COMPUTED_VALUE"""),187.0)</f>
        <v>187</v>
      </c>
      <c r="P76" s="62">
        <f>IFERROR(__xludf.DUMMYFUNCTION("""COMPUTED_VALUE"""),489.0)</f>
        <v>489</v>
      </c>
      <c r="Q76" s="62"/>
      <c r="R76" s="62"/>
      <c r="S76" s="62"/>
    </row>
    <row r="77">
      <c r="A77" s="58">
        <v>45567.42279282407</v>
      </c>
      <c r="B77" s="52" t="s">
        <v>136</v>
      </c>
      <c r="C77" s="52" t="b">
        <v>0</v>
      </c>
      <c r="D77" s="52"/>
      <c r="E77" s="52"/>
      <c r="F77" s="52"/>
      <c r="G77" s="52"/>
      <c r="H77" s="52">
        <v>80.0</v>
      </c>
      <c r="I77" s="52"/>
      <c r="J77" s="52" t="s">
        <v>10</v>
      </c>
      <c r="K77" s="59">
        <v>45567.0</v>
      </c>
      <c r="L77" s="52" t="s">
        <v>135</v>
      </c>
      <c r="M77" s="52" t="s">
        <v>19</v>
      </c>
      <c r="N77" s="62" t="str">
        <f>IFERROR(__xludf.DUMMYFUNCTION("""COMPUTED_VALUE"""),"")</f>
        <v/>
      </c>
      <c r="O77" s="62" t="str">
        <f>IFERROR(__xludf.DUMMYFUNCTION("""COMPUTED_VALUE"""),"")</f>
        <v/>
      </c>
      <c r="P77" s="62" t="str">
        <f>IFERROR(__xludf.DUMMYFUNCTION("""COMPUTED_VALUE"""),"")</f>
        <v/>
      </c>
      <c r="Q77" s="62"/>
      <c r="R77" s="62"/>
      <c r="S77" s="62"/>
    </row>
    <row r="78">
      <c r="A78" s="58">
        <v>45567.50752015047</v>
      </c>
      <c r="B78" s="52" t="s">
        <v>130</v>
      </c>
      <c r="C78" s="52" t="b">
        <v>0</v>
      </c>
      <c r="D78" s="52"/>
      <c r="E78" s="52"/>
      <c r="F78" s="52"/>
      <c r="G78" s="52"/>
      <c r="H78" s="52">
        <v>6.0</v>
      </c>
      <c r="I78" s="52"/>
      <c r="J78" s="52" t="s">
        <v>11</v>
      </c>
      <c r="K78" s="59">
        <v>45567.0</v>
      </c>
      <c r="L78" s="52" t="s">
        <v>135</v>
      </c>
      <c r="M78" s="52" t="s">
        <v>18</v>
      </c>
      <c r="N78" s="62" t="str">
        <f>IFERROR(__xludf.DUMMYFUNCTION("""COMPUTED_VALUE"""),"")</f>
        <v/>
      </c>
      <c r="O78" s="62" t="str">
        <f>IFERROR(__xludf.DUMMYFUNCTION("""COMPUTED_VALUE"""),"")</f>
        <v/>
      </c>
      <c r="P78" s="62" t="str">
        <f>IFERROR(__xludf.DUMMYFUNCTION("""COMPUTED_VALUE"""),"")</f>
        <v/>
      </c>
      <c r="Q78" s="62"/>
      <c r="R78" s="62"/>
      <c r="S78" s="62"/>
    </row>
    <row r="79">
      <c r="A79" s="58">
        <v>45567.62774652777</v>
      </c>
      <c r="B79" s="52" t="s">
        <v>149</v>
      </c>
      <c r="C79" s="52" t="b">
        <v>0</v>
      </c>
      <c r="D79" s="52"/>
      <c r="E79" s="52"/>
      <c r="F79" s="52"/>
      <c r="G79" s="52"/>
      <c r="H79" s="52">
        <v>161.0</v>
      </c>
      <c r="I79" s="52"/>
      <c r="J79" s="52" t="s">
        <v>11</v>
      </c>
      <c r="K79" s="59">
        <v>45567.0</v>
      </c>
      <c r="L79" s="52" t="s">
        <v>135</v>
      </c>
      <c r="M79" s="52" t="s">
        <v>19</v>
      </c>
      <c r="N79" s="62" t="str">
        <f>IFERROR(__xludf.DUMMYFUNCTION("""COMPUTED_VALUE"""),"")</f>
        <v/>
      </c>
      <c r="O79" s="62" t="str">
        <f>IFERROR(__xludf.DUMMYFUNCTION("""COMPUTED_VALUE"""),"")</f>
        <v/>
      </c>
      <c r="P79" s="62" t="str">
        <f>IFERROR(__xludf.DUMMYFUNCTION("""COMPUTED_VALUE"""),"")</f>
        <v/>
      </c>
      <c r="Q79" s="62"/>
      <c r="R79" s="62"/>
      <c r="S79" s="62"/>
    </row>
    <row r="80">
      <c r="A80" s="58">
        <v>45567.6440274537</v>
      </c>
      <c r="B80" s="52" t="s">
        <v>148</v>
      </c>
      <c r="C80" s="52" t="b">
        <v>0</v>
      </c>
      <c r="D80" s="52"/>
      <c r="E80" s="52"/>
      <c r="F80" s="52"/>
      <c r="G80" s="52"/>
      <c r="H80" s="52">
        <v>147.0</v>
      </c>
      <c r="I80" s="52"/>
      <c r="J80" s="52" t="s">
        <v>11</v>
      </c>
      <c r="K80" s="59">
        <v>45567.0</v>
      </c>
      <c r="L80" s="52" t="s">
        <v>135</v>
      </c>
      <c r="M80" s="52" t="s">
        <v>18</v>
      </c>
      <c r="N80" s="62">
        <f>IFERROR(__xludf.DUMMYFUNCTION("""COMPUTED_VALUE"""),153.0)</f>
        <v>153</v>
      </c>
      <c r="O80" s="62">
        <f>IFERROR(__xludf.DUMMYFUNCTION("""COMPUTED_VALUE"""),241.0)</f>
        <v>241</v>
      </c>
      <c r="P80" s="62">
        <f>IFERROR(__xludf.DUMMYFUNCTION("""COMPUTED_VALUE"""),394.0)</f>
        <v>394</v>
      </c>
      <c r="Q80" s="62"/>
      <c r="R80" s="62"/>
      <c r="S80" s="62"/>
    </row>
    <row r="81">
      <c r="A81" s="58">
        <v>45568.56047146991</v>
      </c>
      <c r="B81" s="52" t="s">
        <v>150</v>
      </c>
      <c r="C81" s="52" t="b">
        <v>0</v>
      </c>
      <c r="D81" s="52"/>
      <c r="E81" s="52"/>
      <c r="F81" s="52"/>
      <c r="G81" s="52"/>
      <c r="H81" s="52">
        <v>91.0</v>
      </c>
      <c r="I81" s="52"/>
      <c r="J81" s="52" t="s">
        <v>11</v>
      </c>
      <c r="K81" s="59">
        <v>45568.0</v>
      </c>
      <c r="L81" s="52" t="s">
        <v>137</v>
      </c>
      <c r="M81" s="52" t="s">
        <v>18</v>
      </c>
      <c r="N81" s="62" t="str">
        <f>IFERROR(__xludf.DUMMYFUNCTION("""COMPUTED_VALUE"""),"")</f>
        <v/>
      </c>
      <c r="O81" s="62" t="str">
        <f>IFERROR(__xludf.DUMMYFUNCTION("""COMPUTED_VALUE"""),"")</f>
        <v/>
      </c>
      <c r="P81" s="62" t="str">
        <f>IFERROR(__xludf.DUMMYFUNCTION("""COMPUTED_VALUE"""),"")</f>
        <v/>
      </c>
      <c r="Q81" s="62"/>
      <c r="R81" s="62"/>
      <c r="S81" s="62"/>
    </row>
    <row r="82">
      <c r="A82" s="58">
        <v>45568.6285291551</v>
      </c>
      <c r="B82" s="52" t="s">
        <v>149</v>
      </c>
      <c r="C82" s="52" t="b">
        <v>0</v>
      </c>
      <c r="D82" s="52"/>
      <c r="E82" s="52"/>
      <c r="F82" s="52"/>
      <c r="G82" s="52"/>
      <c r="H82" s="52">
        <v>165.0</v>
      </c>
      <c r="I82" s="52"/>
      <c r="J82" s="52" t="s">
        <v>11</v>
      </c>
      <c r="K82" s="59">
        <v>45568.0</v>
      </c>
      <c r="L82" s="52" t="s">
        <v>137</v>
      </c>
      <c r="M82" s="52" t="s">
        <v>19</v>
      </c>
      <c r="N82" s="62" t="str">
        <f>IFERROR(__xludf.DUMMYFUNCTION("""COMPUTED_VALUE"""),"")</f>
        <v/>
      </c>
      <c r="O82" s="62" t="str">
        <f>IFERROR(__xludf.DUMMYFUNCTION("""COMPUTED_VALUE"""),"")</f>
        <v/>
      </c>
      <c r="P82" s="62" t="str">
        <f>IFERROR(__xludf.DUMMYFUNCTION("""COMPUTED_VALUE"""),"")</f>
        <v/>
      </c>
      <c r="Q82" s="62"/>
      <c r="R82" s="62"/>
      <c r="S82" s="62"/>
    </row>
    <row r="83">
      <c r="A83" s="58">
        <v>45568.87377942129</v>
      </c>
      <c r="B83" s="52" t="s">
        <v>134</v>
      </c>
      <c r="C83" s="52" t="b">
        <v>0</v>
      </c>
      <c r="D83" s="52"/>
      <c r="E83" s="52"/>
      <c r="F83" s="52"/>
      <c r="G83" s="52"/>
      <c r="H83" s="52">
        <v>83.0</v>
      </c>
      <c r="I83" s="52"/>
      <c r="J83" s="52" t="s">
        <v>12</v>
      </c>
      <c r="K83" s="59">
        <v>45568.0</v>
      </c>
      <c r="L83" s="52" t="s">
        <v>137</v>
      </c>
      <c r="M83" s="52" t="s">
        <v>18</v>
      </c>
      <c r="N83" s="62" t="str">
        <f>IFERROR(__xludf.DUMMYFUNCTION("""COMPUTED_VALUE"""),"")</f>
        <v/>
      </c>
      <c r="O83" s="62" t="str">
        <f>IFERROR(__xludf.DUMMYFUNCTION("""COMPUTED_VALUE"""),"")</f>
        <v/>
      </c>
      <c r="P83" s="62" t="str">
        <f>IFERROR(__xludf.DUMMYFUNCTION("""COMPUTED_VALUE"""),"")</f>
        <v/>
      </c>
      <c r="Q83" s="62"/>
      <c r="R83" s="62"/>
      <c r="S83" s="62"/>
    </row>
    <row r="84">
      <c r="A84" s="58">
        <v>45568.87627254629</v>
      </c>
      <c r="B84" s="52" t="s">
        <v>148</v>
      </c>
      <c r="C84" s="52" t="b">
        <v>0</v>
      </c>
      <c r="D84" s="52"/>
      <c r="E84" s="52"/>
      <c r="F84" s="52"/>
      <c r="G84" s="52"/>
      <c r="H84" s="52">
        <v>249.0</v>
      </c>
      <c r="I84" s="52"/>
      <c r="J84" s="52" t="s">
        <v>12</v>
      </c>
      <c r="K84" s="59">
        <v>45568.0</v>
      </c>
      <c r="L84" s="52" t="s">
        <v>137</v>
      </c>
      <c r="M84" s="52" t="s">
        <v>19</v>
      </c>
      <c r="N84" s="62" t="str">
        <f>IFERROR(__xludf.DUMMYFUNCTION("""COMPUTED_VALUE"""),"")</f>
        <v/>
      </c>
      <c r="O84" s="62" t="str">
        <f>IFERROR(__xludf.DUMMYFUNCTION("""COMPUTED_VALUE"""),"")</f>
        <v/>
      </c>
      <c r="P84" s="62" t="str">
        <f>IFERROR(__xludf.DUMMYFUNCTION("""COMPUTED_VALUE"""),"")</f>
        <v/>
      </c>
      <c r="Q84" s="62"/>
      <c r="R84" s="62"/>
      <c r="S84" s="62"/>
    </row>
    <row r="85">
      <c r="A85" s="58">
        <v>45569.41708613426</v>
      </c>
      <c r="B85" s="52" t="s">
        <v>152</v>
      </c>
      <c r="C85" s="52" t="b">
        <v>0</v>
      </c>
      <c r="D85" s="52"/>
      <c r="E85" s="52"/>
      <c r="F85" s="52"/>
      <c r="G85" s="52"/>
      <c r="H85" s="52">
        <v>20.0</v>
      </c>
      <c r="I85" s="52"/>
      <c r="J85" s="52" t="s">
        <v>11</v>
      </c>
      <c r="K85" s="59">
        <v>45568.0</v>
      </c>
      <c r="L85" s="52" t="s">
        <v>137</v>
      </c>
      <c r="M85" s="52" t="s">
        <v>18</v>
      </c>
      <c r="N85" s="62">
        <f>IFERROR(__xludf.DUMMYFUNCTION("""COMPUTED_VALUE"""),194.0)</f>
        <v>194</v>
      </c>
      <c r="O85" s="62">
        <f>IFERROR(__xludf.DUMMYFUNCTION("""COMPUTED_VALUE"""),414.0)</f>
        <v>414</v>
      </c>
      <c r="P85" s="62">
        <f>IFERROR(__xludf.DUMMYFUNCTION("""COMPUTED_VALUE"""),608.0)</f>
        <v>608</v>
      </c>
      <c r="Q85" s="62"/>
      <c r="R85" s="62"/>
      <c r="S85" s="62"/>
    </row>
    <row r="86">
      <c r="A86" s="58">
        <v>45569.39198671297</v>
      </c>
      <c r="B86" s="52" t="s">
        <v>136</v>
      </c>
      <c r="C86" s="52" t="b">
        <v>0</v>
      </c>
      <c r="D86" s="52"/>
      <c r="E86" s="52"/>
      <c r="F86" s="52"/>
      <c r="G86" s="52"/>
      <c r="H86" s="52">
        <v>57.0</v>
      </c>
      <c r="I86" s="52"/>
      <c r="J86" s="52" t="s">
        <v>10</v>
      </c>
      <c r="K86" s="59">
        <v>45569.0</v>
      </c>
      <c r="L86" s="52" t="s">
        <v>138</v>
      </c>
      <c r="M86" s="52" t="s">
        <v>19</v>
      </c>
      <c r="N86" s="62" t="str">
        <f>IFERROR(__xludf.DUMMYFUNCTION("""COMPUTED_VALUE"""),"")</f>
        <v/>
      </c>
      <c r="O86" s="62" t="str">
        <f>IFERROR(__xludf.DUMMYFUNCTION("""COMPUTED_VALUE"""),"")</f>
        <v/>
      </c>
      <c r="P86" s="62" t="str">
        <f>IFERROR(__xludf.DUMMYFUNCTION("""COMPUTED_VALUE"""),"")</f>
        <v/>
      </c>
      <c r="Q86" s="62"/>
      <c r="R86" s="62"/>
      <c r="S86" s="62"/>
    </row>
    <row r="87">
      <c r="A87" s="58">
        <v>45569.48882921296</v>
      </c>
      <c r="B87" s="52" t="s">
        <v>151</v>
      </c>
      <c r="C87" s="52" t="b">
        <v>0</v>
      </c>
      <c r="D87" s="52"/>
      <c r="E87" s="52"/>
      <c r="F87" s="52"/>
      <c r="G87" s="52"/>
      <c r="H87" s="52">
        <v>104.0</v>
      </c>
      <c r="I87" s="52"/>
      <c r="J87" s="52" t="s">
        <v>13</v>
      </c>
      <c r="K87" s="59">
        <v>45569.0</v>
      </c>
      <c r="L87" s="52" t="s">
        <v>138</v>
      </c>
      <c r="M87" s="52" t="s">
        <v>19</v>
      </c>
      <c r="N87" s="62" t="str">
        <f>IFERROR(__xludf.DUMMYFUNCTION("""COMPUTED_VALUE"""),"")</f>
        <v/>
      </c>
      <c r="O87" s="62" t="str">
        <f>IFERROR(__xludf.DUMMYFUNCTION("""COMPUTED_VALUE"""),"")</f>
        <v/>
      </c>
      <c r="P87" s="62" t="str">
        <f>IFERROR(__xludf.DUMMYFUNCTION("""COMPUTED_VALUE"""),"")</f>
        <v/>
      </c>
      <c r="Q87" s="62"/>
      <c r="R87" s="62"/>
      <c r="S87" s="62"/>
    </row>
    <row r="88">
      <c r="A88" s="58">
        <v>45569.6028175463</v>
      </c>
      <c r="B88" s="52" t="s">
        <v>130</v>
      </c>
      <c r="C88" s="52" t="b">
        <v>0</v>
      </c>
      <c r="D88" s="52"/>
      <c r="E88" s="52"/>
      <c r="F88" s="52"/>
      <c r="G88" s="52"/>
      <c r="H88" s="52">
        <v>97.0</v>
      </c>
      <c r="I88" s="52"/>
      <c r="J88" s="52" t="s">
        <v>11</v>
      </c>
      <c r="K88" s="59">
        <v>45569.0</v>
      </c>
      <c r="L88" s="52" t="s">
        <v>138</v>
      </c>
      <c r="M88" s="52" t="s">
        <v>18</v>
      </c>
      <c r="N88" s="62" t="str">
        <f>IFERROR(__xludf.DUMMYFUNCTION("""COMPUTED_VALUE"""),"")</f>
        <v/>
      </c>
      <c r="O88" s="62" t="str">
        <f>IFERROR(__xludf.DUMMYFUNCTION("""COMPUTED_VALUE"""),"")</f>
        <v/>
      </c>
      <c r="P88" s="62" t="str">
        <f>IFERROR(__xludf.DUMMYFUNCTION("""COMPUTED_VALUE"""),"")</f>
        <v/>
      </c>
      <c r="Q88" s="62"/>
      <c r="R88" s="62"/>
      <c r="S88" s="62"/>
    </row>
    <row r="89">
      <c r="A89" s="58">
        <v>45569.83277579861</v>
      </c>
      <c r="B89" s="52" t="s">
        <v>148</v>
      </c>
      <c r="C89" s="52" t="b">
        <v>0</v>
      </c>
      <c r="D89" s="52"/>
      <c r="E89" s="52"/>
      <c r="F89" s="52"/>
      <c r="G89" s="52"/>
      <c r="H89" s="52">
        <v>208.0</v>
      </c>
      <c r="I89" s="52"/>
      <c r="J89" s="52" t="s">
        <v>12</v>
      </c>
      <c r="K89" s="59">
        <v>45569.0</v>
      </c>
      <c r="L89" s="52" t="s">
        <v>138</v>
      </c>
      <c r="M89" s="52" t="s">
        <v>18</v>
      </c>
      <c r="N89" s="62" t="str">
        <f>IFERROR(__xludf.DUMMYFUNCTION("""COMPUTED_VALUE"""),"")</f>
        <v/>
      </c>
      <c r="O89" s="62" t="str">
        <f>IFERROR(__xludf.DUMMYFUNCTION("""COMPUTED_VALUE"""),"")</f>
        <v/>
      </c>
      <c r="P89" s="62" t="str">
        <f>IFERROR(__xludf.DUMMYFUNCTION("""COMPUTED_VALUE"""),"")</f>
        <v/>
      </c>
      <c r="Q89" s="62"/>
      <c r="R89" s="62"/>
      <c r="S89" s="62"/>
    </row>
    <row r="90">
      <c r="A90" s="58">
        <v>45569.84868024306</v>
      </c>
      <c r="B90" s="52" t="s">
        <v>151</v>
      </c>
      <c r="C90" s="52" t="b">
        <v>0</v>
      </c>
      <c r="D90" s="52"/>
      <c r="E90" s="52"/>
      <c r="F90" s="52"/>
      <c r="G90" s="52"/>
      <c r="H90" s="52">
        <v>37.0</v>
      </c>
      <c r="I90" s="52"/>
      <c r="J90" s="52" t="s">
        <v>11</v>
      </c>
      <c r="K90" s="59">
        <v>45569.0</v>
      </c>
      <c r="L90" s="52" t="s">
        <v>138</v>
      </c>
      <c r="M90" s="52" t="s">
        <v>19</v>
      </c>
      <c r="N90" s="62">
        <f>IFERROR(__xludf.DUMMYFUNCTION("""COMPUTED_VALUE"""),305.0)</f>
        <v>305</v>
      </c>
      <c r="O90" s="62">
        <f>IFERROR(__xludf.DUMMYFUNCTION("""COMPUTED_VALUE"""),198.0)</f>
        <v>198</v>
      </c>
      <c r="P90" s="62">
        <f>IFERROR(__xludf.DUMMYFUNCTION("""COMPUTED_VALUE"""),503.0)</f>
        <v>503</v>
      </c>
      <c r="Q90" s="62"/>
      <c r="R90" s="62"/>
      <c r="S90" s="62"/>
    </row>
    <row r="91">
      <c r="A91" s="58">
        <v>45572.43347887731</v>
      </c>
      <c r="B91" s="52" t="s">
        <v>136</v>
      </c>
      <c r="C91" s="52" t="b">
        <v>0</v>
      </c>
      <c r="D91" s="52"/>
      <c r="E91" s="52"/>
      <c r="F91" s="52"/>
      <c r="G91" s="52"/>
      <c r="H91" s="52">
        <v>77.0</v>
      </c>
      <c r="I91" s="52"/>
      <c r="J91" s="52" t="s">
        <v>10</v>
      </c>
      <c r="K91" s="59">
        <v>45572.0</v>
      </c>
      <c r="L91" s="52" t="s">
        <v>129</v>
      </c>
      <c r="M91" s="52" t="s">
        <v>19</v>
      </c>
      <c r="N91" s="62" t="str">
        <f>IFERROR(__xludf.DUMMYFUNCTION("""COMPUTED_VALUE"""),"")</f>
        <v/>
      </c>
      <c r="O91" s="62" t="str">
        <f>IFERROR(__xludf.DUMMYFUNCTION("""COMPUTED_VALUE"""),"")</f>
        <v/>
      </c>
      <c r="P91" s="62" t="str">
        <f>IFERROR(__xludf.DUMMYFUNCTION("""COMPUTED_VALUE"""),"")</f>
        <v/>
      </c>
      <c r="Q91" s="62"/>
      <c r="R91" s="62"/>
      <c r="S91" s="62"/>
    </row>
    <row r="92">
      <c r="A92" s="58">
        <v>45572.49977847222</v>
      </c>
      <c r="B92" s="52" t="s">
        <v>130</v>
      </c>
      <c r="C92" s="52" t="b">
        <v>0</v>
      </c>
      <c r="D92" s="52"/>
      <c r="E92" s="52"/>
      <c r="F92" s="52"/>
      <c r="G92" s="52"/>
      <c r="H92" s="52">
        <v>5.0</v>
      </c>
      <c r="I92" s="52"/>
      <c r="J92" s="52" t="s">
        <v>11</v>
      </c>
      <c r="K92" s="59">
        <v>45572.0</v>
      </c>
      <c r="L92" s="52" t="s">
        <v>129</v>
      </c>
      <c r="M92" s="52" t="s">
        <v>18</v>
      </c>
      <c r="N92" s="62" t="str">
        <f>IFERROR(__xludf.DUMMYFUNCTION("""COMPUTED_VALUE"""),"")</f>
        <v/>
      </c>
      <c r="O92" s="62" t="str">
        <f>IFERROR(__xludf.DUMMYFUNCTION("""COMPUTED_VALUE"""),"")</f>
        <v/>
      </c>
      <c r="P92" s="62" t="str">
        <f>IFERROR(__xludf.DUMMYFUNCTION("""COMPUTED_VALUE"""),"")</f>
        <v/>
      </c>
      <c r="Q92" s="62"/>
      <c r="R92" s="62"/>
      <c r="S92" s="62"/>
    </row>
    <row r="93">
      <c r="A93" s="58">
        <v>45572.54378520833</v>
      </c>
      <c r="B93" s="52" t="s">
        <v>134</v>
      </c>
      <c r="C93" s="52" t="b">
        <v>0</v>
      </c>
      <c r="D93" s="52"/>
      <c r="E93" s="52"/>
      <c r="F93" s="52"/>
      <c r="G93" s="52"/>
      <c r="H93" s="52">
        <v>109.0</v>
      </c>
      <c r="I93" s="52"/>
      <c r="J93" s="52" t="s">
        <v>11</v>
      </c>
      <c r="K93" s="59">
        <v>45572.0</v>
      </c>
      <c r="L93" s="52" t="s">
        <v>129</v>
      </c>
      <c r="M93" s="52" t="s">
        <v>19</v>
      </c>
      <c r="N93" s="62" t="str">
        <f>IFERROR(__xludf.DUMMYFUNCTION("""COMPUTED_VALUE"""),"")</f>
        <v/>
      </c>
      <c r="O93" s="62" t="str">
        <f>IFERROR(__xludf.DUMMYFUNCTION("""COMPUTED_VALUE"""),"")</f>
        <v/>
      </c>
      <c r="P93" s="62" t="str">
        <f>IFERROR(__xludf.DUMMYFUNCTION("""COMPUTED_VALUE"""),"")</f>
        <v/>
      </c>
      <c r="Q93" s="62"/>
      <c r="R93" s="62"/>
      <c r="S93" s="62"/>
    </row>
    <row r="94">
      <c r="A94" s="58">
        <v>45572.60619048611</v>
      </c>
      <c r="B94" s="52" t="s">
        <v>149</v>
      </c>
      <c r="C94" s="52" t="b">
        <v>0</v>
      </c>
      <c r="D94" s="52"/>
      <c r="E94" s="52"/>
      <c r="F94" s="52"/>
      <c r="G94" s="52"/>
      <c r="H94" s="52">
        <v>74.0</v>
      </c>
      <c r="I94" s="52"/>
      <c r="J94" s="52" t="s">
        <v>11</v>
      </c>
      <c r="K94" s="59">
        <v>45572.0</v>
      </c>
      <c r="L94" s="52" t="s">
        <v>129</v>
      </c>
      <c r="M94" s="52" t="s">
        <v>19</v>
      </c>
      <c r="N94" s="62" t="str">
        <f>IFERROR(__xludf.DUMMYFUNCTION("""COMPUTED_VALUE"""),"")</f>
        <v/>
      </c>
      <c r="O94" s="62" t="str">
        <f>IFERROR(__xludf.DUMMYFUNCTION("""COMPUTED_VALUE"""),"")</f>
        <v/>
      </c>
      <c r="P94" s="62" t="str">
        <f>IFERROR(__xludf.DUMMYFUNCTION("""COMPUTED_VALUE"""),"")</f>
        <v/>
      </c>
      <c r="Q94" s="62"/>
      <c r="R94" s="62"/>
      <c r="S94" s="62"/>
    </row>
    <row r="95">
      <c r="A95" s="58">
        <v>45572.64530560185</v>
      </c>
      <c r="B95" s="52" t="s">
        <v>148</v>
      </c>
      <c r="C95" s="52" t="b">
        <v>0</v>
      </c>
      <c r="D95" s="52"/>
      <c r="E95" s="52"/>
      <c r="F95" s="52"/>
      <c r="G95" s="52"/>
      <c r="H95" s="52">
        <v>129.0</v>
      </c>
      <c r="I95" s="52"/>
      <c r="J95" s="52" t="s">
        <v>11</v>
      </c>
      <c r="K95" s="59">
        <v>45572.0</v>
      </c>
      <c r="L95" s="52" t="s">
        <v>129</v>
      </c>
      <c r="M95" s="52" t="s">
        <v>18</v>
      </c>
      <c r="N95" s="62">
        <f>IFERROR(__xludf.DUMMYFUNCTION("""COMPUTED_VALUE"""),134.0)</f>
        <v>134</v>
      </c>
      <c r="O95" s="62">
        <f>IFERROR(__xludf.DUMMYFUNCTION("""COMPUTED_VALUE"""),260.0)</f>
        <v>260</v>
      </c>
      <c r="P95" s="62">
        <f>IFERROR(__xludf.DUMMYFUNCTION("""COMPUTED_VALUE"""),394.0)</f>
        <v>394</v>
      </c>
      <c r="Q95" s="62"/>
      <c r="R95" s="62"/>
      <c r="S95" s="62"/>
    </row>
    <row r="96">
      <c r="A96" s="58">
        <v>45573.41651083333</v>
      </c>
      <c r="B96" s="52" t="s">
        <v>153</v>
      </c>
      <c r="C96" s="52" t="b">
        <v>0</v>
      </c>
      <c r="D96" s="52"/>
      <c r="E96" s="52"/>
      <c r="F96" s="52"/>
      <c r="G96" s="52"/>
      <c r="H96" s="52">
        <v>66.0</v>
      </c>
      <c r="I96" s="52"/>
      <c r="J96" s="52" t="s">
        <v>10</v>
      </c>
      <c r="K96" s="59">
        <v>45573.0</v>
      </c>
      <c r="L96" s="52" t="s">
        <v>132</v>
      </c>
      <c r="M96" s="52" t="s">
        <v>19</v>
      </c>
      <c r="N96" s="62" t="str">
        <f>IFERROR(__xludf.DUMMYFUNCTION("""COMPUTED_VALUE"""),"")</f>
        <v/>
      </c>
      <c r="O96" s="62" t="str">
        <f>IFERROR(__xludf.DUMMYFUNCTION("""COMPUTED_VALUE"""),"")</f>
        <v/>
      </c>
      <c r="P96" s="62" t="str">
        <f>IFERROR(__xludf.DUMMYFUNCTION("""COMPUTED_VALUE"""),"")</f>
        <v/>
      </c>
      <c r="Q96" s="62"/>
      <c r="R96" s="62"/>
      <c r="S96" s="62"/>
    </row>
    <row r="97">
      <c r="A97" s="58">
        <v>45573.5609447338</v>
      </c>
      <c r="B97" s="52" t="s">
        <v>150</v>
      </c>
      <c r="C97" s="52" t="b">
        <v>0</v>
      </c>
      <c r="D97" s="52"/>
      <c r="E97" s="52"/>
      <c r="F97" s="52"/>
      <c r="G97" s="52"/>
      <c r="H97" s="52">
        <v>68.0</v>
      </c>
      <c r="I97" s="52"/>
      <c r="J97" s="52" t="s">
        <v>11</v>
      </c>
      <c r="K97" s="59">
        <v>45573.0</v>
      </c>
      <c r="L97" s="52" t="s">
        <v>132</v>
      </c>
      <c r="M97" s="52" t="s">
        <v>18</v>
      </c>
      <c r="N97" s="62" t="str">
        <f>IFERROR(__xludf.DUMMYFUNCTION("""COMPUTED_VALUE"""),"")</f>
        <v/>
      </c>
      <c r="O97" s="62" t="str">
        <f>IFERROR(__xludf.DUMMYFUNCTION("""COMPUTED_VALUE"""),"")</f>
        <v/>
      </c>
      <c r="P97" s="62" t="str">
        <f>IFERROR(__xludf.DUMMYFUNCTION("""COMPUTED_VALUE"""),"")</f>
        <v/>
      </c>
      <c r="Q97" s="62"/>
      <c r="R97" s="62"/>
      <c r="S97" s="62"/>
    </row>
    <row r="98">
      <c r="A98" s="58">
        <v>45573.62546179398</v>
      </c>
      <c r="B98" s="52" t="s">
        <v>139</v>
      </c>
      <c r="C98" s="52" t="b">
        <v>0</v>
      </c>
      <c r="D98" s="52"/>
      <c r="E98" s="52"/>
      <c r="F98" s="52"/>
      <c r="G98" s="52"/>
      <c r="H98" s="52">
        <v>92.0</v>
      </c>
      <c r="I98" s="52"/>
      <c r="J98" s="52" t="s">
        <v>11</v>
      </c>
      <c r="K98" s="59">
        <v>45573.0</v>
      </c>
      <c r="L98" s="52" t="s">
        <v>132</v>
      </c>
      <c r="M98" s="52" t="s">
        <v>19</v>
      </c>
      <c r="N98" s="62" t="str">
        <f>IFERROR(__xludf.DUMMYFUNCTION("""COMPUTED_VALUE"""),"")</f>
        <v/>
      </c>
      <c r="O98" s="62" t="str">
        <f>IFERROR(__xludf.DUMMYFUNCTION("""COMPUTED_VALUE"""),"")</f>
        <v/>
      </c>
      <c r="P98" s="62" t="str">
        <f>IFERROR(__xludf.DUMMYFUNCTION("""COMPUTED_VALUE"""),"")</f>
        <v/>
      </c>
      <c r="Q98" s="62"/>
      <c r="R98" s="62"/>
      <c r="S98" s="62"/>
    </row>
    <row r="99">
      <c r="A99" s="58">
        <v>45573.77034628472</v>
      </c>
      <c r="B99" s="52" t="s">
        <v>149</v>
      </c>
      <c r="C99" s="52" t="b">
        <v>0</v>
      </c>
      <c r="D99" s="52"/>
      <c r="E99" s="52"/>
      <c r="F99" s="52"/>
      <c r="G99" s="52"/>
      <c r="H99" s="52">
        <v>75.0</v>
      </c>
      <c r="I99" s="52"/>
      <c r="J99" s="52" t="s">
        <v>12</v>
      </c>
      <c r="K99" s="59">
        <v>45573.0</v>
      </c>
      <c r="L99" s="52" t="s">
        <v>132</v>
      </c>
      <c r="M99" s="52" t="s">
        <v>19</v>
      </c>
      <c r="N99" s="62" t="str">
        <f>IFERROR(__xludf.DUMMYFUNCTION("""COMPUTED_VALUE"""),"")</f>
        <v/>
      </c>
      <c r="O99" s="62" t="str">
        <f>IFERROR(__xludf.DUMMYFUNCTION("""COMPUTED_VALUE"""),"")</f>
        <v/>
      </c>
      <c r="P99" s="62" t="str">
        <f>IFERROR(__xludf.DUMMYFUNCTION("""COMPUTED_VALUE"""),"")</f>
        <v/>
      </c>
      <c r="Q99" s="62"/>
      <c r="R99" s="62"/>
      <c r="S99" s="62"/>
    </row>
    <row r="100">
      <c r="A100" s="58">
        <v>45573.87598920139</v>
      </c>
      <c r="B100" s="52" t="s">
        <v>149</v>
      </c>
      <c r="C100" s="52" t="b">
        <v>0</v>
      </c>
      <c r="D100" s="52"/>
      <c r="E100" s="52"/>
      <c r="F100" s="52"/>
      <c r="G100" s="52"/>
      <c r="H100" s="52">
        <v>88.0</v>
      </c>
      <c r="I100" s="52"/>
      <c r="J100" s="52" t="s">
        <v>12</v>
      </c>
      <c r="K100" s="59">
        <v>45573.0</v>
      </c>
      <c r="L100" s="52" t="s">
        <v>132</v>
      </c>
      <c r="M100" s="52" t="s">
        <v>19</v>
      </c>
      <c r="N100" s="62">
        <f>IFERROR(__xludf.DUMMYFUNCTION("""COMPUTED_VALUE"""),68.0)</f>
        <v>68</v>
      </c>
      <c r="O100" s="62">
        <f>IFERROR(__xludf.DUMMYFUNCTION("""COMPUTED_VALUE"""),321.0)</f>
        <v>321</v>
      </c>
      <c r="P100" s="62">
        <f>IFERROR(__xludf.DUMMYFUNCTION("""COMPUTED_VALUE"""),389.0)</f>
        <v>389</v>
      </c>
      <c r="Q100" s="62"/>
      <c r="R100" s="62"/>
      <c r="S100" s="62"/>
    </row>
    <row r="101">
      <c r="A101" s="58">
        <v>45574.43019420139</v>
      </c>
      <c r="B101" s="52" t="s">
        <v>136</v>
      </c>
      <c r="C101" s="52" t="b">
        <v>0</v>
      </c>
      <c r="D101" s="52"/>
      <c r="E101" s="52"/>
      <c r="F101" s="52"/>
      <c r="G101" s="52"/>
      <c r="H101" s="52">
        <v>71.0</v>
      </c>
      <c r="I101" s="52"/>
      <c r="J101" s="52" t="s">
        <v>10</v>
      </c>
      <c r="K101" s="59">
        <v>45574.0</v>
      </c>
      <c r="L101" s="52" t="s">
        <v>135</v>
      </c>
      <c r="M101" s="52" t="s">
        <v>19</v>
      </c>
      <c r="N101" s="62" t="str">
        <f>IFERROR(__xludf.DUMMYFUNCTION("""COMPUTED_VALUE"""),"")</f>
        <v/>
      </c>
      <c r="O101" s="62" t="str">
        <f>IFERROR(__xludf.DUMMYFUNCTION("""COMPUTED_VALUE"""),"")</f>
        <v/>
      </c>
      <c r="P101" s="62" t="str">
        <f>IFERROR(__xludf.DUMMYFUNCTION("""COMPUTED_VALUE"""),"")</f>
        <v/>
      </c>
      <c r="Q101" s="62"/>
      <c r="R101" s="62"/>
      <c r="S101" s="62"/>
    </row>
    <row r="102">
      <c r="A102" s="58">
        <v>45574.60536373842</v>
      </c>
      <c r="B102" s="52" t="s">
        <v>148</v>
      </c>
      <c r="C102" s="52" t="b">
        <v>0</v>
      </c>
      <c r="D102" s="52"/>
      <c r="E102" s="52"/>
      <c r="F102" s="52"/>
      <c r="G102" s="52"/>
      <c r="H102" s="52">
        <v>129.0</v>
      </c>
      <c r="I102" s="52"/>
      <c r="J102" s="52" t="s">
        <v>11</v>
      </c>
      <c r="K102" s="59">
        <v>45574.0</v>
      </c>
      <c r="L102" s="52" t="s">
        <v>135</v>
      </c>
      <c r="M102" s="52" t="s">
        <v>18</v>
      </c>
      <c r="N102" s="62" t="str">
        <f>IFERROR(__xludf.DUMMYFUNCTION("""COMPUTED_VALUE"""),"")</f>
        <v/>
      </c>
      <c r="O102" s="62" t="str">
        <f>IFERROR(__xludf.DUMMYFUNCTION("""COMPUTED_VALUE"""),"")</f>
        <v/>
      </c>
      <c r="P102" s="62" t="str">
        <f>IFERROR(__xludf.DUMMYFUNCTION("""COMPUTED_VALUE"""),"")</f>
        <v/>
      </c>
      <c r="Q102" s="62"/>
      <c r="R102" s="62"/>
      <c r="S102" s="62"/>
    </row>
    <row r="103">
      <c r="A103" s="58">
        <v>45574.62770040509</v>
      </c>
      <c r="B103" s="52" t="s">
        <v>149</v>
      </c>
      <c r="C103" s="52" t="b">
        <v>0</v>
      </c>
      <c r="D103" s="52"/>
      <c r="E103" s="52"/>
      <c r="F103" s="52"/>
      <c r="G103" s="52"/>
      <c r="H103" s="52">
        <v>118.0</v>
      </c>
      <c r="I103" s="52"/>
      <c r="J103" s="52" t="s">
        <v>11</v>
      </c>
      <c r="K103" s="59">
        <v>45574.0</v>
      </c>
      <c r="L103" s="52" t="s">
        <v>135</v>
      </c>
      <c r="M103" s="52" t="s">
        <v>19</v>
      </c>
      <c r="N103" s="62" t="str">
        <f>IFERROR(__xludf.DUMMYFUNCTION("""COMPUTED_VALUE"""),"")</f>
        <v/>
      </c>
      <c r="O103" s="62" t="str">
        <f>IFERROR(__xludf.DUMMYFUNCTION("""COMPUTED_VALUE"""),"")</f>
        <v/>
      </c>
      <c r="P103" s="62" t="str">
        <f>IFERROR(__xludf.DUMMYFUNCTION("""COMPUTED_VALUE"""),"")</f>
        <v/>
      </c>
      <c r="Q103" s="62"/>
      <c r="R103" s="62"/>
      <c r="S103" s="62"/>
    </row>
    <row r="104">
      <c r="A104" s="58">
        <v>45574.64550340277</v>
      </c>
      <c r="B104" s="52" t="s">
        <v>148</v>
      </c>
      <c r="C104" s="52" t="b">
        <v>0</v>
      </c>
      <c r="D104" s="52"/>
      <c r="E104" s="52"/>
      <c r="F104" s="52"/>
      <c r="G104" s="52"/>
      <c r="H104" s="52">
        <v>42.0</v>
      </c>
      <c r="I104" s="52"/>
      <c r="J104" s="52" t="s">
        <v>11</v>
      </c>
      <c r="K104" s="59">
        <v>45574.0</v>
      </c>
      <c r="L104" s="52" t="s">
        <v>135</v>
      </c>
      <c r="M104" s="52" t="s">
        <v>18</v>
      </c>
      <c r="N104" s="62" t="str">
        <f>IFERROR(__xludf.DUMMYFUNCTION("""COMPUTED_VALUE"""),"")</f>
        <v/>
      </c>
      <c r="O104" s="62" t="str">
        <f>IFERROR(__xludf.DUMMYFUNCTION("""COMPUTED_VALUE"""),"")</f>
        <v/>
      </c>
      <c r="P104" s="62" t="str">
        <f>IFERROR(__xludf.DUMMYFUNCTION("""COMPUTED_VALUE"""),"")</f>
        <v/>
      </c>
      <c r="Q104" s="62"/>
      <c r="R104" s="62"/>
      <c r="S104" s="62"/>
    </row>
    <row r="105">
      <c r="A105" s="58">
        <v>45574.78790100694</v>
      </c>
      <c r="B105" s="52" t="s">
        <v>150</v>
      </c>
      <c r="C105" s="52" t="b">
        <v>0</v>
      </c>
      <c r="D105" s="52"/>
      <c r="E105" s="52"/>
      <c r="F105" s="52"/>
      <c r="G105" s="52"/>
      <c r="H105" s="52">
        <v>32.0</v>
      </c>
      <c r="I105" s="52"/>
      <c r="J105" s="52" t="s">
        <v>12</v>
      </c>
      <c r="K105" s="59">
        <v>45574.0</v>
      </c>
      <c r="L105" s="52" t="s">
        <v>135</v>
      </c>
      <c r="M105" s="52" t="s">
        <v>19</v>
      </c>
      <c r="N105" s="62" t="str">
        <f>IFERROR(__xludf.DUMMYFUNCTION("""COMPUTED_VALUE"""),"")</f>
        <v/>
      </c>
      <c r="O105" s="62" t="str">
        <f>IFERROR(__xludf.DUMMYFUNCTION("""COMPUTED_VALUE"""),"")</f>
        <v/>
      </c>
      <c r="P105" s="62" t="str">
        <f>IFERROR(__xludf.DUMMYFUNCTION("""COMPUTED_VALUE"""),"")</f>
        <v/>
      </c>
      <c r="Q105" s="62"/>
      <c r="R105" s="62"/>
      <c r="S105" s="62"/>
    </row>
    <row r="106">
      <c r="A106" s="58">
        <v>45575.40993663194</v>
      </c>
      <c r="B106" s="52" t="s">
        <v>151</v>
      </c>
      <c r="C106" s="52" t="b">
        <v>0</v>
      </c>
      <c r="D106" s="52"/>
      <c r="E106" s="52"/>
      <c r="F106" s="52"/>
      <c r="G106" s="52"/>
      <c r="H106" s="52">
        <v>34.0</v>
      </c>
      <c r="I106" s="52"/>
      <c r="J106" s="52" t="s">
        <v>12</v>
      </c>
      <c r="K106" s="59">
        <v>45574.0</v>
      </c>
      <c r="L106" s="52" t="s">
        <v>135</v>
      </c>
      <c r="M106" s="52" t="s">
        <v>19</v>
      </c>
      <c r="N106" s="62">
        <f>IFERROR(__xludf.DUMMYFUNCTION("""COMPUTED_VALUE"""),171.0)</f>
        <v>171</v>
      </c>
      <c r="O106" s="62">
        <f>IFERROR(__xludf.DUMMYFUNCTION("""COMPUTED_VALUE"""),255.0)</f>
        <v>255</v>
      </c>
      <c r="P106" s="62">
        <f>IFERROR(__xludf.DUMMYFUNCTION("""COMPUTED_VALUE"""),426.0)</f>
        <v>426</v>
      </c>
      <c r="Q106" s="62"/>
      <c r="R106" s="62"/>
      <c r="S106" s="62"/>
    </row>
    <row r="107">
      <c r="A107" s="58">
        <v>45575.56033302083</v>
      </c>
      <c r="B107" s="52" t="s">
        <v>150</v>
      </c>
      <c r="C107" s="52" t="b">
        <v>0</v>
      </c>
      <c r="D107" s="52"/>
      <c r="E107" s="52"/>
      <c r="F107" s="52"/>
      <c r="G107" s="52"/>
      <c r="H107" s="52">
        <v>64.0</v>
      </c>
      <c r="I107" s="52"/>
      <c r="J107" s="52" t="s">
        <v>11</v>
      </c>
      <c r="K107" s="59">
        <v>45575.0</v>
      </c>
      <c r="L107" s="52" t="s">
        <v>137</v>
      </c>
      <c r="M107" s="52" t="s">
        <v>18</v>
      </c>
      <c r="N107" s="62" t="str">
        <f>IFERROR(__xludf.DUMMYFUNCTION("""COMPUTED_VALUE"""),"")</f>
        <v/>
      </c>
      <c r="O107" s="62" t="str">
        <f>IFERROR(__xludf.DUMMYFUNCTION("""COMPUTED_VALUE"""),"")</f>
        <v/>
      </c>
      <c r="P107" s="62" t="str">
        <f>IFERROR(__xludf.DUMMYFUNCTION("""COMPUTED_VALUE"""),"")</f>
        <v/>
      </c>
      <c r="Q107" s="62"/>
      <c r="R107" s="62"/>
      <c r="S107" s="62"/>
    </row>
    <row r="108">
      <c r="A108" s="58">
        <v>45575.63030975695</v>
      </c>
      <c r="B108" s="52" t="s">
        <v>149</v>
      </c>
      <c r="C108" s="52" t="b">
        <v>0</v>
      </c>
      <c r="D108" s="52"/>
      <c r="E108" s="52"/>
      <c r="F108" s="52"/>
      <c r="G108" s="52"/>
      <c r="H108" s="52">
        <v>175.0</v>
      </c>
      <c r="I108" s="52"/>
      <c r="J108" s="52" t="s">
        <v>11</v>
      </c>
      <c r="K108" s="59">
        <v>45575.0</v>
      </c>
      <c r="L108" s="52" t="s">
        <v>137</v>
      </c>
      <c r="M108" s="52" t="s">
        <v>19</v>
      </c>
      <c r="N108" s="62" t="str">
        <f>IFERROR(__xludf.DUMMYFUNCTION("""COMPUTED_VALUE"""),"")</f>
        <v/>
      </c>
      <c r="O108" s="62" t="str">
        <f>IFERROR(__xludf.DUMMYFUNCTION("""COMPUTED_VALUE"""),"")</f>
        <v/>
      </c>
      <c r="P108" s="62" t="str">
        <f>IFERROR(__xludf.DUMMYFUNCTION("""COMPUTED_VALUE"""),"")</f>
        <v/>
      </c>
      <c r="Q108" s="62"/>
      <c r="R108" s="62"/>
      <c r="S108" s="62"/>
    </row>
    <row r="109">
      <c r="A109" s="58">
        <v>45575.73468678241</v>
      </c>
      <c r="B109" s="52" t="s">
        <v>153</v>
      </c>
      <c r="C109" s="52" t="b">
        <v>0</v>
      </c>
      <c r="D109" s="52"/>
      <c r="E109" s="52"/>
      <c r="F109" s="52"/>
      <c r="G109" s="52"/>
      <c r="H109" s="52">
        <v>71.0</v>
      </c>
      <c r="I109" s="52"/>
      <c r="J109" s="52" t="s">
        <v>10</v>
      </c>
      <c r="K109" s="59">
        <v>45575.0</v>
      </c>
      <c r="L109" s="52" t="s">
        <v>137</v>
      </c>
      <c r="M109" s="52" t="s">
        <v>19</v>
      </c>
      <c r="N109" s="62" t="str">
        <f>IFERROR(__xludf.DUMMYFUNCTION("""COMPUTED_VALUE"""),"")</f>
        <v/>
      </c>
      <c r="O109" s="62" t="str">
        <f>IFERROR(__xludf.DUMMYFUNCTION("""COMPUTED_VALUE"""),"")</f>
        <v/>
      </c>
      <c r="P109" s="62" t="str">
        <f>IFERROR(__xludf.DUMMYFUNCTION("""COMPUTED_VALUE"""),"")</f>
        <v/>
      </c>
      <c r="Q109" s="62"/>
      <c r="R109" s="62"/>
      <c r="S109" s="62"/>
    </row>
    <row r="110">
      <c r="A110" s="58">
        <v>45575.86891693287</v>
      </c>
      <c r="B110" s="52" t="s">
        <v>148</v>
      </c>
      <c r="C110" s="52" t="b">
        <v>0</v>
      </c>
      <c r="D110" s="52"/>
      <c r="E110" s="52"/>
      <c r="F110" s="52"/>
      <c r="G110" s="52"/>
      <c r="H110" s="52">
        <v>189.0</v>
      </c>
      <c r="I110" s="52"/>
      <c r="J110" s="52" t="s">
        <v>12</v>
      </c>
      <c r="K110" s="59">
        <v>45575.0</v>
      </c>
      <c r="L110" s="52" t="s">
        <v>137</v>
      </c>
      <c r="M110" s="52" t="s">
        <v>19</v>
      </c>
      <c r="N110" s="62">
        <f>IFERROR(__xludf.DUMMYFUNCTION("""COMPUTED_VALUE"""),64.0)</f>
        <v>64</v>
      </c>
      <c r="O110" s="62">
        <f>IFERROR(__xludf.DUMMYFUNCTION("""COMPUTED_VALUE"""),435.0)</f>
        <v>435</v>
      </c>
      <c r="P110" s="62">
        <f>IFERROR(__xludf.DUMMYFUNCTION("""COMPUTED_VALUE"""),499.0)</f>
        <v>499</v>
      </c>
      <c r="Q110" s="62"/>
      <c r="R110" s="62"/>
      <c r="S110" s="62"/>
    </row>
    <row r="111">
      <c r="A111" s="58">
        <v>45576.37869171296</v>
      </c>
      <c r="B111" s="52" t="s">
        <v>136</v>
      </c>
      <c r="C111" s="52" t="b">
        <v>0</v>
      </c>
      <c r="D111" s="52"/>
      <c r="E111" s="52"/>
      <c r="F111" s="52"/>
      <c r="G111" s="52"/>
      <c r="H111" s="52">
        <v>51.0</v>
      </c>
      <c r="I111" s="52"/>
      <c r="J111" s="52" t="s">
        <v>10</v>
      </c>
      <c r="K111" s="59">
        <v>45576.0</v>
      </c>
      <c r="L111" s="52" t="s">
        <v>138</v>
      </c>
      <c r="M111" s="52" t="s">
        <v>19</v>
      </c>
      <c r="N111" s="62" t="str">
        <f>IFERROR(__xludf.DUMMYFUNCTION("""COMPUTED_VALUE"""),"")</f>
        <v/>
      </c>
      <c r="O111" s="62" t="str">
        <f>IFERROR(__xludf.DUMMYFUNCTION("""COMPUTED_VALUE"""),"")</f>
        <v/>
      </c>
      <c r="P111" s="62" t="str">
        <f>IFERROR(__xludf.DUMMYFUNCTION("""COMPUTED_VALUE"""),"")</f>
        <v/>
      </c>
      <c r="Q111" s="62"/>
      <c r="R111" s="62"/>
      <c r="S111" s="62"/>
    </row>
    <row r="112">
      <c r="A112" s="58">
        <v>45576.66118814815</v>
      </c>
      <c r="B112" s="52" t="s">
        <v>130</v>
      </c>
      <c r="C112" s="52" t="b">
        <v>0</v>
      </c>
      <c r="D112" s="52"/>
      <c r="E112" s="52"/>
      <c r="F112" s="52"/>
      <c r="G112" s="52"/>
      <c r="H112" s="52">
        <v>124.0</v>
      </c>
      <c r="I112" s="52"/>
      <c r="J112" s="52" t="s">
        <v>11</v>
      </c>
      <c r="K112" s="59">
        <v>45576.0</v>
      </c>
      <c r="L112" s="52" t="s">
        <v>138</v>
      </c>
      <c r="M112" s="52" t="s">
        <v>18</v>
      </c>
      <c r="N112" s="62" t="str">
        <f>IFERROR(__xludf.DUMMYFUNCTION("""COMPUTED_VALUE"""),"")</f>
        <v/>
      </c>
      <c r="O112" s="62" t="str">
        <f>IFERROR(__xludf.DUMMYFUNCTION("""COMPUTED_VALUE"""),"")</f>
        <v/>
      </c>
      <c r="P112" s="62" t="str">
        <f>IFERROR(__xludf.DUMMYFUNCTION("""COMPUTED_VALUE"""),"")</f>
        <v/>
      </c>
      <c r="Q112" s="62"/>
      <c r="R112" s="62"/>
      <c r="S112" s="62"/>
    </row>
    <row r="113">
      <c r="A113" s="58">
        <v>45576.82828991898</v>
      </c>
      <c r="B113" s="52" t="s">
        <v>148</v>
      </c>
      <c r="C113" s="52" t="b">
        <v>0</v>
      </c>
      <c r="D113" s="52"/>
      <c r="E113" s="52"/>
      <c r="F113" s="52"/>
      <c r="G113" s="52"/>
      <c r="H113" s="52">
        <v>209.0</v>
      </c>
      <c r="I113" s="52"/>
      <c r="J113" s="52" t="s">
        <v>12</v>
      </c>
      <c r="K113" s="59">
        <v>45576.0</v>
      </c>
      <c r="L113" s="52" t="s">
        <v>138</v>
      </c>
      <c r="M113" s="52" t="s">
        <v>18</v>
      </c>
      <c r="N113" s="62" t="str">
        <f>IFERROR(__xludf.DUMMYFUNCTION("""COMPUTED_VALUE"""),"")</f>
        <v/>
      </c>
      <c r="O113" s="62" t="str">
        <f>IFERROR(__xludf.DUMMYFUNCTION("""COMPUTED_VALUE"""),"")</f>
        <v/>
      </c>
      <c r="P113" s="62" t="str">
        <f>IFERROR(__xludf.DUMMYFUNCTION("""COMPUTED_VALUE"""),"")</f>
        <v/>
      </c>
      <c r="Q113" s="62"/>
      <c r="R113" s="62"/>
      <c r="S113" s="62"/>
    </row>
    <row r="114">
      <c r="A114" s="58">
        <v>45577.02585524305</v>
      </c>
      <c r="B114" s="52" t="s">
        <v>151</v>
      </c>
      <c r="C114" s="52" t="b">
        <v>0</v>
      </c>
      <c r="D114" s="52"/>
      <c r="E114" s="52"/>
      <c r="F114" s="52"/>
      <c r="G114" s="52"/>
      <c r="H114" s="52">
        <v>154.0</v>
      </c>
      <c r="I114" s="52"/>
      <c r="J114" s="52" t="s">
        <v>13</v>
      </c>
      <c r="K114" s="59">
        <v>45576.0</v>
      </c>
      <c r="L114" s="52" t="s">
        <v>138</v>
      </c>
      <c r="M114" s="52" t="s">
        <v>19</v>
      </c>
      <c r="N114" s="62">
        <f>IFERROR(__xludf.DUMMYFUNCTION("""COMPUTED_VALUE"""),333.0)</f>
        <v>333</v>
      </c>
      <c r="O114" s="62">
        <f>IFERROR(__xludf.DUMMYFUNCTION("""COMPUTED_VALUE"""),205.0)</f>
        <v>205</v>
      </c>
      <c r="P114" s="62">
        <f>IFERROR(__xludf.DUMMYFUNCTION("""COMPUTED_VALUE"""),538.0)</f>
        <v>538</v>
      </c>
      <c r="Q114" s="62"/>
      <c r="R114" s="62"/>
      <c r="S114" s="62"/>
    </row>
    <row r="115">
      <c r="A115" s="58">
        <v>45580.56154688657</v>
      </c>
      <c r="B115" s="52" t="s">
        <v>150</v>
      </c>
      <c r="C115" s="52" t="b">
        <v>0</v>
      </c>
      <c r="D115" s="52"/>
      <c r="E115" s="52"/>
      <c r="F115" s="52"/>
      <c r="G115" s="52"/>
      <c r="H115" s="52">
        <v>67.0</v>
      </c>
      <c r="I115" s="52"/>
      <c r="J115" s="52" t="s">
        <v>11</v>
      </c>
      <c r="K115" s="59">
        <v>45580.0</v>
      </c>
      <c r="L115" s="52" t="s">
        <v>132</v>
      </c>
      <c r="M115" s="52" t="s">
        <v>18</v>
      </c>
      <c r="N115" s="62" t="str">
        <f>IFERROR(__xludf.DUMMYFUNCTION("""COMPUTED_VALUE"""),"")</f>
        <v/>
      </c>
      <c r="O115" s="62" t="str">
        <f>IFERROR(__xludf.DUMMYFUNCTION("""COMPUTED_VALUE"""),"")</f>
        <v/>
      </c>
      <c r="P115" s="62" t="str">
        <f>IFERROR(__xludf.DUMMYFUNCTION("""COMPUTED_VALUE"""),"")</f>
        <v/>
      </c>
      <c r="Q115" s="62"/>
      <c r="R115" s="62"/>
      <c r="S115" s="62"/>
    </row>
    <row r="116">
      <c r="A116" s="58">
        <v>45580.87227395833</v>
      </c>
      <c r="B116" s="52" t="s">
        <v>149</v>
      </c>
      <c r="C116" s="52" t="b">
        <v>0</v>
      </c>
      <c r="D116" s="52"/>
      <c r="E116" s="52"/>
      <c r="F116" s="52"/>
      <c r="G116" s="52"/>
      <c r="H116" s="52">
        <v>153.0</v>
      </c>
      <c r="I116" s="52"/>
      <c r="J116" s="52" t="s">
        <v>12</v>
      </c>
      <c r="K116" s="59">
        <v>45580.0</v>
      </c>
      <c r="L116" s="52" t="s">
        <v>132</v>
      </c>
      <c r="M116" s="52" t="s">
        <v>19</v>
      </c>
      <c r="N116" s="62">
        <f>IFERROR(__xludf.DUMMYFUNCTION("""COMPUTED_VALUE"""),67.0)</f>
        <v>67</v>
      </c>
      <c r="O116" s="62">
        <f>IFERROR(__xludf.DUMMYFUNCTION("""COMPUTED_VALUE"""),153.0)</f>
        <v>153</v>
      </c>
      <c r="P116" s="62">
        <f>IFERROR(__xludf.DUMMYFUNCTION("""COMPUTED_VALUE"""),220.0)</f>
        <v>220</v>
      </c>
      <c r="Q116" s="62"/>
      <c r="R116" s="62"/>
      <c r="S116" s="62"/>
    </row>
    <row r="117">
      <c r="A117" s="58">
        <v>45581.42144028935</v>
      </c>
      <c r="B117" s="52" t="s">
        <v>136</v>
      </c>
      <c r="C117" s="52" t="b">
        <v>0</v>
      </c>
      <c r="D117" s="52"/>
      <c r="E117" s="52"/>
      <c r="F117" s="52"/>
      <c r="G117" s="52"/>
      <c r="H117" s="52">
        <v>68.0</v>
      </c>
      <c r="I117" s="52"/>
      <c r="J117" s="52" t="s">
        <v>10</v>
      </c>
      <c r="K117" s="59">
        <v>45581.0</v>
      </c>
      <c r="L117" s="52" t="s">
        <v>135</v>
      </c>
      <c r="M117" s="52" t="s">
        <v>19</v>
      </c>
      <c r="N117" s="62" t="str">
        <f>IFERROR(__xludf.DUMMYFUNCTION("""COMPUTED_VALUE"""),"")</f>
        <v/>
      </c>
      <c r="O117" s="62" t="str">
        <f>IFERROR(__xludf.DUMMYFUNCTION("""COMPUTED_VALUE"""),"")</f>
        <v/>
      </c>
      <c r="P117" s="62" t="str">
        <f>IFERROR(__xludf.DUMMYFUNCTION("""COMPUTED_VALUE"""),"")</f>
        <v/>
      </c>
      <c r="Q117" s="62"/>
      <c r="R117" s="62"/>
      <c r="S117" s="62"/>
    </row>
    <row r="118">
      <c r="A118" s="58">
        <v>45581.51606572916</v>
      </c>
      <c r="B118" s="52" t="s">
        <v>130</v>
      </c>
      <c r="C118" s="52" t="b">
        <v>0</v>
      </c>
      <c r="D118" s="52"/>
      <c r="E118" s="52"/>
      <c r="F118" s="52"/>
      <c r="G118" s="52"/>
      <c r="H118" s="52">
        <v>6.0</v>
      </c>
      <c r="I118" s="52"/>
      <c r="J118" s="52" t="s">
        <v>11</v>
      </c>
      <c r="K118" s="59">
        <v>45581.0</v>
      </c>
      <c r="L118" s="52" t="s">
        <v>135</v>
      </c>
      <c r="M118" s="52" t="s">
        <v>18</v>
      </c>
      <c r="N118" s="62" t="str">
        <f>IFERROR(__xludf.DUMMYFUNCTION("""COMPUTED_VALUE"""),"")</f>
        <v/>
      </c>
      <c r="O118" s="62" t="str">
        <f>IFERROR(__xludf.DUMMYFUNCTION("""COMPUTED_VALUE"""),"")</f>
        <v/>
      </c>
      <c r="P118" s="62" t="str">
        <f>IFERROR(__xludf.DUMMYFUNCTION("""COMPUTED_VALUE"""),"")</f>
        <v/>
      </c>
      <c r="Q118" s="62"/>
      <c r="R118" s="62"/>
      <c r="S118" s="62"/>
    </row>
    <row r="119">
      <c r="A119" s="58">
        <v>45581.62229527778</v>
      </c>
      <c r="B119" s="52" t="s">
        <v>148</v>
      </c>
      <c r="C119" s="52" t="b">
        <v>0</v>
      </c>
      <c r="D119" s="52"/>
      <c r="E119" s="52"/>
      <c r="F119" s="52"/>
      <c r="G119" s="52"/>
      <c r="H119" s="52">
        <v>157.0</v>
      </c>
      <c r="I119" s="52"/>
      <c r="J119" s="52" t="s">
        <v>11</v>
      </c>
      <c r="K119" s="59">
        <v>45581.0</v>
      </c>
      <c r="L119" s="52" t="s">
        <v>135</v>
      </c>
      <c r="M119" s="52" t="s">
        <v>18</v>
      </c>
      <c r="N119" s="62" t="str">
        <f>IFERROR(__xludf.DUMMYFUNCTION("""COMPUTED_VALUE"""),"")</f>
        <v/>
      </c>
      <c r="O119" s="62" t="str">
        <f>IFERROR(__xludf.DUMMYFUNCTION("""COMPUTED_VALUE"""),"")</f>
        <v/>
      </c>
      <c r="P119" s="62" t="str">
        <f>IFERROR(__xludf.DUMMYFUNCTION("""COMPUTED_VALUE"""),"")</f>
        <v/>
      </c>
      <c r="Q119" s="62"/>
      <c r="R119" s="62"/>
      <c r="S119" s="62"/>
    </row>
    <row r="120">
      <c r="A120" s="58">
        <v>45581.63263575231</v>
      </c>
      <c r="B120" s="52" t="s">
        <v>149</v>
      </c>
      <c r="C120" s="52" t="b">
        <v>0</v>
      </c>
      <c r="D120" s="52"/>
      <c r="E120" s="52"/>
      <c r="F120" s="52"/>
      <c r="G120" s="52"/>
      <c r="H120" s="52">
        <v>189.0</v>
      </c>
      <c r="I120" s="52"/>
      <c r="J120" s="52" t="s">
        <v>11</v>
      </c>
      <c r="K120" s="59">
        <v>45581.0</v>
      </c>
      <c r="L120" s="52" t="s">
        <v>135</v>
      </c>
      <c r="M120" s="52" t="s">
        <v>19</v>
      </c>
      <c r="N120" s="62" t="str">
        <f>IFERROR(__xludf.DUMMYFUNCTION("""COMPUTED_VALUE"""),"")</f>
        <v/>
      </c>
      <c r="O120" s="62" t="str">
        <f>IFERROR(__xludf.DUMMYFUNCTION("""COMPUTED_VALUE"""),"")</f>
        <v/>
      </c>
      <c r="P120" s="62" t="str">
        <f>IFERROR(__xludf.DUMMYFUNCTION("""COMPUTED_VALUE"""),"")</f>
        <v/>
      </c>
      <c r="Q120" s="62"/>
      <c r="R120" s="62"/>
      <c r="S120" s="62"/>
    </row>
    <row r="121">
      <c r="A121" s="58">
        <v>45581.64571645833</v>
      </c>
      <c r="B121" s="52" t="s">
        <v>148</v>
      </c>
      <c r="C121" s="52" t="b">
        <v>0</v>
      </c>
      <c r="D121" s="52"/>
      <c r="E121" s="52"/>
      <c r="F121" s="52"/>
      <c r="G121" s="52"/>
      <c r="H121" s="52">
        <v>14.0</v>
      </c>
      <c r="I121" s="52"/>
      <c r="J121" s="52" t="s">
        <v>11</v>
      </c>
      <c r="K121" s="59">
        <v>45581.0</v>
      </c>
      <c r="L121" s="52" t="s">
        <v>135</v>
      </c>
      <c r="M121" s="52" t="s">
        <v>18</v>
      </c>
      <c r="N121" s="62" t="str">
        <f>IFERROR(__xludf.DUMMYFUNCTION("""COMPUTED_VALUE"""),"")</f>
        <v/>
      </c>
      <c r="O121" s="62" t="str">
        <f>IFERROR(__xludf.DUMMYFUNCTION("""COMPUTED_VALUE"""),"")</f>
        <v/>
      </c>
      <c r="P121" s="62" t="str">
        <f>IFERROR(__xludf.DUMMYFUNCTION("""COMPUTED_VALUE"""),"")</f>
        <v/>
      </c>
      <c r="Q121" s="62"/>
      <c r="R121" s="62"/>
      <c r="S121" s="62"/>
    </row>
    <row r="122">
      <c r="A122" s="58">
        <v>45581.87334041666</v>
      </c>
      <c r="B122" s="52" t="s">
        <v>149</v>
      </c>
      <c r="C122" s="52" t="b">
        <v>0</v>
      </c>
      <c r="D122" s="52"/>
      <c r="E122" s="52"/>
      <c r="F122" s="52"/>
      <c r="G122" s="52"/>
      <c r="H122" s="52">
        <v>188.0</v>
      </c>
      <c r="I122" s="52"/>
      <c r="J122" s="52" t="s">
        <v>12</v>
      </c>
      <c r="K122" s="59">
        <v>45581.0</v>
      </c>
      <c r="L122" s="52" t="s">
        <v>135</v>
      </c>
      <c r="M122" s="52" t="s">
        <v>18</v>
      </c>
      <c r="N122" s="62" t="str">
        <f>IFERROR(__xludf.DUMMYFUNCTION("""COMPUTED_VALUE"""),"")</f>
        <v/>
      </c>
      <c r="O122" s="62" t="str">
        <f>IFERROR(__xludf.DUMMYFUNCTION("""COMPUTED_VALUE"""),"")</f>
        <v/>
      </c>
      <c r="P122" s="62" t="str">
        <f>IFERROR(__xludf.DUMMYFUNCTION("""COMPUTED_VALUE"""),"")</f>
        <v/>
      </c>
      <c r="Q122" s="62"/>
      <c r="R122" s="62"/>
      <c r="S122" s="62"/>
    </row>
    <row r="123">
      <c r="A123" s="58">
        <v>45581.88636515047</v>
      </c>
      <c r="B123" s="52" t="s">
        <v>151</v>
      </c>
      <c r="C123" s="52" t="b">
        <v>0</v>
      </c>
      <c r="D123" s="52"/>
      <c r="E123" s="52"/>
      <c r="F123" s="52"/>
      <c r="G123" s="52"/>
      <c r="H123" s="52">
        <v>61.0</v>
      </c>
      <c r="I123" s="52"/>
      <c r="J123" s="52" t="s">
        <v>12</v>
      </c>
      <c r="K123" s="59">
        <v>45581.0</v>
      </c>
      <c r="L123" s="52" t="s">
        <v>135</v>
      </c>
      <c r="M123" s="52" t="s">
        <v>19</v>
      </c>
      <c r="N123" s="62">
        <f>IFERROR(__xludf.DUMMYFUNCTION("""COMPUTED_VALUE"""),365.0)</f>
        <v>365</v>
      </c>
      <c r="O123" s="62">
        <f>IFERROR(__xludf.DUMMYFUNCTION("""COMPUTED_VALUE"""),318.0)</f>
        <v>318</v>
      </c>
      <c r="P123" s="62">
        <f>IFERROR(__xludf.DUMMYFUNCTION("""COMPUTED_VALUE"""),683.0)</f>
        <v>683</v>
      </c>
      <c r="Q123" s="62"/>
      <c r="R123" s="62"/>
      <c r="S123" s="62"/>
    </row>
    <row r="124">
      <c r="A124" s="58">
        <v>45582.55943424768</v>
      </c>
      <c r="B124" s="52" t="s">
        <v>150</v>
      </c>
      <c r="C124" s="52" t="b">
        <v>0</v>
      </c>
      <c r="D124" s="52"/>
      <c r="E124" s="52"/>
      <c r="F124" s="52"/>
      <c r="G124" s="52"/>
      <c r="H124" s="52">
        <v>63.0</v>
      </c>
      <c r="I124" s="52"/>
      <c r="J124" s="52" t="s">
        <v>11</v>
      </c>
      <c r="K124" s="59">
        <v>45582.0</v>
      </c>
      <c r="L124" s="52" t="s">
        <v>137</v>
      </c>
      <c r="M124" s="52" t="s">
        <v>18</v>
      </c>
      <c r="N124" s="62" t="str">
        <f>IFERROR(__xludf.DUMMYFUNCTION("""COMPUTED_VALUE"""),"")</f>
        <v/>
      </c>
      <c r="O124" s="62" t="str">
        <f>IFERROR(__xludf.DUMMYFUNCTION("""COMPUTED_VALUE"""),"")</f>
        <v/>
      </c>
      <c r="P124" s="62" t="str">
        <f>IFERROR(__xludf.DUMMYFUNCTION("""COMPUTED_VALUE"""),"")</f>
        <v/>
      </c>
      <c r="Q124" s="62"/>
      <c r="R124" s="62"/>
      <c r="S124" s="62"/>
    </row>
    <row r="125">
      <c r="A125" s="58">
        <v>45582.62343334491</v>
      </c>
      <c r="B125" s="52" t="s">
        <v>149</v>
      </c>
      <c r="C125" s="52" t="b">
        <v>0</v>
      </c>
      <c r="D125" s="52"/>
      <c r="E125" s="52"/>
      <c r="F125" s="52"/>
      <c r="G125" s="52"/>
      <c r="H125" s="52">
        <v>151.0</v>
      </c>
      <c r="I125" s="52"/>
      <c r="J125" s="52" t="s">
        <v>11</v>
      </c>
      <c r="K125" s="59">
        <v>45582.0</v>
      </c>
      <c r="L125" s="52" t="s">
        <v>137</v>
      </c>
      <c r="M125" s="52" t="s">
        <v>19</v>
      </c>
      <c r="N125" s="62" t="str">
        <f>IFERROR(__xludf.DUMMYFUNCTION("""COMPUTED_VALUE"""),"")</f>
        <v/>
      </c>
      <c r="O125" s="62" t="str">
        <f>IFERROR(__xludf.DUMMYFUNCTION("""COMPUTED_VALUE"""),"")</f>
        <v/>
      </c>
      <c r="P125" s="62" t="str">
        <f>IFERROR(__xludf.DUMMYFUNCTION("""COMPUTED_VALUE"""),"")</f>
        <v/>
      </c>
      <c r="Q125" s="62"/>
      <c r="R125" s="62"/>
      <c r="S125" s="62"/>
    </row>
    <row r="126">
      <c r="A126" s="58">
        <v>45582.87440321759</v>
      </c>
      <c r="B126" s="52" t="s">
        <v>148</v>
      </c>
      <c r="C126" s="52" t="b">
        <v>0</v>
      </c>
      <c r="D126" s="52"/>
      <c r="E126" s="52"/>
      <c r="F126" s="52"/>
      <c r="G126" s="52"/>
      <c r="H126" s="52">
        <v>258.0</v>
      </c>
      <c r="I126" s="52"/>
      <c r="J126" s="52" t="s">
        <v>12</v>
      </c>
      <c r="K126" s="59">
        <v>45582.0</v>
      </c>
      <c r="L126" s="52" t="s">
        <v>137</v>
      </c>
      <c r="M126" s="52" t="s">
        <v>19</v>
      </c>
      <c r="N126" s="62" t="str">
        <f>IFERROR(__xludf.DUMMYFUNCTION("""COMPUTED_VALUE"""),"")</f>
        <v/>
      </c>
      <c r="O126" s="62" t="str">
        <f>IFERROR(__xludf.DUMMYFUNCTION("""COMPUTED_VALUE"""),"")</f>
        <v/>
      </c>
      <c r="P126" s="62" t="str">
        <f>IFERROR(__xludf.DUMMYFUNCTION("""COMPUTED_VALUE"""),"")</f>
        <v/>
      </c>
      <c r="Q126" s="62"/>
      <c r="R126" s="62"/>
      <c r="S126" s="62"/>
    </row>
    <row r="127">
      <c r="A127" s="58">
        <v>45582.87872680555</v>
      </c>
      <c r="B127" s="52" t="s">
        <v>134</v>
      </c>
      <c r="C127" s="52" t="b">
        <v>0</v>
      </c>
      <c r="D127" s="52"/>
      <c r="E127" s="52"/>
      <c r="F127" s="52"/>
      <c r="G127" s="52"/>
      <c r="H127" s="52">
        <v>106.0</v>
      </c>
      <c r="I127" s="52"/>
      <c r="J127" s="52" t="s">
        <v>12</v>
      </c>
      <c r="K127" s="59">
        <v>45582.0</v>
      </c>
      <c r="L127" s="52" t="s">
        <v>137</v>
      </c>
      <c r="M127" s="52" t="s">
        <v>18</v>
      </c>
      <c r="N127" s="62">
        <f>IFERROR(__xludf.DUMMYFUNCTION("""COMPUTED_VALUE"""),169.0)</f>
        <v>169</v>
      </c>
      <c r="O127" s="62">
        <f>IFERROR(__xludf.DUMMYFUNCTION("""COMPUTED_VALUE"""),409.0)</f>
        <v>409</v>
      </c>
      <c r="P127" s="62">
        <f>IFERROR(__xludf.DUMMYFUNCTION("""COMPUTED_VALUE"""),578.0)</f>
        <v>578</v>
      </c>
      <c r="Q127" s="62"/>
      <c r="R127" s="62"/>
      <c r="S127" s="62"/>
    </row>
    <row r="128">
      <c r="A128" s="58">
        <v>45583.39124040509</v>
      </c>
      <c r="B128" s="52" t="s">
        <v>154</v>
      </c>
      <c r="C128" s="52" t="b">
        <v>0</v>
      </c>
      <c r="D128" s="52"/>
      <c r="E128" s="52"/>
      <c r="F128" s="52"/>
      <c r="G128" s="52"/>
      <c r="H128" s="52">
        <v>48.0</v>
      </c>
      <c r="I128" s="52"/>
      <c r="J128" s="52" t="s">
        <v>10</v>
      </c>
      <c r="K128" s="59">
        <v>45583.0</v>
      </c>
      <c r="L128" s="52" t="s">
        <v>138</v>
      </c>
      <c r="M128" s="52" t="s">
        <v>19</v>
      </c>
      <c r="N128" s="62" t="str">
        <f>IFERROR(__xludf.DUMMYFUNCTION("""COMPUTED_VALUE"""),"")</f>
        <v/>
      </c>
      <c r="O128" s="62" t="str">
        <f>IFERROR(__xludf.DUMMYFUNCTION("""COMPUTED_VALUE"""),"")</f>
        <v/>
      </c>
      <c r="P128" s="62" t="str">
        <f>IFERROR(__xludf.DUMMYFUNCTION("""COMPUTED_VALUE"""),"")</f>
        <v/>
      </c>
      <c r="Q128" s="62"/>
      <c r="R128" s="62"/>
      <c r="S128" s="62"/>
    </row>
    <row r="129">
      <c r="A129" s="58">
        <v>45583.55873340278</v>
      </c>
      <c r="B129" s="52" t="s">
        <v>151</v>
      </c>
      <c r="C129" s="52" t="b">
        <v>0</v>
      </c>
      <c r="D129" s="52"/>
      <c r="E129" s="52"/>
      <c r="F129" s="52"/>
      <c r="G129" s="52"/>
      <c r="H129" s="52">
        <v>104.0</v>
      </c>
      <c r="I129" s="52"/>
      <c r="J129" s="52" t="s">
        <v>13</v>
      </c>
      <c r="K129" s="59">
        <v>45583.0</v>
      </c>
      <c r="L129" s="52" t="s">
        <v>138</v>
      </c>
      <c r="M129" s="52" t="s">
        <v>19</v>
      </c>
      <c r="N129" s="62" t="str">
        <f>IFERROR(__xludf.DUMMYFUNCTION("""COMPUTED_VALUE"""),"")</f>
        <v/>
      </c>
      <c r="O129" s="62" t="str">
        <f>IFERROR(__xludf.DUMMYFUNCTION("""COMPUTED_VALUE"""),"")</f>
        <v/>
      </c>
      <c r="P129" s="62" t="str">
        <f>IFERROR(__xludf.DUMMYFUNCTION("""COMPUTED_VALUE"""),"")</f>
        <v/>
      </c>
      <c r="Q129" s="62"/>
      <c r="R129" s="62"/>
      <c r="S129" s="62"/>
    </row>
    <row r="130">
      <c r="A130" s="58">
        <v>45583.65072721065</v>
      </c>
      <c r="B130" s="52" t="s">
        <v>130</v>
      </c>
      <c r="C130" s="52" t="b">
        <v>0</v>
      </c>
      <c r="D130" s="52"/>
      <c r="E130" s="52"/>
      <c r="F130" s="52"/>
      <c r="G130" s="52"/>
      <c r="H130" s="52">
        <v>117.0</v>
      </c>
      <c r="I130" s="52"/>
      <c r="J130" s="52" t="s">
        <v>11</v>
      </c>
      <c r="K130" s="59">
        <v>45583.0</v>
      </c>
      <c r="L130" s="52" t="s">
        <v>138</v>
      </c>
      <c r="M130" s="52" t="s">
        <v>18</v>
      </c>
      <c r="N130" s="62" t="str">
        <f>IFERROR(__xludf.DUMMYFUNCTION("""COMPUTED_VALUE"""),"")</f>
        <v/>
      </c>
      <c r="O130" s="62" t="str">
        <f>IFERROR(__xludf.DUMMYFUNCTION("""COMPUTED_VALUE"""),"")</f>
        <v/>
      </c>
      <c r="P130" s="62" t="str">
        <f>IFERROR(__xludf.DUMMYFUNCTION("""COMPUTED_VALUE"""),"")</f>
        <v/>
      </c>
      <c r="Q130" s="62"/>
      <c r="R130" s="62"/>
      <c r="S130" s="62"/>
    </row>
    <row r="131">
      <c r="A131" s="58">
        <v>45583.83300429398</v>
      </c>
      <c r="B131" s="52" t="s">
        <v>148</v>
      </c>
      <c r="C131" s="52" t="b">
        <v>0</v>
      </c>
      <c r="D131" s="52"/>
      <c r="E131" s="52"/>
      <c r="F131" s="52"/>
      <c r="G131" s="52"/>
      <c r="H131" s="52">
        <v>171.0</v>
      </c>
      <c r="I131" s="52"/>
      <c r="J131" s="52" t="s">
        <v>12</v>
      </c>
      <c r="K131" s="59">
        <v>45583.0</v>
      </c>
      <c r="L131" s="52" t="s">
        <v>138</v>
      </c>
      <c r="M131" s="52" t="s">
        <v>18</v>
      </c>
      <c r="N131" s="62">
        <f>IFERROR(__xludf.DUMMYFUNCTION("""COMPUTED_VALUE"""),288.0)</f>
        <v>288</v>
      </c>
      <c r="O131" s="62">
        <f>IFERROR(__xludf.DUMMYFUNCTION("""COMPUTED_VALUE"""),152.0)</f>
        <v>152</v>
      </c>
      <c r="P131" s="62">
        <f>IFERROR(__xludf.DUMMYFUNCTION("""COMPUTED_VALUE"""),440.0)</f>
        <v>440</v>
      </c>
      <c r="Q131" s="62"/>
      <c r="R131" s="62"/>
      <c r="S131" s="62"/>
    </row>
    <row r="132">
      <c r="A132" s="58">
        <v>45586.42920820602</v>
      </c>
      <c r="B132" s="52" t="s">
        <v>136</v>
      </c>
      <c r="C132" s="52" t="b">
        <v>0</v>
      </c>
      <c r="D132" s="52"/>
      <c r="E132" s="52"/>
      <c r="F132" s="52"/>
      <c r="G132" s="52"/>
      <c r="H132" s="52">
        <v>44.0</v>
      </c>
      <c r="I132" s="52"/>
      <c r="J132" s="52" t="s">
        <v>10</v>
      </c>
      <c r="K132" s="59">
        <v>45586.0</v>
      </c>
      <c r="L132" s="52" t="s">
        <v>129</v>
      </c>
      <c r="M132" s="52" t="s">
        <v>19</v>
      </c>
      <c r="N132" s="62" t="str">
        <f>IFERROR(__xludf.DUMMYFUNCTION("""COMPUTED_VALUE"""),"")</f>
        <v/>
      </c>
      <c r="O132" s="62" t="str">
        <f>IFERROR(__xludf.DUMMYFUNCTION("""COMPUTED_VALUE"""),"")</f>
        <v/>
      </c>
      <c r="P132" s="62" t="str">
        <f>IFERROR(__xludf.DUMMYFUNCTION("""COMPUTED_VALUE"""),"")</f>
        <v/>
      </c>
      <c r="Q132" s="62"/>
      <c r="R132" s="62"/>
      <c r="S132" s="62"/>
    </row>
    <row r="133">
      <c r="A133" s="58">
        <v>45586.61772450231</v>
      </c>
      <c r="B133" s="52" t="s">
        <v>149</v>
      </c>
      <c r="C133" s="52" t="b">
        <v>0</v>
      </c>
      <c r="D133" s="52"/>
      <c r="E133" s="52"/>
      <c r="F133" s="52"/>
      <c r="G133" s="52"/>
      <c r="H133" s="52">
        <v>103.0</v>
      </c>
      <c r="I133" s="52"/>
      <c r="J133" s="52" t="s">
        <v>11</v>
      </c>
      <c r="K133" s="59">
        <v>45586.0</v>
      </c>
      <c r="L133" s="52" t="s">
        <v>129</v>
      </c>
      <c r="M133" s="52" t="s">
        <v>19</v>
      </c>
      <c r="N133" s="62" t="str">
        <f>IFERROR(__xludf.DUMMYFUNCTION("""COMPUTED_VALUE"""),"")</f>
        <v/>
      </c>
      <c r="O133" s="62" t="str">
        <f>IFERROR(__xludf.DUMMYFUNCTION("""COMPUTED_VALUE"""),"")</f>
        <v/>
      </c>
      <c r="P133" s="62" t="str">
        <f>IFERROR(__xludf.DUMMYFUNCTION("""COMPUTED_VALUE"""),"")</f>
        <v/>
      </c>
      <c r="Q133" s="62"/>
      <c r="R133" s="62"/>
      <c r="S133" s="62"/>
    </row>
    <row r="134">
      <c r="A134" s="58">
        <v>45586.64608396991</v>
      </c>
      <c r="B134" s="52" t="s">
        <v>155</v>
      </c>
      <c r="C134" s="52" t="b">
        <v>0</v>
      </c>
      <c r="D134" s="52"/>
      <c r="E134" s="52"/>
      <c r="F134" s="52"/>
      <c r="G134" s="52"/>
      <c r="H134" s="52">
        <v>126.0</v>
      </c>
      <c r="I134" s="52"/>
      <c r="J134" s="52" t="s">
        <v>11</v>
      </c>
      <c r="K134" s="59">
        <v>45586.0</v>
      </c>
      <c r="L134" s="52" t="s">
        <v>129</v>
      </c>
      <c r="M134" s="52" t="s">
        <v>18</v>
      </c>
      <c r="N134" s="62" t="str">
        <f>IFERROR(__xludf.DUMMYFUNCTION("""COMPUTED_VALUE"""),"")</f>
        <v/>
      </c>
      <c r="O134" s="62" t="str">
        <f>IFERROR(__xludf.DUMMYFUNCTION("""COMPUTED_VALUE"""),"")</f>
        <v/>
      </c>
      <c r="P134" s="62" t="str">
        <f>IFERROR(__xludf.DUMMYFUNCTION("""COMPUTED_VALUE"""),"")</f>
        <v/>
      </c>
      <c r="Q134" s="62"/>
      <c r="R134" s="62"/>
      <c r="S134" s="62"/>
    </row>
    <row r="135">
      <c r="A135" s="58">
        <v>45586.94670783565</v>
      </c>
      <c r="B135" s="52" t="s">
        <v>139</v>
      </c>
      <c r="C135" s="52" t="b">
        <v>0</v>
      </c>
      <c r="D135" s="52"/>
      <c r="E135" s="52"/>
      <c r="F135" s="52"/>
      <c r="G135" s="52"/>
      <c r="H135" s="52">
        <v>99.0</v>
      </c>
      <c r="I135" s="52"/>
      <c r="J135" s="52" t="s">
        <v>12</v>
      </c>
      <c r="K135" s="59">
        <v>45586.0</v>
      </c>
      <c r="L135" s="52" t="s">
        <v>129</v>
      </c>
      <c r="M135" s="52" t="s">
        <v>19</v>
      </c>
      <c r="N135" s="62">
        <f>IFERROR(__xludf.DUMMYFUNCTION("""COMPUTED_VALUE"""),126.0)</f>
        <v>126</v>
      </c>
      <c r="O135" s="62">
        <f>IFERROR(__xludf.DUMMYFUNCTION("""COMPUTED_VALUE"""),246.0)</f>
        <v>246</v>
      </c>
      <c r="P135" s="62">
        <f>IFERROR(__xludf.DUMMYFUNCTION("""COMPUTED_VALUE"""),372.0)</f>
        <v>372</v>
      </c>
      <c r="Q135" s="62"/>
      <c r="R135" s="62"/>
      <c r="S135" s="62"/>
    </row>
    <row r="136">
      <c r="A136" s="58">
        <v>45587.37790960648</v>
      </c>
      <c r="B136" s="52" t="s">
        <v>151</v>
      </c>
      <c r="C136" s="52" t="b">
        <v>0</v>
      </c>
      <c r="D136" s="52"/>
      <c r="E136" s="52"/>
      <c r="F136" s="52"/>
      <c r="G136" s="52"/>
      <c r="H136" s="52">
        <v>53.0</v>
      </c>
      <c r="I136" s="52"/>
      <c r="J136" s="52" t="s">
        <v>12</v>
      </c>
      <c r="K136" s="59">
        <v>45587.0</v>
      </c>
      <c r="L136" s="52" t="s">
        <v>132</v>
      </c>
      <c r="M136" s="52" t="s">
        <v>19</v>
      </c>
      <c r="N136" s="62" t="str">
        <f>IFERROR(__xludf.DUMMYFUNCTION("""COMPUTED_VALUE"""),"")</f>
        <v/>
      </c>
      <c r="O136" s="62" t="str">
        <f>IFERROR(__xludf.DUMMYFUNCTION("""COMPUTED_VALUE"""),"")</f>
        <v/>
      </c>
      <c r="P136" s="62" t="str">
        <f>IFERROR(__xludf.DUMMYFUNCTION("""COMPUTED_VALUE"""),"")</f>
        <v/>
      </c>
      <c r="Q136" s="62"/>
      <c r="R136" s="62"/>
      <c r="S136" s="62"/>
    </row>
    <row r="137">
      <c r="A137" s="58">
        <v>45587.56073556713</v>
      </c>
      <c r="B137" s="52" t="s">
        <v>150</v>
      </c>
      <c r="C137" s="52" t="b">
        <v>0</v>
      </c>
      <c r="D137" s="52"/>
      <c r="E137" s="52"/>
      <c r="F137" s="52"/>
      <c r="G137" s="52"/>
      <c r="H137" s="52">
        <v>116.0</v>
      </c>
      <c r="I137" s="52"/>
      <c r="J137" s="52" t="s">
        <v>11</v>
      </c>
      <c r="K137" s="59">
        <v>45587.0</v>
      </c>
      <c r="L137" s="52" t="s">
        <v>132</v>
      </c>
      <c r="M137" s="52" t="s">
        <v>18</v>
      </c>
      <c r="N137" s="62" t="str">
        <f>IFERROR(__xludf.DUMMYFUNCTION("""COMPUTED_VALUE"""),"")</f>
        <v/>
      </c>
      <c r="O137" s="62" t="str">
        <f>IFERROR(__xludf.DUMMYFUNCTION("""COMPUTED_VALUE"""),"")</f>
        <v/>
      </c>
      <c r="P137" s="62" t="str">
        <f>IFERROR(__xludf.DUMMYFUNCTION("""COMPUTED_VALUE"""),"")</f>
        <v/>
      </c>
      <c r="Q137" s="62"/>
      <c r="R137" s="62"/>
      <c r="S137" s="62"/>
    </row>
    <row r="138">
      <c r="A138" s="58">
        <v>45587.62657697916</v>
      </c>
      <c r="B138" s="52" t="s">
        <v>131</v>
      </c>
      <c r="C138" s="52" t="b">
        <v>0</v>
      </c>
      <c r="D138" s="52"/>
      <c r="E138" s="52"/>
      <c r="F138" s="52"/>
      <c r="G138" s="52"/>
      <c r="H138" s="52">
        <v>113.0</v>
      </c>
      <c r="I138" s="52"/>
      <c r="J138" s="52" t="s">
        <v>11</v>
      </c>
      <c r="K138" s="59">
        <v>45587.0</v>
      </c>
      <c r="L138" s="52" t="s">
        <v>132</v>
      </c>
      <c r="M138" s="52" t="s">
        <v>19</v>
      </c>
      <c r="N138" s="62" t="str">
        <f>IFERROR(__xludf.DUMMYFUNCTION("""COMPUTED_VALUE"""),"")</f>
        <v/>
      </c>
      <c r="O138" s="62" t="str">
        <f>IFERROR(__xludf.DUMMYFUNCTION("""COMPUTED_VALUE"""),"")</f>
        <v/>
      </c>
      <c r="P138" s="62" t="str">
        <f>IFERROR(__xludf.DUMMYFUNCTION("""COMPUTED_VALUE"""),"")</f>
        <v/>
      </c>
      <c r="Q138" s="62"/>
      <c r="R138" s="62"/>
      <c r="S138" s="62"/>
    </row>
    <row r="139">
      <c r="A139" s="52"/>
      <c r="B139" s="52" t="s">
        <v>156</v>
      </c>
      <c r="C139" s="52" t="b">
        <v>0</v>
      </c>
      <c r="D139" s="52"/>
      <c r="E139" s="52"/>
      <c r="F139" s="52"/>
      <c r="G139" s="52"/>
      <c r="H139" s="52">
        <v>176.0</v>
      </c>
      <c r="I139" s="52"/>
      <c r="J139" s="52" t="s">
        <v>11</v>
      </c>
      <c r="K139" s="59">
        <v>45587.0</v>
      </c>
      <c r="L139" s="52" t="s">
        <v>132</v>
      </c>
      <c r="M139" s="52" t="s">
        <v>19</v>
      </c>
      <c r="N139" s="62" t="str">
        <f>IFERROR(__xludf.DUMMYFUNCTION("""COMPUTED_VALUE"""),"")</f>
        <v/>
      </c>
      <c r="O139" s="62" t="str">
        <f>IFERROR(__xludf.DUMMYFUNCTION("""COMPUTED_VALUE"""),"")</f>
        <v/>
      </c>
      <c r="P139" s="62" t="str">
        <f>IFERROR(__xludf.DUMMYFUNCTION("""COMPUTED_VALUE"""),"")</f>
        <v/>
      </c>
      <c r="Q139" s="62"/>
      <c r="R139" s="62"/>
      <c r="S139" s="62"/>
    </row>
    <row r="140">
      <c r="A140" s="58">
        <v>45587.67751125</v>
      </c>
      <c r="B140" s="52" t="s">
        <v>153</v>
      </c>
      <c r="C140" s="52" t="b">
        <v>0</v>
      </c>
      <c r="D140" s="52"/>
      <c r="E140" s="52"/>
      <c r="F140" s="52"/>
      <c r="G140" s="52"/>
      <c r="H140" s="52">
        <v>68.0</v>
      </c>
      <c r="I140" s="52"/>
      <c r="J140" s="52" t="s">
        <v>10</v>
      </c>
      <c r="K140" s="59">
        <v>45587.0</v>
      </c>
      <c r="L140" s="52" t="s">
        <v>132</v>
      </c>
      <c r="M140" s="52" t="s">
        <v>19</v>
      </c>
      <c r="N140" s="62" t="str">
        <f>IFERROR(__xludf.DUMMYFUNCTION("""COMPUTED_VALUE"""),"")</f>
        <v/>
      </c>
      <c r="O140" s="62" t="str">
        <f>IFERROR(__xludf.DUMMYFUNCTION("""COMPUTED_VALUE"""),"")</f>
        <v/>
      </c>
      <c r="P140" s="62" t="str">
        <f>IFERROR(__xludf.DUMMYFUNCTION("""COMPUTED_VALUE"""),"")</f>
        <v/>
      </c>
      <c r="Q140" s="62"/>
      <c r="R140" s="62"/>
      <c r="S140" s="62"/>
    </row>
    <row r="141">
      <c r="A141" s="58">
        <v>45587.87495638889</v>
      </c>
      <c r="B141" s="52" t="s">
        <v>149</v>
      </c>
      <c r="C141" s="52" t="b">
        <v>0</v>
      </c>
      <c r="D141" s="52"/>
      <c r="E141" s="52"/>
      <c r="F141" s="52"/>
      <c r="G141" s="52"/>
      <c r="H141" s="52">
        <v>156.0</v>
      </c>
      <c r="I141" s="52"/>
      <c r="J141" s="52" t="s">
        <v>12</v>
      </c>
      <c r="K141" s="59">
        <v>45587.0</v>
      </c>
      <c r="L141" s="52" t="s">
        <v>132</v>
      </c>
      <c r="M141" s="52" t="s">
        <v>19</v>
      </c>
      <c r="N141" s="62">
        <f>IFERROR(__xludf.DUMMYFUNCTION("""COMPUTED_VALUE"""),116.0)</f>
        <v>116</v>
      </c>
      <c r="O141" s="62">
        <f>IFERROR(__xludf.DUMMYFUNCTION("""COMPUTED_VALUE"""),566.0)</f>
        <v>566</v>
      </c>
      <c r="P141" s="62">
        <f>IFERROR(__xludf.DUMMYFUNCTION("""COMPUTED_VALUE"""),682.0)</f>
        <v>682</v>
      </c>
      <c r="Q141" s="62"/>
      <c r="R141" s="62"/>
      <c r="S141" s="62"/>
    </row>
    <row r="142">
      <c r="A142" s="58">
        <v>45588.43538828703</v>
      </c>
      <c r="B142" s="52" t="s">
        <v>136</v>
      </c>
      <c r="C142" s="52" t="b">
        <v>0</v>
      </c>
      <c r="D142" s="52"/>
      <c r="E142" s="52"/>
      <c r="F142" s="52"/>
      <c r="G142" s="52"/>
      <c r="H142" s="52">
        <v>69.0</v>
      </c>
      <c r="I142" s="52"/>
      <c r="J142" s="52" t="s">
        <v>10</v>
      </c>
      <c r="K142" s="59">
        <v>45588.0</v>
      </c>
      <c r="L142" s="52" t="s">
        <v>135</v>
      </c>
      <c r="M142" s="52" t="s">
        <v>19</v>
      </c>
      <c r="N142" s="62" t="str">
        <f>IFERROR(__xludf.DUMMYFUNCTION("""COMPUTED_VALUE"""),"")</f>
        <v/>
      </c>
      <c r="O142" s="62" t="str">
        <f>IFERROR(__xludf.DUMMYFUNCTION("""COMPUTED_VALUE"""),"")</f>
        <v/>
      </c>
      <c r="P142" s="62" t="str">
        <f>IFERROR(__xludf.DUMMYFUNCTION("""COMPUTED_VALUE"""),"")</f>
        <v/>
      </c>
      <c r="Q142" s="62"/>
      <c r="R142" s="62"/>
      <c r="S142" s="62"/>
    </row>
    <row r="143">
      <c r="A143" s="58">
        <v>45588.50913219908</v>
      </c>
      <c r="B143" s="52" t="s">
        <v>130</v>
      </c>
      <c r="C143" s="52" t="b">
        <v>0</v>
      </c>
      <c r="D143" s="52"/>
      <c r="E143" s="52"/>
      <c r="F143" s="52"/>
      <c r="G143" s="52"/>
      <c r="H143" s="52">
        <v>5.0</v>
      </c>
      <c r="I143" s="52"/>
      <c r="J143" s="52" t="s">
        <v>11</v>
      </c>
      <c r="K143" s="59">
        <v>45588.0</v>
      </c>
      <c r="L143" s="52" t="s">
        <v>135</v>
      </c>
      <c r="M143" s="52" t="s">
        <v>18</v>
      </c>
      <c r="N143" s="62" t="str">
        <f>IFERROR(__xludf.DUMMYFUNCTION("""COMPUTED_VALUE"""),"")</f>
        <v/>
      </c>
      <c r="O143" s="62" t="str">
        <f>IFERROR(__xludf.DUMMYFUNCTION("""COMPUTED_VALUE"""),"")</f>
        <v/>
      </c>
      <c r="P143" s="62" t="str">
        <f>IFERROR(__xludf.DUMMYFUNCTION("""COMPUTED_VALUE"""),"")</f>
        <v/>
      </c>
      <c r="Q143" s="62"/>
      <c r="R143" s="62"/>
      <c r="S143" s="62"/>
    </row>
    <row r="144">
      <c r="A144" s="58">
        <v>45588.62547346065</v>
      </c>
      <c r="B144" s="52" t="s">
        <v>149</v>
      </c>
      <c r="C144" s="52" t="b">
        <v>0</v>
      </c>
      <c r="D144" s="52"/>
      <c r="E144" s="52"/>
      <c r="F144" s="52"/>
      <c r="G144" s="52"/>
      <c r="H144" s="52">
        <v>122.0</v>
      </c>
      <c r="I144" s="52"/>
      <c r="J144" s="52" t="s">
        <v>11</v>
      </c>
      <c r="K144" s="59">
        <v>45588.0</v>
      </c>
      <c r="L144" s="52" t="s">
        <v>135</v>
      </c>
      <c r="M144" s="52" t="s">
        <v>19</v>
      </c>
      <c r="N144" s="62" t="str">
        <f>IFERROR(__xludf.DUMMYFUNCTION("""COMPUTED_VALUE"""),"")</f>
        <v/>
      </c>
      <c r="O144" s="62" t="str">
        <f>IFERROR(__xludf.DUMMYFUNCTION("""COMPUTED_VALUE"""),"")</f>
        <v/>
      </c>
      <c r="P144" s="62" t="str">
        <f>IFERROR(__xludf.DUMMYFUNCTION("""COMPUTED_VALUE"""),"")</f>
        <v/>
      </c>
      <c r="Q144" s="62"/>
      <c r="R144" s="62"/>
      <c r="S144" s="62"/>
    </row>
    <row r="145">
      <c r="A145" s="58">
        <v>45588.64519222222</v>
      </c>
      <c r="B145" s="52" t="s">
        <v>148</v>
      </c>
      <c r="C145" s="52" t="b">
        <v>0</v>
      </c>
      <c r="D145" s="52"/>
      <c r="E145" s="52"/>
      <c r="F145" s="52"/>
      <c r="G145" s="52"/>
      <c r="H145" s="52">
        <v>146.0</v>
      </c>
      <c r="I145" s="52"/>
      <c r="J145" s="52" t="s">
        <v>11</v>
      </c>
      <c r="K145" s="59">
        <v>45588.0</v>
      </c>
      <c r="L145" s="52" t="s">
        <v>135</v>
      </c>
      <c r="M145" s="52" t="s">
        <v>18</v>
      </c>
      <c r="N145" s="62" t="str">
        <f>IFERROR(__xludf.DUMMYFUNCTION("""COMPUTED_VALUE"""),"")</f>
        <v/>
      </c>
      <c r="O145" s="62" t="str">
        <f>IFERROR(__xludf.DUMMYFUNCTION("""COMPUTED_VALUE"""),"")</f>
        <v/>
      </c>
      <c r="P145" s="62" t="str">
        <f>IFERROR(__xludf.DUMMYFUNCTION("""COMPUTED_VALUE"""),"")</f>
        <v/>
      </c>
      <c r="Q145" s="62"/>
      <c r="R145" s="62"/>
      <c r="S145" s="62"/>
    </row>
    <row r="146">
      <c r="A146" s="58">
        <v>45588.78860887732</v>
      </c>
      <c r="B146" s="52" t="s">
        <v>150</v>
      </c>
      <c r="C146" s="52" t="b">
        <v>0</v>
      </c>
      <c r="D146" s="52"/>
      <c r="E146" s="52"/>
      <c r="F146" s="52"/>
      <c r="G146" s="52"/>
      <c r="H146" s="52">
        <v>81.0</v>
      </c>
      <c r="I146" s="52"/>
      <c r="J146" s="52" t="s">
        <v>12</v>
      </c>
      <c r="K146" s="59">
        <v>45588.0</v>
      </c>
      <c r="L146" s="52" t="s">
        <v>135</v>
      </c>
      <c r="M146" s="52" t="s">
        <v>19</v>
      </c>
      <c r="N146" s="62" t="str">
        <f>IFERROR(__xludf.DUMMYFUNCTION("""COMPUTED_VALUE"""),"")</f>
        <v/>
      </c>
      <c r="O146" s="62" t="str">
        <f>IFERROR(__xludf.DUMMYFUNCTION("""COMPUTED_VALUE"""),"")</f>
        <v/>
      </c>
      <c r="P146" s="62" t="str">
        <f>IFERROR(__xludf.DUMMYFUNCTION("""COMPUTED_VALUE"""),"")</f>
        <v/>
      </c>
      <c r="Q146" s="62"/>
      <c r="R146" s="62"/>
      <c r="S146" s="62"/>
    </row>
    <row r="147">
      <c r="A147" s="58">
        <v>45588.87797497685</v>
      </c>
      <c r="B147" s="52" t="s">
        <v>149</v>
      </c>
      <c r="C147" s="52" t="b">
        <v>0</v>
      </c>
      <c r="D147" s="52"/>
      <c r="E147" s="52"/>
      <c r="F147" s="52"/>
      <c r="G147" s="52"/>
      <c r="H147" s="52">
        <v>171.0</v>
      </c>
      <c r="I147" s="52"/>
      <c r="J147" s="52" t="s">
        <v>12</v>
      </c>
      <c r="K147" s="59">
        <v>45588.0</v>
      </c>
      <c r="L147" s="52" t="s">
        <v>135</v>
      </c>
      <c r="M147" s="52" t="s">
        <v>18</v>
      </c>
      <c r="N147" s="62">
        <f>IFERROR(__xludf.DUMMYFUNCTION("""COMPUTED_VALUE"""),322.0)</f>
        <v>322</v>
      </c>
      <c r="O147" s="62">
        <f>IFERROR(__xludf.DUMMYFUNCTION("""COMPUTED_VALUE"""),272.0)</f>
        <v>272</v>
      </c>
      <c r="P147" s="62">
        <f>IFERROR(__xludf.DUMMYFUNCTION("""COMPUTED_VALUE"""),594.0)</f>
        <v>594</v>
      </c>
      <c r="Q147" s="62"/>
      <c r="R147" s="62"/>
      <c r="S147" s="62"/>
    </row>
    <row r="148">
      <c r="A148" s="58">
        <v>45589.55939581018</v>
      </c>
      <c r="B148" s="52" t="s">
        <v>150</v>
      </c>
      <c r="C148" s="52" t="b">
        <v>0</v>
      </c>
      <c r="D148" s="52"/>
      <c r="E148" s="52"/>
      <c r="F148" s="52"/>
      <c r="G148" s="52"/>
      <c r="H148" s="52">
        <v>54.0</v>
      </c>
      <c r="I148" s="52"/>
      <c r="J148" s="52" t="s">
        <v>11</v>
      </c>
      <c r="K148" s="59">
        <v>45589.0</v>
      </c>
      <c r="L148" s="52" t="s">
        <v>137</v>
      </c>
      <c r="M148" s="52" t="s">
        <v>18</v>
      </c>
      <c r="N148" s="62" t="str">
        <f>IFERROR(__xludf.DUMMYFUNCTION("""COMPUTED_VALUE"""),"")</f>
        <v/>
      </c>
      <c r="O148" s="62" t="str">
        <f>IFERROR(__xludf.DUMMYFUNCTION("""COMPUTED_VALUE"""),"")</f>
        <v/>
      </c>
      <c r="P148" s="62" t="str">
        <f>IFERROR(__xludf.DUMMYFUNCTION("""COMPUTED_VALUE"""),"")</f>
        <v/>
      </c>
      <c r="Q148" s="62"/>
      <c r="R148" s="62"/>
      <c r="S148" s="62"/>
    </row>
    <row r="149">
      <c r="A149" s="58">
        <v>45589.71411870371</v>
      </c>
      <c r="B149" s="52" t="s">
        <v>157</v>
      </c>
      <c r="C149" s="52" t="b">
        <v>0</v>
      </c>
      <c r="D149" s="52"/>
      <c r="E149" s="52"/>
      <c r="F149" s="52"/>
      <c r="G149" s="52"/>
      <c r="H149" s="52">
        <v>95.0</v>
      </c>
      <c r="I149" s="52"/>
      <c r="J149" s="52" t="s">
        <v>12</v>
      </c>
      <c r="K149" s="59">
        <v>45589.0</v>
      </c>
      <c r="L149" s="52" t="s">
        <v>137</v>
      </c>
      <c r="M149" s="52" t="s">
        <v>19</v>
      </c>
      <c r="N149" s="62" t="str">
        <f>IFERROR(__xludf.DUMMYFUNCTION("""COMPUTED_VALUE"""),"")</f>
        <v/>
      </c>
      <c r="O149" s="62" t="str">
        <f>IFERROR(__xludf.DUMMYFUNCTION("""COMPUTED_VALUE"""),"")</f>
        <v/>
      </c>
      <c r="P149" s="62" t="str">
        <f>IFERROR(__xludf.DUMMYFUNCTION("""COMPUTED_VALUE"""),"")</f>
        <v/>
      </c>
      <c r="Q149" s="62"/>
      <c r="R149" s="62"/>
      <c r="S149" s="62"/>
    </row>
    <row r="150">
      <c r="A150" s="58">
        <v>45589.8744466088</v>
      </c>
      <c r="B150" s="52" t="s">
        <v>148</v>
      </c>
      <c r="C150" s="52" t="b">
        <v>0</v>
      </c>
      <c r="D150" s="52"/>
      <c r="E150" s="52"/>
      <c r="F150" s="52"/>
      <c r="G150" s="52"/>
      <c r="H150" s="52">
        <v>213.0</v>
      </c>
      <c r="I150" s="52"/>
      <c r="J150" s="52" t="s">
        <v>12</v>
      </c>
      <c r="K150" s="59">
        <v>45589.0</v>
      </c>
      <c r="L150" s="52" t="s">
        <v>137</v>
      </c>
      <c r="M150" s="52" t="s">
        <v>19</v>
      </c>
      <c r="N150" s="62" t="str">
        <f>IFERROR(__xludf.DUMMYFUNCTION("""COMPUTED_VALUE"""),"")</f>
        <v/>
      </c>
      <c r="O150" s="62" t="str">
        <f>IFERROR(__xludf.DUMMYFUNCTION("""COMPUTED_VALUE"""),"")</f>
        <v/>
      </c>
      <c r="P150" s="62" t="str">
        <f>IFERROR(__xludf.DUMMYFUNCTION("""COMPUTED_VALUE"""),"")</f>
        <v/>
      </c>
      <c r="Q150" s="62"/>
      <c r="R150" s="62"/>
      <c r="S150" s="62"/>
    </row>
    <row r="151">
      <c r="A151" s="58">
        <v>45591.72601592592</v>
      </c>
      <c r="B151" s="52" t="s">
        <v>153</v>
      </c>
      <c r="C151" s="52" t="b">
        <v>0</v>
      </c>
      <c r="D151" s="52"/>
      <c r="E151" s="52"/>
      <c r="F151" s="52"/>
      <c r="G151" s="52"/>
      <c r="H151" s="52">
        <v>63.0</v>
      </c>
      <c r="I151" s="52"/>
      <c r="J151" s="52" t="s">
        <v>10</v>
      </c>
      <c r="K151" s="59">
        <v>45589.0</v>
      </c>
      <c r="L151" s="52" t="s">
        <v>137</v>
      </c>
      <c r="M151" s="52" t="s">
        <v>19</v>
      </c>
      <c r="N151" s="62" t="str">
        <f>IFERROR(__xludf.DUMMYFUNCTION("""COMPUTED_VALUE"""),"")</f>
        <v/>
      </c>
      <c r="O151" s="62" t="str">
        <f>IFERROR(__xludf.DUMMYFUNCTION("""COMPUTED_VALUE"""),"")</f>
        <v/>
      </c>
      <c r="P151" s="62" t="str">
        <f>IFERROR(__xludf.DUMMYFUNCTION("""COMPUTED_VALUE"""),"")</f>
        <v/>
      </c>
      <c r="Q151" s="62"/>
      <c r="R151" s="62"/>
      <c r="S151" s="62"/>
    </row>
    <row r="152">
      <c r="A152" s="52"/>
      <c r="B152" s="52" t="s">
        <v>158</v>
      </c>
      <c r="C152" s="52" t="b">
        <v>0</v>
      </c>
      <c r="D152" s="52"/>
      <c r="E152" s="52"/>
      <c r="F152" s="52"/>
      <c r="G152" s="52"/>
      <c r="H152" s="52">
        <v>100.0</v>
      </c>
      <c r="I152" s="52"/>
      <c r="J152" s="52" t="s">
        <v>12</v>
      </c>
      <c r="K152" s="59">
        <v>45589.0</v>
      </c>
      <c r="L152" s="52" t="s">
        <v>137</v>
      </c>
      <c r="M152" s="52" t="s">
        <v>18</v>
      </c>
      <c r="N152" s="62">
        <f>IFERROR(__xludf.DUMMYFUNCTION("""COMPUTED_VALUE"""),154.0)</f>
        <v>154</v>
      </c>
      <c r="O152" s="62">
        <f>IFERROR(__xludf.DUMMYFUNCTION("""COMPUTED_VALUE"""),371.0)</f>
        <v>371</v>
      </c>
      <c r="P152" s="62">
        <f>IFERROR(__xludf.DUMMYFUNCTION("""COMPUTED_VALUE"""),525.0)</f>
        <v>525</v>
      </c>
      <c r="Q152" s="62"/>
      <c r="R152" s="62"/>
      <c r="S152" s="62"/>
    </row>
    <row r="153">
      <c r="A153" s="58">
        <v>45590.39409163195</v>
      </c>
      <c r="B153" s="52" t="s">
        <v>136</v>
      </c>
      <c r="C153" s="52" t="b">
        <v>0</v>
      </c>
      <c r="D153" s="52"/>
      <c r="E153" s="52"/>
      <c r="F153" s="52"/>
      <c r="G153" s="52"/>
      <c r="H153" s="52">
        <v>41.0</v>
      </c>
      <c r="I153" s="52"/>
      <c r="J153" s="52" t="s">
        <v>10</v>
      </c>
      <c r="K153" s="59">
        <v>45590.0</v>
      </c>
      <c r="L153" s="52" t="s">
        <v>138</v>
      </c>
      <c r="M153" s="52" t="s">
        <v>19</v>
      </c>
      <c r="N153" s="62" t="str">
        <f>IFERROR(__xludf.DUMMYFUNCTION("""COMPUTED_VALUE"""),"")</f>
        <v/>
      </c>
      <c r="O153" s="62" t="str">
        <f>IFERROR(__xludf.DUMMYFUNCTION("""COMPUTED_VALUE"""),"")</f>
        <v/>
      </c>
      <c r="P153" s="62" t="str">
        <f>IFERROR(__xludf.DUMMYFUNCTION("""COMPUTED_VALUE"""),"")</f>
        <v/>
      </c>
      <c r="Q153" s="62"/>
      <c r="R153" s="62"/>
      <c r="S153" s="62"/>
    </row>
    <row r="154">
      <c r="A154" s="58">
        <v>45590.52475759259</v>
      </c>
      <c r="B154" s="52" t="s">
        <v>151</v>
      </c>
      <c r="C154" s="52" t="b">
        <v>0</v>
      </c>
      <c r="D154" s="52"/>
      <c r="E154" s="52"/>
      <c r="F154" s="52"/>
      <c r="G154" s="52"/>
      <c r="H154" s="52">
        <v>95.0</v>
      </c>
      <c r="I154" s="52"/>
      <c r="J154" s="52" t="s">
        <v>13</v>
      </c>
      <c r="K154" s="59">
        <v>45590.0</v>
      </c>
      <c r="L154" s="52" t="s">
        <v>138</v>
      </c>
      <c r="M154" s="52" t="s">
        <v>19</v>
      </c>
      <c r="N154" s="62" t="str">
        <f>IFERROR(__xludf.DUMMYFUNCTION("""COMPUTED_VALUE"""),"")</f>
        <v/>
      </c>
      <c r="O154" s="62" t="str">
        <f>IFERROR(__xludf.DUMMYFUNCTION("""COMPUTED_VALUE"""),"")</f>
        <v/>
      </c>
      <c r="P154" s="62" t="str">
        <f>IFERROR(__xludf.DUMMYFUNCTION("""COMPUTED_VALUE"""),"")</f>
        <v/>
      </c>
      <c r="Q154" s="62"/>
      <c r="R154" s="62"/>
      <c r="S154" s="62"/>
    </row>
    <row r="155">
      <c r="A155" s="58">
        <v>45590.76465166666</v>
      </c>
      <c r="B155" s="52" t="s">
        <v>130</v>
      </c>
      <c r="C155" s="52" t="b">
        <v>0</v>
      </c>
      <c r="D155" s="52"/>
      <c r="E155" s="52"/>
      <c r="F155" s="52"/>
      <c r="G155" s="52"/>
      <c r="H155" s="52">
        <v>115.0</v>
      </c>
      <c r="I155" s="52"/>
      <c r="J155" s="52" t="s">
        <v>11</v>
      </c>
      <c r="K155" s="59">
        <v>45590.0</v>
      </c>
      <c r="L155" s="52" t="s">
        <v>138</v>
      </c>
      <c r="M155" s="52" t="s">
        <v>18</v>
      </c>
      <c r="N155" s="62" t="str">
        <f>IFERROR(__xludf.DUMMYFUNCTION("""COMPUTED_VALUE"""),"")</f>
        <v/>
      </c>
      <c r="O155" s="62" t="str">
        <f>IFERROR(__xludf.DUMMYFUNCTION("""COMPUTED_VALUE"""),"")</f>
        <v/>
      </c>
      <c r="P155" s="62" t="str">
        <f>IFERROR(__xludf.DUMMYFUNCTION("""COMPUTED_VALUE"""),"")</f>
        <v/>
      </c>
      <c r="Q155" s="62"/>
      <c r="R155" s="62"/>
      <c r="S155" s="62"/>
    </row>
    <row r="156">
      <c r="A156" s="58">
        <v>45590.82987384259</v>
      </c>
      <c r="B156" s="52" t="s">
        <v>159</v>
      </c>
      <c r="C156" s="52" t="b">
        <v>0</v>
      </c>
      <c r="D156" s="52"/>
      <c r="E156" s="52"/>
      <c r="F156" s="52"/>
      <c r="G156" s="52"/>
      <c r="H156" s="52">
        <v>200.0</v>
      </c>
      <c r="I156" s="52"/>
      <c r="J156" s="52" t="s">
        <v>12</v>
      </c>
      <c r="K156" s="59">
        <v>45590.0</v>
      </c>
      <c r="L156" s="52" t="s">
        <v>138</v>
      </c>
      <c r="M156" s="52" t="s">
        <v>18</v>
      </c>
      <c r="N156" s="62" t="str">
        <f>IFERROR(__xludf.DUMMYFUNCTION("""COMPUTED_VALUE"""),"")</f>
        <v/>
      </c>
      <c r="O156" s="62" t="str">
        <f>IFERROR(__xludf.DUMMYFUNCTION("""COMPUTED_VALUE"""),"")</f>
        <v/>
      </c>
      <c r="P156" s="62" t="str">
        <f>IFERROR(__xludf.DUMMYFUNCTION("""COMPUTED_VALUE"""),"")</f>
        <v/>
      </c>
      <c r="Q156" s="62"/>
      <c r="R156" s="62"/>
      <c r="S156" s="62"/>
    </row>
    <row r="157">
      <c r="A157" s="58">
        <v>45593.72000211805</v>
      </c>
      <c r="B157" s="52" t="s">
        <v>151</v>
      </c>
      <c r="C157" s="52" t="b">
        <v>0</v>
      </c>
      <c r="D157" s="52"/>
      <c r="E157" s="52"/>
      <c r="F157" s="52"/>
      <c r="G157" s="52"/>
      <c r="H157" s="52">
        <v>73.0</v>
      </c>
      <c r="I157" s="52"/>
      <c r="J157" s="52" t="s">
        <v>11</v>
      </c>
      <c r="K157" s="59">
        <v>45590.0</v>
      </c>
      <c r="L157" s="52" t="s">
        <v>138</v>
      </c>
      <c r="M157" s="52" t="s">
        <v>19</v>
      </c>
      <c r="N157" s="62">
        <f>IFERROR(__xludf.DUMMYFUNCTION("""COMPUTED_VALUE"""),315.0)</f>
        <v>315</v>
      </c>
      <c r="O157" s="62">
        <f>IFERROR(__xludf.DUMMYFUNCTION("""COMPUTED_VALUE"""),209.0)</f>
        <v>209</v>
      </c>
      <c r="P157" s="62">
        <f>IFERROR(__xludf.DUMMYFUNCTION("""COMPUTED_VALUE"""),524.0)</f>
        <v>524</v>
      </c>
      <c r="Q157" s="62"/>
      <c r="R157" s="62"/>
      <c r="S157" s="62"/>
    </row>
    <row r="158">
      <c r="A158" s="58">
        <v>45593.43358675926</v>
      </c>
      <c r="B158" s="52" t="s">
        <v>136</v>
      </c>
      <c r="C158" s="52" t="b">
        <v>0</v>
      </c>
      <c r="D158" s="52"/>
      <c r="E158" s="52"/>
      <c r="F158" s="52"/>
      <c r="G158" s="52"/>
      <c r="H158" s="52">
        <v>58.0</v>
      </c>
      <c r="I158" s="52"/>
      <c r="J158" s="52" t="s">
        <v>10</v>
      </c>
      <c r="K158" s="59">
        <v>45593.0</v>
      </c>
      <c r="L158" s="52" t="s">
        <v>129</v>
      </c>
      <c r="M158" s="52" t="s">
        <v>19</v>
      </c>
      <c r="N158" s="62" t="str">
        <f>IFERROR(__xludf.DUMMYFUNCTION("""COMPUTED_VALUE"""),"")</f>
        <v/>
      </c>
      <c r="O158" s="62" t="str">
        <f>IFERROR(__xludf.DUMMYFUNCTION("""COMPUTED_VALUE"""),"")</f>
        <v/>
      </c>
      <c r="P158" s="62" t="str">
        <f>IFERROR(__xludf.DUMMYFUNCTION("""COMPUTED_VALUE"""),"")</f>
        <v/>
      </c>
      <c r="Q158" s="62"/>
      <c r="R158" s="62"/>
      <c r="S158" s="62"/>
    </row>
    <row r="159">
      <c r="A159" s="58">
        <v>45593.5139803588</v>
      </c>
      <c r="B159" s="52" t="s">
        <v>130</v>
      </c>
      <c r="C159" s="52" t="b">
        <v>0</v>
      </c>
      <c r="D159" s="52"/>
      <c r="E159" s="52"/>
      <c r="F159" s="52"/>
      <c r="G159" s="52"/>
      <c r="H159" s="52">
        <v>5.0</v>
      </c>
      <c r="I159" s="52"/>
      <c r="J159" s="52" t="s">
        <v>11</v>
      </c>
      <c r="K159" s="59">
        <v>45593.0</v>
      </c>
      <c r="L159" s="52" t="s">
        <v>129</v>
      </c>
      <c r="M159" s="52" t="s">
        <v>18</v>
      </c>
      <c r="N159" s="62" t="str">
        <f>IFERROR(__xludf.DUMMYFUNCTION("""COMPUTED_VALUE"""),"")</f>
        <v/>
      </c>
      <c r="O159" s="62" t="str">
        <f>IFERROR(__xludf.DUMMYFUNCTION("""COMPUTED_VALUE"""),"")</f>
        <v/>
      </c>
      <c r="P159" s="62" t="str">
        <f>IFERROR(__xludf.DUMMYFUNCTION("""COMPUTED_VALUE"""),"")</f>
        <v/>
      </c>
      <c r="Q159" s="62"/>
      <c r="R159" s="62"/>
      <c r="S159" s="62"/>
    </row>
    <row r="160">
      <c r="A160" s="58">
        <v>45593.64512255787</v>
      </c>
      <c r="B160" s="52" t="s">
        <v>148</v>
      </c>
      <c r="C160" s="52" t="b">
        <v>0</v>
      </c>
      <c r="D160" s="52"/>
      <c r="E160" s="52"/>
      <c r="F160" s="52"/>
      <c r="G160" s="52"/>
      <c r="H160" s="52">
        <v>177.0</v>
      </c>
      <c r="I160" s="52"/>
      <c r="J160" s="52" t="s">
        <v>11</v>
      </c>
      <c r="K160" s="59">
        <v>45593.0</v>
      </c>
      <c r="L160" s="52" t="s">
        <v>129</v>
      </c>
      <c r="M160" s="52" t="s">
        <v>18</v>
      </c>
      <c r="N160" s="62" t="str">
        <f>IFERROR(__xludf.DUMMYFUNCTION("""COMPUTED_VALUE"""),"")</f>
        <v/>
      </c>
      <c r="O160" s="62" t="str">
        <f>IFERROR(__xludf.DUMMYFUNCTION("""COMPUTED_VALUE"""),"")</f>
        <v/>
      </c>
      <c r="P160" s="62" t="str">
        <f>IFERROR(__xludf.DUMMYFUNCTION("""COMPUTED_VALUE"""),"")</f>
        <v/>
      </c>
      <c r="Q160" s="62"/>
      <c r="R160" s="62"/>
      <c r="S160" s="62"/>
    </row>
    <row r="161">
      <c r="A161" s="58">
        <v>45594.46562645833</v>
      </c>
      <c r="B161" s="52" t="s">
        <v>131</v>
      </c>
      <c r="C161" s="52" t="b">
        <v>0</v>
      </c>
      <c r="D161" s="52"/>
      <c r="E161" s="52"/>
      <c r="F161" s="52"/>
      <c r="G161" s="52"/>
      <c r="H161" s="52">
        <v>105.0</v>
      </c>
      <c r="I161" s="52"/>
      <c r="J161" s="52" t="s">
        <v>12</v>
      </c>
      <c r="K161" s="59">
        <v>45593.0</v>
      </c>
      <c r="L161" s="52" t="s">
        <v>129</v>
      </c>
      <c r="M161" s="52" t="s">
        <v>19</v>
      </c>
      <c r="N161" s="62" t="str">
        <f>IFERROR(__xludf.DUMMYFUNCTION("""COMPUTED_VALUE"""),"")</f>
        <v/>
      </c>
      <c r="O161" s="62" t="str">
        <f>IFERROR(__xludf.DUMMYFUNCTION("""COMPUTED_VALUE"""),"")</f>
        <v/>
      </c>
      <c r="P161" s="62" t="str">
        <f>IFERROR(__xludf.DUMMYFUNCTION("""COMPUTED_VALUE"""),"")</f>
        <v/>
      </c>
      <c r="Q161" s="62"/>
      <c r="R161" s="62"/>
      <c r="S161" s="62"/>
    </row>
    <row r="162">
      <c r="A162" s="52"/>
      <c r="B162" s="52" t="s">
        <v>160</v>
      </c>
      <c r="C162" s="52" t="b">
        <v>0</v>
      </c>
      <c r="D162" s="52"/>
      <c r="E162" s="52"/>
      <c r="F162" s="52"/>
      <c r="G162" s="52"/>
      <c r="H162" s="52">
        <v>153.0</v>
      </c>
      <c r="I162" s="52"/>
      <c r="J162" s="52" t="s">
        <v>12</v>
      </c>
      <c r="K162" s="59">
        <v>45593.0</v>
      </c>
      <c r="L162" s="52" t="s">
        <v>129</v>
      </c>
      <c r="M162" s="52" t="s">
        <v>18</v>
      </c>
      <c r="N162" s="62">
        <f>IFERROR(__xludf.DUMMYFUNCTION("""COMPUTED_VALUE"""),335.0)</f>
        <v>335</v>
      </c>
      <c r="O162" s="62">
        <f>IFERROR(__xludf.DUMMYFUNCTION("""COMPUTED_VALUE"""),163.0)</f>
        <v>163</v>
      </c>
      <c r="P162" s="62">
        <f>IFERROR(__xludf.DUMMYFUNCTION("""COMPUTED_VALUE"""),498.0)</f>
        <v>498</v>
      </c>
      <c r="Q162" s="62"/>
      <c r="R162" s="62"/>
      <c r="S162" s="62"/>
    </row>
    <row r="163">
      <c r="A163" s="58">
        <v>45594.55775011574</v>
      </c>
      <c r="B163" s="52" t="s">
        <v>150</v>
      </c>
      <c r="C163" s="52" t="b">
        <v>0</v>
      </c>
      <c r="D163" s="52"/>
      <c r="E163" s="52"/>
      <c r="F163" s="52"/>
      <c r="G163" s="52"/>
      <c r="H163" s="52">
        <v>59.0</v>
      </c>
      <c r="I163" s="52"/>
      <c r="J163" s="52" t="s">
        <v>11</v>
      </c>
      <c r="K163" s="59">
        <v>45594.0</v>
      </c>
      <c r="L163" s="52" t="s">
        <v>132</v>
      </c>
      <c r="M163" s="52" t="s">
        <v>18</v>
      </c>
      <c r="N163" s="62" t="str">
        <f>IFERROR(__xludf.DUMMYFUNCTION("""COMPUTED_VALUE"""),"")</f>
        <v/>
      </c>
      <c r="O163" s="62" t="str">
        <f>IFERROR(__xludf.DUMMYFUNCTION("""COMPUTED_VALUE"""),"")</f>
        <v/>
      </c>
      <c r="P163" s="62" t="str">
        <f>IFERROR(__xludf.DUMMYFUNCTION("""COMPUTED_VALUE"""),"")</f>
        <v/>
      </c>
      <c r="Q163" s="62"/>
      <c r="R163" s="62"/>
      <c r="S163" s="62"/>
    </row>
    <row r="164">
      <c r="A164" s="58">
        <v>45594.62322694444</v>
      </c>
      <c r="B164" s="52" t="s">
        <v>131</v>
      </c>
      <c r="C164" s="52" t="b">
        <v>0</v>
      </c>
      <c r="D164" s="52"/>
      <c r="E164" s="52"/>
      <c r="F164" s="52"/>
      <c r="G164" s="52"/>
      <c r="H164" s="52">
        <v>127.0</v>
      </c>
      <c r="I164" s="52"/>
      <c r="J164" s="52" t="s">
        <v>11</v>
      </c>
      <c r="K164" s="59">
        <v>45594.0</v>
      </c>
      <c r="L164" s="52" t="s">
        <v>132</v>
      </c>
      <c r="M164" s="52" t="s">
        <v>19</v>
      </c>
      <c r="N164" s="62" t="str">
        <f>IFERROR(__xludf.DUMMYFUNCTION("""COMPUTED_VALUE"""),"")</f>
        <v/>
      </c>
      <c r="O164" s="62" t="str">
        <f>IFERROR(__xludf.DUMMYFUNCTION("""COMPUTED_VALUE"""),"")</f>
        <v/>
      </c>
      <c r="P164" s="62" t="str">
        <f>IFERROR(__xludf.DUMMYFUNCTION("""COMPUTED_VALUE"""),"")</f>
        <v/>
      </c>
      <c r="Q164" s="62"/>
      <c r="R164" s="62"/>
      <c r="S164" s="62"/>
    </row>
    <row r="165">
      <c r="A165" s="58">
        <v>45594.65235417824</v>
      </c>
      <c r="B165" s="52" t="s">
        <v>153</v>
      </c>
      <c r="C165" s="52" t="b">
        <v>0</v>
      </c>
      <c r="D165" s="52"/>
      <c r="E165" s="52"/>
      <c r="F165" s="52"/>
      <c r="G165" s="52"/>
      <c r="H165" s="52">
        <v>42.0</v>
      </c>
      <c r="I165" s="52"/>
      <c r="J165" s="52" t="s">
        <v>10</v>
      </c>
      <c r="K165" s="59">
        <v>45594.0</v>
      </c>
      <c r="L165" s="52" t="s">
        <v>132</v>
      </c>
      <c r="M165" s="52" t="s">
        <v>19</v>
      </c>
      <c r="N165" s="62" t="str">
        <f>IFERROR(__xludf.DUMMYFUNCTION("""COMPUTED_VALUE"""),"")</f>
        <v/>
      </c>
      <c r="O165" s="62" t="str">
        <f>IFERROR(__xludf.DUMMYFUNCTION("""COMPUTED_VALUE"""),"")</f>
        <v/>
      </c>
      <c r="P165" s="62" t="str">
        <f>IFERROR(__xludf.DUMMYFUNCTION("""COMPUTED_VALUE"""),"")</f>
        <v/>
      </c>
      <c r="Q165" s="62"/>
      <c r="R165" s="62"/>
      <c r="S165" s="62"/>
    </row>
    <row r="166">
      <c r="A166" s="58">
        <v>45594.88027884259</v>
      </c>
      <c r="B166" s="52" t="s">
        <v>149</v>
      </c>
      <c r="C166" s="52" t="b">
        <v>0</v>
      </c>
      <c r="D166" s="52"/>
      <c r="E166" s="52"/>
      <c r="F166" s="52"/>
      <c r="G166" s="52"/>
      <c r="H166" s="52">
        <v>105.0</v>
      </c>
      <c r="I166" s="52"/>
      <c r="J166" s="52" t="s">
        <v>12</v>
      </c>
      <c r="K166" s="59">
        <v>45594.0</v>
      </c>
      <c r="L166" s="52" t="s">
        <v>132</v>
      </c>
      <c r="M166" s="52" t="s">
        <v>19</v>
      </c>
      <c r="N166" s="62">
        <f>IFERROR(__xludf.DUMMYFUNCTION("""COMPUTED_VALUE"""),59.0)</f>
        <v>59</v>
      </c>
      <c r="O166" s="62">
        <f>IFERROR(__xludf.DUMMYFUNCTION("""COMPUTED_VALUE"""),274.0)</f>
        <v>274</v>
      </c>
      <c r="P166" s="62">
        <f>IFERROR(__xludf.DUMMYFUNCTION("""COMPUTED_VALUE"""),333.0)</f>
        <v>333</v>
      </c>
      <c r="Q166" s="62"/>
      <c r="R166" s="62"/>
      <c r="S166" s="62"/>
    </row>
    <row r="167">
      <c r="A167" s="58">
        <v>45595.43946359953</v>
      </c>
      <c r="B167" s="52" t="s">
        <v>136</v>
      </c>
      <c r="C167" s="52" t="b">
        <v>0</v>
      </c>
      <c r="D167" s="52"/>
      <c r="E167" s="52"/>
      <c r="F167" s="52"/>
      <c r="G167" s="52"/>
      <c r="H167" s="52">
        <v>61.0</v>
      </c>
      <c r="I167" s="52"/>
      <c r="J167" s="52" t="s">
        <v>10</v>
      </c>
      <c r="K167" s="59">
        <v>45595.0</v>
      </c>
      <c r="L167" s="52" t="s">
        <v>135</v>
      </c>
      <c r="M167" s="52" t="s">
        <v>19</v>
      </c>
      <c r="N167" s="62" t="str">
        <f>IFERROR(__xludf.DUMMYFUNCTION("""COMPUTED_VALUE"""),"")</f>
        <v/>
      </c>
      <c r="O167" s="62" t="str">
        <f>IFERROR(__xludf.DUMMYFUNCTION("""COMPUTED_VALUE"""),"")</f>
        <v/>
      </c>
      <c r="P167" s="62" t="str">
        <f>IFERROR(__xludf.DUMMYFUNCTION("""COMPUTED_VALUE"""),"")</f>
        <v/>
      </c>
      <c r="Q167" s="62"/>
      <c r="R167" s="62"/>
      <c r="S167" s="62"/>
    </row>
    <row r="168">
      <c r="A168" s="58">
        <v>45595.58495292824</v>
      </c>
      <c r="B168" s="52" t="s">
        <v>130</v>
      </c>
      <c r="C168" s="52" t="b">
        <v>0</v>
      </c>
      <c r="D168" s="52"/>
      <c r="E168" s="52"/>
      <c r="F168" s="52"/>
      <c r="G168" s="52"/>
      <c r="H168" s="52">
        <v>8.0</v>
      </c>
      <c r="I168" s="52"/>
      <c r="J168" s="52" t="s">
        <v>11</v>
      </c>
      <c r="K168" s="59">
        <v>45595.0</v>
      </c>
      <c r="L168" s="52" t="s">
        <v>135</v>
      </c>
      <c r="M168" s="52" t="s">
        <v>18</v>
      </c>
      <c r="N168" s="62" t="str">
        <f>IFERROR(__xludf.DUMMYFUNCTION("""COMPUTED_VALUE"""),"")</f>
        <v/>
      </c>
      <c r="O168" s="62" t="str">
        <f>IFERROR(__xludf.DUMMYFUNCTION("""COMPUTED_VALUE"""),"")</f>
        <v/>
      </c>
      <c r="P168" s="62" t="str">
        <f>IFERROR(__xludf.DUMMYFUNCTION("""COMPUTED_VALUE"""),"")</f>
        <v/>
      </c>
      <c r="Q168" s="62"/>
      <c r="R168" s="62"/>
      <c r="S168" s="62"/>
    </row>
    <row r="169">
      <c r="A169" s="58">
        <v>45595.64518138889</v>
      </c>
      <c r="B169" s="52" t="s">
        <v>148</v>
      </c>
      <c r="C169" s="52" t="b">
        <v>0</v>
      </c>
      <c r="D169" s="52"/>
      <c r="E169" s="52"/>
      <c r="F169" s="52"/>
      <c r="G169" s="52"/>
      <c r="H169" s="52">
        <v>171.0</v>
      </c>
      <c r="I169" s="52"/>
      <c r="J169" s="52" t="s">
        <v>11</v>
      </c>
      <c r="K169" s="59">
        <v>45595.0</v>
      </c>
      <c r="L169" s="52" t="s">
        <v>135</v>
      </c>
      <c r="M169" s="52" t="s">
        <v>18</v>
      </c>
      <c r="N169" s="62" t="str">
        <f>IFERROR(__xludf.DUMMYFUNCTION("""COMPUTED_VALUE"""),"")</f>
        <v/>
      </c>
      <c r="O169" s="62" t="str">
        <f>IFERROR(__xludf.DUMMYFUNCTION("""COMPUTED_VALUE"""),"")</f>
        <v/>
      </c>
      <c r="P169" s="62" t="str">
        <f>IFERROR(__xludf.DUMMYFUNCTION("""COMPUTED_VALUE"""),"")</f>
        <v/>
      </c>
      <c r="Q169" s="62"/>
      <c r="R169" s="62"/>
      <c r="S169" s="62"/>
    </row>
    <row r="170">
      <c r="A170" s="58">
        <v>45595.66453457176</v>
      </c>
      <c r="B170" s="52" t="s">
        <v>149</v>
      </c>
      <c r="C170" s="52" t="b">
        <v>0</v>
      </c>
      <c r="D170" s="52"/>
      <c r="E170" s="52"/>
      <c r="F170" s="52"/>
      <c r="G170" s="52"/>
      <c r="H170" s="52">
        <v>151.0</v>
      </c>
      <c r="I170" s="52"/>
      <c r="J170" s="52" t="s">
        <v>11</v>
      </c>
      <c r="K170" s="59">
        <v>45595.0</v>
      </c>
      <c r="L170" s="52" t="s">
        <v>135</v>
      </c>
      <c r="M170" s="52" t="s">
        <v>19</v>
      </c>
      <c r="N170" s="62" t="str">
        <f>IFERROR(__xludf.DUMMYFUNCTION("""COMPUTED_VALUE"""),"")</f>
        <v/>
      </c>
      <c r="O170" s="62" t="str">
        <f>IFERROR(__xludf.DUMMYFUNCTION("""COMPUTED_VALUE"""),"")</f>
        <v/>
      </c>
      <c r="P170" s="62" t="str">
        <f>IFERROR(__xludf.DUMMYFUNCTION("""COMPUTED_VALUE"""),"")</f>
        <v/>
      </c>
      <c r="Q170" s="62"/>
      <c r="R170" s="62"/>
      <c r="S170" s="62"/>
    </row>
    <row r="171">
      <c r="A171" s="58">
        <v>45595.86969219908</v>
      </c>
      <c r="B171" s="52" t="s">
        <v>151</v>
      </c>
      <c r="C171" s="52" t="b">
        <v>0</v>
      </c>
      <c r="D171" s="52"/>
      <c r="E171" s="52"/>
      <c r="F171" s="52"/>
      <c r="G171" s="52"/>
      <c r="H171" s="52">
        <v>71.0</v>
      </c>
      <c r="I171" s="52"/>
      <c r="J171" s="52" t="s">
        <v>12</v>
      </c>
      <c r="K171" s="59">
        <v>45595.0</v>
      </c>
      <c r="L171" s="52" t="s">
        <v>135</v>
      </c>
      <c r="M171" s="52" t="s">
        <v>19</v>
      </c>
      <c r="N171" s="62" t="str">
        <f>IFERROR(__xludf.DUMMYFUNCTION("""COMPUTED_VALUE"""),"")</f>
        <v/>
      </c>
      <c r="O171" s="62" t="str">
        <f>IFERROR(__xludf.DUMMYFUNCTION("""COMPUTED_VALUE"""),"")</f>
        <v/>
      </c>
      <c r="P171" s="62" t="str">
        <f>IFERROR(__xludf.DUMMYFUNCTION("""COMPUTED_VALUE"""),"")</f>
        <v/>
      </c>
      <c r="Q171" s="62"/>
      <c r="R171" s="62"/>
      <c r="S171" s="62"/>
    </row>
    <row r="172">
      <c r="A172" s="58">
        <v>45595.87759212963</v>
      </c>
      <c r="B172" s="52" t="s">
        <v>149</v>
      </c>
      <c r="C172" s="52" t="b">
        <v>0</v>
      </c>
      <c r="D172" s="52"/>
      <c r="E172" s="52"/>
      <c r="F172" s="52"/>
      <c r="G172" s="52"/>
      <c r="H172" s="52">
        <v>148.0</v>
      </c>
      <c r="I172" s="52"/>
      <c r="J172" s="52" t="s">
        <v>12</v>
      </c>
      <c r="K172" s="59">
        <v>45595.0</v>
      </c>
      <c r="L172" s="52" t="s">
        <v>135</v>
      </c>
      <c r="M172" s="52" t="s">
        <v>18</v>
      </c>
      <c r="N172" s="62" t="str">
        <f>IFERROR(__xludf.DUMMYFUNCTION("""COMPUTED_VALUE"""),"")</f>
        <v/>
      </c>
      <c r="O172" s="62" t="str">
        <f>IFERROR(__xludf.DUMMYFUNCTION("""COMPUTED_VALUE"""),"")</f>
        <v/>
      </c>
      <c r="P172" s="62" t="str">
        <f>IFERROR(__xludf.DUMMYFUNCTION("""COMPUTED_VALUE"""),"")</f>
        <v/>
      </c>
      <c r="Q172" s="62"/>
      <c r="R172" s="62"/>
      <c r="S172" s="62"/>
    </row>
    <row r="173">
      <c r="A173" s="58">
        <v>45596.55519814815</v>
      </c>
      <c r="B173" s="52" t="s">
        <v>150</v>
      </c>
      <c r="C173" s="52" t="b">
        <v>0</v>
      </c>
      <c r="D173" s="52"/>
      <c r="E173" s="52"/>
      <c r="F173" s="52"/>
      <c r="G173" s="52"/>
      <c r="H173" s="52">
        <v>80.0</v>
      </c>
      <c r="I173" s="52"/>
      <c r="J173" s="52" t="s">
        <v>12</v>
      </c>
      <c r="K173" s="59">
        <v>45595.0</v>
      </c>
      <c r="L173" s="52" t="s">
        <v>135</v>
      </c>
      <c r="M173" s="52" t="s">
        <v>19</v>
      </c>
      <c r="N173" s="62">
        <f>IFERROR(__xludf.DUMMYFUNCTION("""COMPUTED_VALUE"""),327.0)</f>
        <v>327</v>
      </c>
      <c r="O173" s="62">
        <f>IFERROR(__xludf.DUMMYFUNCTION("""COMPUTED_VALUE"""),363.0)</f>
        <v>363</v>
      </c>
      <c r="P173" s="62">
        <f>IFERROR(__xludf.DUMMYFUNCTION("""COMPUTED_VALUE"""),690.0)</f>
        <v>690</v>
      </c>
      <c r="Q173" s="62"/>
      <c r="R173" s="62"/>
      <c r="S173" s="62"/>
    </row>
    <row r="174">
      <c r="A174" s="58">
        <v>45596.62425752315</v>
      </c>
      <c r="B174" s="52" t="s">
        <v>149</v>
      </c>
      <c r="C174" s="52" t="b">
        <v>0</v>
      </c>
      <c r="D174" s="52"/>
      <c r="E174" s="52"/>
      <c r="F174" s="52"/>
      <c r="G174" s="52"/>
      <c r="H174" s="52">
        <v>132.0</v>
      </c>
      <c r="I174" s="52"/>
      <c r="J174" s="52" t="s">
        <v>11</v>
      </c>
      <c r="K174" s="59">
        <v>45596.0</v>
      </c>
      <c r="L174" s="52" t="s">
        <v>137</v>
      </c>
      <c r="M174" s="52" t="s">
        <v>19</v>
      </c>
      <c r="N174" s="62" t="str">
        <f>IFERROR(__xludf.DUMMYFUNCTION("""COMPUTED_VALUE"""),"")</f>
        <v/>
      </c>
      <c r="O174" s="62" t="str">
        <f>IFERROR(__xludf.DUMMYFUNCTION("""COMPUTED_VALUE"""),"")</f>
        <v/>
      </c>
      <c r="P174" s="62" t="str">
        <f>IFERROR(__xludf.DUMMYFUNCTION("""COMPUTED_VALUE"""),"")</f>
        <v/>
      </c>
      <c r="Q174" s="62"/>
      <c r="R174" s="62"/>
      <c r="S174" s="62"/>
    </row>
    <row r="175">
      <c r="A175" s="58">
        <v>45596.62558258101</v>
      </c>
      <c r="B175" s="52" t="s">
        <v>150</v>
      </c>
      <c r="C175" s="52" t="b">
        <v>0</v>
      </c>
      <c r="D175" s="52"/>
      <c r="E175" s="52"/>
      <c r="F175" s="52"/>
      <c r="G175" s="52"/>
      <c r="H175" s="52">
        <v>62.0</v>
      </c>
      <c r="I175" s="52"/>
      <c r="J175" s="52" t="s">
        <v>11</v>
      </c>
      <c r="K175" s="59">
        <v>45596.0</v>
      </c>
      <c r="L175" s="52" t="s">
        <v>137</v>
      </c>
      <c r="M175" s="52" t="s">
        <v>18</v>
      </c>
      <c r="N175" s="62" t="str">
        <f>IFERROR(__xludf.DUMMYFUNCTION("""COMPUTED_VALUE"""),"")</f>
        <v/>
      </c>
      <c r="O175" s="62" t="str">
        <f>IFERROR(__xludf.DUMMYFUNCTION("""COMPUTED_VALUE"""),"")</f>
        <v/>
      </c>
      <c r="P175" s="62" t="str">
        <f>IFERROR(__xludf.DUMMYFUNCTION("""COMPUTED_VALUE"""),"")</f>
        <v/>
      </c>
      <c r="Q175" s="62"/>
      <c r="R175" s="62"/>
      <c r="S175" s="62"/>
    </row>
    <row r="176">
      <c r="A176" s="58">
        <v>45598.86976563658</v>
      </c>
      <c r="B176" s="52" t="s">
        <v>153</v>
      </c>
      <c r="C176" s="52" t="b">
        <v>0</v>
      </c>
      <c r="D176" s="52"/>
      <c r="E176" s="52"/>
      <c r="F176" s="52"/>
      <c r="G176" s="52"/>
      <c r="H176" s="52">
        <v>43.0</v>
      </c>
      <c r="I176" s="52"/>
      <c r="J176" s="52" t="s">
        <v>10</v>
      </c>
      <c r="K176" s="59">
        <v>45596.0</v>
      </c>
      <c r="L176" s="52" t="s">
        <v>137</v>
      </c>
      <c r="M176" s="52" t="s">
        <v>19</v>
      </c>
      <c r="N176" s="62" t="str">
        <f>IFERROR(__xludf.DUMMYFUNCTION("""COMPUTED_VALUE"""),"")</f>
        <v/>
      </c>
      <c r="O176" s="62" t="str">
        <f>IFERROR(__xludf.DUMMYFUNCTION("""COMPUTED_VALUE"""),"")</f>
        <v/>
      </c>
      <c r="P176" s="62" t="str">
        <f>IFERROR(__xludf.DUMMYFUNCTION("""COMPUTED_VALUE"""),"")</f>
        <v/>
      </c>
      <c r="Q176" s="62"/>
      <c r="R176" s="62"/>
      <c r="S176" s="62"/>
    </row>
    <row r="177">
      <c r="A177" s="58">
        <v>45596.86890796296</v>
      </c>
      <c r="B177" s="52" t="s">
        <v>148</v>
      </c>
      <c r="C177" s="52" t="b">
        <v>0</v>
      </c>
      <c r="D177" s="52"/>
      <c r="E177" s="52"/>
      <c r="F177" s="52"/>
      <c r="G177" s="52"/>
      <c r="H177" s="52">
        <v>150.0</v>
      </c>
      <c r="I177" s="52"/>
      <c r="J177" s="52" t="s">
        <v>12</v>
      </c>
      <c r="K177" s="59">
        <v>45596.0</v>
      </c>
      <c r="L177" s="52" t="s">
        <v>137</v>
      </c>
      <c r="M177" s="52" t="s">
        <v>19</v>
      </c>
      <c r="N177" s="62">
        <f>IFERROR(__xludf.DUMMYFUNCTION("""COMPUTED_VALUE"""),62.0)</f>
        <v>62</v>
      </c>
      <c r="O177" s="62">
        <f>IFERROR(__xludf.DUMMYFUNCTION("""COMPUTED_VALUE"""),325.0)</f>
        <v>325</v>
      </c>
      <c r="P177" s="62">
        <f>IFERROR(__xludf.DUMMYFUNCTION("""COMPUTED_VALUE"""),387.0)</f>
        <v>387</v>
      </c>
      <c r="Q177" s="62"/>
      <c r="R177" s="62"/>
      <c r="S177" s="62"/>
    </row>
    <row r="178">
      <c r="A178" s="58">
        <v>45597.38906768519</v>
      </c>
      <c r="B178" s="52" t="s">
        <v>136</v>
      </c>
      <c r="C178" s="52" t="b">
        <v>0</v>
      </c>
      <c r="D178" s="52"/>
      <c r="E178" s="52"/>
      <c r="F178" s="52"/>
      <c r="G178" s="52"/>
      <c r="H178" s="52">
        <v>38.0</v>
      </c>
      <c r="I178" s="52"/>
      <c r="J178" s="52" t="s">
        <v>10</v>
      </c>
      <c r="K178" s="59">
        <v>45597.0</v>
      </c>
      <c r="L178" s="52" t="s">
        <v>138</v>
      </c>
      <c r="M178" s="52" t="s">
        <v>19</v>
      </c>
      <c r="N178" s="62" t="str">
        <f>IFERROR(__xludf.DUMMYFUNCTION("""COMPUTED_VALUE"""),"")</f>
        <v/>
      </c>
      <c r="O178" s="62" t="str">
        <f>IFERROR(__xludf.DUMMYFUNCTION("""COMPUTED_VALUE"""),"")</f>
        <v/>
      </c>
      <c r="P178" s="62" t="str">
        <f>IFERROR(__xludf.DUMMYFUNCTION("""COMPUTED_VALUE"""),"")</f>
        <v/>
      </c>
      <c r="Q178" s="62"/>
      <c r="R178" s="62"/>
      <c r="S178" s="62"/>
    </row>
    <row r="179">
      <c r="A179" s="58">
        <v>45597.54964127314</v>
      </c>
      <c r="B179" s="52" t="s">
        <v>151</v>
      </c>
      <c r="C179" s="52" t="b">
        <v>0</v>
      </c>
      <c r="D179" s="52"/>
      <c r="E179" s="52"/>
      <c r="F179" s="52"/>
      <c r="G179" s="52"/>
      <c r="H179" s="52">
        <v>177.0</v>
      </c>
      <c r="I179" s="52"/>
      <c r="J179" s="52" t="s">
        <v>13</v>
      </c>
      <c r="K179" s="59">
        <v>45597.0</v>
      </c>
      <c r="L179" s="52" t="s">
        <v>138</v>
      </c>
      <c r="M179" s="52" t="s">
        <v>19</v>
      </c>
      <c r="N179" s="62" t="str">
        <f>IFERROR(__xludf.DUMMYFUNCTION("""COMPUTED_VALUE"""),"")</f>
        <v/>
      </c>
      <c r="O179" s="62" t="str">
        <f>IFERROR(__xludf.DUMMYFUNCTION("""COMPUTED_VALUE"""),"")</f>
        <v/>
      </c>
      <c r="P179" s="62" t="str">
        <f>IFERROR(__xludf.DUMMYFUNCTION("""COMPUTED_VALUE"""),"")</f>
        <v/>
      </c>
      <c r="Q179" s="62"/>
      <c r="R179" s="62"/>
      <c r="S179" s="62"/>
    </row>
    <row r="180">
      <c r="A180" s="58">
        <v>45597.65948974537</v>
      </c>
      <c r="B180" s="52" t="s">
        <v>130</v>
      </c>
      <c r="C180" s="52" t="b">
        <v>0</v>
      </c>
      <c r="D180" s="52"/>
      <c r="E180" s="52"/>
      <c r="F180" s="52"/>
      <c r="G180" s="52"/>
      <c r="H180" s="52">
        <v>121.0</v>
      </c>
      <c r="I180" s="52"/>
      <c r="J180" s="52" t="s">
        <v>11</v>
      </c>
      <c r="K180" s="59">
        <v>45597.0</v>
      </c>
      <c r="L180" s="52" t="s">
        <v>138</v>
      </c>
      <c r="M180" s="52" t="s">
        <v>18</v>
      </c>
      <c r="N180" s="62" t="str">
        <f>IFERROR(__xludf.DUMMYFUNCTION("""COMPUTED_VALUE"""),"")</f>
        <v/>
      </c>
      <c r="O180" s="62" t="str">
        <f>IFERROR(__xludf.DUMMYFUNCTION("""COMPUTED_VALUE"""),"")</f>
        <v/>
      </c>
      <c r="P180" s="62" t="str">
        <f>IFERROR(__xludf.DUMMYFUNCTION("""COMPUTED_VALUE"""),"")</f>
        <v/>
      </c>
      <c r="Q180" s="62"/>
      <c r="R180" s="62"/>
      <c r="S180" s="62"/>
    </row>
    <row r="181">
      <c r="A181" s="58">
        <v>45600.54101592593</v>
      </c>
      <c r="B181" s="52" t="s">
        <v>161</v>
      </c>
      <c r="C181" s="52" t="b">
        <v>0</v>
      </c>
      <c r="D181" s="52"/>
      <c r="E181" s="52"/>
      <c r="F181" s="52"/>
      <c r="G181" s="52"/>
      <c r="H181" s="52">
        <v>99.0</v>
      </c>
      <c r="I181" s="52"/>
      <c r="J181" s="52" t="s">
        <v>11</v>
      </c>
      <c r="K181" s="59">
        <v>45597.0</v>
      </c>
      <c r="L181" s="52" t="s">
        <v>138</v>
      </c>
      <c r="M181" s="52" t="s">
        <v>19</v>
      </c>
      <c r="N181" s="62">
        <f>IFERROR(__xludf.DUMMYFUNCTION("""COMPUTED_VALUE"""),121.0)</f>
        <v>121</v>
      </c>
      <c r="O181" s="62">
        <f>IFERROR(__xludf.DUMMYFUNCTION("""COMPUTED_VALUE"""),314.0)</f>
        <v>314</v>
      </c>
      <c r="P181" s="62">
        <f>IFERROR(__xludf.DUMMYFUNCTION("""COMPUTED_VALUE"""),435.0)</f>
        <v>435</v>
      </c>
      <c r="Q181" s="62"/>
      <c r="R181" s="62"/>
      <c r="S181" s="62"/>
    </row>
    <row r="182">
      <c r="A182" s="58">
        <v>45600.53861439815</v>
      </c>
      <c r="B182" s="52" t="s">
        <v>134</v>
      </c>
      <c r="C182" s="52" t="b">
        <v>0</v>
      </c>
      <c r="D182" s="52"/>
      <c r="E182" s="52"/>
      <c r="F182" s="52"/>
      <c r="G182" s="52"/>
      <c r="H182" s="52">
        <v>78.0</v>
      </c>
      <c r="I182" s="52"/>
      <c r="J182" s="52" t="s">
        <v>11</v>
      </c>
      <c r="K182" s="59">
        <v>45600.0</v>
      </c>
      <c r="L182" s="52" t="s">
        <v>129</v>
      </c>
      <c r="M182" s="52" t="s">
        <v>19</v>
      </c>
      <c r="N182" s="62" t="str">
        <f>IFERROR(__xludf.DUMMYFUNCTION("""COMPUTED_VALUE"""),"")</f>
        <v/>
      </c>
      <c r="O182" s="62" t="str">
        <f>IFERROR(__xludf.DUMMYFUNCTION("""COMPUTED_VALUE"""),"")</f>
        <v/>
      </c>
      <c r="P182" s="62" t="str">
        <f>IFERROR(__xludf.DUMMYFUNCTION("""COMPUTED_VALUE"""),"")</f>
        <v/>
      </c>
      <c r="Q182" s="62"/>
      <c r="R182" s="62"/>
      <c r="S182" s="62"/>
    </row>
    <row r="183">
      <c r="A183" s="58">
        <v>45600.61948101852</v>
      </c>
      <c r="B183" s="52" t="s">
        <v>149</v>
      </c>
      <c r="C183" s="52" t="b">
        <v>0</v>
      </c>
      <c r="D183" s="52"/>
      <c r="E183" s="52"/>
      <c r="F183" s="52"/>
      <c r="G183" s="52"/>
      <c r="H183" s="52">
        <v>55.0</v>
      </c>
      <c r="I183" s="52"/>
      <c r="J183" s="52" t="s">
        <v>11</v>
      </c>
      <c r="K183" s="59">
        <v>45600.0</v>
      </c>
      <c r="L183" s="52" t="s">
        <v>129</v>
      </c>
      <c r="M183" s="52" t="s">
        <v>19</v>
      </c>
      <c r="N183" s="62" t="str">
        <f>IFERROR(__xludf.DUMMYFUNCTION("""COMPUTED_VALUE"""),"")</f>
        <v/>
      </c>
      <c r="O183" s="62" t="str">
        <f>IFERROR(__xludf.DUMMYFUNCTION("""COMPUTED_VALUE"""),"")</f>
        <v/>
      </c>
      <c r="P183" s="62" t="str">
        <f>IFERROR(__xludf.DUMMYFUNCTION("""COMPUTED_VALUE"""),"")</f>
        <v/>
      </c>
      <c r="Q183" s="62"/>
      <c r="R183" s="62"/>
      <c r="S183" s="62"/>
    </row>
    <row r="184">
      <c r="A184" s="58">
        <v>45600.6455988426</v>
      </c>
      <c r="B184" s="52" t="s">
        <v>148</v>
      </c>
      <c r="C184" s="52" t="b">
        <v>0</v>
      </c>
      <c r="D184" s="52"/>
      <c r="E184" s="52"/>
      <c r="F184" s="52"/>
      <c r="G184" s="52"/>
      <c r="H184" s="52">
        <v>174.0</v>
      </c>
      <c r="I184" s="52"/>
      <c r="J184" s="52" t="s">
        <v>11</v>
      </c>
      <c r="K184" s="59">
        <v>45600.0</v>
      </c>
      <c r="L184" s="52" t="s">
        <v>129</v>
      </c>
      <c r="M184" s="52" t="s">
        <v>18</v>
      </c>
      <c r="N184" s="62" t="str">
        <f>IFERROR(__xludf.DUMMYFUNCTION("""COMPUTED_VALUE"""),"")</f>
        <v/>
      </c>
      <c r="O184" s="62" t="str">
        <f>IFERROR(__xludf.DUMMYFUNCTION("""COMPUTED_VALUE"""),"")</f>
        <v/>
      </c>
      <c r="P184" s="62" t="str">
        <f>IFERROR(__xludf.DUMMYFUNCTION("""COMPUTED_VALUE"""),"")</f>
        <v/>
      </c>
      <c r="Q184" s="62"/>
      <c r="R184" s="62"/>
      <c r="S184" s="62"/>
    </row>
    <row r="185">
      <c r="A185" s="58">
        <v>45600.7764684375</v>
      </c>
      <c r="B185" s="52" t="s">
        <v>130</v>
      </c>
      <c r="C185" s="52" t="b">
        <v>0</v>
      </c>
      <c r="D185" s="52"/>
      <c r="E185" s="52"/>
      <c r="F185" s="52"/>
      <c r="G185" s="52"/>
      <c r="H185" s="52">
        <v>11.0</v>
      </c>
      <c r="I185" s="52"/>
      <c r="J185" s="52" t="s">
        <v>11</v>
      </c>
      <c r="K185" s="59">
        <v>45600.0</v>
      </c>
      <c r="L185" s="52" t="s">
        <v>129</v>
      </c>
      <c r="M185" s="52" t="s">
        <v>18</v>
      </c>
      <c r="N185" s="62">
        <f>IFERROR(__xludf.DUMMYFUNCTION("""COMPUTED_VALUE"""),185.0)</f>
        <v>185</v>
      </c>
      <c r="O185" s="62">
        <f>IFERROR(__xludf.DUMMYFUNCTION("""COMPUTED_VALUE"""),133.0)</f>
        <v>133</v>
      </c>
      <c r="P185" s="62">
        <f>IFERROR(__xludf.DUMMYFUNCTION("""COMPUTED_VALUE"""),318.0)</f>
        <v>318</v>
      </c>
      <c r="Q185" s="62"/>
      <c r="R185" s="62"/>
      <c r="S185" s="62"/>
    </row>
    <row r="186">
      <c r="A186" s="58">
        <v>45602.55849144676</v>
      </c>
      <c r="B186" s="52" t="s">
        <v>150</v>
      </c>
      <c r="C186" s="52" t="b">
        <v>0</v>
      </c>
      <c r="D186" s="52"/>
      <c r="E186" s="52"/>
      <c r="F186" s="52"/>
      <c r="G186" s="52"/>
      <c r="H186" s="52">
        <v>64.0</v>
      </c>
      <c r="I186" s="52"/>
      <c r="J186" s="52" t="s">
        <v>11</v>
      </c>
      <c r="K186" s="59">
        <v>45602.0</v>
      </c>
      <c r="L186" s="52" t="s">
        <v>135</v>
      </c>
      <c r="M186" s="52" t="s">
        <v>18</v>
      </c>
      <c r="N186" s="62" t="str">
        <f>IFERROR(__xludf.DUMMYFUNCTION("""COMPUTED_VALUE"""),"")</f>
        <v/>
      </c>
      <c r="O186" s="62" t="str">
        <f>IFERROR(__xludf.DUMMYFUNCTION("""COMPUTED_VALUE"""),"")</f>
        <v/>
      </c>
      <c r="P186" s="62" t="str">
        <f>IFERROR(__xludf.DUMMYFUNCTION("""COMPUTED_VALUE"""),"")</f>
        <v/>
      </c>
      <c r="Q186" s="62"/>
      <c r="R186" s="62"/>
      <c r="S186" s="62"/>
    </row>
    <row r="187">
      <c r="A187" s="58">
        <v>45602.60459928241</v>
      </c>
      <c r="B187" s="52" t="s">
        <v>153</v>
      </c>
      <c r="C187" s="52" t="b">
        <v>0</v>
      </c>
      <c r="D187" s="52"/>
      <c r="E187" s="52"/>
      <c r="F187" s="52"/>
      <c r="G187" s="52"/>
      <c r="H187" s="52">
        <v>42.0</v>
      </c>
      <c r="I187" s="52"/>
      <c r="J187" s="52" t="s">
        <v>10</v>
      </c>
      <c r="K187" s="59">
        <v>45602.0</v>
      </c>
      <c r="L187" s="52" t="s">
        <v>135</v>
      </c>
      <c r="M187" s="52" t="s">
        <v>19</v>
      </c>
      <c r="N187" s="62" t="str">
        <f>IFERROR(__xludf.DUMMYFUNCTION("""COMPUTED_VALUE"""),"")</f>
        <v/>
      </c>
      <c r="O187" s="62" t="str">
        <f>IFERROR(__xludf.DUMMYFUNCTION("""COMPUTED_VALUE"""),"")</f>
        <v/>
      </c>
      <c r="P187" s="62" t="str">
        <f>IFERROR(__xludf.DUMMYFUNCTION("""COMPUTED_VALUE"""),"")</f>
        <v/>
      </c>
      <c r="Q187" s="62"/>
      <c r="R187" s="62"/>
      <c r="S187" s="62"/>
    </row>
    <row r="188">
      <c r="A188" s="58">
        <v>45602.62525140047</v>
      </c>
      <c r="B188" s="52" t="s">
        <v>131</v>
      </c>
      <c r="C188" s="52" t="b">
        <v>0</v>
      </c>
      <c r="D188" s="52"/>
      <c r="E188" s="52"/>
      <c r="F188" s="52"/>
      <c r="G188" s="52"/>
      <c r="H188" s="52">
        <v>185.0</v>
      </c>
      <c r="I188" s="52"/>
      <c r="J188" s="52" t="s">
        <v>11</v>
      </c>
      <c r="K188" s="59">
        <v>45602.0</v>
      </c>
      <c r="L188" s="52" t="s">
        <v>135</v>
      </c>
      <c r="M188" s="52" t="s">
        <v>19</v>
      </c>
      <c r="N188" s="62" t="str">
        <f>IFERROR(__xludf.DUMMYFUNCTION("""COMPUTED_VALUE"""),"")</f>
        <v/>
      </c>
      <c r="O188" s="62" t="str">
        <f>IFERROR(__xludf.DUMMYFUNCTION("""COMPUTED_VALUE"""),"")</f>
        <v/>
      </c>
      <c r="P188" s="62" t="str">
        <f>IFERROR(__xludf.DUMMYFUNCTION("""COMPUTED_VALUE"""),"")</f>
        <v/>
      </c>
      <c r="Q188" s="62"/>
      <c r="R188" s="62"/>
      <c r="S188" s="62"/>
    </row>
    <row r="189">
      <c r="A189" s="58">
        <v>45603.29255325231</v>
      </c>
      <c r="B189" s="52" t="s">
        <v>162</v>
      </c>
      <c r="C189" s="52" t="b">
        <v>0</v>
      </c>
      <c r="D189" s="52"/>
      <c r="E189" s="52"/>
      <c r="F189" s="52"/>
      <c r="G189" s="52"/>
      <c r="H189" s="52">
        <v>208.0</v>
      </c>
      <c r="I189" s="52"/>
      <c r="J189" s="52" t="s">
        <v>12</v>
      </c>
      <c r="K189" s="59">
        <v>45602.0</v>
      </c>
      <c r="L189" s="52" t="s">
        <v>135</v>
      </c>
      <c r="M189" s="52" t="s">
        <v>19</v>
      </c>
      <c r="N189" s="62">
        <f>IFERROR(__xludf.DUMMYFUNCTION("""COMPUTED_VALUE"""),64.0)</f>
        <v>64</v>
      </c>
      <c r="O189" s="62">
        <f>IFERROR(__xludf.DUMMYFUNCTION("""COMPUTED_VALUE"""),435.0)</f>
        <v>435</v>
      </c>
      <c r="P189" s="62">
        <f>IFERROR(__xludf.DUMMYFUNCTION("""COMPUTED_VALUE"""),499.0)</f>
        <v>499</v>
      </c>
      <c r="Q189" s="62"/>
      <c r="R189" s="62"/>
      <c r="S189" s="62"/>
    </row>
    <row r="190">
      <c r="A190" s="58">
        <v>45603.55657799768</v>
      </c>
      <c r="B190" s="52" t="s">
        <v>150</v>
      </c>
      <c r="C190" s="52" t="b">
        <v>0</v>
      </c>
      <c r="D190" s="52"/>
      <c r="E190" s="52"/>
      <c r="F190" s="52"/>
      <c r="G190" s="52"/>
      <c r="H190" s="52">
        <v>138.0</v>
      </c>
      <c r="I190" s="52"/>
      <c r="J190" s="52" t="s">
        <v>11</v>
      </c>
      <c r="K190" s="59">
        <v>45603.0</v>
      </c>
      <c r="L190" s="52" t="s">
        <v>137</v>
      </c>
      <c r="M190" s="52" t="s">
        <v>18</v>
      </c>
      <c r="N190" s="62" t="str">
        <f>IFERROR(__xludf.DUMMYFUNCTION("""COMPUTED_VALUE"""),"")</f>
        <v/>
      </c>
      <c r="O190" s="62" t="str">
        <f>IFERROR(__xludf.DUMMYFUNCTION("""COMPUTED_VALUE"""),"")</f>
        <v/>
      </c>
      <c r="P190" s="62" t="str">
        <f>IFERROR(__xludf.DUMMYFUNCTION("""COMPUTED_VALUE"""),"")</f>
        <v/>
      </c>
      <c r="Q190" s="62"/>
      <c r="R190" s="62"/>
      <c r="S190" s="62"/>
    </row>
    <row r="191">
      <c r="A191" s="58">
        <v>45603.62491172454</v>
      </c>
      <c r="B191" s="52" t="s">
        <v>149</v>
      </c>
      <c r="C191" s="52" t="b">
        <v>0</v>
      </c>
      <c r="D191" s="52"/>
      <c r="E191" s="52"/>
      <c r="F191" s="52"/>
      <c r="G191" s="52"/>
      <c r="H191" s="52">
        <v>118.0</v>
      </c>
      <c r="I191" s="52"/>
      <c r="J191" s="52" t="s">
        <v>11</v>
      </c>
      <c r="K191" s="59">
        <v>45603.0</v>
      </c>
      <c r="L191" s="52" t="s">
        <v>137</v>
      </c>
      <c r="M191" s="52" t="s">
        <v>19</v>
      </c>
      <c r="N191" s="62" t="str">
        <f>IFERROR(__xludf.DUMMYFUNCTION("""COMPUTED_VALUE"""),"")</f>
        <v/>
      </c>
      <c r="O191" s="62" t="str">
        <f>IFERROR(__xludf.DUMMYFUNCTION("""COMPUTED_VALUE"""),"")</f>
        <v/>
      </c>
      <c r="P191" s="62" t="str">
        <f>IFERROR(__xludf.DUMMYFUNCTION("""COMPUTED_VALUE"""),"")</f>
        <v/>
      </c>
      <c r="Q191" s="62"/>
      <c r="R191" s="62"/>
      <c r="S191" s="62"/>
    </row>
    <row r="192">
      <c r="A192" s="58">
        <v>45603.63607224537</v>
      </c>
      <c r="B192" s="52" t="s">
        <v>153</v>
      </c>
      <c r="C192" s="52" t="b">
        <v>0</v>
      </c>
      <c r="D192" s="52"/>
      <c r="E192" s="52"/>
      <c r="F192" s="52"/>
      <c r="G192" s="52"/>
      <c r="H192" s="52">
        <v>60.0</v>
      </c>
      <c r="I192" s="52"/>
      <c r="J192" s="52" t="s">
        <v>10</v>
      </c>
      <c r="K192" s="59">
        <v>45603.0</v>
      </c>
      <c r="L192" s="52" t="s">
        <v>137</v>
      </c>
      <c r="M192" s="52" t="s">
        <v>19</v>
      </c>
      <c r="N192" s="62" t="str">
        <f>IFERROR(__xludf.DUMMYFUNCTION("""COMPUTED_VALUE"""),"")</f>
        <v/>
      </c>
      <c r="O192" s="62" t="str">
        <f>IFERROR(__xludf.DUMMYFUNCTION("""COMPUTED_VALUE"""),"")</f>
        <v/>
      </c>
      <c r="P192" s="62" t="str">
        <f>IFERROR(__xludf.DUMMYFUNCTION("""COMPUTED_VALUE"""),"")</f>
        <v/>
      </c>
      <c r="Q192" s="62"/>
      <c r="R192" s="62"/>
      <c r="S192" s="62"/>
    </row>
    <row r="193">
      <c r="A193" s="58">
        <v>45603.87442971065</v>
      </c>
      <c r="B193" s="52" t="s">
        <v>148</v>
      </c>
      <c r="C193" s="52" t="b">
        <v>0</v>
      </c>
      <c r="D193" s="52"/>
      <c r="E193" s="52"/>
      <c r="F193" s="52"/>
      <c r="G193" s="52"/>
      <c r="H193" s="52">
        <v>248.0</v>
      </c>
      <c r="I193" s="52"/>
      <c r="J193" s="52" t="s">
        <v>12</v>
      </c>
      <c r="K193" s="59">
        <v>45603.0</v>
      </c>
      <c r="L193" s="52" t="s">
        <v>137</v>
      </c>
      <c r="M193" s="52" t="s">
        <v>19</v>
      </c>
      <c r="N193" s="62" t="str">
        <f>IFERROR(__xludf.DUMMYFUNCTION("""COMPUTED_VALUE"""),"")</f>
        <v/>
      </c>
      <c r="O193" s="62" t="str">
        <f>IFERROR(__xludf.DUMMYFUNCTION("""COMPUTED_VALUE"""),"")</f>
        <v/>
      </c>
      <c r="P193" s="62" t="str">
        <f>IFERROR(__xludf.DUMMYFUNCTION("""COMPUTED_VALUE"""),"")</f>
        <v/>
      </c>
      <c r="Q193" s="62"/>
      <c r="R193" s="62"/>
      <c r="S193" s="62"/>
    </row>
    <row r="194">
      <c r="A194" s="58">
        <v>45604.83322193287</v>
      </c>
      <c r="B194" s="52" t="s">
        <v>148</v>
      </c>
      <c r="C194" s="52" t="b">
        <v>0</v>
      </c>
      <c r="D194" s="52"/>
      <c r="E194" s="52"/>
      <c r="F194" s="52"/>
      <c r="G194" s="52"/>
      <c r="H194" s="52">
        <v>167.0</v>
      </c>
      <c r="I194" s="52"/>
      <c r="J194" s="52" t="s">
        <v>12</v>
      </c>
      <c r="K194" s="59">
        <v>45603.0</v>
      </c>
      <c r="L194" s="52" t="s">
        <v>137</v>
      </c>
      <c r="M194" s="52" t="s">
        <v>18</v>
      </c>
      <c r="N194" s="62" t="str">
        <f>IFERROR(__xludf.DUMMYFUNCTION("""COMPUTED_VALUE"""),"")</f>
        <v/>
      </c>
      <c r="O194" s="62" t="str">
        <f>IFERROR(__xludf.DUMMYFUNCTION("""COMPUTED_VALUE"""),"")</f>
        <v/>
      </c>
      <c r="P194" s="62" t="str">
        <f>IFERROR(__xludf.DUMMYFUNCTION("""COMPUTED_VALUE"""),"")</f>
        <v/>
      </c>
      <c r="Q194" s="62"/>
      <c r="R194" s="62"/>
      <c r="S194" s="62"/>
    </row>
    <row r="195">
      <c r="A195" s="58">
        <v>45604.31235049768</v>
      </c>
      <c r="B195" s="52" t="s">
        <v>134</v>
      </c>
      <c r="C195" s="52" t="b">
        <v>0</v>
      </c>
      <c r="D195" s="52"/>
      <c r="E195" s="52"/>
      <c r="F195" s="52"/>
      <c r="G195" s="52"/>
      <c r="H195" s="52">
        <v>153.0</v>
      </c>
      <c r="I195" s="52"/>
      <c r="J195" s="52" t="s">
        <v>12</v>
      </c>
      <c r="K195" s="59">
        <v>45603.0</v>
      </c>
      <c r="L195" s="52" t="s">
        <v>137</v>
      </c>
      <c r="M195" s="52" t="s">
        <v>18</v>
      </c>
      <c r="N195" s="62">
        <f>IFERROR(__xludf.DUMMYFUNCTION("""COMPUTED_VALUE"""),458.0)</f>
        <v>458</v>
      </c>
      <c r="O195" s="62">
        <f>IFERROR(__xludf.DUMMYFUNCTION("""COMPUTED_VALUE"""),426.0)</f>
        <v>426</v>
      </c>
      <c r="P195" s="62">
        <f>IFERROR(__xludf.DUMMYFUNCTION("""COMPUTED_VALUE"""),884.0)</f>
        <v>884</v>
      </c>
      <c r="Q195" s="62"/>
      <c r="R195" s="62"/>
      <c r="S195" s="62"/>
    </row>
    <row r="196">
      <c r="A196" s="58">
        <v>45604.38876427084</v>
      </c>
      <c r="B196" s="52" t="s">
        <v>136</v>
      </c>
      <c r="C196" s="52" t="b">
        <v>0</v>
      </c>
      <c r="D196" s="52"/>
      <c r="E196" s="52"/>
      <c r="F196" s="52"/>
      <c r="G196" s="52"/>
      <c r="H196" s="52">
        <v>48.0</v>
      </c>
      <c r="I196" s="52"/>
      <c r="J196" s="52" t="s">
        <v>10</v>
      </c>
      <c r="K196" s="59">
        <v>45604.0</v>
      </c>
      <c r="L196" s="52" t="s">
        <v>138</v>
      </c>
      <c r="M196" s="52" t="s">
        <v>19</v>
      </c>
      <c r="N196" s="62" t="str">
        <f>IFERROR(__xludf.DUMMYFUNCTION("""COMPUTED_VALUE"""),"")</f>
        <v/>
      </c>
      <c r="O196" s="62" t="str">
        <f>IFERROR(__xludf.DUMMYFUNCTION("""COMPUTED_VALUE"""),"")</f>
        <v/>
      </c>
      <c r="P196" s="62" t="str">
        <f>IFERROR(__xludf.DUMMYFUNCTION("""COMPUTED_VALUE"""),"")</f>
        <v/>
      </c>
      <c r="Q196" s="62"/>
      <c r="R196" s="62"/>
      <c r="S196" s="62"/>
    </row>
    <row r="197">
      <c r="A197" s="58">
        <v>45604.55947634259</v>
      </c>
      <c r="B197" s="52" t="s">
        <v>151</v>
      </c>
      <c r="C197" s="52" t="b">
        <v>0</v>
      </c>
      <c r="D197" s="52"/>
      <c r="E197" s="52"/>
      <c r="F197" s="52"/>
      <c r="G197" s="52"/>
      <c r="H197" s="52">
        <v>103.0</v>
      </c>
      <c r="I197" s="52"/>
      <c r="J197" s="52" t="s">
        <v>13</v>
      </c>
      <c r="K197" s="59">
        <v>45604.0</v>
      </c>
      <c r="L197" s="52" t="s">
        <v>138</v>
      </c>
      <c r="M197" s="52" t="s">
        <v>19</v>
      </c>
      <c r="N197" s="62" t="str">
        <f>IFERROR(__xludf.DUMMYFUNCTION("""COMPUTED_VALUE"""),"")</f>
        <v/>
      </c>
      <c r="O197" s="62" t="str">
        <f>IFERROR(__xludf.DUMMYFUNCTION("""COMPUTED_VALUE"""),"")</f>
        <v/>
      </c>
      <c r="P197" s="62" t="str">
        <f>IFERROR(__xludf.DUMMYFUNCTION("""COMPUTED_VALUE"""),"")</f>
        <v/>
      </c>
      <c r="Q197" s="62"/>
      <c r="R197" s="62"/>
      <c r="S197" s="62"/>
    </row>
    <row r="198">
      <c r="A198" s="58">
        <v>45604.64760689815</v>
      </c>
      <c r="B198" s="52" t="s">
        <v>130</v>
      </c>
      <c r="C198" s="52" t="b">
        <v>0</v>
      </c>
      <c r="D198" s="52"/>
      <c r="E198" s="52"/>
      <c r="F198" s="52"/>
      <c r="G198" s="52"/>
      <c r="H198" s="52">
        <v>155.0</v>
      </c>
      <c r="I198" s="52"/>
      <c r="J198" s="52" t="s">
        <v>11</v>
      </c>
      <c r="K198" s="59">
        <v>45604.0</v>
      </c>
      <c r="L198" s="52" t="s">
        <v>138</v>
      </c>
      <c r="M198" s="52" t="s">
        <v>18</v>
      </c>
      <c r="N198" s="62">
        <f>IFERROR(__xludf.DUMMYFUNCTION("""COMPUTED_VALUE"""),155.0)</f>
        <v>155</v>
      </c>
      <c r="O198" s="62">
        <f>IFERROR(__xludf.DUMMYFUNCTION("""COMPUTED_VALUE"""),151.0)</f>
        <v>151</v>
      </c>
      <c r="P198" s="62">
        <f>IFERROR(__xludf.DUMMYFUNCTION("""COMPUTED_VALUE"""),306.0)</f>
        <v>306</v>
      </c>
      <c r="Q198" s="62"/>
      <c r="R198" s="62"/>
      <c r="S198" s="62"/>
    </row>
    <row r="199">
      <c r="A199" s="58">
        <v>45608.87498248843</v>
      </c>
      <c r="B199" s="52" t="s">
        <v>149</v>
      </c>
      <c r="C199" s="52" t="b">
        <v>0</v>
      </c>
      <c r="D199" s="52"/>
      <c r="E199" s="52"/>
      <c r="F199" s="52"/>
      <c r="G199" s="52"/>
      <c r="H199" s="52">
        <v>145.0</v>
      </c>
      <c r="I199" s="52"/>
      <c r="J199" s="52" t="s">
        <v>12</v>
      </c>
      <c r="K199" s="59">
        <v>45608.0</v>
      </c>
      <c r="L199" s="52" t="s">
        <v>132</v>
      </c>
      <c r="M199" s="52" t="s">
        <v>19</v>
      </c>
      <c r="N199" s="62" t="str">
        <f>IFERROR(__xludf.DUMMYFUNCTION("""COMPUTED_VALUE"""),"")</f>
        <v/>
      </c>
      <c r="O199" s="62" t="str">
        <f>IFERROR(__xludf.DUMMYFUNCTION("""COMPUTED_VALUE"""),"")</f>
        <v/>
      </c>
      <c r="P199" s="62" t="str">
        <f>IFERROR(__xludf.DUMMYFUNCTION("""COMPUTED_VALUE"""),"")</f>
        <v/>
      </c>
      <c r="Q199" s="62"/>
      <c r="R199" s="62"/>
      <c r="S199" s="62"/>
    </row>
    <row r="200">
      <c r="A200" s="58">
        <v>45609.77673686342</v>
      </c>
      <c r="B200" s="52" t="s">
        <v>153</v>
      </c>
      <c r="C200" s="52" t="b">
        <v>0</v>
      </c>
      <c r="D200" s="52"/>
      <c r="E200" s="52"/>
      <c r="F200" s="52"/>
      <c r="G200" s="52"/>
      <c r="H200" s="52">
        <v>42.0</v>
      </c>
      <c r="I200" s="52"/>
      <c r="J200" s="52" t="s">
        <v>10</v>
      </c>
      <c r="K200" s="59">
        <v>45608.0</v>
      </c>
      <c r="L200" s="52" t="s">
        <v>132</v>
      </c>
      <c r="M200" s="52" t="s">
        <v>19</v>
      </c>
      <c r="N200" s="62" t="str">
        <f>IFERROR(__xludf.DUMMYFUNCTION("""COMPUTED_VALUE"""),"")</f>
        <v/>
      </c>
      <c r="O200" s="62">
        <f>IFERROR(__xludf.DUMMYFUNCTION("""COMPUTED_VALUE"""),187.0)</f>
        <v>187</v>
      </c>
      <c r="P200" s="62">
        <f>IFERROR(__xludf.DUMMYFUNCTION("""COMPUTED_VALUE"""),187.0)</f>
        <v>187</v>
      </c>
      <c r="Q200" s="62"/>
      <c r="R200" s="62"/>
      <c r="S200" s="62"/>
    </row>
    <row r="201">
      <c r="A201" s="58">
        <v>45609.42699961805</v>
      </c>
      <c r="B201" s="52" t="s">
        <v>136</v>
      </c>
      <c r="C201" s="52" t="b">
        <v>0</v>
      </c>
      <c r="D201" s="52"/>
      <c r="E201" s="52"/>
      <c r="F201" s="52"/>
      <c r="G201" s="52"/>
      <c r="H201" s="52">
        <v>84.0</v>
      </c>
      <c r="I201" s="52"/>
      <c r="J201" s="52" t="s">
        <v>10</v>
      </c>
      <c r="K201" s="59">
        <v>45609.0</v>
      </c>
      <c r="L201" s="52" t="s">
        <v>135</v>
      </c>
      <c r="M201" s="52" t="s">
        <v>19</v>
      </c>
      <c r="N201" s="62" t="str">
        <f>IFERROR(__xludf.DUMMYFUNCTION("""COMPUTED_VALUE"""),"")</f>
        <v/>
      </c>
      <c r="O201" s="62" t="str">
        <f>IFERROR(__xludf.DUMMYFUNCTION("""COMPUTED_VALUE"""),"")</f>
        <v/>
      </c>
      <c r="P201" s="62" t="str">
        <f>IFERROR(__xludf.DUMMYFUNCTION("""COMPUTED_VALUE"""),"")</f>
        <v/>
      </c>
      <c r="Q201" s="62"/>
      <c r="R201" s="62"/>
      <c r="S201" s="62"/>
    </row>
    <row r="202">
      <c r="A202" s="58">
        <v>45609.50062770833</v>
      </c>
      <c r="B202" s="52" t="s">
        <v>130</v>
      </c>
      <c r="C202" s="52" t="b">
        <v>0</v>
      </c>
      <c r="D202" s="52"/>
      <c r="E202" s="52"/>
      <c r="F202" s="52"/>
      <c r="G202" s="52"/>
      <c r="H202" s="52">
        <v>8.0</v>
      </c>
      <c r="I202" s="52"/>
      <c r="J202" s="52" t="s">
        <v>11</v>
      </c>
      <c r="K202" s="59">
        <v>45609.0</v>
      </c>
      <c r="L202" s="52" t="s">
        <v>135</v>
      </c>
      <c r="M202" s="52" t="s">
        <v>18</v>
      </c>
      <c r="N202" s="62" t="str">
        <f>IFERROR(__xludf.DUMMYFUNCTION("""COMPUTED_VALUE"""),"")</f>
        <v/>
      </c>
      <c r="O202" s="62" t="str">
        <f>IFERROR(__xludf.DUMMYFUNCTION("""COMPUTED_VALUE"""),"")</f>
        <v/>
      </c>
      <c r="P202" s="62" t="str">
        <f>IFERROR(__xludf.DUMMYFUNCTION("""COMPUTED_VALUE"""),"")</f>
        <v/>
      </c>
      <c r="Q202" s="62"/>
      <c r="R202" s="62"/>
      <c r="S202" s="62"/>
    </row>
    <row r="203">
      <c r="A203" s="58">
        <v>45609.58706766204</v>
      </c>
      <c r="B203" s="52" t="s">
        <v>148</v>
      </c>
      <c r="C203" s="52" t="b">
        <v>0</v>
      </c>
      <c r="D203" s="52"/>
      <c r="E203" s="52"/>
      <c r="F203" s="52"/>
      <c r="G203" s="52"/>
      <c r="H203" s="52">
        <v>132.0</v>
      </c>
      <c r="I203" s="52"/>
      <c r="J203" s="52" t="s">
        <v>11</v>
      </c>
      <c r="K203" s="59">
        <v>45609.0</v>
      </c>
      <c r="L203" s="52" t="s">
        <v>135</v>
      </c>
      <c r="M203" s="52" t="s">
        <v>18</v>
      </c>
      <c r="N203" s="62" t="str">
        <f>IFERROR(__xludf.DUMMYFUNCTION("""COMPUTED_VALUE"""),"")</f>
        <v/>
      </c>
      <c r="O203" s="62" t="str">
        <f>IFERROR(__xludf.DUMMYFUNCTION("""COMPUTED_VALUE"""),"")</f>
        <v/>
      </c>
      <c r="P203" s="62" t="str">
        <f>IFERROR(__xludf.DUMMYFUNCTION("""COMPUTED_VALUE"""),"")</f>
        <v/>
      </c>
      <c r="Q203" s="62"/>
      <c r="R203" s="62"/>
      <c r="S203" s="62"/>
    </row>
    <row r="204">
      <c r="A204" s="58">
        <v>45609.63572640046</v>
      </c>
      <c r="B204" s="52" t="s">
        <v>149</v>
      </c>
      <c r="C204" s="52" t="b">
        <v>0</v>
      </c>
      <c r="D204" s="52"/>
      <c r="E204" s="52"/>
      <c r="F204" s="52"/>
      <c r="G204" s="52"/>
      <c r="H204" s="52">
        <v>98.0</v>
      </c>
      <c r="I204" s="52"/>
      <c r="J204" s="52" t="s">
        <v>11</v>
      </c>
      <c r="K204" s="59">
        <v>45609.0</v>
      </c>
      <c r="L204" s="52" t="s">
        <v>135</v>
      </c>
      <c r="M204" s="52" t="s">
        <v>19</v>
      </c>
      <c r="N204" s="62" t="str">
        <f>IFERROR(__xludf.DUMMYFUNCTION("""COMPUTED_VALUE"""),"")</f>
        <v/>
      </c>
      <c r="O204" s="62" t="str">
        <f>IFERROR(__xludf.DUMMYFUNCTION("""COMPUTED_VALUE"""),"")</f>
        <v/>
      </c>
      <c r="P204" s="62" t="str">
        <f>IFERROR(__xludf.DUMMYFUNCTION("""COMPUTED_VALUE"""),"")</f>
        <v/>
      </c>
      <c r="Q204" s="62"/>
      <c r="R204" s="62"/>
      <c r="S204" s="62"/>
    </row>
    <row r="205">
      <c r="A205" s="58">
        <v>45609.64290922454</v>
      </c>
      <c r="B205" s="52" t="s">
        <v>148</v>
      </c>
      <c r="C205" s="52" t="b">
        <v>0</v>
      </c>
      <c r="D205" s="52"/>
      <c r="E205" s="52"/>
      <c r="F205" s="52"/>
      <c r="G205" s="52"/>
      <c r="H205" s="52">
        <v>61.0</v>
      </c>
      <c r="I205" s="52"/>
      <c r="J205" s="52" t="s">
        <v>11</v>
      </c>
      <c r="K205" s="59">
        <v>45609.0</v>
      </c>
      <c r="L205" s="52" t="s">
        <v>135</v>
      </c>
      <c r="M205" s="52" t="s">
        <v>18</v>
      </c>
      <c r="N205" s="62" t="str">
        <f>IFERROR(__xludf.DUMMYFUNCTION("""COMPUTED_VALUE"""),"")</f>
        <v/>
      </c>
      <c r="O205" s="62" t="str">
        <f>IFERROR(__xludf.DUMMYFUNCTION("""COMPUTED_VALUE"""),"")</f>
        <v/>
      </c>
      <c r="P205" s="62" t="str">
        <f>IFERROR(__xludf.DUMMYFUNCTION("""COMPUTED_VALUE"""),"")</f>
        <v/>
      </c>
      <c r="Q205" s="62"/>
      <c r="R205" s="62"/>
      <c r="S205" s="62"/>
    </row>
    <row r="206">
      <c r="A206" s="58">
        <v>45609.87244435185</v>
      </c>
      <c r="B206" s="52" t="s">
        <v>151</v>
      </c>
      <c r="C206" s="52" t="b">
        <v>0</v>
      </c>
      <c r="D206" s="52"/>
      <c r="E206" s="52"/>
      <c r="F206" s="52"/>
      <c r="G206" s="52"/>
      <c r="H206" s="52">
        <v>42.0</v>
      </c>
      <c r="I206" s="52"/>
      <c r="J206" s="52" t="s">
        <v>12</v>
      </c>
      <c r="K206" s="59">
        <v>45609.0</v>
      </c>
      <c r="L206" s="52" t="s">
        <v>135</v>
      </c>
      <c r="M206" s="52" t="s">
        <v>19</v>
      </c>
      <c r="N206" s="62" t="str">
        <f>IFERROR(__xludf.DUMMYFUNCTION("""COMPUTED_VALUE"""),"")</f>
        <v/>
      </c>
      <c r="O206" s="62" t="str">
        <f>IFERROR(__xludf.DUMMYFUNCTION("""COMPUTED_VALUE"""),"")</f>
        <v/>
      </c>
      <c r="P206" s="62" t="str">
        <f>IFERROR(__xludf.DUMMYFUNCTION("""COMPUTED_VALUE"""),"")</f>
        <v/>
      </c>
      <c r="Q206" s="62"/>
      <c r="R206" s="62"/>
      <c r="S206" s="62"/>
    </row>
    <row r="207">
      <c r="A207" s="58">
        <v>45609.88897070602</v>
      </c>
      <c r="B207" s="52" t="s">
        <v>149</v>
      </c>
      <c r="C207" s="52" t="b">
        <v>0</v>
      </c>
      <c r="D207" s="52"/>
      <c r="E207" s="52"/>
      <c r="F207" s="52"/>
      <c r="G207" s="52"/>
      <c r="H207" s="52">
        <v>193.0</v>
      </c>
      <c r="I207" s="52"/>
      <c r="J207" s="52" t="s">
        <v>12</v>
      </c>
      <c r="K207" s="59">
        <v>45609.0</v>
      </c>
      <c r="L207" s="52" t="s">
        <v>135</v>
      </c>
      <c r="M207" s="52" t="s">
        <v>18</v>
      </c>
      <c r="N207" s="62">
        <f>IFERROR(__xludf.DUMMYFUNCTION("""COMPUTED_VALUE"""),394.0)</f>
        <v>394</v>
      </c>
      <c r="O207" s="62">
        <f>IFERROR(__xludf.DUMMYFUNCTION("""COMPUTED_VALUE"""),224.0)</f>
        <v>224</v>
      </c>
      <c r="P207" s="62">
        <f>IFERROR(__xludf.DUMMYFUNCTION("""COMPUTED_VALUE"""),618.0)</f>
        <v>618</v>
      </c>
      <c r="Q207" s="62"/>
      <c r="R207" s="62"/>
      <c r="S207" s="62"/>
    </row>
    <row r="208">
      <c r="A208" s="58">
        <v>45610.60186774305</v>
      </c>
      <c r="B208" s="52" t="s">
        <v>150</v>
      </c>
      <c r="C208" s="52" t="b">
        <v>0</v>
      </c>
      <c r="D208" s="52"/>
      <c r="E208" s="52"/>
      <c r="F208" s="52"/>
      <c r="G208" s="52"/>
      <c r="H208" s="52">
        <v>66.0</v>
      </c>
      <c r="I208" s="52"/>
      <c r="J208" s="52" t="s">
        <v>11</v>
      </c>
      <c r="K208" s="59">
        <v>45610.0</v>
      </c>
      <c r="L208" s="52" t="s">
        <v>137</v>
      </c>
      <c r="M208" s="52" t="s">
        <v>18</v>
      </c>
      <c r="N208" s="62" t="str">
        <f>IFERROR(__xludf.DUMMYFUNCTION("""COMPUTED_VALUE"""),"")</f>
        <v/>
      </c>
      <c r="O208" s="62" t="str">
        <f>IFERROR(__xludf.DUMMYFUNCTION("""COMPUTED_VALUE"""),"")</f>
        <v/>
      </c>
      <c r="P208" s="62" t="str">
        <f>IFERROR(__xludf.DUMMYFUNCTION("""COMPUTED_VALUE"""),"")</f>
        <v/>
      </c>
      <c r="Q208" s="62"/>
      <c r="R208" s="62"/>
      <c r="S208" s="62"/>
    </row>
    <row r="209">
      <c r="A209" s="58">
        <v>45610.6265759375</v>
      </c>
      <c r="B209" s="52" t="s">
        <v>149</v>
      </c>
      <c r="C209" s="52" t="b">
        <v>0</v>
      </c>
      <c r="D209" s="52"/>
      <c r="E209" s="52"/>
      <c r="F209" s="52"/>
      <c r="G209" s="52"/>
      <c r="H209" s="52">
        <v>153.0</v>
      </c>
      <c r="I209" s="52"/>
      <c r="J209" s="52" t="s">
        <v>11</v>
      </c>
      <c r="K209" s="59">
        <v>45610.0</v>
      </c>
      <c r="L209" s="52" t="s">
        <v>137</v>
      </c>
      <c r="M209" s="52" t="s">
        <v>19</v>
      </c>
      <c r="N209" s="62" t="str">
        <f>IFERROR(__xludf.DUMMYFUNCTION("""COMPUTED_VALUE"""),"")</f>
        <v/>
      </c>
      <c r="O209" s="62" t="str">
        <f>IFERROR(__xludf.DUMMYFUNCTION("""COMPUTED_VALUE"""),"")</f>
        <v/>
      </c>
      <c r="P209" s="62" t="str">
        <f>IFERROR(__xludf.DUMMYFUNCTION("""COMPUTED_VALUE"""),"")</f>
        <v/>
      </c>
      <c r="Q209" s="62"/>
      <c r="R209" s="62"/>
      <c r="S209" s="62"/>
    </row>
    <row r="210">
      <c r="A210" s="52"/>
      <c r="B210" s="52" t="s">
        <v>133</v>
      </c>
      <c r="C210" s="52" t="b">
        <v>0</v>
      </c>
      <c r="D210" s="52"/>
      <c r="E210" s="52"/>
      <c r="F210" s="52"/>
      <c r="G210" s="52"/>
      <c r="H210" s="52">
        <v>76.0</v>
      </c>
      <c r="I210" s="52"/>
      <c r="J210" s="52" t="s">
        <v>11</v>
      </c>
      <c r="K210" s="59">
        <v>45610.0</v>
      </c>
      <c r="L210" s="52" t="s">
        <v>137</v>
      </c>
      <c r="M210" s="52" t="s">
        <v>18</v>
      </c>
      <c r="N210" s="62" t="str">
        <f>IFERROR(__xludf.DUMMYFUNCTION("""COMPUTED_VALUE"""),"")</f>
        <v/>
      </c>
      <c r="O210" s="62" t="str">
        <f>IFERROR(__xludf.DUMMYFUNCTION("""COMPUTED_VALUE"""),"")</f>
        <v/>
      </c>
      <c r="P210" s="62" t="str">
        <f>IFERROR(__xludf.DUMMYFUNCTION("""COMPUTED_VALUE"""),"")</f>
        <v/>
      </c>
      <c r="Q210" s="62"/>
      <c r="R210" s="62"/>
      <c r="S210" s="62"/>
    </row>
    <row r="211">
      <c r="A211" s="52"/>
      <c r="B211" s="52" t="s">
        <v>133</v>
      </c>
      <c r="C211" s="52" t="b">
        <v>0</v>
      </c>
      <c r="D211" s="52"/>
      <c r="E211" s="52"/>
      <c r="F211" s="52"/>
      <c r="G211" s="52"/>
      <c r="H211" s="52">
        <v>76.0</v>
      </c>
      <c r="I211" s="52"/>
      <c r="J211" s="52" t="s">
        <v>12</v>
      </c>
      <c r="K211" s="59">
        <v>45610.0</v>
      </c>
      <c r="L211" s="52" t="s">
        <v>137</v>
      </c>
      <c r="M211" s="52" t="s">
        <v>18</v>
      </c>
      <c r="N211" s="62" t="str">
        <f>IFERROR(__xludf.DUMMYFUNCTION("""COMPUTED_VALUE"""),"")</f>
        <v/>
      </c>
      <c r="O211" s="62" t="str">
        <f>IFERROR(__xludf.DUMMYFUNCTION("""COMPUTED_VALUE"""),"")</f>
        <v/>
      </c>
      <c r="P211" s="62" t="str">
        <f>IFERROR(__xludf.DUMMYFUNCTION("""COMPUTED_VALUE"""),"")</f>
        <v/>
      </c>
      <c r="Q211" s="62"/>
      <c r="R211" s="62"/>
      <c r="S211" s="62"/>
    </row>
    <row r="212">
      <c r="A212" s="52"/>
      <c r="B212" s="52" t="s">
        <v>133</v>
      </c>
      <c r="C212" s="52" t="b">
        <v>0</v>
      </c>
      <c r="D212" s="52"/>
      <c r="E212" s="52"/>
      <c r="F212" s="52"/>
      <c r="G212" s="52"/>
      <c r="H212" s="52">
        <v>141.0</v>
      </c>
      <c r="I212" s="52"/>
      <c r="J212" s="52" t="s">
        <v>11</v>
      </c>
      <c r="K212" s="59">
        <v>45610.0</v>
      </c>
      <c r="L212" s="52" t="s">
        <v>137</v>
      </c>
      <c r="M212" s="52" t="s">
        <v>19</v>
      </c>
      <c r="N212" s="62" t="str">
        <f>IFERROR(__xludf.DUMMYFUNCTION("""COMPUTED_VALUE"""),"")</f>
        <v/>
      </c>
      <c r="O212" s="62" t="str">
        <f>IFERROR(__xludf.DUMMYFUNCTION("""COMPUTED_VALUE"""),"")</f>
        <v/>
      </c>
      <c r="P212" s="62" t="str">
        <f>IFERROR(__xludf.DUMMYFUNCTION("""COMPUTED_VALUE"""),"")</f>
        <v/>
      </c>
      <c r="Q212" s="62"/>
      <c r="R212" s="62"/>
      <c r="S212" s="62"/>
    </row>
    <row r="213">
      <c r="A213" s="58">
        <v>45610.87122386574</v>
      </c>
      <c r="B213" s="52" t="s">
        <v>148</v>
      </c>
      <c r="C213" s="52" t="b">
        <v>0</v>
      </c>
      <c r="D213" s="52"/>
      <c r="E213" s="52"/>
      <c r="F213" s="52"/>
      <c r="G213" s="52"/>
      <c r="H213" s="52">
        <v>149.0</v>
      </c>
      <c r="I213" s="52"/>
      <c r="J213" s="52" t="s">
        <v>12</v>
      </c>
      <c r="K213" s="59">
        <v>45610.0</v>
      </c>
      <c r="L213" s="52" t="s">
        <v>137</v>
      </c>
      <c r="M213" s="52" t="s">
        <v>19</v>
      </c>
      <c r="N213" s="62" t="str">
        <f>IFERROR(__xludf.DUMMYFUNCTION("""COMPUTED_VALUE"""),"")</f>
        <v/>
      </c>
      <c r="O213" s="62" t="str">
        <f>IFERROR(__xludf.DUMMYFUNCTION("""COMPUTED_VALUE"""),"")</f>
        <v/>
      </c>
      <c r="P213" s="62" t="str">
        <f>IFERROR(__xludf.DUMMYFUNCTION("""COMPUTED_VALUE"""),"")</f>
        <v/>
      </c>
      <c r="Q213" s="62"/>
      <c r="R213" s="62"/>
      <c r="S213" s="62"/>
    </row>
    <row r="214">
      <c r="A214" s="58">
        <v>45612.48512877315</v>
      </c>
      <c r="B214" s="52" t="s">
        <v>153</v>
      </c>
      <c r="C214" s="52" t="b">
        <v>0</v>
      </c>
      <c r="D214" s="52"/>
      <c r="E214" s="52"/>
      <c r="F214" s="52"/>
      <c r="G214" s="52"/>
      <c r="H214" s="52">
        <v>44.0</v>
      </c>
      <c r="I214" s="52"/>
      <c r="J214" s="52" t="s">
        <v>10</v>
      </c>
      <c r="K214" s="59">
        <v>45610.0</v>
      </c>
      <c r="L214" s="52" t="s">
        <v>137</v>
      </c>
      <c r="M214" s="52" t="s">
        <v>19</v>
      </c>
      <c r="N214" s="62">
        <f>IFERROR(__xludf.DUMMYFUNCTION("""COMPUTED_VALUE"""),218.0)</f>
        <v>218</v>
      </c>
      <c r="O214" s="62">
        <f>IFERROR(__xludf.DUMMYFUNCTION("""COMPUTED_VALUE"""),487.0)</f>
        <v>487</v>
      </c>
      <c r="P214" s="62">
        <f>IFERROR(__xludf.DUMMYFUNCTION("""COMPUTED_VALUE"""),705.0)</f>
        <v>705</v>
      </c>
      <c r="Q214" s="62"/>
      <c r="R214" s="62"/>
      <c r="S214" s="62"/>
    </row>
    <row r="215">
      <c r="A215" s="58">
        <v>45611.38610032407</v>
      </c>
      <c r="B215" s="52" t="s">
        <v>136</v>
      </c>
      <c r="C215" s="52" t="b">
        <v>0</v>
      </c>
      <c r="D215" s="52"/>
      <c r="E215" s="52"/>
      <c r="F215" s="52"/>
      <c r="G215" s="52"/>
      <c r="H215" s="52">
        <v>46.0</v>
      </c>
      <c r="I215" s="52"/>
      <c r="J215" s="52" t="s">
        <v>10</v>
      </c>
      <c r="K215" s="59">
        <v>45611.0</v>
      </c>
      <c r="L215" s="52" t="s">
        <v>138</v>
      </c>
      <c r="M215" s="52" t="s">
        <v>19</v>
      </c>
      <c r="N215" s="62" t="str">
        <f>IFERROR(__xludf.DUMMYFUNCTION("""COMPUTED_VALUE"""),"")</f>
        <v/>
      </c>
      <c r="O215" s="62" t="str">
        <f>IFERROR(__xludf.DUMMYFUNCTION("""COMPUTED_VALUE"""),"")</f>
        <v/>
      </c>
      <c r="P215" s="62" t="str">
        <f>IFERROR(__xludf.DUMMYFUNCTION("""COMPUTED_VALUE"""),"")</f>
        <v/>
      </c>
      <c r="Q215" s="62"/>
      <c r="R215" s="62"/>
      <c r="S215" s="62"/>
    </row>
    <row r="216">
      <c r="A216" s="58">
        <v>45611.77274180556</v>
      </c>
      <c r="B216" s="52" t="s">
        <v>148</v>
      </c>
      <c r="C216" s="52" t="b">
        <v>0</v>
      </c>
      <c r="D216" s="52"/>
      <c r="E216" s="52"/>
      <c r="F216" s="52"/>
      <c r="G216" s="52"/>
      <c r="H216" s="52">
        <v>184.0</v>
      </c>
      <c r="I216" s="52"/>
      <c r="J216" s="52" t="s">
        <v>12</v>
      </c>
      <c r="K216" s="59">
        <v>45611.0</v>
      </c>
      <c r="L216" s="52" t="s">
        <v>138</v>
      </c>
      <c r="M216" s="52" t="s">
        <v>18</v>
      </c>
      <c r="N216" s="62" t="str">
        <f>IFERROR(__xludf.DUMMYFUNCTION("""COMPUTED_VALUE"""),"")</f>
        <v/>
      </c>
      <c r="O216" s="62" t="str">
        <f>IFERROR(__xludf.DUMMYFUNCTION("""COMPUTED_VALUE"""),"")</f>
        <v/>
      </c>
      <c r="P216" s="62" t="str">
        <f>IFERROR(__xludf.DUMMYFUNCTION("""COMPUTED_VALUE"""),"")</f>
        <v/>
      </c>
      <c r="Q216" s="62"/>
      <c r="R216" s="62"/>
      <c r="S216" s="62"/>
    </row>
    <row r="217">
      <c r="A217" s="58">
        <v>45611.83203604167</v>
      </c>
      <c r="B217" s="52" t="s">
        <v>148</v>
      </c>
      <c r="C217" s="52" t="b">
        <v>0</v>
      </c>
      <c r="D217" s="52"/>
      <c r="E217" s="52"/>
      <c r="F217" s="52"/>
      <c r="G217" s="52"/>
      <c r="H217" s="52">
        <v>107.0</v>
      </c>
      <c r="I217" s="52"/>
      <c r="J217" s="52" t="s">
        <v>12</v>
      </c>
      <c r="K217" s="59">
        <v>45611.0</v>
      </c>
      <c r="L217" s="52" t="s">
        <v>138</v>
      </c>
      <c r="M217" s="52" t="s">
        <v>18</v>
      </c>
      <c r="N217" s="62" t="str">
        <f>IFERROR(__xludf.DUMMYFUNCTION("""COMPUTED_VALUE"""),"")</f>
        <v/>
      </c>
      <c r="O217" s="62" t="str">
        <f>IFERROR(__xludf.DUMMYFUNCTION("""COMPUTED_VALUE"""),"")</f>
        <v/>
      </c>
      <c r="P217" s="62" t="str">
        <f>IFERROR(__xludf.DUMMYFUNCTION("""COMPUTED_VALUE"""),"")</f>
        <v/>
      </c>
      <c r="Q217" s="62"/>
      <c r="R217" s="62"/>
      <c r="S217" s="62"/>
    </row>
    <row r="218">
      <c r="A218" s="58">
        <v>45612.40011556713</v>
      </c>
      <c r="B218" s="52" t="s">
        <v>130</v>
      </c>
      <c r="C218" s="52" t="b">
        <v>0</v>
      </c>
      <c r="D218" s="52"/>
      <c r="E218" s="52"/>
      <c r="F218" s="52"/>
      <c r="G218" s="52"/>
      <c r="H218" s="52">
        <v>130.0</v>
      </c>
      <c r="I218" s="52"/>
      <c r="J218" s="52" t="s">
        <v>11</v>
      </c>
      <c r="K218" s="59">
        <v>45611.0</v>
      </c>
      <c r="L218" s="52" t="s">
        <v>138</v>
      </c>
      <c r="M218" s="52" t="s">
        <v>18</v>
      </c>
      <c r="N218" s="62">
        <f>IFERROR(__xludf.DUMMYFUNCTION("""COMPUTED_VALUE"""),421.0)</f>
        <v>421</v>
      </c>
      <c r="O218" s="62">
        <f>IFERROR(__xludf.DUMMYFUNCTION("""COMPUTED_VALUE"""),46.0)</f>
        <v>46</v>
      </c>
      <c r="P218" s="62">
        <f>IFERROR(__xludf.DUMMYFUNCTION("""COMPUTED_VALUE"""),467.0)</f>
        <v>467</v>
      </c>
      <c r="Q218" s="62"/>
      <c r="R218" s="62"/>
      <c r="S218" s="62"/>
    </row>
    <row r="219">
      <c r="A219" s="58">
        <v>45614.52938908565</v>
      </c>
      <c r="B219" s="52" t="s">
        <v>130</v>
      </c>
      <c r="C219" s="52" t="b">
        <v>0</v>
      </c>
      <c r="D219" s="52"/>
      <c r="E219" s="52"/>
      <c r="F219" s="52"/>
      <c r="G219" s="52"/>
      <c r="H219" s="52">
        <v>6.0</v>
      </c>
      <c r="I219" s="52"/>
      <c r="J219" s="52" t="s">
        <v>11</v>
      </c>
      <c r="K219" s="59">
        <v>45614.0</v>
      </c>
      <c r="L219" s="52" t="s">
        <v>129</v>
      </c>
      <c r="M219" s="52" t="s">
        <v>18</v>
      </c>
      <c r="N219" s="62" t="str">
        <f>IFERROR(__xludf.DUMMYFUNCTION("""COMPUTED_VALUE"""),"")</f>
        <v/>
      </c>
      <c r="O219" s="62" t="str">
        <f>IFERROR(__xludf.DUMMYFUNCTION("""COMPUTED_VALUE"""),"")</f>
        <v/>
      </c>
      <c r="P219" s="62" t="str">
        <f>IFERROR(__xludf.DUMMYFUNCTION("""COMPUTED_VALUE"""),"")</f>
        <v/>
      </c>
      <c r="Q219" s="62"/>
      <c r="R219" s="62"/>
      <c r="S219" s="62"/>
    </row>
    <row r="220">
      <c r="A220" s="58">
        <v>45614.64415342593</v>
      </c>
      <c r="B220" s="52" t="s">
        <v>148</v>
      </c>
      <c r="C220" s="52" t="b">
        <v>0</v>
      </c>
      <c r="D220" s="52"/>
      <c r="E220" s="52"/>
      <c r="F220" s="52"/>
      <c r="G220" s="52"/>
      <c r="H220" s="52">
        <v>150.0</v>
      </c>
      <c r="I220" s="52"/>
      <c r="J220" s="52" t="s">
        <v>11</v>
      </c>
      <c r="K220" s="59">
        <v>45614.0</v>
      </c>
      <c r="L220" s="52" t="s">
        <v>129</v>
      </c>
      <c r="M220" s="52" t="s">
        <v>18</v>
      </c>
      <c r="N220" s="62" t="str">
        <f>IFERROR(__xludf.DUMMYFUNCTION("""COMPUTED_VALUE"""),"")</f>
        <v/>
      </c>
      <c r="O220" s="62" t="str">
        <f>IFERROR(__xludf.DUMMYFUNCTION("""COMPUTED_VALUE"""),"")</f>
        <v/>
      </c>
      <c r="P220" s="62" t="str">
        <f>IFERROR(__xludf.DUMMYFUNCTION("""COMPUTED_VALUE"""),"")</f>
        <v/>
      </c>
      <c r="Q220" s="62"/>
      <c r="R220" s="62"/>
      <c r="S220" s="62"/>
    </row>
    <row r="221">
      <c r="A221" s="58">
        <v>45615.64800112269</v>
      </c>
      <c r="B221" s="52" t="s">
        <v>151</v>
      </c>
      <c r="C221" s="52" t="b">
        <v>0</v>
      </c>
      <c r="D221" s="52"/>
      <c r="E221" s="52"/>
      <c r="F221" s="52"/>
      <c r="G221" s="52"/>
      <c r="H221" s="52">
        <v>21.0</v>
      </c>
      <c r="I221" s="52"/>
      <c r="J221" s="52" t="s">
        <v>12</v>
      </c>
      <c r="K221" s="59">
        <v>45614.0</v>
      </c>
      <c r="L221" s="52" t="s">
        <v>129</v>
      </c>
      <c r="M221" s="52" t="s">
        <v>19</v>
      </c>
      <c r="N221" s="62" t="str">
        <f>IFERROR(__xludf.DUMMYFUNCTION("""COMPUTED_VALUE"""),"")</f>
        <v/>
      </c>
      <c r="O221" s="62" t="str">
        <f>IFERROR(__xludf.DUMMYFUNCTION("""COMPUTED_VALUE"""),"")</f>
        <v/>
      </c>
      <c r="P221" s="62" t="str">
        <f>IFERROR(__xludf.DUMMYFUNCTION("""COMPUTED_VALUE"""),"")</f>
        <v/>
      </c>
      <c r="Q221" s="62"/>
      <c r="R221" s="62"/>
      <c r="S221" s="62"/>
    </row>
    <row r="222">
      <c r="A222" s="58">
        <v>45614.79439728009</v>
      </c>
      <c r="B222" s="52" t="s">
        <v>131</v>
      </c>
      <c r="C222" s="52" t="b">
        <v>0</v>
      </c>
      <c r="D222" s="52"/>
      <c r="E222" s="52"/>
      <c r="F222" s="52"/>
      <c r="G222" s="52"/>
      <c r="H222" s="52">
        <v>68.0</v>
      </c>
      <c r="I222" s="52"/>
      <c r="J222" s="52" t="s">
        <v>12</v>
      </c>
      <c r="K222" s="59">
        <v>45614.0</v>
      </c>
      <c r="L222" s="52" t="s">
        <v>129</v>
      </c>
      <c r="M222" s="52" t="s">
        <v>19</v>
      </c>
      <c r="N222" s="62">
        <f>IFERROR(__xludf.DUMMYFUNCTION("""COMPUTED_VALUE"""),156.0)</f>
        <v>156</v>
      </c>
      <c r="O222" s="62">
        <f>IFERROR(__xludf.DUMMYFUNCTION("""COMPUTED_VALUE"""),89.0)</f>
        <v>89</v>
      </c>
      <c r="P222" s="62">
        <f>IFERROR(__xludf.DUMMYFUNCTION("""COMPUTED_VALUE"""),245.0)</f>
        <v>245</v>
      </c>
      <c r="Q222" s="62"/>
      <c r="R222" s="62"/>
      <c r="S222" s="62"/>
    </row>
    <row r="223">
      <c r="A223" s="58">
        <v>45615.55490738426</v>
      </c>
      <c r="B223" s="52" t="s">
        <v>150</v>
      </c>
      <c r="C223" s="52" t="b">
        <v>0</v>
      </c>
      <c r="D223" s="52"/>
      <c r="E223" s="52"/>
      <c r="F223" s="52"/>
      <c r="G223" s="52"/>
      <c r="H223" s="52">
        <v>54.0</v>
      </c>
      <c r="I223" s="52"/>
      <c r="J223" s="52" t="s">
        <v>11</v>
      </c>
      <c r="K223" s="59">
        <v>45615.0</v>
      </c>
      <c r="L223" s="52" t="s">
        <v>132</v>
      </c>
      <c r="M223" s="52" t="s">
        <v>18</v>
      </c>
      <c r="N223" s="62" t="str">
        <f>IFERROR(__xludf.DUMMYFUNCTION("""COMPUTED_VALUE"""),"")</f>
        <v/>
      </c>
      <c r="O223" s="62" t="str">
        <f>IFERROR(__xludf.DUMMYFUNCTION("""COMPUTED_VALUE"""),"")</f>
        <v/>
      </c>
      <c r="P223" s="62" t="str">
        <f>IFERROR(__xludf.DUMMYFUNCTION("""COMPUTED_VALUE"""),"")</f>
        <v/>
      </c>
      <c r="Q223" s="62"/>
      <c r="R223" s="62"/>
      <c r="S223" s="62"/>
    </row>
    <row r="224">
      <c r="A224" s="58">
        <v>45615.62599907407</v>
      </c>
      <c r="B224" s="52" t="s">
        <v>131</v>
      </c>
      <c r="C224" s="52" t="b">
        <v>0</v>
      </c>
      <c r="D224" s="52"/>
      <c r="E224" s="52"/>
      <c r="F224" s="52"/>
      <c r="G224" s="52"/>
      <c r="H224" s="52">
        <v>118.0</v>
      </c>
      <c r="I224" s="52"/>
      <c r="J224" s="52" t="s">
        <v>11</v>
      </c>
      <c r="K224" s="59">
        <v>45615.0</v>
      </c>
      <c r="L224" s="52" t="s">
        <v>132</v>
      </c>
      <c r="M224" s="52" t="s">
        <v>19</v>
      </c>
      <c r="N224" s="62" t="str">
        <f>IFERROR(__xludf.DUMMYFUNCTION("""COMPUTED_VALUE"""),"")</f>
        <v/>
      </c>
      <c r="O224" s="62" t="str">
        <f>IFERROR(__xludf.DUMMYFUNCTION("""COMPUTED_VALUE"""),"")</f>
        <v/>
      </c>
      <c r="P224" s="62" t="str">
        <f>IFERROR(__xludf.DUMMYFUNCTION("""COMPUTED_VALUE"""),"")</f>
        <v/>
      </c>
      <c r="Q224" s="62"/>
      <c r="R224" s="62"/>
      <c r="S224" s="62"/>
    </row>
    <row r="225">
      <c r="A225" s="58">
        <v>45615.8744765162</v>
      </c>
      <c r="B225" s="52" t="s">
        <v>163</v>
      </c>
      <c r="C225" s="52" t="b">
        <v>0</v>
      </c>
      <c r="D225" s="52"/>
      <c r="E225" s="52"/>
      <c r="F225" s="52"/>
      <c r="G225" s="52"/>
      <c r="H225" s="52">
        <v>138.0</v>
      </c>
      <c r="I225" s="52"/>
      <c r="J225" s="52" t="s">
        <v>12</v>
      </c>
      <c r="K225" s="59">
        <v>45615.0</v>
      </c>
      <c r="L225" s="52" t="s">
        <v>132</v>
      </c>
      <c r="M225" s="52" t="s">
        <v>19</v>
      </c>
      <c r="N225" s="62" t="str">
        <f>IFERROR(__xludf.DUMMYFUNCTION("""COMPUTED_VALUE"""),"")</f>
        <v/>
      </c>
      <c r="O225" s="62" t="str">
        <f>IFERROR(__xludf.DUMMYFUNCTION("""COMPUTED_VALUE"""),"")</f>
        <v/>
      </c>
      <c r="P225" s="62" t="str">
        <f>IFERROR(__xludf.DUMMYFUNCTION("""COMPUTED_VALUE"""),"")</f>
        <v/>
      </c>
      <c r="Q225" s="62"/>
      <c r="R225" s="62"/>
      <c r="S225" s="62"/>
    </row>
    <row r="226">
      <c r="A226" s="58">
        <v>45616.80977114583</v>
      </c>
      <c r="B226" s="52" t="s">
        <v>153</v>
      </c>
      <c r="C226" s="52" t="b">
        <v>0</v>
      </c>
      <c r="D226" s="52"/>
      <c r="E226" s="52"/>
      <c r="F226" s="52"/>
      <c r="G226" s="52"/>
      <c r="H226" s="52">
        <v>44.0</v>
      </c>
      <c r="I226" s="52"/>
      <c r="J226" s="52" t="s">
        <v>10</v>
      </c>
      <c r="K226" s="59">
        <v>45615.0</v>
      </c>
      <c r="L226" s="52" t="s">
        <v>132</v>
      </c>
      <c r="M226" s="52" t="s">
        <v>19</v>
      </c>
      <c r="N226" s="62">
        <f>IFERROR(__xludf.DUMMYFUNCTION("""COMPUTED_VALUE"""),54.0)</f>
        <v>54</v>
      </c>
      <c r="O226" s="62">
        <f>IFERROR(__xludf.DUMMYFUNCTION("""COMPUTED_VALUE"""),300.0)</f>
        <v>300</v>
      </c>
      <c r="P226" s="62">
        <f>IFERROR(__xludf.DUMMYFUNCTION("""COMPUTED_VALUE"""),354.0)</f>
        <v>354</v>
      </c>
      <c r="Q226" s="62"/>
      <c r="R226" s="62"/>
      <c r="S226" s="62"/>
    </row>
    <row r="227">
      <c r="A227" s="58">
        <v>45616.42322488426</v>
      </c>
      <c r="B227" s="52" t="s">
        <v>136</v>
      </c>
      <c r="C227" s="52" t="b">
        <v>0</v>
      </c>
      <c r="D227" s="52"/>
      <c r="E227" s="52"/>
      <c r="F227" s="52"/>
      <c r="G227" s="52"/>
      <c r="H227" s="52">
        <v>71.0</v>
      </c>
      <c r="I227" s="52"/>
      <c r="J227" s="52" t="s">
        <v>10</v>
      </c>
      <c r="K227" s="59">
        <v>45616.0</v>
      </c>
      <c r="L227" s="52" t="s">
        <v>135</v>
      </c>
      <c r="M227" s="52" t="s">
        <v>19</v>
      </c>
      <c r="N227" s="62" t="str">
        <f>IFERROR(__xludf.DUMMYFUNCTION("""COMPUTED_VALUE"""),"")</f>
        <v/>
      </c>
      <c r="O227" s="62" t="str">
        <f>IFERROR(__xludf.DUMMYFUNCTION("""COMPUTED_VALUE"""),"")</f>
        <v/>
      </c>
      <c r="P227" s="62" t="str">
        <f>IFERROR(__xludf.DUMMYFUNCTION("""COMPUTED_VALUE"""),"")</f>
        <v/>
      </c>
      <c r="Q227" s="62"/>
      <c r="R227" s="62"/>
      <c r="S227" s="62"/>
    </row>
    <row r="228">
      <c r="A228" s="58">
        <v>45616.62288621528</v>
      </c>
      <c r="B228" s="52" t="s">
        <v>149</v>
      </c>
      <c r="C228" s="52" t="b">
        <v>0</v>
      </c>
      <c r="D228" s="52"/>
      <c r="E228" s="52"/>
      <c r="F228" s="52"/>
      <c r="G228" s="52"/>
      <c r="H228" s="52">
        <v>158.0</v>
      </c>
      <c r="I228" s="52"/>
      <c r="J228" s="52" t="s">
        <v>11</v>
      </c>
      <c r="K228" s="59">
        <v>45616.0</v>
      </c>
      <c r="L228" s="52" t="s">
        <v>135</v>
      </c>
      <c r="M228" s="52" t="s">
        <v>19</v>
      </c>
      <c r="N228" s="62" t="str">
        <f>IFERROR(__xludf.DUMMYFUNCTION("""COMPUTED_VALUE"""),"")</f>
        <v/>
      </c>
      <c r="O228" s="62" t="str">
        <f>IFERROR(__xludf.DUMMYFUNCTION("""COMPUTED_VALUE"""),"")</f>
        <v/>
      </c>
      <c r="P228" s="62" t="str">
        <f>IFERROR(__xludf.DUMMYFUNCTION("""COMPUTED_VALUE"""),"")</f>
        <v/>
      </c>
      <c r="Q228" s="62"/>
      <c r="R228" s="62"/>
      <c r="S228" s="62"/>
    </row>
    <row r="229">
      <c r="A229" s="58">
        <v>45616.64441599537</v>
      </c>
      <c r="B229" s="52" t="s">
        <v>148</v>
      </c>
      <c r="C229" s="52" t="b">
        <v>0</v>
      </c>
      <c r="D229" s="52"/>
      <c r="E229" s="52"/>
      <c r="F229" s="52"/>
      <c r="G229" s="52"/>
      <c r="H229" s="52">
        <v>132.0</v>
      </c>
      <c r="I229" s="52"/>
      <c r="J229" s="52" t="s">
        <v>11</v>
      </c>
      <c r="K229" s="59">
        <v>45616.0</v>
      </c>
      <c r="L229" s="52" t="s">
        <v>135</v>
      </c>
      <c r="M229" s="52" t="s">
        <v>18</v>
      </c>
      <c r="N229" s="62" t="str">
        <f>IFERROR(__xludf.DUMMYFUNCTION("""COMPUTED_VALUE"""),"")</f>
        <v/>
      </c>
      <c r="O229" s="62" t="str">
        <f>IFERROR(__xludf.DUMMYFUNCTION("""COMPUTED_VALUE"""),"")</f>
        <v/>
      </c>
      <c r="P229" s="62" t="str">
        <f>IFERROR(__xludf.DUMMYFUNCTION("""COMPUTED_VALUE"""),"")</f>
        <v/>
      </c>
      <c r="Q229" s="62"/>
      <c r="R229" s="62"/>
      <c r="S229" s="62"/>
    </row>
    <row r="230">
      <c r="A230" s="58">
        <v>45616.78748768519</v>
      </c>
      <c r="B230" s="52" t="s">
        <v>149</v>
      </c>
      <c r="C230" s="52" t="b">
        <v>0</v>
      </c>
      <c r="D230" s="52"/>
      <c r="E230" s="52"/>
      <c r="F230" s="52"/>
      <c r="G230" s="52"/>
      <c r="H230" s="52">
        <v>185.0</v>
      </c>
      <c r="I230" s="52"/>
      <c r="J230" s="52" t="s">
        <v>12</v>
      </c>
      <c r="K230" s="59">
        <v>45616.0</v>
      </c>
      <c r="L230" s="52" t="s">
        <v>135</v>
      </c>
      <c r="M230" s="52" t="s">
        <v>18</v>
      </c>
      <c r="N230" s="62" t="str">
        <f>IFERROR(__xludf.DUMMYFUNCTION("""COMPUTED_VALUE"""),"")</f>
        <v/>
      </c>
      <c r="O230" s="62" t="str">
        <f>IFERROR(__xludf.DUMMYFUNCTION("""COMPUTED_VALUE"""),"")</f>
        <v/>
      </c>
      <c r="P230" s="62" t="str">
        <f>IFERROR(__xludf.DUMMYFUNCTION("""COMPUTED_VALUE"""),"")</f>
        <v/>
      </c>
      <c r="Q230" s="62"/>
      <c r="R230" s="62"/>
      <c r="S230" s="62"/>
    </row>
    <row r="231">
      <c r="A231" s="58">
        <v>45616.87897890047</v>
      </c>
      <c r="B231" s="52" t="s">
        <v>149</v>
      </c>
      <c r="C231" s="52" t="b">
        <v>0</v>
      </c>
      <c r="D231" s="52"/>
      <c r="E231" s="52"/>
      <c r="F231" s="52"/>
      <c r="G231" s="52"/>
      <c r="H231" s="52">
        <v>170.0</v>
      </c>
      <c r="I231" s="52"/>
      <c r="J231" s="52" t="s">
        <v>12</v>
      </c>
      <c r="K231" s="59">
        <v>45616.0</v>
      </c>
      <c r="L231" s="52" t="s">
        <v>135</v>
      </c>
      <c r="M231" s="52" t="s">
        <v>18</v>
      </c>
      <c r="N231" s="62">
        <f>IFERROR(__xludf.DUMMYFUNCTION("""COMPUTED_VALUE"""),487.0)</f>
        <v>487</v>
      </c>
      <c r="O231" s="62">
        <f>IFERROR(__xludf.DUMMYFUNCTION("""COMPUTED_VALUE"""),229.0)</f>
        <v>229</v>
      </c>
      <c r="P231" s="62">
        <f>IFERROR(__xludf.DUMMYFUNCTION("""COMPUTED_VALUE"""),716.0)</f>
        <v>716</v>
      </c>
      <c r="Q231" s="62"/>
      <c r="R231" s="62"/>
      <c r="S231" s="62"/>
    </row>
    <row r="232">
      <c r="A232" s="58">
        <v>45617.55616444445</v>
      </c>
      <c r="B232" s="52" t="s">
        <v>150</v>
      </c>
      <c r="C232" s="52" t="b">
        <v>0</v>
      </c>
      <c r="D232" s="52"/>
      <c r="E232" s="52"/>
      <c r="F232" s="52"/>
      <c r="G232" s="52"/>
      <c r="H232" s="52">
        <v>70.0</v>
      </c>
      <c r="I232" s="52"/>
      <c r="J232" s="52" t="s">
        <v>11</v>
      </c>
      <c r="K232" s="59">
        <v>45617.0</v>
      </c>
      <c r="L232" s="52" t="s">
        <v>137</v>
      </c>
      <c r="M232" s="52" t="s">
        <v>18</v>
      </c>
      <c r="N232" s="62" t="str">
        <f>IFERROR(__xludf.DUMMYFUNCTION("""COMPUTED_VALUE"""),"")</f>
        <v/>
      </c>
      <c r="O232" s="62" t="str">
        <f>IFERROR(__xludf.DUMMYFUNCTION("""COMPUTED_VALUE"""),"")</f>
        <v/>
      </c>
      <c r="P232" s="62" t="str">
        <f>IFERROR(__xludf.DUMMYFUNCTION("""COMPUTED_VALUE"""),"")</f>
        <v/>
      </c>
      <c r="Q232" s="62"/>
      <c r="R232" s="62"/>
      <c r="S232" s="62"/>
    </row>
    <row r="233">
      <c r="A233" s="58">
        <v>45617.62747275463</v>
      </c>
      <c r="B233" s="52" t="s">
        <v>149</v>
      </c>
      <c r="C233" s="52" t="b">
        <v>0</v>
      </c>
      <c r="D233" s="52"/>
      <c r="E233" s="52"/>
      <c r="F233" s="52"/>
      <c r="G233" s="52"/>
      <c r="H233" s="52">
        <v>174.0</v>
      </c>
      <c r="I233" s="52"/>
      <c r="J233" s="52" t="s">
        <v>11</v>
      </c>
      <c r="K233" s="59">
        <v>45617.0</v>
      </c>
      <c r="L233" s="52" t="s">
        <v>137</v>
      </c>
      <c r="M233" s="52" t="s">
        <v>19</v>
      </c>
      <c r="N233" s="62" t="str">
        <f>IFERROR(__xludf.DUMMYFUNCTION("""COMPUTED_VALUE"""),"")</f>
        <v/>
      </c>
      <c r="O233" s="62" t="str">
        <f>IFERROR(__xludf.DUMMYFUNCTION("""COMPUTED_VALUE"""),"")</f>
        <v/>
      </c>
      <c r="P233" s="62" t="str">
        <f>IFERROR(__xludf.DUMMYFUNCTION("""COMPUTED_VALUE"""),"")</f>
        <v/>
      </c>
      <c r="Q233" s="62"/>
      <c r="R233" s="62"/>
      <c r="S233" s="62"/>
    </row>
    <row r="234">
      <c r="A234" s="58">
        <v>45617.87326505787</v>
      </c>
      <c r="B234" s="52" t="s">
        <v>148</v>
      </c>
      <c r="C234" s="52" t="b">
        <v>0</v>
      </c>
      <c r="D234" s="52"/>
      <c r="E234" s="52"/>
      <c r="F234" s="52"/>
      <c r="G234" s="52"/>
      <c r="H234" s="52">
        <v>190.0</v>
      </c>
      <c r="I234" s="52"/>
      <c r="J234" s="52" t="s">
        <v>12</v>
      </c>
      <c r="K234" s="59">
        <v>45617.0</v>
      </c>
      <c r="L234" s="52" t="s">
        <v>137</v>
      </c>
      <c r="M234" s="52" t="s">
        <v>19</v>
      </c>
      <c r="N234" s="62">
        <f>IFERROR(__xludf.DUMMYFUNCTION("""COMPUTED_VALUE"""),70.0)</f>
        <v>70</v>
      </c>
      <c r="O234" s="62">
        <f>IFERROR(__xludf.DUMMYFUNCTION("""COMPUTED_VALUE"""),364.0)</f>
        <v>364</v>
      </c>
      <c r="P234" s="62">
        <f>IFERROR(__xludf.DUMMYFUNCTION("""COMPUTED_VALUE"""),434.0)</f>
        <v>434</v>
      </c>
      <c r="Q234" s="62"/>
      <c r="R234" s="62"/>
      <c r="S234" s="62"/>
    </row>
    <row r="235">
      <c r="A235" s="58">
        <v>45618.38844113426</v>
      </c>
      <c r="B235" s="52" t="s">
        <v>136</v>
      </c>
      <c r="C235" s="52" t="b">
        <v>0</v>
      </c>
      <c r="D235" s="52"/>
      <c r="E235" s="52"/>
      <c r="F235" s="52"/>
      <c r="G235" s="52"/>
      <c r="H235" s="52">
        <v>48.0</v>
      </c>
      <c r="I235" s="52"/>
      <c r="J235" s="52" t="s">
        <v>10</v>
      </c>
      <c r="K235" s="59">
        <v>45618.0</v>
      </c>
      <c r="L235" s="52" t="s">
        <v>138</v>
      </c>
      <c r="M235" s="52" t="s">
        <v>19</v>
      </c>
      <c r="N235" s="62" t="str">
        <f>IFERROR(__xludf.DUMMYFUNCTION("""COMPUTED_VALUE"""),"")</f>
        <v/>
      </c>
      <c r="O235" s="62" t="str">
        <f>IFERROR(__xludf.DUMMYFUNCTION("""COMPUTED_VALUE"""),"")</f>
        <v/>
      </c>
      <c r="P235" s="62" t="str">
        <f>IFERROR(__xludf.DUMMYFUNCTION("""COMPUTED_VALUE"""),"")</f>
        <v/>
      </c>
      <c r="Q235" s="62"/>
      <c r="R235" s="62"/>
      <c r="S235" s="62"/>
    </row>
    <row r="236">
      <c r="A236" s="58">
        <v>45618.71117829861</v>
      </c>
      <c r="B236" s="52" t="s">
        <v>130</v>
      </c>
      <c r="C236" s="52" t="b">
        <v>0</v>
      </c>
      <c r="D236" s="52"/>
      <c r="E236" s="52"/>
      <c r="F236" s="52"/>
      <c r="G236" s="52"/>
      <c r="H236" s="52">
        <v>52.0</v>
      </c>
      <c r="I236" s="52"/>
      <c r="J236" s="52" t="s">
        <v>11</v>
      </c>
      <c r="K236" s="59">
        <v>45618.0</v>
      </c>
      <c r="L236" s="52" t="s">
        <v>138</v>
      </c>
      <c r="M236" s="52" t="s">
        <v>18</v>
      </c>
      <c r="N236" s="62" t="str">
        <f>IFERROR(__xludf.DUMMYFUNCTION("""COMPUTED_VALUE"""),"")</f>
        <v/>
      </c>
      <c r="O236" s="62" t="str">
        <f>IFERROR(__xludf.DUMMYFUNCTION("""COMPUTED_VALUE"""),"")</f>
        <v/>
      </c>
      <c r="P236" s="62" t="str">
        <f>IFERROR(__xludf.DUMMYFUNCTION("""COMPUTED_VALUE"""),"")</f>
        <v/>
      </c>
      <c r="Q236" s="62"/>
      <c r="R236" s="62"/>
      <c r="S236" s="62"/>
    </row>
    <row r="237">
      <c r="A237" s="58">
        <v>45618.83372569444</v>
      </c>
      <c r="B237" s="52" t="s">
        <v>148</v>
      </c>
      <c r="C237" s="52" t="b">
        <v>0</v>
      </c>
      <c r="D237" s="52"/>
      <c r="E237" s="52"/>
      <c r="F237" s="52"/>
      <c r="G237" s="52"/>
      <c r="H237" s="52">
        <v>216.0</v>
      </c>
      <c r="I237" s="52"/>
      <c r="J237" s="52" t="s">
        <v>12</v>
      </c>
      <c r="K237" s="59">
        <v>45618.0</v>
      </c>
      <c r="L237" s="52" t="s">
        <v>138</v>
      </c>
      <c r="M237" s="52" t="s">
        <v>18</v>
      </c>
      <c r="N237" s="62">
        <f>IFERROR(__xludf.DUMMYFUNCTION("""COMPUTED_VALUE"""),268.0)</f>
        <v>268</v>
      </c>
      <c r="O237" s="62">
        <f>IFERROR(__xludf.DUMMYFUNCTION("""COMPUTED_VALUE"""),48.0)</f>
        <v>48</v>
      </c>
      <c r="P237" s="62">
        <f>IFERROR(__xludf.DUMMYFUNCTION("""COMPUTED_VALUE"""),316.0)</f>
        <v>316</v>
      </c>
      <c r="Q237" s="62"/>
      <c r="R237" s="62"/>
      <c r="S237" s="62"/>
    </row>
    <row r="238">
      <c r="A238" s="58">
        <v>45621.41820619213</v>
      </c>
      <c r="B238" s="52" t="s">
        <v>136</v>
      </c>
      <c r="C238" s="52" t="b">
        <v>0</v>
      </c>
      <c r="D238" s="52"/>
      <c r="E238" s="52"/>
      <c r="F238" s="52"/>
      <c r="G238" s="52"/>
      <c r="H238" s="52">
        <v>41.0</v>
      </c>
      <c r="I238" s="52"/>
      <c r="J238" s="52" t="s">
        <v>10</v>
      </c>
      <c r="K238" s="59">
        <v>45621.0</v>
      </c>
      <c r="L238" s="52" t="s">
        <v>129</v>
      </c>
      <c r="M238" s="52" t="s">
        <v>19</v>
      </c>
      <c r="N238" s="62" t="str">
        <f>IFERROR(__xludf.DUMMYFUNCTION("""COMPUTED_VALUE"""),"")</f>
        <v/>
      </c>
      <c r="O238" s="62" t="str">
        <f>IFERROR(__xludf.DUMMYFUNCTION("""COMPUTED_VALUE"""),"")</f>
        <v/>
      </c>
      <c r="P238" s="62" t="str">
        <f>IFERROR(__xludf.DUMMYFUNCTION("""COMPUTED_VALUE"""),"")</f>
        <v/>
      </c>
      <c r="Q238" s="62"/>
      <c r="R238" s="62"/>
      <c r="S238" s="62"/>
    </row>
    <row r="239">
      <c r="A239" s="58">
        <v>45621.62244697916</v>
      </c>
      <c r="B239" s="52" t="s">
        <v>149</v>
      </c>
      <c r="C239" s="52" t="b">
        <v>0</v>
      </c>
      <c r="D239" s="52"/>
      <c r="E239" s="52"/>
      <c r="F239" s="52"/>
      <c r="G239" s="52"/>
      <c r="H239" s="52">
        <v>103.0</v>
      </c>
      <c r="I239" s="52"/>
      <c r="J239" s="52" t="s">
        <v>11</v>
      </c>
      <c r="K239" s="59">
        <v>45621.0</v>
      </c>
      <c r="L239" s="52" t="s">
        <v>129</v>
      </c>
      <c r="M239" s="52" t="s">
        <v>19</v>
      </c>
      <c r="N239" s="62" t="str">
        <f>IFERROR(__xludf.DUMMYFUNCTION("""COMPUTED_VALUE"""),"")</f>
        <v/>
      </c>
      <c r="O239" s="62" t="str">
        <f>IFERROR(__xludf.DUMMYFUNCTION("""COMPUTED_VALUE"""),"")</f>
        <v/>
      </c>
      <c r="P239" s="62" t="str">
        <f>IFERROR(__xludf.DUMMYFUNCTION("""COMPUTED_VALUE"""),"")</f>
        <v/>
      </c>
      <c r="Q239" s="62"/>
      <c r="R239" s="62"/>
      <c r="S239" s="62"/>
    </row>
    <row r="240">
      <c r="A240" s="58">
        <v>45621.64485361111</v>
      </c>
      <c r="B240" s="52" t="s">
        <v>148</v>
      </c>
      <c r="C240" s="52" t="b">
        <v>0</v>
      </c>
      <c r="D240" s="52"/>
      <c r="E240" s="52"/>
      <c r="F240" s="52"/>
      <c r="G240" s="52"/>
      <c r="H240" s="52">
        <v>106.0</v>
      </c>
      <c r="I240" s="52"/>
      <c r="J240" s="52" t="s">
        <v>11</v>
      </c>
      <c r="K240" s="59">
        <v>45621.0</v>
      </c>
      <c r="L240" s="52" t="s">
        <v>129</v>
      </c>
      <c r="M240" s="52" t="s">
        <v>18</v>
      </c>
      <c r="N240" s="62" t="str">
        <f>IFERROR(__xludf.DUMMYFUNCTION("""COMPUTED_VALUE"""),"")</f>
        <v/>
      </c>
      <c r="O240" s="62" t="str">
        <f>IFERROR(__xludf.DUMMYFUNCTION("""COMPUTED_VALUE"""),"")</f>
        <v/>
      </c>
      <c r="P240" s="62" t="str">
        <f>IFERROR(__xludf.DUMMYFUNCTION("""COMPUTED_VALUE"""),"")</f>
        <v/>
      </c>
      <c r="Q240" s="62"/>
      <c r="R240" s="62"/>
      <c r="S240" s="62"/>
    </row>
    <row r="241">
      <c r="A241" s="58">
        <v>45621.70989550926</v>
      </c>
      <c r="B241" s="52" t="s">
        <v>130</v>
      </c>
      <c r="C241" s="52" t="b">
        <v>0</v>
      </c>
      <c r="D241" s="52"/>
      <c r="E241" s="52"/>
      <c r="F241" s="52"/>
      <c r="G241" s="52"/>
      <c r="H241" s="52">
        <v>1.0</v>
      </c>
      <c r="I241" s="52"/>
      <c r="J241" s="52" t="s">
        <v>11</v>
      </c>
      <c r="K241" s="59">
        <v>45621.0</v>
      </c>
      <c r="L241" s="52" t="s">
        <v>129</v>
      </c>
      <c r="M241" s="52" t="s">
        <v>18</v>
      </c>
      <c r="N241" s="62">
        <f>IFERROR(__xludf.DUMMYFUNCTION("""COMPUTED_VALUE"""),107.0)</f>
        <v>107</v>
      </c>
      <c r="O241" s="62">
        <f>IFERROR(__xludf.DUMMYFUNCTION("""COMPUTED_VALUE"""),144.0)</f>
        <v>144</v>
      </c>
      <c r="P241" s="62">
        <f>IFERROR(__xludf.DUMMYFUNCTION("""COMPUTED_VALUE"""),251.0)</f>
        <v>251</v>
      </c>
      <c r="Q241" s="62"/>
      <c r="R241" s="62"/>
      <c r="S241" s="62"/>
    </row>
    <row r="242">
      <c r="A242" s="58">
        <v>45622.6256087037</v>
      </c>
      <c r="B242" s="52" t="s">
        <v>131</v>
      </c>
      <c r="C242" s="52" t="b">
        <v>0</v>
      </c>
      <c r="D242" s="52"/>
      <c r="E242" s="52"/>
      <c r="F242" s="52"/>
      <c r="G242" s="52"/>
      <c r="H242" s="52">
        <v>71.0</v>
      </c>
      <c r="I242" s="52"/>
      <c r="J242" s="52" t="s">
        <v>11</v>
      </c>
      <c r="K242" s="59">
        <v>45622.0</v>
      </c>
      <c r="L242" s="52" t="s">
        <v>132</v>
      </c>
      <c r="M242" s="52" t="s">
        <v>19</v>
      </c>
      <c r="N242" s="62" t="str">
        <f>IFERROR(__xludf.DUMMYFUNCTION("""COMPUTED_VALUE"""),"")</f>
        <v/>
      </c>
      <c r="O242" s="62">
        <f>IFERROR(__xludf.DUMMYFUNCTION("""COMPUTED_VALUE"""),71.0)</f>
        <v>71</v>
      </c>
      <c r="P242" s="62">
        <f>IFERROR(__xludf.DUMMYFUNCTION("""COMPUTED_VALUE"""),71.0)</f>
        <v>71</v>
      </c>
      <c r="Q242" s="62"/>
      <c r="R242" s="62"/>
      <c r="S242" s="62"/>
    </row>
    <row r="243">
      <c r="A243" s="58">
        <v>45628.41154924768</v>
      </c>
      <c r="B243" s="52" t="s">
        <v>136</v>
      </c>
      <c r="C243" s="52" t="b">
        <v>0</v>
      </c>
      <c r="D243" s="52"/>
      <c r="E243" s="52"/>
      <c r="F243" s="52"/>
      <c r="G243" s="52"/>
      <c r="H243" s="52">
        <v>56.0</v>
      </c>
      <c r="I243" s="52"/>
      <c r="J243" s="52" t="s">
        <v>10</v>
      </c>
      <c r="K243" s="59">
        <v>45628.0</v>
      </c>
      <c r="L243" s="52" t="s">
        <v>129</v>
      </c>
      <c r="M243" s="52" t="s">
        <v>19</v>
      </c>
      <c r="N243" s="62" t="str">
        <f>IFERROR(__xludf.DUMMYFUNCTION("""COMPUTED_VALUE"""),"")</f>
        <v/>
      </c>
      <c r="O243" s="62" t="str">
        <f>IFERROR(__xludf.DUMMYFUNCTION("""COMPUTED_VALUE"""),"")</f>
        <v/>
      </c>
      <c r="P243" s="62" t="str">
        <f>IFERROR(__xludf.DUMMYFUNCTION("""COMPUTED_VALUE"""),"")</f>
        <v/>
      </c>
      <c r="Q243" s="62"/>
      <c r="R243" s="62"/>
      <c r="S243" s="62"/>
    </row>
    <row r="244">
      <c r="A244" s="58">
        <v>45628.53293636574</v>
      </c>
      <c r="B244" s="52" t="s">
        <v>130</v>
      </c>
      <c r="C244" s="52" t="b">
        <v>0</v>
      </c>
      <c r="D244" s="52"/>
      <c r="E244" s="52"/>
      <c r="F244" s="52"/>
      <c r="G244" s="52"/>
      <c r="H244" s="52">
        <v>6.0</v>
      </c>
      <c r="I244" s="52"/>
      <c r="J244" s="52" t="s">
        <v>11</v>
      </c>
      <c r="K244" s="59">
        <v>45628.0</v>
      </c>
      <c r="L244" s="52" t="s">
        <v>129</v>
      </c>
      <c r="M244" s="52" t="s">
        <v>18</v>
      </c>
      <c r="N244" s="62" t="str">
        <f>IFERROR(__xludf.DUMMYFUNCTION("""COMPUTED_VALUE"""),"")</f>
        <v/>
      </c>
      <c r="O244" s="62" t="str">
        <f>IFERROR(__xludf.DUMMYFUNCTION("""COMPUTED_VALUE"""),"")</f>
        <v/>
      </c>
      <c r="P244" s="62" t="str">
        <f>IFERROR(__xludf.DUMMYFUNCTION("""COMPUTED_VALUE"""),"")</f>
        <v/>
      </c>
      <c r="Q244" s="62"/>
      <c r="R244" s="62"/>
      <c r="S244" s="62"/>
    </row>
    <row r="245">
      <c r="A245" s="58">
        <v>45628.62244872685</v>
      </c>
      <c r="B245" s="52" t="s">
        <v>149</v>
      </c>
      <c r="C245" s="52" t="b">
        <v>0</v>
      </c>
      <c r="D245" s="52"/>
      <c r="E245" s="52"/>
      <c r="F245" s="52"/>
      <c r="G245" s="52"/>
      <c r="H245" s="52">
        <v>138.0</v>
      </c>
      <c r="I245" s="52"/>
      <c r="J245" s="52" t="s">
        <v>11</v>
      </c>
      <c r="K245" s="59">
        <v>45628.0</v>
      </c>
      <c r="L245" s="52" t="s">
        <v>129</v>
      </c>
      <c r="M245" s="52" t="s">
        <v>19</v>
      </c>
      <c r="N245" s="62" t="str">
        <f>IFERROR(__xludf.DUMMYFUNCTION("""COMPUTED_VALUE"""),"")</f>
        <v/>
      </c>
      <c r="O245" s="62" t="str">
        <f>IFERROR(__xludf.DUMMYFUNCTION("""COMPUTED_VALUE"""),"")</f>
        <v/>
      </c>
      <c r="P245" s="62" t="str">
        <f>IFERROR(__xludf.DUMMYFUNCTION("""COMPUTED_VALUE"""),"")</f>
        <v/>
      </c>
      <c r="Q245" s="62"/>
      <c r="R245" s="62"/>
      <c r="S245" s="62"/>
    </row>
    <row r="246">
      <c r="A246" s="58">
        <v>45628.64470730324</v>
      </c>
      <c r="B246" s="52" t="s">
        <v>148</v>
      </c>
      <c r="C246" s="52" t="b">
        <v>0</v>
      </c>
      <c r="D246" s="52"/>
      <c r="E246" s="52"/>
      <c r="F246" s="52"/>
      <c r="G246" s="52"/>
      <c r="H246" s="52">
        <v>169.0</v>
      </c>
      <c r="I246" s="52"/>
      <c r="J246" s="52" t="s">
        <v>11</v>
      </c>
      <c r="K246" s="59">
        <v>45628.0</v>
      </c>
      <c r="L246" s="52" t="s">
        <v>129</v>
      </c>
      <c r="M246" s="52" t="s">
        <v>18</v>
      </c>
      <c r="N246" s="62" t="str">
        <f>IFERROR(__xludf.DUMMYFUNCTION("""COMPUTED_VALUE"""),"")</f>
        <v/>
      </c>
      <c r="O246" s="62" t="str">
        <f>IFERROR(__xludf.DUMMYFUNCTION("""COMPUTED_VALUE"""),"")</f>
        <v/>
      </c>
      <c r="P246" s="62" t="str">
        <f>IFERROR(__xludf.DUMMYFUNCTION("""COMPUTED_VALUE"""),"")</f>
        <v/>
      </c>
      <c r="Q246" s="62"/>
      <c r="R246" s="62"/>
      <c r="S246" s="62"/>
    </row>
    <row r="247">
      <c r="A247" s="58">
        <v>45629.46494424769</v>
      </c>
      <c r="B247" s="52" t="s">
        <v>164</v>
      </c>
      <c r="C247" s="52" t="b">
        <v>0</v>
      </c>
      <c r="D247" s="52"/>
      <c r="E247" s="52"/>
      <c r="F247" s="52"/>
      <c r="G247" s="52"/>
      <c r="H247" s="52">
        <v>115.0</v>
      </c>
      <c r="I247" s="52"/>
      <c r="J247" s="52" t="s">
        <v>12</v>
      </c>
      <c r="K247" s="59">
        <v>45628.0</v>
      </c>
      <c r="L247" s="52" t="s">
        <v>129</v>
      </c>
      <c r="M247" s="52" t="s">
        <v>19</v>
      </c>
      <c r="N247" s="62">
        <f>IFERROR(__xludf.DUMMYFUNCTION("""COMPUTED_VALUE"""),175.0)</f>
        <v>175</v>
      </c>
      <c r="O247" s="62">
        <f>IFERROR(__xludf.DUMMYFUNCTION("""COMPUTED_VALUE"""),309.0)</f>
        <v>309</v>
      </c>
      <c r="P247" s="62">
        <f>IFERROR(__xludf.DUMMYFUNCTION("""COMPUTED_VALUE"""),484.0)</f>
        <v>484</v>
      </c>
      <c r="Q247" s="62"/>
      <c r="R247" s="62"/>
      <c r="S247" s="62"/>
    </row>
    <row r="248">
      <c r="A248" s="58">
        <v>45629.62272909722</v>
      </c>
      <c r="B248" s="52" t="s">
        <v>131</v>
      </c>
      <c r="C248" s="52" t="b">
        <v>0</v>
      </c>
      <c r="D248" s="52"/>
      <c r="E248" s="52"/>
      <c r="F248" s="52"/>
      <c r="G248" s="52"/>
      <c r="H248" s="52">
        <v>118.0</v>
      </c>
      <c r="I248" s="52"/>
      <c r="J248" s="52" t="s">
        <v>11</v>
      </c>
      <c r="K248" s="59">
        <v>45629.0</v>
      </c>
      <c r="L248" s="52" t="s">
        <v>132</v>
      </c>
      <c r="M248" s="52" t="s">
        <v>19</v>
      </c>
      <c r="N248" s="62" t="str">
        <f>IFERROR(__xludf.DUMMYFUNCTION("""COMPUTED_VALUE"""),"")</f>
        <v/>
      </c>
      <c r="O248" s="62" t="str">
        <f>IFERROR(__xludf.DUMMYFUNCTION("""COMPUTED_VALUE"""),"")</f>
        <v/>
      </c>
      <c r="P248" s="62" t="str">
        <f>IFERROR(__xludf.DUMMYFUNCTION("""COMPUTED_VALUE"""),"")</f>
        <v/>
      </c>
      <c r="Q248" s="62"/>
      <c r="R248" s="62"/>
      <c r="S248" s="62"/>
    </row>
    <row r="249">
      <c r="A249" s="58">
        <v>45629.87485256945</v>
      </c>
      <c r="B249" s="52" t="s">
        <v>149</v>
      </c>
      <c r="C249" s="52" t="b">
        <v>0</v>
      </c>
      <c r="D249" s="52"/>
      <c r="E249" s="52"/>
      <c r="F249" s="52"/>
      <c r="G249" s="52"/>
      <c r="H249" s="52">
        <v>98.0</v>
      </c>
      <c r="I249" s="52"/>
      <c r="J249" s="52" t="s">
        <v>12</v>
      </c>
      <c r="K249" s="59">
        <v>45629.0</v>
      </c>
      <c r="L249" s="52" t="s">
        <v>132</v>
      </c>
      <c r="M249" s="52" t="s">
        <v>19</v>
      </c>
      <c r="N249" s="62" t="str">
        <f>IFERROR(__xludf.DUMMYFUNCTION("""COMPUTED_VALUE"""),"")</f>
        <v/>
      </c>
      <c r="O249" s="62" t="str">
        <f>IFERROR(__xludf.DUMMYFUNCTION("""COMPUTED_VALUE"""),"")</f>
        <v/>
      </c>
      <c r="P249" s="62" t="str">
        <f>IFERROR(__xludf.DUMMYFUNCTION("""COMPUTED_VALUE"""),"")</f>
        <v/>
      </c>
      <c r="Q249" s="62"/>
      <c r="R249" s="62"/>
      <c r="S249" s="62"/>
    </row>
    <row r="250">
      <c r="A250" s="58">
        <v>45631.41470571759</v>
      </c>
      <c r="B250" s="52" t="s">
        <v>153</v>
      </c>
      <c r="C250" s="52" t="b">
        <v>0</v>
      </c>
      <c r="D250" s="52"/>
      <c r="E250" s="52"/>
      <c r="F250" s="52"/>
      <c r="G250" s="52"/>
      <c r="H250" s="52">
        <v>44.0</v>
      </c>
      <c r="I250" s="52"/>
      <c r="J250" s="52" t="s">
        <v>10</v>
      </c>
      <c r="K250" s="59">
        <v>45629.0</v>
      </c>
      <c r="L250" s="52" t="s">
        <v>132</v>
      </c>
      <c r="M250" s="52" t="s">
        <v>19</v>
      </c>
      <c r="N250" s="62" t="str">
        <f>IFERROR(__xludf.DUMMYFUNCTION("""COMPUTED_VALUE"""),"")</f>
        <v/>
      </c>
      <c r="O250" s="62">
        <f>IFERROR(__xludf.DUMMYFUNCTION("""COMPUTED_VALUE"""),260.0)</f>
        <v>260</v>
      </c>
      <c r="P250" s="62">
        <f>IFERROR(__xludf.DUMMYFUNCTION("""COMPUTED_VALUE"""),260.0)</f>
        <v>260</v>
      </c>
      <c r="Q250" s="62"/>
      <c r="R250" s="62"/>
      <c r="S250" s="62"/>
    </row>
    <row r="251">
      <c r="A251" s="58">
        <v>45630.41649172454</v>
      </c>
      <c r="B251" s="52" t="s">
        <v>136</v>
      </c>
      <c r="C251" s="52" t="b">
        <v>0</v>
      </c>
      <c r="D251" s="52"/>
      <c r="E251" s="52"/>
      <c r="F251" s="52"/>
      <c r="G251" s="52"/>
      <c r="H251" s="52">
        <v>80.0</v>
      </c>
      <c r="I251" s="52"/>
      <c r="J251" s="52" t="s">
        <v>10</v>
      </c>
      <c r="K251" s="59">
        <v>45630.0</v>
      </c>
      <c r="L251" s="52" t="s">
        <v>135</v>
      </c>
      <c r="M251" s="52" t="s">
        <v>19</v>
      </c>
      <c r="N251" s="62" t="str">
        <f>IFERROR(__xludf.DUMMYFUNCTION("""COMPUTED_VALUE"""),"")</f>
        <v/>
      </c>
      <c r="O251" s="62" t="str">
        <f>IFERROR(__xludf.DUMMYFUNCTION("""COMPUTED_VALUE"""),"")</f>
        <v/>
      </c>
      <c r="P251" s="62" t="str">
        <f>IFERROR(__xludf.DUMMYFUNCTION("""COMPUTED_VALUE"""),"")</f>
        <v/>
      </c>
      <c r="Q251" s="62"/>
      <c r="R251" s="62"/>
      <c r="S251" s="62"/>
    </row>
    <row r="252">
      <c r="A252" s="58">
        <v>45630.49937802083</v>
      </c>
      <c r="B252" s="52" t="s">
        <v>130</v>
      </c>
      <c r="C252" s="52" t="b">
        <v>0</v>
      </c>
      <c r="D252" s="52"/>
      <c r="E252" s="52"/>
      <c r="F252" s="52"/>
      <c r="G252" s="52"/>
      <c r="H252" s="52">
        <v>12.0</v>
      </c>
      <c r="I252" s="52"/>
      <c r="J252" s="52" t="s">
        <v>11</v>
      </c>
      <c r="K252" s="59">
        <v>45630.0</v>
      </c>
      <c r="L252" s="52" t="s">
        <v>135</v>
      </c>
      <c r="M252" s="52" t="s">
        <v>18</v>
      </c>
      <c r="N252" s="62" t="str">
        <f>IFERROR(__xludf.DUMMYFUNCTION("""COMPUTED_VALUE"""),"")</f>
        <v/>
      </c>
      <c r="O252" s="62" t="str">
        <f>IFERROR(__xludf.DUMMYFUNCTION("""COMPUTED_VALUE"""),"")</f>
        <v/>
      </c>
      <c r="P252" s="62" t="str">
        <f>IFERROR(__xludf.DUMMYFUNCTION("""COMPUTED_VALUE"""),"")</f>
        <v/>
      </c>
      <c r="Q252" s="62"/>
      <c r="R252" s="62"/>
      <c r="S252" s="62"/>
    </row>
    <row r="253">
      <c r="A253" s="58">
        <v>45630.563414375</v>
      </c>
      <c r="B253" s="52" t="s">
        <v>149</v>
      </c>
      <c r="C253" s="52" t="b">
        <v>0</v>
      </c>
      <c r="D253" s="52"/>
      <c r="E253" s="52"/>
      <c r="F253" s="52"/>
      <c r="G253" s="52"/>
      <c r="H253" s="52">
        <v>144.0</v>
      </c>
      <c r="I253" s="52"/>
      <c r="J253" s="52" t="s">
        <v>11</v>
      </c>
      <c r="K253" s="59">
        <v>45630.0</v>
      </c>
      <c r="L253" s="52" t="s">
        <v>135</v>
      </c>
      <c r="M253" s="52" t="s">
        <v>19</v>
      </c>
      <c r="N253" s="62" t="str">
        <f>IFERROR(__xludf.DUMMYFUNCTION("""COMPUTED_VALUE"""),"")</f>
        <v/>
      </c>
      <c r="O253" s="62" t="str">
        <f>IFERROR(__xludf.DUMMYFUNCTION("""COMPUTED_VALUE"""),"")</f>
        <v/>
      </c>
      <c r="P253" s="62" t="str">
        <f>IFERROR(__xludf.DUMMYFUNCTION("""COMPUTED_VALUE"""),"")</f>
        <v/>
      </c>
      <c r="Q253" s="62"/>
      <c r="R253" s="62"/>
      <c r="S253" s="62"/>
    </row>
    <row r="254">
      <c r="A254" s="58">
        <v>45630.62625657408</v>
      </c>
      <c r="B254" s="52" t="s">
        <v>149</v>
      </c>
      <c r="C254" s="52" t="b">
        <v>0</v>
      </c>
      <c r="D254" s="52"/>
      <c r="E254" s="52"/>
      <c r="F254" s="52"/>
      <c r="G254" s="52"/>
      <c r="H254" s="52">
        <v>61.0</v>
      </c>
      <c r="I254" s="52"/>
      <c r="J254" s="52" t="s">
        <v>11</v>
      </c>
      <c r="K254" s="59">
        <v>45630.0</v>
      </c>
      <c r="L254" s="52" t="s">
        <v>135</v>
      </c>
      <c r="M254" s="52" t="s">
        <v>19</v>
      </c>
      <c r="N254" s="62" t="str">
        <f>IFERROR(__xludf.DUMMYFUNCTION("""COMPUTED_VALUE"""),"")</f>
        <v/>
      </c>
      <c r="O254" s="62" t="str">
        <f>IFERROR(__xludf.DUMMYFUNCTION("""COMPUTED_VALUE"""),"")</f>
        <v/>
      </c>
      <c r="P254" s="62" t="str">
        <f>IFERROR(__xludf.DUMMYFUNCTION("""COMPUTED_VALUE"""),"")</f>
        <v/>
      </c>
      <c r="Q254" s="62"/>
      <c r="R254" s="62"/>
      <c r="S254" s="62"/>
    </row>
    <row r="255">
      <c r="A255" s="58">
        <v>45630.64449920139</v>
      </c>
      <c r="B255" s="52" t="s">
        <v>148</v>
      </c>
      <c r="C255" s="52" t="b">
        <v>0</v>
      </c>
      <c r="D255" s="52"/>
      <c r="E255" s="52"/>
      <c r="F255" s="52"/>
      <c r="G255" s="52"/>
      <c r="H255" s="52">
        <v>141.0</v>
      </c>
      <c r="I255" s="52"/>
      <c r="J255" s="52" t="s">
        <v>11</v>
      </c>
      <c r="K255" s="59">
        <v>45630.0</v>
      </c>
      <c r="L255" s="52" t="s">
        <v>135</v>
      </c>
      <c r="M255" s="52" t="s">
        <v>18</v>
      </c>
      <c r="N255" s="62" t="str">
        <f>IFERROR(__xludf.DUMMYFUNCTION("""COMPUTED_VALUE"""),"")</f>
        <v/>
      </c>
      <c r="O255" s="62" t="str">
        <f>IFERROR(__xludf.DUMMYFUNCTION("""COMPUTED_VALUE"""),"")</f>
        <v/>
      </c>
      <c r="P255" s="62" t="str">
        <f>IFERROR(__xludf.DUMMYFUNCTION("""COMPUTED_VALUE"""),"")</f>
        <v/>
      </c>
      <c r="Q255" s="62"/>
      <c r="R255" s="62"/>
      <c r="S255" s="62"/>
    </row>
    <row r="256">
      <c r="A256" s="58">
        <v>45630.80038868055</v>
      </c>
      <c r="B256" s="52" t="s">
        <v>149</v>
      </c>
      <c r="C256" s="52" t="b">
        <v>0</v>
      </c>
      <c r="D256" s="52"/>
      <c r="E256" s="52"/>
      <c r="F256" s="52"/>
      <c r="G256" s="52"/>
      <c r="H256" s="52">
        <v>273.0</v>
      </c>
      <c r="I256" s="52"/>
      <c r="J256" s="52" t="s">
        <v>12</v>
      </c>
      <c r="K256" s="59">
        <v>45630.0</v>
      </c>
      <c r="L256" s="52" t="s">
        <v>135</v>
      </c>
      <c r="M256" s="52" t="s">
        <v>18</v>
      </c>
      <c r="N256" s="62" t="str">
        <f>IFERROR(__xludf.DUMMYFUNCTION("""COMPUTED_VALUE"""),"")</f>
        <v/>
      </c>
      <c r="O256" s="62" t="str">
        <f>IFERROR(__xludf.DUMMYFUNCTION("""COMPUTED_VALUE"""),"")</f>
        <v/>
      </c>
      <c r="P256" s="62" t="str">
        <f>IFERROR(__xludf.DUMMYFUNCTION("""COMPUTED_VALUE"""),"")</f>
        <v/>
      </c>
      <c r="Q256" s="62"/>
      <c r="R256" s="62"/>
      <c r="S256" s="62"/>
    </row>
    <row r="257">
      <c r="A257" s="58">
        <v>45630.88642461805</v>
      </c>
      <c r="B257" s="52" t="s">
        <v>149</v>
      </c>
      <c r="C257" s="52" t="b">
        <v>0</v>
      </c>
      <c r="D257" s="52"/>
      <c r="E257" s="52"/>
      <c r="F257" s="52"/>
      <c r="G257" s="52"/>
      <c r="H257" s="52">
        <v>245.0</v>
      </c>
      <c r="I257" s="52"/>
      <c r="J257" s="52" t="s">
        <v>12</v>
      </c>
      <c r="K257" s="59">
        <v>45630.0</v>
      </c>
      <c r="L257" s="52" t="s">
        <v>135</v>
      </c>
      <c r="M257" s="52" t="s">
        <v>18</v>
      </c>
      <c r="N257" s="62">
        <f>IFERROR(__xludf.DUMMYFUNCTION("""COMPUTED_VALUE"""),671.0)</f>
        <v>671</v>
      </c>
      <c r="O257" s="62">
        <f>IFERROR(__xludf.DUMMYFUNCTION("""COMPUTED_VALUE"""),285.0)</f>
        <v>285</v>
      </c>
      <c r="P257" s="62">
        <f>IFERROR(__xludf.DUMMYFUNCTION("""COMPUTED_VALUE"""),956.0)</f>
        <v>956</v>
      </c>
      <c r="Q257" s="62"/>
      <c r="R257" s="62"/>
      <c r="S257" s="62"/>
    </row>
    <row r="258">
      <c r="A258" s="58">
        <v>45631.46325993056</v>
      </c>
      <c r="B258" s="52" t="s">
        <v>153</v>
      </c>
      <c r="C258" s="52" t="b">
        <v>0</v>
      </c>
      <c r="D258" s="52"/>
      <c r="E258" s="52"/>
      <c r="F258" s="52"/>
      <c r="G258" s="52"/>
      <c r="H258" s="52">
        <v>51.0</v>
      </c>
      <c r="I258" s="52"/>
      <c r="J258" s="52" t="s">
        <v>10</v>
      </c>
      <c r="K258" s="59">
        <v>45631.0</v>
      </c>
      <c r="L258" s="52" t="s">
        <v>137</v>
      </c>
      <c r="M258" s="52" t="s">
        <v>19</v>
      </c>
      <c r="N258" s="62" t="str">
        <f>IFERROR(__xludf.DUMMYFUNCTION("""COMPUTED_VALUE"""),"")</f>
        <v/>
      </c>
      <c r="O258" s="62" t="str">
        <f>IFERROR(__xludf.DUMMYFUNCTION("""COMPUTED_VALUE"""),"")</f>
        <v/>
      </c>
      <c r="P258" s="62" t="str">
        <f>IFERROR(__xludf.DUMMYFUNCTION("""COMPUTED_VALUE"""),"")</f>
        <v/>
      </c>
      <c r="Q258" s="62"/>
      <c r="R258" s="62"/>
      <c r="S258" s="62"/>
    </row>
    <row r="259">
      <c r="A259" s="58">
        <v>45631.59118349537</v>
      </c>
      <c r="B259" s="52" t="s">
        <v>150</v>
      </c>
      <c r="C259" s="52" t="b">
        <v>0</v>
      </c>
      <c r="D259" s="52"/>
      <c r="E259" s="52"/>
      <c r="F259" s="52"/>
      <c r="G259" s="52"/>
      <c r="H259" s="52">
        <v>59.0</v>
      </c>
      <c r="I259" s="52"/>
      <c r="J259" s="52" t="s">
        <v>11</v>
      </c>
      <c r="K259" s="59">
        <v>45631.0</v>
      </c>
      <c r="L259" s="52" t="s">
        <v>137</v>
      </c>
      <c r="M259" s="52" t="s">
        <v>18</v>
      </c>
      <c r="N259" s="62" t="str">
        <f>IFERROR(__xludf.DUMMYFUNCTION("""COMPUTED_VALUE"""),"")</f>
        <v/>
      </c>
      <c r="O259" s="62" t="str">
        <f>IFERROR(__xludf.DUMMYFUNCTION("""COMPUTED_VALUE"""),"")</f>
        <v/>
      </c>
      <c r="P259" s="62" t="str">
        <f>IFERROR(__xludf.DUMMYFUNCTION("""COMPUTED_VALUE"""),"")</f>
        <v/>
      </c>
      <c r="Q259" s="62"/>
      <c r="R259" s="62"/>
      <c r="S259" s="62"/>
    </row>
    <row r="260">
      <c r="A260" s="58">
        <v>45631.62531482639</v>
      </c>
      <c r="B260" s="52" t="s">
        <v>149</v>
      </c>
      <c r="C260" s="52" t="b">
        <v>0</v>
      </c>
      <c r="D260" s="52"/>
      <c r="E260" s="52"/>
      <c r="F260" s="52"/>
      <c r="G260" s="52"/>
      <c r="H260" s="52">
        <v>104.0</v>
      </c>
      <c r="I260" s="52"/>
      <c r="J260" s="52" t="s">
        <v>11</v>
      </c>
      <c r="K260" s="59">
        <v>45631.0</v>
      </c>
      <c r="L260" s="52" t="s">
        <v>137</v>
      </c>
      <c r="M260" s="52" t="s">
        <v>19</v>
      </c>
      <c r="N260" s="62" t="str">
        <f>IFERROR(__xludf.DUMMYFUNCTION("""COMPUTED_VALUE"""),"")</f>
        <v/>
      </c>
      <c r="O260" s="62" t="str">
        <f>IFERROR(__xludf.DUMMYFUNCTION("""COMPUTED_VALUE"""),"")</f>
        <v/>
      </c>
      <c r="P260" s="62" t="str">
        <f>IFERROR(__xludf.DUMMYFUNCTION("""COMPUTED_VALUE"""),"")</f>
        <v/>
      </c>
      <c r="Q260" s="62"/>
      <c r="R260" s="62"/>
      <c r="S260" s="62"/>
    </row>
    <row r="261">
      <c r="A261" s="58">
        <v>45631.87311570602</v>
      </c>
      <c r="B261" s="52" t="s">
        <v>148</v>
      </c>
      <c r="C261" s="52" t="b">
        <v>0</v>
      </c>
      <c r="D261" s="52"/>
      <c r="E261" s="52"/>
      <c r="F261" s="52"/>
      <c r="G261" s="52"/>
      <c r="H261" s="52">
        <v>142.0</v>
      </c>
      <c r="I261" s="52"/>
      <c r="J261" s="52" t="s">
        <v>12</v>
      </c>
      <c r="K261" s="59">
        <v>45631.0</v>
      </c>
      <c r="L261" s="52" t="s">
        <v>137</v>
      </c>
      <c r="M261" s="52" t="s">
        <v>19</v>
      </c>
      <c r="N261" s="62">
        <f>IFERROR(__xludf.DUMMYFUNCTION("""COMPUTED_VALUE"""),59.0)</f>
        <v>59</v>
      </c>
      <c r="O261" s="62">
        <f>IFERROR(__xludf.DUMMYFUNCTION("""COMPUTED_VALUE"""),297.0)</f>
        <v>297</v>
      </c>
      <c r="P261" s="62">
        <f>IFERROR(__xludf.DUMMYFUNCTION("""COMPUTED_VALUE"""),356.0)</f>
        <v>356</v>
      </c>
      <c r="Q261" s="62"/>
      <c r="R261" s="62"/>
      <c r="S261" s="62"/>
    </row>
    <row r="262">
      <c r="A262" s="58">
        <v>45632.37406539352</v>
      </c>
      <c r="B262" s="52" t="s">
        <v>136</v>
      </c>
      <c r="C262" s="52" t="b">
        <v>0</v>
      </c>
      <c r="D262" s="52"/>
      <c r="E262" s="52"/>
      <c r="F262" s="52"/>
      <c r="G262" s="52"/>
      <c r="H262" s="52">
        <v>38.0</v>
      </c>
      <c r="I262" s="52"/>
      <c r="J262" s="52" t="s">
        <v>10</v>
      </c>
      <c r="K262" s="59">
        <v>45632.0</v>
      </c>
      <c r="L262" s="52" t="s">
        <v>138</v>
      </c>
      <c r="M262" s="52" t="s">
        <v>19</v>
      </c>
      <c r="N262" s="62" t="str">
        <f>IFERROR(__xludf.DUMMYFUNCTION("""COMPUTED_VALUE"""),"")</f>
        <v/>
      </c>
      <c r="O262" s="62" t="str">
        <f>IFERROR(__xludf.DUMMYFUNCTION("""COMPUTED_VALUE"""),"")</f>
        <v/>
      </c>
      <c r="P262" s="62" t="str">
        <f>IFERROR(__xludf.DUMMYFUNCTION("""COMPUTED_VALUE"""),"")</f>
        <v/>
      </c>
      <c r="Q262" s="62"/>
      <c r="R262" s="62"/>
      <c r="S262" s="62"/>
    </row>
    <row r="263">
      <c r="A263" s="58">
        <v>45632.66141892361</v>
      </c>
      <c r="B263" s="52" t="s">
        <v>130</v>
      </c>
      <c r="C263" s="52" t="b">
        <v>0</v>
      </c>
      <c r="D263" s="52"/>
      <c r="E263" s="52"/>
      <c r="F263" s="52"/>
      <c r="G263" s="52"/>
      <c r="H263" s="52">
        <v>130.0</v>
      </c>
      <c r="I263" s="52"/>
      <c r="J263" s="52" t="s">
        <v>11</v>
      </c>
      <c r="K263" s="59">
        <v>45632.0</v>
      </c>
      <c r="L263" s="52" t="s">
        <v>138</v>
      </c>
      <c r="M263" s="52" t="s">
        <v>18</v>
      </c>
      <c r="N263" s="62" t="str">
        <f>IFERROR(__xludf.DUMMYFUNCTION("""COMPUTED_VALUE"""),"")</f>
        <v/>
      </c>
      <c r="O263" s="62" t="str">
        <f>IFERROR(__xludf.DUMMYFUNCTION("""COMPUTED_VALUE"""),"")</f>
        <v/>
      </c>
      <c r="P263" s="62" t="str">
        <f>IFERROR(__xludf.DUMMYFUNCTION("""COMPUTED_VALUE"""),"")</f>
        <v/>
      </c>
      <c r="Q263" s="62"/>
      <c r="R263" s="62"/>
      <c r="S263" s="62"/>
    </row>
    <row r="264">
      <c r="A264" s="58">
        <v>45632.83343077546</v>
      </c>
      <c r="B264" s="52" t="s">
        <v>148</v>
      </c>
      <c r="C264" s="52" t="b">
        <v>0</v>
      </c>
      <c r="D264" s="52"/>
      <c r="E264" s="52"/>
      <c r="F264" s="52"/>
      <c r="G264" s="52"/>
      <c r="H264" s="52">
        <v>184.0</v>
      </c>
      <c r="I264" s="52"/>
      <c r="J264" s="52" t="s">
        <v>12</v>
      </c>
      <c r="K264" s="59">
        <v>45632.0</v>
      </c>
      <c r="L264" s="52" t="s">
        <v>138</v>
      </c>
      <c r="M264" s="52" t="s">
        <v>18</v>
      </c>
      <c r="N264" s="62">
        <f>IFERROR(__xludf.DUMMYFUNCTION("""COMPUTED_VALUE"""),314.0)</f>
        <v>314</v>
      </c>
      <c r="O264" s="62">
        <f>IFERROR(__xludf.DUMMYFUNCTION("""COMPUTED_VALUE"""),38.0)</f>
        <v>38</v>
      </c>
      <c r="P264" s="62">
        <f>IFERROR(__xludf.DUMMYFUNCTION("""COMPUTED_VALUE"""),352.0)</f>
        <v>352</v>
      </c>
      <c r="Q264" s="62"/>
      <c r="R264" s="62"/>
      <c r="S264" s="62"/>
    </row>
    <row r="265">
      <c r="A265" s="58">
        <v>45635.41359890046</v>
      </c>
      <c r="B265" s="52" t="s">
        <v>136</v>
      </c>
      <c r="C265" s="52" t="b">
        <v>0</v>
      </c>
      <c r="D265" s="52"/>
      <c r="E265" s="52"/>
      <c r="F265" s="52"/>
      <c r="G265" s="52"/>
      <c r="H265" s="52">
        <v>59.0</v>
      </c>
      <c r="I265" s="52"/>
      <c r="J265" s="52" t="s">
        <v>10</v>
      </c>
      <c r="K265" s="59">
        <v>45635.0</v>
      </c>
      <c r="L265" s="52" t="s">
        <v>129</v>
      </c>
      <c r="M265" s="52" t="s">
        <v>19</v>
      </c>
      <c r="N265" s="62" t="str">
        <f>IFERROR(__xludf.DUMMYFUNCTION("""COMPUTED_VALUE"""),"")</f>
        <v/>
      </c>
      <c r="O265" s="62" t="str">
        <f>IFERROR(__xludf.DUMMYFUNCTION("""COMPUTED_VALUE"""),"")</f>
        <v/>
      </c>
      <c r="P265" s="62" t="str">
        <f>IFERROR(__xludf.DUMMYFUNCTION("""COMPUTED_VALUE"""),"")</f>
        <v/>
      </c>
      <c r="Q265" s="62"/>
      <c r="R265" s="62"/>
      <c r="S265" s="62"/>
    </row>
    <row r="266">
      <c r="A266" s="58">
        <v>45635.50088103009</v>
      </c>
      <c r="B266" s="52" t="s">
        <v>130</v>
      </c>
      <c r="C266" s="52" t="b">
        <v>0</v>
      </c>
      <c r="D266" s="52"/>
      <c r="E266" s="52"/>
      <c r="F266" s="52"/>
      <c r="G266" s="52"/>
      <c r="H266" s="52">
        <v>4.0</v>
      </c>
      <c r="I266" s="52"/>
      <c r="J266" s="52" t="s">
        <v>11</v>
      </c>
      <c r="K266" s="59">
        <v>45635.0</v>
      </c>
      <c r="L266" s="52" t="s">
        <v>129</v>
      </c>
      <c r="M266" s="52" t="s">
        <v>18</v>
      </c>
      <c r="N266" s="62" t="str">
        <f>IFERROR(__xludf.DUMMYFUNCTION("""COMPUTED_VALUE"""),"")</f>
        <v/>
      </c>
      <c r="O266" s="62" t="str">
        <f>IFERROR(__xludf.DUMMYFUNCTION("""COMPUTED_VALUE"""),"")</f>
        <v/>
      </c>
      <c r="P266" s="62" t="str">
        <f>IFERROR(__xludf.DUMMYFUNCTION("""COMPUTED_VALUE"""),"")</f>
        <v/>
      </c>
      <c r="Q266" s="62"/>
      <c r="R266" s="62"/>
      <c r="S266" s="62"/>
    </row>
    <row r="267">
      <c r="A267" s="58">
        <v>45635.60968702546</v>
      </c>
      <c r="B267" s="52" t="s">
        <v>149</v>
      </c>
      <c r="C267" s="52" t="b">
        <v>0</v>
      </c>
      <c r="D267" s="52"/>
      <c r="E267" s="52"/>
      <c r="F267" s="52"/>
      <c r="G267" s="52"/>
      <c r="H267" s="52">
        <v>129.0</v>
      </c>
      <c r="I267" s="52"/>
      <c r="J267" s="52" t="s">
        <v>11</v>
      </c>
      <c r="K267" s="59">
        <v>45635.0</v>
      </c>
      <c r="L267" s="52" t="s">
        <v>129</v>
      </c>
      <c r="M267" s="52" t="s">
        <v>19</v>
      </c>
      <c r="N267" s="62" t="str">
        <f>IFERROR(__xludf.DUMMYFUNCTION("""COMPUTED_VALUE"""),"")</f>
        <v/>
      </c>
      <c r="O267" s="62" t="str">
        <f>IFERROR(__xludf.DUMMYFUNCTION("""COMPUTED_VALUE"""),"")</f>
        <v/>
      </c>
      <c r="P267" s="62" t="str">
        <f>IFERROR(__xludf.DUMMYFUNCTION("""COMPUTED_VALUE"""),"")</f>
        <v/>
      </c>
      <c r="Q267" s="62"/>
      <c r="R267" s="62"/>
      <c r="S267" s="62"/>
    </row>
    <row r="268">
      <c r="A268" s="58">
        <v>45635.64190175926</v>
      </c>
      <c r="B268" s="52" t="s">
        <v>148</v>
      </c>
      <c r="C268" s="52" t="b">
        <v>0</v>
      </c>
      <c r="D268" s="52"/>
      <c r="E268" s="52"/>
      <c r="F268" s="52"/>
      <c r="G268" s="52"/>
      <c r="H268" s="52">
        <v>163.0</v>
      </c>
      <c r="I268" s="52"/>
      <c r="J268" s="52" t="s">
        <v>11</v>
      </c>
      <c r="K268" s="59">
        <v>45635.0</v>
      </c>
      <c r="L268" s="52" t="s">
        <v>129</v>
      </c>
      <c r="M268" s="52" t="s">
        <v>18</v>
      </c>
      <c r="N268" s="62" t="str">
        <f>IFERROR(__xludf.DUMMYFUNCTION("""COMPUTED_VALUE"""),"")</f>
        <v/>
      </c>
      <c r="O268" s="62" t="str">
        <f>IFERROR(__xludf.DUMMYFUNCTION("""COMPUTED_VALUE"""),"")</f>
        <v/>
      </c>
      <c r="P268" s="62" t="str">
        <f>IFERROR(__xludf.DUMMYFUNCTION("""COMPUTED_VALUE"""),"")</f>
        <v/>
      </c>
      <c r="Q268" s="62"/>
      <c r="R268" s="62"/>
      <c r="S268" s="62"/>
    </row>
    <row r="269">
      <c r="A269" s="58">
        <v>45635.78942061342</v>
      </c>
      <c r="B269" s="52" t="s">
        <v>131</v>
      </c>
      <c r="C269" s="52" t="b">
        <v>0</v>
      </c>
      <c r="D269" s="52"/>
      <c r="E269" s="52"/>
      <c r="F269" s="52"/>
      <c r="G269" s="52"/>
      <c r="H269" s="52">
        <v>77.0</v>
      </c>
      <c r="I269" s="52"/>
      <c r="J269" s="52" t="s">
        <v>12</v>
      </c>
      <c r="K269" s="59">
        <v>45635.0</v>
      </c>
      <c r="L269" s="52" t="s">
        <v>129</v>
      </c>
      <c r="M269" s="52" t="s">
        <v>19</v>
      </c>
      <c r="N269" s="62">
        <f>IFERROR(__xludf.DUMMYFUNCTION("""COMPUTED_VALUE"""),167.0)</f>
        <v>167</v>
      </c>
      <c r="O269" s="62">
        <f>IFERROR(__xludf.DUMMYFUNCTION("""COMPUTED_VALUE"""),265.0)</f>
        <v>265</v>
      </c>
      <c r="P269" s="62">
        <f>IFERROR(__xludf.DUMMYFUNCTION("""COMPUTED_VALUE"""),432.0)</f>
        <v>432</v>
      </c>
      <c r="Q269" s="62"/>
      <c r="R269" s="62"/>
      <c r="S269" s="62"/>
    </row>
    <row r="270">
      <c r="A270" s="58">
        <v>45636.62347291667</v>
      </c>
      <c r="B270" s="52" t="s">
        <v>131</v>
      </c>
      <c r="C270" s="52" t="b">
        <v>0</v>
      </c>
      <c r="D270" s="52"/>
      <c r="E270" s="52"/>
      <c r="F270" s="52"/>
      <c r="G270" s="52"/>
      <c r="H270" s="52">
        <v>114.0</v>
      </c>
      <c r="I270" s="52"/>
      <c r="J270" s="52" t="s">
        <v>11</v>
      </c>
      <c r="K270" s="59">
        <v>45636.0</v>
      </c>
      <c r="L270" s="52" t="s">
        <v>132</v>
      </c>
      <c r="M270" s="52" t="s">
        <v>19</v>
      </c>
      <c r="N270" s="62" t="str">
        <f>IFERROR(__xludf.DUMMYFUNCTION("""COMPUTED_VALUE"""),"")</f>
        <v/>
      </c>
      <c r="O270" s="62" t="str">
        <f>IFERROR(__xludf.DUMMYFUNCTION("""COMPUTED_VALUE"""),"")</f>
        <v/>
      </c>
      <c r="P270" s="62" t="str">
        <f>IFERROR(__xludf.DUMMYFUNCTION("""COMPUTED_VALUE"""),"")</f>
        <v/>
      </c>
      <c r="Q270" s="62"/>
      <c r="R270" s="62"/>
      <c r="S270" s="62"/>
    </row>
    <row r="271">
      <c r="A271" s="58">
        <v>45636.88593614583</v>
      </c>
      <c r="B271" s="52" t="s">
        <v>149</v>
      </c>
      <c r="C271" s="52" t="b">
        <v>0</v>
      </c>
      <c r="D271" s="52"/>
      <c r="E271" s="52"/>
      <c r="F271" s="52"/>
      <c r="G271" s="52"/>
      <c r="H271" s="52">
        <v>168.0</v>
      </c>
      <c r="I271" s="52"/>
      <c r="J271" s="52" t="s">
        <v>12</v>
      </c>
      <c r="K271" s="59">
        <v>45636.0</v>
      </c>
      <c r="L271" s="52" t="s">
        <v>132</v>
      </c>
      <c r="M271" s="52" t="s">
        <v>19</v>
      </c>
      <c r="N271" s="62" t="str">
        <f>IFERROR(__xludf.DUMMYFUNCTION("""COMPUTED_VALUE"""),"")</f>
        <v/>
      </c>
      <c r="O271" s="62" t="str">
        <f>IFERROR(__xludf.DUMMYFUNCTION("""COMPUTED_VALUE"""),"")</f>
        <v/>
      </c>
      <c r="P271" s="62" t="str">
        <f>IFERROR(__xludf.DUMMYFUNCTION("""COMPUTED_VALUE"""),"")</f>
        <v/>
      </c>
      <c r="Q271" s="62"/>
      <c r="R271" s="62"/>
      <c r="S271" s="62"/>
    </row>
    <row r="272">
      <c r="A272" s="58">
        <v>45639.29696326389</v>
      </c>
      <c r="B272" s="52" t="s">
        <v>153</v>
      </c>
      <c r="C272" s="52" t="b">
        <v>0</v>
      </c>
      <c r="D272" s="52"/>
      <c r="E272" s="52"/>
      <c r="F272" s="52"/>
      <c r="G272" s="52"/>
      <c r="H272" s="52">
        <v>38.0</v>
      </c>
      <c r="I272" s="52"/>
      <c r="J272" s="52" t="s">
        <v>10</v>
      </c>
      <c r="K272" s="59">
        <v>45636.0</v>
      </c>
      <c r="L272" s="52" t="s">
        <v>132</v>
      </c>
      <c r="M272" s="52" t="s">
        <v>19</v>
      </c>
      <c r="N272" s="62" t="str">
        <f>IFERROR(__xludf.DUMMYFUNCTION("""COMPUTED_VALUE"""),"")</f>
        <v/>
      </c>
      <c r="O272" s="62">
        <f>IFERROR(__xludf.DUMMYFUNCTION("""COMPUTED_VALUE"""),320.0)</f>
        <v>320</v>
      </c>
      <c r="P272" s="62">
        <f>IFERROR(__xludf.DUMMYFUNCTION("""COMPUTED_VALUE"""),320.0)</f>
        <v>320</v>
      </c>
      <c r="Q272" s="62"/>
      <c r="R272" s="62"/>
      <c r="S272" s="62"/>
    </row>
    <row r="273">
      <c r="A273" s="58">
        <v>45637.41294680555</v>
      </c>
      <c r="B273" s="52" t="s">
        <v>136</v>
      </c>
      <c r="C273" s="52" t="b">
        <v>0</v>
      </c>
      <c r="D273" s="52"/>
      <c r="E273" s="52"/>
      <c r="F273" s="52"/>
      <c r="G273" s="52"/>
      <c r="H273" s="52">
        <v>26.0</v>
      </c>
      <c r="I273" s="52"/>
      <c r="J273" s="52" t="s">
        <v>10</v>
      </c>
      <c r="K273" s="59">
        <v>45637.0</v>
      </c>
      <c r="L273" s="52" t="s">
        <v>135</v>
      </c>
      <c r="M273" s="52" t="s">
        <v>19</v>
      </c>
      <c r="N273" s="62" t="str">
        <f>IFERROR(__xludf.DUMMYFUNCTION("""COMPUTED_VALUE"""),"")</f>
        <v/>
      </c>
      <c r="O273" s="62" t="str">
        <f>IFERROR(__xludf.DUMMYFUNCTION("""COMPUTED_VALUE"""),"")</f>
        <v/>
      </c>
      <c r="P273" s="62" t="str">
        <f>IFERROR(__xludf.DUMMYFUNCTION("""COMPUTED_VALUE"""),"")</f>
        <v/>
      </c>
      <c r="Q273" s="62"/>
      <c r="R273" s="62"/>
      <c r="S273" s="62"/>
    </row>
    <row r="274">
      <c r="A274" s="58">
        <v>45637.50167236111</v>
      </c>
      <c r="B274" s="52" t="s">
        <v>130</v>
      </c>
      <c r="C274" s="52" t="b">
        <v>0</v>
      </c>
      <c r="D274" s="52"/>
      <c r="E274" s="52"/>
      <c r="F274" s="52"/>
      <c r="G274" s="52"/>
      <c r="H274" s="52">
        <v>1.0</v>
      </c>
      <c r="I274" s="52"/>
      <c r="J274" s="52" t="s">
        <v>11</v>
      </c>
      <c r="K274" s="59">
        <v>45637.0</v>
      </c>
      <c r="L274" s="52" t="s">
        <v>135</v>
      </c>
      <c r="M274" s="52" t="s">
        <v>18</v>
      </c>
      <c r="N274" s="62" t="str">
        <f>IFERROR(__xludf.DUMMYFUNCTION("""COMPUTED_VALUE"""),"")</f>
        <v/>
      </c>
      <c r="O274" s="62" t="str">
        <f>IFERROR(__xludf.DUMMYFUNCTION("""COMPUTED_VALUE"""),"")</f>
        <v/>
      </c>
      <c r="P274" s="62" t="str">
        <f>IFERROR(__xludf.DUMMYFUNCTION("""COMPUTED_VALUE"""),"")</f>
        <v/>
      </c>
      <c r="Q274" s="62"/>
      <c r="R274" s="62"/>
      <c r="S274" s="62"/>
    </row>
    <row r="275">
      <c r="A275" s="58">
        <v>45637.62298474537</v>
      </c>
      <c r="B275" s="52" t="s">
        <v>165</v>
      </c>
      <c r="C275" s="52" t="b">
        <v>0</v>
      </c>
      <c r="D275" s="52"/>
      <c r="E275" s="52"/>
      <c r="F275" s="52"/>
      <c r="G275" s="52"/>
      <c r="H275" s="52">
        <v>204.0</v>
      </c>
      <c r="I275" s="52"/>
      <c r="J275" s="52" t="s">
        <v>11</v>
      </c>
      <c r="K275" s="59">
        <v>45637.0</v>
      </c>
      <c r="L275" s="52" t="s">
        <v>135</v>
      </c>
      <c r="M275" s="52" t="s">
        <v>19</v>
      </c>
      <c r="N275" s="62" t="str">
        <f>IFERROR(__xludf.DUMMYFUNCTION("""COMPUTED_VALUE"""),"")</f>
        <v/>
      </c>
      <c r="O275" s="62" t="str">
        <f>IFERROR(__xludf.DUMMYFUNCTION("""COMPUTED_VALUE"""),"")</f>
        <v/>
      </c>
      <c r="P275" s="62" t="str">
        <f>IFERROR(__xludf.DUMMYFUNCTION("""COMPUTED_VALUE"""),"")</f>
        <v/>
      </c>
      <c r="Q275" s="62"/>
      <c r="R275" s="62"/>
      <c r="S275" s="62"/>
    </row>
    <row r="276">
      <c r="A276" s="58">
        <v>45637.64478331018</v>
      </c>
      <c r="B276" s="52" t="s">
        <v>148</v>
      </c>
      <c r="C276" s="52" t="b">
        <v>0</v>
      </c>
      <c r="D276" s="52"/>
      <c r="E276" s="52"/>
      <c r="F276" s="52"/>
      <c r="G276" s="52"/>
      <c r="H276" s="52">
        <v>149.0</v>
      </c>
      <c r="I276" s="52"/>
      <c r="J276" s="52" t="s">
        <v>11</v>
      </c>
      <c r="K276" s="59">
        <v>45637.0</v>
      </c>
      <c r="L276" s="52" t="s">
        <v>135</v>
      </c>
      <c r="M276" s="52" t="s">
        <v>18</v>
      </c>
      <c r="N276" s="62" t="str">
        <f>IFERROR(__xludf.DUMMYFUNCTION("""COMPUTED_VALUE"""),"")</f>
        <v/>
      </c>
      <c r="O276" s="62" t="str">
        <f>IFERROR(__xludf.DUMMYFUNCTION("""COMPUTED_VALUE"""),"")</f>
        <v/>
      </c>
      <c r="P276" s="62" t="str">
        <f>IFERROR(__xludf.DUMMYFUNCTION("""COMPUTED_VALUE"""),"")</f>
        <v/>
      </c>
      <c r="Q276" s="62"/>
      <c r="R276" s="62"/>
      <c r="S276" s="62"/>
    </row>
    <row r="277">
      <c r="A277" s="58">
        <v>45637.8766778125</v>
      </c>
      <c r="B277" s="52" t="s">
        <v>149</v>
      </c>
      <c r="C277" s="52" t="b">
        <v>0</v>
      </c>
      <c r="D277" s="52"/>
      <c r="E277" s="52"/>
      <c r="F277" s="52"/>
      <c r="G277" s="52"/>
      <c r="H277" s="52">
        <v>106.0</v>
      </c>
      <c r="I277" s="52"/>
      <c r="J277" s="52" t="s">
        <v>12</v>
      </c>
      <c r="K277" s="59">
        <v>45637.0</v>
      </c>
      <c r="L277" s="52" t="s">
        <v>135</v>
      </c>
      <c r="M277" s="52" t="s">
        <v>18</v>
      </c>
      <c r="N277" s="62">
        <f>IFERROR(__xludf.DUMMYFUNCTION("""COMPUTED_VALUE"""),256.0)</f>
        <v>256</v>
      </c>
      <c r="O277" s="62">
        <f>IFERROR(__xludf.DUMMYFUNCTION("""COMPUTED_VALUE"""),230.0)</f>
        <v>230</v>
      </c>
      <c r="P277" s="62">
        <f>IFERROR(__xludf.DUMMYFUNCTION("""COMPUTED_VALUE"""),486.0)</f>
        <v>486</v>
      </c>
      <c r="Q277" s="62"/>
      <c r="R277" s="62"/>
      <c r="S277" s="62"/>
    </row>
    <row r="278">
      <c r="A278" s="58">
        <v>45638.53576179398</v>
      </c>
      <c r="B278" s="52" t="s">
        <v>149</v>
      </c>
      <c r="C278" s="52" t="b">
        <v>0</v>
      </c>
      <c r="D278" s="52"/>
      <c r="E278" s="52"/>
      <c r="F278" s="52"/>
      <c r="G278" s="52"/>
      <c r="H278" s="52">
        <v>51.0</v>
      </c>
      <c r="I278" s="52"/>
      <c r="J278" s="52" t="s">
        <v>11</v>
      </c>
      <c r="K278" s="59">
        <v>45638.0</v>
      </c>
      <c r="L278" s="52" t="s">
        <v>137</v>
      </c>
      <c r="M278" s="52" t="s">
        <v>19</v>
      </c>
      <c r="N278" s="62" t="str">
        <f>IFERROR(__xludf.DUMMYFUNCTION("""COMPUTED_VALUE"""),"")</f>
        <v/>
      </c>
      <c r="O278" s="62" t="str">
        <f>IFERROR(__xludf.DUMMYFUNCTION("""COMPUTED_VALUE"""),"")</f>
        <v/>
      </c>
      <c r="P278" s="62" t="str">
        <f>IFERROR(__xludf.DUMMYFUNCTION("""COMPUTED_VALUE"""),"")</f>
        <v/>
      </c>
      <c r="Q278" s="62"/>
      <c r="R278" s="62"/>
      <c r="S278" s="62"/>
    </row>
    <row r="279">
      <c r="A279" s="58">
        <v>45638.81908582176</v>
      </c>
      <c r="B279" s="52" t="s">
        <v>148</v>
      </c>
      <c r="C279" s="52" t="b">
        <v>0</v>
      </c>
      <c r="D279" s="52"/>
      <c r="E279" s="52"/>
      <c r="F279" s="52"/>
      <c r="G279" s="52"/>
      <c r="H279" s="52">
        <v>107.0</v>
      </c>
      <c r="I279" s="52"/>
      <c r="J279" s="52" t="s">
        <v>12</v>
      </c>
      <c r="K279" s="59">
        <v>45638.0</v>
      </c>
      <c r="L279" s="52" t="s">
        <v>137</v>
      </c>
      <c r="M279" s="52" t="s">
        <v>19</v>
      </c>
      <c r="N279" s="62" t="str">
        <f>IFERROR(__xludf.DUMMYFUNCTION("""COMPUTED_VALUE"""),"")</f>
        <v/>
      </c>
      <c r="O279" s="62" t="str">
        <f>IFERROR(__xludf.DUMMYFUNCTION("""COMPUTED_VALUE"""),"")</f>
        <v/>
      </c>
      <c r="P279" s="62" t="str">
        <f>IFERROR(__xludf.DUMMYFUNCTION("""COMPUTED_VALUE"""),"")</f>
        <v/>
      </c>
      <c r="Q279" s="62"/>
      <c r="R279" s="62"/>
      <c r="S279" s="62"/>
    </row>
    <row r="280">
      <c r="A280" s="58">
        <v>45638.87409592592</v>
      </c>
      <c r="B280" s="52" t="s">
        <v>148</v>
      </c>
      <c r="C280" s="52" t="b">
        <v>0</v>
      </c>
      <c r="D280" s="52"/>
      <c r="E280" s="52"/>
      <c r="F280" s="52"/>
      <c r="G280" s="52"/>
      <c r="H280" s="52">
        <v>40.0</v>
      </c>
      <c r="I280" s="52"/>
      <c r="J280" s="52" t="s">
        <v>12</v>
      </c>
      <c r="K280" s="59">
        <v>45638.0</v>
      </c>
      <c r="L280" s="52" t="s">
        <v>137</v>
      </c>
      <c r="M280" s="52" t="s">
        <v>19</v>
      </c>
      <c r="N280" s="62" t="str">
        <f>IFERROR(__xludf.DUMMYFUNCTION("""COMPUTED_VALUE"""),"")</f>
        <v/>
      </c>
      <c r="O280" s="62" t="str">
        <f>IFERROR(__xludf.DUMMYFUNCTION("""COMPUTED_VALUE"""),"")</f>
        <v/>
      </c>
      <c r="P280" s="62" t="str">
        <f>IFERROR(__xludf.DUMMYFUNCTION("""COMPUTED_VALUE"""),"")</f>
        <v/>
      </c>
      <c r="Q280" s="62"/>
      <c r="R280" s="62"/>
      <c r="S280" s="62"/>
    </row>
    <row r="281">
      <c r="A281" s="58">
        <v>45639.29850928241</v>
      </c>
      <c r="B281" s="52" t="s">
        <v>153</v>
      </c>
      <c r="C281" s="52" t="b">
        <v>0</v>
      </c>
      <c r="D281" s="52"/>
      <c r="E281" s="52"/>
      <c r="F281" s="52"/>
      <c r="G281" s="52"/>
      <c r="H281" s="52">
        <v>50.0</v>
      </c>
      <c r="I281" s="52"/>
      <c r="J281" s="52" t="s">
        <v>10</v>
      </c>
      <c r="K281" s="59">
        <v>45638.0</v>
      </c>
      <c r="L281" s="52" t="s">
        <v>137</v>
      </c>
      <c r="M281" s="52" t="s">
        <v>19</v>
      </c>
      <c r="N281" s="62" t="str">
        <f>IFERROR(__xludf.DUMMYFUNCTION("""COMPUTED_VALUE"""),"")</f>
        <v/>
      </c>
      <c r="O281" s="62">
        <f>IFERROR(__xludf.DUMMYFUNCTION("""COMPUTED_VALUE"""),248.0)</f>
        <v>248</v>
      </c>
      <c r="P281" s="62">
        <f>IFERROR(__xludf.DUMMYFUNCTION("""COMPUTED_VALUE"""),248.0)</f>
        <v>248</v>
      </c>
      <c r="Q281" s="62"/>
      <c r="R281" s="62"/>
      <c r="S281" s="62"/>
    </row>
    <row r="282">
      <c r="A282" s="58">
        <v>45640.56232107639</v>
      </c>
      <c r="B282" s="52" t="s">
        <v>130</v>
      </c>
      <c r="C282" s="52" t="b">
        <v>0</v>
      </c>
      <c r="D282" s="52"/>
      <c r="E282" s="52"/>
      <c r="F282" s="52"/>
      <c r="G282" s="52"/>
      <c r="H282" s="52">
        <v>91.0</v>
      </c>
      <c r="I282" s="52"/>
      <c r="J282" s="52" t="s">
        <v>11</v>
      </c>
      <c r="K282" s="59">
        <v>45639.0</v>
      </c>
      <c r="L282" s="52" t="s">
        <v>138</v>
      </c>
      <c r="M282" s="52" t="s">
        <v>18</v>
      </c>
      <c r="N282" s="62">
        <f>IFERROR(__xludf.DUMMYFUNCTION("""COMPUTED_VALUE"""),91.0)</f>
        <v>91</v>
      </c>
      <c r="O282" s="62" t="str">
        <f>IFERROR(__xludf.DUMMYFUNCTION("""COMPUTED_VALUE"""),"")</f>
        <v/>
      </c>
      <c r="P282" s="62">
        <f>IFERROR(__xludf.DUMMYFUNCTION("""COMPUTED_VALUE"""),91.0)</f>
        <v>91</v>
      </c>
      <c r="Q282" s="62"/>
      <c r="R282" s="62"/>
      <c r="S282" s="62"/>
    </row>
  </sheetData>
  <conditionalFormatting sqref="B1 C1:C282">
    <cfRule type="cellIs" dxfId="0" priority="1" operator="equal">
      <formula>"TRUE"</formula>
    </cfRule>
  </conditionalFormatting>
  <conditionalFormatting sqref="M1:M282">
    <cfRule type="cellIs" dxfId="17" priority="2" operator="equal">
      <formula>"MF"</formula>
    </cfRule>
  </conditionalFormatting>
  <conditionalFormatting sqref="M1:M282">
    <cfRule type="cellIs" dxfId="18" priority="3" operator="equal">
      <formula>"BF"</formula>
    </cfRule>
  </conditionalFormatting>
  <conditionalFormatting sqref="I1:I282">
    <cfRule type="cellIs" dxfId="1" priority="4" operator="greaterThanOrEqual">
      <formula>100</formula>
    </cfRule>
  </conditionalFormatting>
  <conditionalFormatting sqref="I1:I282">
    <cfRule type="cellIs" dxfId="2" priority="5" operator="greaterThanOrEqual">
      <formula>70</formula>
    </cfRule>
  </conditionalFormatting>
  <conditionalFormatting sqref="I1:I282">
    <cfRule type="cellIs" dxfId="3" priority="6" operator="lessThanOrEqual">
      <formula>25</formula>
    </cfRule>
  </conditionalFormatting>
  <conditionalFormatting sqref="I1:I282">
    <cfRule type="cellIs" dxfId="4" priority="7" operator="lessThanOrEqual">
      <formula>30</formula>
    </cfRule>
  </conditionalFormatting>
  <conditionalFormatting sqref="I1:I282">
    <cfRule type="cellIs" dxfId="5" priority="8" operator="lessThanOrEqual">
      <formula>40</formula>
    </cfRule>
  </conditionalFormatting>
  <conditionalFormatting sqref="J1:J282">
    <cfRule type="cellIs" dxfId="6" priority="9" operator="equal">
      <formula>"Breakfast"</formula>
    </cfRule>
  </conditionalFormatting>
  <conditionalFormatting sqref="J1:J282">
    <cfRule type="cellIs" dxfId="7" priority="10" operator="equal">
      <formula>"Breakfast/Lunch"</formula>
    </cfRule>
  </conditionalFormatting>
  <conditionalFormatting sqref="J1:J282">
    <cfRule type="cellIs" dxfId="8" priority="11" operator="equal">
      <formula>"Lunch"</formula>
    </cfRule>
  </conditionalFormatting>
  <conditionalFormatting sqref="J1:J282">
    <cfRule type="cellIs" dxfId="9" priority="12" operator="equal">
      <formula>"Lunch/Dinner"</formula>
    </cfRule>
  </conditionalFormatting>
  <conditionalFormatting sqref="J1:J282">
    <cfRule type="cellIs" dxfId="10" priority="13" operator="equal">
      <formula>"Dinner"</formula>
    </cfRule>
  </conditionalFormatting>
  <conditionalFormatting sqref="L1:L282 N1:P1">
    <cfRule type="cellIs" dxfId="11" priority="14" operator="equal">
      <formula>"Monday"</formula>
    </cfRule>
  </conditionalFormatting>
  <conditionalFormatting sqref="L1:L282 N1:P1">
    <cfRule type="cellIs" dxfId="12" priority="15" operator="equal">
      <formula>"Tuesday"</formula>
    </cfRule>
  </conditionalFormatting>
  <conditionalFormatting sqref="L1:L282 N1:P1">
    <cfRule type="cellIs" dxfId="13" priority="16" operator="equal">
      <formula>"Wednesday"</formula>
    </cfRule>
  </conditionalFormatting>
  <conditionalFormatting sqref="L1:L282 N1:P1">
    <cfRule type="cellIs" dxfId="14" priority="17" operator="equal">
      <formula>"Thursday"</formula>
    </cfRule>
  </conditionalFormatting>
  <conditionalFormatting sqref="L1:L282 N1:P1">
    <cfRule type="cellIs" dxfId="15" priority="18" operator="equal">
      <formula>"Friday"</formula>
    </cfRule>
  </conditionalFormatting>
  <conditionalFormatting sqref="K3:K282">
    <cfRule type="expression" dxfId="16" priority="19">
      <formula>AND(K3&lt;&gt;"", ISEVEN(SUMPRODUCT((K$3:K3&lt;&gt;OFFSET(K$3:K3,-1,0))*(K$3:K3&lt;&gt;""))))</formula>
    </cfRule>
  </conditionalFormatting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9FC5E8"/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9.5"/>
    <col customWidth="1" min="3" max="3" width="9.5"/>
    <col customWidth="1" min="4" max="4" width="10.88"/>
    <col customWidth="1" min="5" max="5" width="7.63"/>
    <col customWidth="1" min="6" max="6" width="10.88"/>
    <col customWidth="1" min="7" max="7" width="7.63"/>
    <col customWidth="1" min="8" max="8" width="6.5"/>
    <col customWidth="1" min="9" max="9" width="8.5"/>
    <col customWidth="1" min="10" max="10" width="11.0"/>
    <col customWidth="1" min="11" max="11" width="9.63"/>
    <col customWidth="1" min="13" max="13" width="5.63"/>
    <col customWidth="1" min="14" max="16" width="11.0"/>
    <col customWidth="1" min="17" max="19" width="35.38"/>
  </cols>
  <sheetData>
    <row r="1">
      <c r="A1" s="63" t="s">
        <v>115</v>
      </c>
      <c r="B1" s="63" t="s">
        <v>116</v>
      </c>
      <c r="C1" s="63" t="s">
        <v>117</v>
      </c>
      <c r="D1" s="63" t="s">
        <v>118</v>
      </c>
      <c r="E1" s="64" t="s">
        <v>119</v>
      </c>
      <c r="F1" s="63" t="s">
        <v>120</v>
      </c>
      <c r="G1" s="64" t="s">
        <v>121</v>
      </c>
      <c r="H1" s="65" t="s">
        <v>122</v>
      </c>
      <c r="I1" s="66" t="s">
        <v>123</v>
      </c>
      <c r="J1" s="63" t="s">
        <v>124</v>
      </c>
      <c r="K1" s="63" t="s">
        <v>125</v>
      </c>
      <c r="L1" s="63" t="s">
        <v>126</v>
      </c>
      <c r="M1" s="63" t="s">
        <v>145</v>
      </c>
      <c r="N1" s="51" t="s">
        <v>146</v>
      </c>
      <c r="O1" s="51" t="s">
        <v>147</v>
      </c>
      <c r="P1" s="51" t="s">
        <v>127</v>
      </c>
      <c r="Q1" s="67"/>
      <c r="R1" s="67"/>
      <c r="S1" s="67"/>
    </row>
    <row r="2">
      <c r="A2" s="68">
        <v>45677.0</v>
      </c>
      <c r="B2" s="54" t="s">
        <v>128</v>
      </c>
      <c r="C2" s="52" t="b">
        <v>0</v>
      </c>
      <c r="D2" s="52"/>
      <c r="E2" s="52"/>
      <c r="F2" s="52"/>
      <c r="G2" s="52"/>
      <c r="H2" s="54">
        <v>0.0</v>
      </c>
      <c r="I2" s="52"/>
      <c r="J2" s="55"/>
      <c r="K2" s="69">
        <v>45677.0</v>
      </c>
      <c r="L2" s="52" t="s">
        <v>129</v>
      </c>
      <c r="M2" s="57"/>
      <c r="N2" s="57"/>
      <c r="O2" s="57"/>
      <c r="P2" s="57"/>
      <c r="Q2" s="70"/>
      <c r="R2" s="70"/>
      <c r="S2" s="70"/>
    </row>
    <row r="3">
      <c r="A3" s="68">
        <v>45681.0</v>
      </c>
      <c r="B3" s="54" t="s">
        <v>128</v>
      </c>
      <c r="C3" s="52" t="b">
        <v>0</v>
      </c>
      <c r="D3" s="52"/>
      <c r="E3" s="52"/>
      <c r="F3" s="52"/>
      <c r="G3" s="52"/>
      <c r="H3" s="54">
        <v>0.0</v>
      </c>
      <c r="I3" s="52"/>
      <c r="J3" s="55"/>
      <c r="K3" s="69">
        <v>45681.0</v>
      </c>
      <c r="L3" s="71" t="s">
        <v>138</v>
      </c>
      <c r="M3" s="57"/>
      <c r="N3" s="57"/>
      <c r="O3" s="57"/>
      <c r="P3" s="57"/>
      <c r="Q3" s="70"/>
      <c r="R3" s="70"/>
      <c r="S3" s="70"/>
    </row>
    <row r="4">
      <c r="A4" s="72">
        <v>45684.63236559027</v>
      </c>
      <c r="B4" s="67" t="s">
        <v>153</v>
      </c>
      <c r="C4" s="70" t="b">
        <v>0</v>
      </c>
      <c r="D4" s="70"/>
      <c r="E4" s="70"/>
      <c r="F4" s="70"/>
      <c r="G4" s="73"/>
      <c r="H4" s="74">
        <v>50.0</v>
      </c>
      <c r="I4" s="75"/>
      <c r="J4" s="76" t="s">
        <v>11</v>
      </c>
      <c r="K4" s="77">
        <v>45684.0</v>
      </c>
      <c r="L4" s="67" t="s">
        <v>129</v>
      </c>
      <c r="M4" s="70" t="s">
        <v>19</v>
      </c>
      <c r="N4" s="57" t="str">
        <f>IFERROR(__xludf.DUMMYFUNCTION("BYROW('S25'!K4:K784, LAMBDA(r,
  IF(r="""","""",
    LET(
      nextVal, IFERROR(INDEX('S25'!K4:K784, ROW(r)-ROW('S25'!K4)+2), """"),
      IF(r &lt;&gt; nextVal,
         IFERROR(
           SUM(FILTER('S25'!H4:H784, 'S25'!K4:K784 = r, 'S25'!M4:M784 = ""MF""))"&amp;",
           """"
         ),
         """"
      )
    )
  )
))"),"")</f>
        <v/>
      </c>
      <c r="O4" s="57" t="str">
        <f>IFERROR(__xludf.DUMMYFUNCTION("BYROW('S25'!K4:K784, LAMBDA(r,
  IF(r="""","""",
    LET(
      nextVal, IFERROR(INDEX('S25'!K4:K784, ROW(r)-ROW('S25'!K4)+2), """"),
      IF(r &lt;&gt; nextVal,
         IFERROR(
           SUM(FILTER('S25'!H4:H784, 'S25'!K4:K784 = r, 'S25'!M4:M784 = ""BF""))"&amp;",
           """"
         ),
         """"
      )
    )
  )
))"),"")</f>
        <v/>
      </c>
      <c r="P4" s="57" t="str">
        <f>IFERROR(__xludf.DUMMYFUNCTION("BYROW('S25'!K4:K784, LAMBDA(r,
  IF(r="""","""",
    LET(
      nextVal, IFERROR(INDEX('S25'!K4:K784, ROW(r)-ROW('S25'!K4)+2), """"),
      IF(r &lt;&gt; nextVal,
         IFERROR(
           SUM(FILTER('S25'!H4:H784, 'S25'!K4:K784 = r)),
           """"
      "&amp;"   ),
         """"
      )
    )
  )
))
"),"")</f>
        <v/>
      </c>
      <c r="Q4" s="70"/>
      <c r="R4" s="70"/>
      <c r="S4" s="70"/>
    </row>
    <row r="5">
      <c r="A5" s="58">
        <v>45684.87621699074</v>
      </c>
      <c r="B5" s="71" t="s">
        <v>149</v>
      </c>
      <c r="C5" s="71" t="b">
        <v>0</v>
      </c>
      <c r="E5" s="78"/>
      <c r="G5" s="78"/>
      <c r="H5" s="79">
        <v>204.0</v>
      </c>
      <c r="I5" s="80"/>
      <c r="J5" s="71" t="s">
        <v>12</v>
      </c>
      <c r="K5" s="59">
        <v>45684.0</v>
      </c>
      <c r="L5" s="71" t="s">
        <v>129</v>
      </c>
      <c r="M5" s="71" t="s">
        <v>19</v>
      </c>
      <c r="N5" s="71" t="str">
        <f>IFERROR(__xludf.DUMMYFUNCTION("""COMPUTED_VALUE"""),"")</f>
        <v/>
      </c>
      <c r="O5" s="71">
        <f>IFERROR(__xludf.DUMMYFUNCTION("""COMPUTED_VALUE"""),254.0)</f>
        <v>254</v>
      </c>
      <c r="P5" s="71">
        <f>IFERROR(__xludf.DUMMYFUNCTION("""COMPUTED_VALUE"""),254.0)</f>
        <v>254</v>
      </c>
    </row>
    <row r="6">
      <c r="A6" s="58">
        <v>45685.45624408565</v>
      </c>
      <c r="B6" s="71" t="s">
        <v>166</v>
      </c>
      <c r="C6" s="71" t="b">
        <v>0</v>
      </c>
      <c r="E6" s="78"/>
      <c r="G6" s="78"/>
      <c r="H6" s="71">
        <v>94.0</v>
      </c>
      <c r="I6" s="80"/>
      <c r="J6" s="71" t="s">
        <v>10</v>
      </c>
      <c r="K6" s="59">
        <v>45685.0</v>
      </c>
      <c r="L6" s="71" t="s">
        <v>132</v>
      </c>
      <c r="M6" s="71" t="s">
        <v>19</v>
      </c>
      <c r="N6" s="71" t="str">
        <f>IFERROR(__xludf.DUMMYFUNCTION("""COMPUTED_VALUE"""),"")</f>
        <v/>
      </c>
      <c r="O6" s="71" t="str">
        <f>IFERROR(__xludf.DUMMYFUNCTION("""COMPUTED_VALUE"""),"")</f>
        <v/>
      </c>
      <c r="P6" s="71" t="str">
        <f>IFERROR(__xludf.DUMMYFUNCTION("""COMPUTED_VALUE"""),"")</f>
        <v/>
      </c>
    </row>
    <row r="7">
      <c r="A7" s="58">
        <v>45685.64782778935</v>
      </c>
      <c r="B7" s="71" t="s">
        <v>167</v>
      </c>
      <c r="C7" s="71" t="b">
        <v>0</v>
      </c>
      <c r="E7" s="78"/>
      <c r="G7" s="78"/>
      <c r="H7" s="71">
        <v>142.0</v>
      </c>
      <c r="I7" s="80"/>
      <c r="J7" s="71" t="s">
        <v>11</v>
      </c>
      <c r="K7" s="59">
        <v>45685.0</v>
      </c>
      <c r="L7" s="71" t="s">
        <v>132</v>
      </c>
      <c r="M7" s="71" t="s">
        <v>18</v>
      </c>
      <c r="N7" s="71" t="str">
        <f>IFERROR(__xludf.DUMMYFUNCTION("""COMPUTED_VALUE"""),"")</f>
        <v/>
      </c>
      <c r="O7" s="71" t="str">
        <f>IFERROR(__xludf.DUMMYFUNCTION("""COMPUTED_VALUE"""),"")</f>
        <v/>
      </c>
      <c r="P7" s="71" t="str">
        <f>IFERROR(__xludf.DUMMYFUNCTION("""COMPUTED_VALUE"""),"")</f>
        <v/>
      </c>
    </row>
    <row r="8">
      <c r="A8" s="58">
        <v>45685.72434866898</v>
      </c>
      <c r="B8" s="71" t="s">
        <v>168</v>
      </c>
      <c r="C8" s="71" t="b">
        <v>0</v>
      </c>
      <c r="E8" s="78"/>
      <c r="G8" s="78"/>
      <c r="H8" s="71">
        <v>197.0</v>
      </c>
      <c r="I8" s="80"/>
      <c r="J8" s="71" t="s">
        <v>12</v>
      </c>
      <c r="K8" s="59">
        <v>45685.0</v>
      </c>
      <c r="L8" s="71" t="s">
        <v>132</v>
      </c>
      <c r="M8" s="71" t="s">
        <v>18</v>
      </c>
      <c r="N8" s="71" t="str">
        <f>IFERROR(__xludf.DUMMYFUNCTION("""COMPUTED_VALUE"""),"")</f>
        <v/>
      </c>
      <c r="O8" s="71" t="str">
        <f>IFERROR(__xludf.DUMMYFUNCTION("""COMPUTED_VALUE"""),"")</f>
        <v/>
      </c>
      <c r="P8" s="71" t="str">
        <f>IFERROR(__xludf.DUMMYFUNCTION("""COMPUTED_VALUE"""),"")</f>
        <v/>
      </c>
    </row>
    <row r="9">
      <c r="A9" s="58">
        <v>45685.87360006945</v>
      </c>
      <c r="B9" s="71" t="s">
        <v>169</v>
      </c>
      <c r="C9" s="71" t="b">
        <v>0</v>
      </c>
      <c r="E9" s="78"/>
      <c r="G9" s="78"/>
      <c r="H9" s="71">
        <v>221.0</v>
      </c>
      <c r="I9" s="80"/>
      <c r="J9" s="71" t="s">
        <v>12</v>
      </c>
      <c r="K9" s="59">
        <v>45685.0</v>
      </c>
      <c r="L9" s="71" t="s">
        <v>132</v>
      </c>
      <c r="M9" s="71" t="s">
        <v>18</v>
      </c>
      <c r="N9" s="71" t="str">
        <f>IFERROR(__xludf.DUMMYFUNCTION("""COMPUTED_VALUE"""),"")</f>
        <v/>
      </c>
      <c r="O9" s="71" t="str">
        <f>IFERROR(__xludf.DUMMYFUNCTION("""COMPUTED_VALUE"""),"")</f>
        <v/>
      </c>
      <c r="P9" s="71" t="str">
        <f>IFERROR(__xludf.DUMMYFUNCTION("""COMPUTED_VALUE"""),"")</f>
        <v/>
      </c>
    </row>
    <row r="10">
      <c r="A10" s="58">
        <v>45685.87951221065</v>
      </c>
      <c r="B10" s="71" t="s">
        <v>149</v>
      </c>
      <c r="C10" s="71" t="b">
        <v>0</v>
      </c>
      <c r="E10" s="78"/>
      <c r="G10" s="78"/>
      <c r="H10" s="71">
        <v>127.0</v>
      </c>
      <c r="I10" s="80"/>
      <c r="J10" s="71" t="s">
        <v>12</v>
      </c>
      <c r="K10" s="59">
        <v>45685.0</v>
      </c>
      <c r="L10" s="71" t="s">
        <v>132</v>
      </c>
      <c r="M10" s="71" t="s">
        <v>19</v>
      </c>
      <c r="N10" s="71">
        <f>IFERROR(__xludf.DUMMYFUNCTION("""COMPUTED_VALUE"""),560.0)</f>
        <v>560</v>
      </c>
      <c r="O10" s="71">
        <f>IFERROR(__xludf.DUMMYFUNCTION("""COMPUTED_VALUE"""),221.0)</f>
        <v>221</v>
      </c>
      <c r="P10" s="71">
        <f>IFERROR(__xludf.DUMMYFUNCTION("""COMPUTED_VALUE"""),781.0)</f>
        <v>781</v>
      </c>
    </row>
    <row r="11">
      <c r="A11" s="58">
        <v>45686.5535146412</v>
      </c>
      <c r="B11" s="71" t="s">
        <v>170</v>
      </c>
      <c r="C11" s="71" t="b">
        <v>0</v>
      </c>
      <c r="E11" s="78"/>
      <c r="G11" s="78"/>
      <c r="H11" s="71">
        <v>72.0</v>
      </c>
      <c r="I11" s="80"/>
      <c r="J11" s="71" t="s">
        <v>10</v>
      </c>
      <c r="K11" s="59">
        <v>45686.0</v>
      </c>
      <c r="L11" s="71" t="s">
        <v>135</v>
      </c>
      <c r="M11" s="71" t="s">
        <v>19</v>
      </c>
      <c r="N11" s="71" t="str">
        <f>IFERROR(__xludf.DUMMYFUNCTION("""COMPUTED_VALUE"""),"")</f>
        <v/>
      </c>
      <c r="O11" s="71" t="str">
        <f>IFERROR(__xludf.DUMMYFUNCTION("""COMPUTED_VALUE"""),"")</f>
        <v/>
      </c>
      <c r="P11" s="71" t="str">
        <f>IFERROR(__xludf.DUMMYFUNCTION("""COMPUTED_VALUE"""),"")</f>
        <v/>
      </c>
    </row>
    <row r="12">
      <c r="A12" s="58">
        <v>45686.65015078703</v>
      </c>
      <c r="B12" s="71" t="s">
        <v>153</v>
      </c>
      <c r="C12" s="71" t="b">
        <v>0</v>
      </c>
      <c r="E12" s="78"/>
      <c r="G12" s="78"/>
      <c r="H12" s="71">
        <v>178.0</v>
      </c>
      <c r="I12" s="80"/>
      <c r="J12" s="71" t="s">
        <v>11</v>
      </c>
      <c r="K12" s="59">
        <v>45686.0</v>
      </c>
      <c r="L12" s="71" t="s">
        <v>135</v>
      </c>
      <c r="M12" s="71" t="s">
        <v>19</v>
      </c>
      <c r="N12" s="71" t="str">
        <f>IFERROR(__xludf.DUMMYFUNCTION("""COMPUTED_VALUE"""),"")</f>
        <v/>
      </c>
      <c r="O12" s="71" t="str">
        <f>IFERROR(__xludf.DUMMYFUNCTION("""COMPUTED_VALUE"""),"")</f>
        <v/>
      </c>
      <c r="P12" s="71" t="str">
        <f>IFERROR(__xludf.DUMMYFUNCTION("""COMPUTED_VALUE"""),"")</f>
        <v/>
      </c>
    </row>
    <row r="13">
      <c r="A13" s="58">
        <v>45686.88445609953</v>
      </c>
      <c r="B13" s="71" t="s">
        <v>168</v>
      </c>
      <c r="C13" s="71" t="b">
        <v>0</v>
      </c>
      <c r="E13" s="78"/>
      <c r="G13" s="78"/>
      <c r="H13" s="71">
        <v>140.0</v>
      </c>
      <c r="I13" s="80"/>
      <c r="J13" s="71" t="s">
        <v>12</v>
      </c>
      <c r="K13" s="59">
        <v>45686.0</v>
      </c>
      <c r="L13" s="71" t="s">
        <v>135</v>
      </c>
      <c r="M13" s="71" t="s">
        <v>18</v>
      </c>
      <c r="N13" s="71" t="str">
        <f>IFERROR(__xludf.DUMMYFUNCTION("""COMPUTED_VALUE"""),"")</f>
        <v/>
      </c>
      <c r="O13" s="71" t="str">
        <f>IFERROR(__xludf.DUMMYFUNCTION("""COMPUTED_VALUE"""),"")</f>
        <v/>
      </c>
      <c r="P13" s="71" t="str">
        <f>IFERROR(__xludf.DUMMYFUNCTION("""COMPUTED_VALUE"""),"")</f>
        <v/>
      </c>
    </row>
    <row r="14">
      <c r="A14" s="58">
        <v>45686.88844410879</v>
      </c>
      <c r="B14" s="71" t="s">
        <v>171</v>
      </c>
      <c r="C14" s="71" t="b">
        <v>0</v>
      </c>
      <c r="E14" s="78"/>
      <c r="G14" s="78"/>
      <c r="H14" s="71">
        <v>46.0</v>
      </c>
      <c r="I14" s="80"/>
      <c r="J14" s="71" t="s">
        <v>11</v>
      </c>
      <c r="K14" s="59">
        <v>45686.0</v>
      </c>
      <c r="L14" s="71" t="s">
        <v>135</v>
      </c>
      <c r="M14" s="71" t="s">
        <v>18</v>
      </c>
      <c r="N14" s="71">
        <f>IFERROR(__xludf.DUMMYFUNCTION("""COMPUTED_VALUE"""),186.0)</f>
        <v>186</v>
      </c>
      <c r="O14" s="71">
        <f>IFERROR(__xludf.DUMMYFUNCTION("""COMPUTED_VALUE"""),250.0)</f>
        <v>250</v>
      </c>
      <c r="P14" s="71">
        <f>IFERROR(__xludf.DUMMYFUNCTION("""COMPUTED_VALUE"""),436.0)</f>
        <v>436</v>
      </c>
    </row>
    <row r="15">
      <c r="A15" s="58">
        <v>45687.38203890046</v>
      </c>
      <c r="B15" s="71" t="s">
        <v>136</v>
      </c>
      <c r="C15" s="71" t="b">
        <v>0</v>
      </c>
      <c r="E15" s="78"/>
      <c r="G15" s="78"/>
      <c r="H15" s="71">
        <v>40.0</v>
      </c>
      <c r="I15" s="80"/>
      <c r="J15" s="71" t="s">
        <v>10</v>
      </c>
      <c r="K15" s="59">
        <v>45687.0</v>
      </c>
      <c r="L15" s="71" t="s">
        <v>137</v>
      </c>
      <c r="M15" s="71" t="s">
        <v>19</v>
      </c>
      <c r="N15" s="71" t="str">
        <f>IFERROR(__xludf.DUMMYFUNCTION("""COMPUTED_VALUE"""),"")</f>
        <v/>
      </c>
      <c r="O15" s="71" t="str">
        <f>IFERROR(__xludf.DUMMYFUNCTION("""COMPUTED_VALUE"""),"")</f>
        <v/>
      </c>
      <c r="P15" s="71" t="str">
        <f>IFERROR(__xludf.DUMMYFUNCTION("""COMPUTED_VALUE"""),"")</f>
        <v/>
      </c>
    </row>
    <row r="16">
      <c r="A16" s="58">
        <v>45687.62275010416</v>
      </c>
      <c r="B16" s="71" t="s">
        <v>148</v>
      </c>
      <c r="C16" s="71" t="b">
        <v>0</v>
      </c>
      <c r="E16" s="78"/>
      <c r="G16" s="78"/>
      <c r="H16" s="71">
        <v>107.0</v>
      </c>
      <c r="I16" s="80"/>
      <c r="J16" s="71" t="s">
        <v>11</v>
      </c>
      <c r="K16" s="59">
        <v>45687.0</v>
      </c>
      <c r="L16" s="71" t="s">
        <v>137</v>
      </c>
      <c r="M16" s="71" t="s">
        <v>19</v>
      </c>
      <c r="N16" s="71" t="str">
        <f>IFERROR(__xludf.DUMMYFUNCTION("""COMPUTED_VALUE"""),"")</f>
        <v/>
      </c>
      <c r="O16" s="71" t="str">
        <f>IFERROR(__xludf.DUMMYFUNCTION("""COMPUTED_VALUE"""),"")</f>
        <v/>
      </c>
      <c r="P16" s="71" t="str">
        <f>IFERROR(__xludf.DUMMYFUNCTION("""COMPUTED_VALUE"""),"")</f>
        <v/>
      </c>
    </row>
    <row r="17">
      <c r="A17" s="58">
        <v>45687.78535076389</v>
      </c>
      <c r="B17" s="71" t="s">
        <v>172</v>
      </c>
      <c r="C17" s="71" t="b">
        <v>0</v>
      </c>
      <c r="E17" s="78"/>
      <c r="G17" s="78"/>
      <c r="H17" s="71">
        <v>190.0</v>
      </c>
      <c r="I17" s="80"/>
      <c r="J17" s="54" t="s">
        <v>12</v>
      </c>
      <c r="K17" s="59">
        <v>45687.0</v>
      </c>
      <c r="L17" s="71" t="s">
        <v>137</v>
      </c>
      <c r="M17" s="71" t="s">
        <v>18</v>
      </c>
      <c r="N17" s="71">
        <f>IFERROR(__xludf.DUMMYFUNCTION("""COMPUTED_VALUE"""),190.0)</f>
        <v>190</v>
      </c>
      <c r="O17" s="71">
        <f>IFERROR(__xludf.DUMMYFUNCTION("""COMPUTED_VALUE"""),147.0)</f>
        <v>147</v>
      </c>
      <c r="P17" s="71">
        <f>IFERROR(__xludf.DUMMYFUNCTION("""COMPUTED_VALUE"""),337.0)</f>
        <v>337</v>
      </c>
    </row>
    <row r="18">
      <c r="A18" s="58">
        <v>45688.57925711806</v>
      </c>
      <c r="B18" s="71" t="s">
        <v>172</v>
      </c>
      <c r="C18" s="71" t="b">
        <v>0</v>
      </c>
      <c r="E18" s="78"/>
      <c r="G18" s="78"/>
      <c r="H18" s="71">
        <v>174.0</v>
      </c>
      <c r="I18" s="80"/>
      <c r="J18" s="71" t="s">
        <v>11</v>
      </c>
      <c r="K18" s="59">
        <v>45688.0</v>
      </c>
      <c r="L18" s="71" t="s">
        <v>138</v>
      </c>
      <c r="M18" s="71" t="s">
        <v>19</v>
      </c>
      <c r="N18" s="71" t="str">
        <f>IFERROR(__xludf.DUMMYFUNCTION("""COMPUTED_VALUE"""),"")</f>
        <v/>
      </c>
      <c r="O18" s="71" t="str">
        <f>IFERROR(__xludf.DUMMYFUNCTION("""COMPUTED_VALUE"""),"")</f>
        <v/>
      </c>
      <c r="P18" s="71" t="str">
        <f>IFERROR(__xludf.DUMMYFUNCTION("""COMPUTED_VALUE"""),"")</f>
        <v/>
      </c>
    </row>
    <row r="19">
      <c r="A19" s="58">
        <v>45688.64322185185</v>
      </c>
      <c r="B19" s="71" t="s">
        <v>171</v>
      </c>
      <c r="C19" s="71" t="b">
        <v>0</v>
      </c>
      <c r="E19" s="78"/>
      <c r="G19" s="78"/>
      <c r="H19" s="71">
        <v>143.0</v>
      </c>
      <c r="I19" s="80"/>
      <c r="J19" s="71" t="s">
        <v>11</v>
      </c>
      <c r="K19" s="59">
        <v>45688.0</v>
      </c>
      <c r="L19" s="71" t="s">
        <v>138</v>
      </c>
      <c r="M19" s="71" t="s">
        <v>18</v>
      </c>
      <c r="N19" s="71" t="str">
        <f>IFERROR(__xludf.DUMMYFUNCTION("""COMPUTED_VALUE"""),"")</f>
        <v/>
      </c>
      <c r="O19" s="71" t="str">
        <f>IFERROR(__xludf.DUMMYFUNCTION("""COMPUTED_VALUE"""),"")</f>
        <v/>
      </c>
      <c r="P19" s="71" t="str">
        <f>IFERROR(__xludf.DUMMYFUNCTION("""COMPUTED_VALUE"""),"")</f>
        <v/>
      </c>
    </row>
    <row r="20">
      <c r="A20" s="58">
        <v>45688.92677207176</v>
      </c>
      <c r="B20" s="71" t="s">
        <v>134</v>
      </c>
      <c r="C20" s="71" t="b">
        <v>0</v>
      </c>
      <c r="E20" s="78"/>
      <c r="G20" s="78"/>
      <c r="H20" s="71">
        <v>167.0</v>
      </c>
      <c r="I20" s="80"/>
      <c r="J20" s="71" t="s">
        <v>12</v>
      </c>
      <c r="K20" s="59">
        <v>45688.0</v>
      </c>
      <c r="L20" s="71" t="s">
        <v>138</v>
      </c>
      <c r="M20" s="71" t="s">
        <v>18</v>
      </c>
      <c r="N20" s="71">
        <f>IFERROR(__xludf.DUMMYFUNCTION("""COMPUTED_VALUE"""),310.0)</f>
        <v>310</v>
      </c>
      <c r="O20" s="71">
        <f>IFERROR(__xludf.DUMMYFUNCTION("""COMPUTED_VALUE"""),174.0)</f>
        <v>174</v>
      </c>
      <c r="P20" s="71">
        <f>IFERROR(__xludf.DUMMYFUNCTION("""COMPUTED_VALUE"""),484.0)</f>
        <v>484</v>
      </c>
    </row>
    <row r="21">
      <c r="A21" s="58">
        <v>45691.43751137731</v>
      </c>
      <c r="B21" s="71" t="s">
        <v>170</v>
      </c>
      <c r="C21" s="71" t="b">
        <v>0</v>
      </c>
      <c r="E21" s="78"/>
      <c r="G21" s="78"/>
      <c r="H21" s="71">
        <v>67.0</v>
      </c>
      <c r="I21" s="80"/>
      <c r="J21" s="71" t="s">
        <v>10</v>
      </c>
      <c r="K21" s="59">
        <v>45691.0</v>
      </c>
      <c r="L21" s="71" t="s">
        <v>129</v>
      </c>
      <c r="M21" s="71" t="s">
        <v>19</v>
      </c>
      <c r="N21" s="71" t="str">
        <f>IFERROR(__xludf.DUMMYFUNCTION("""COMPUTED_VALUE"""),"")</f>
        <v/>
      </c>
      <c r="O21" s="71" t="str">
        <f>IFERROR(__xludf.DUMMYFUNCTION("""COMPUTED_VALUE"""),"")</f>
        <v/>
      </c>
      <c r="P21" s="71" t="str">
        <f>IFERROR(__xludf.DUMMYFUNCTION("""COMPUTED_VALUE"""),"")</f>
        <v/>
      </c>
    </row>
    <row r="22">
      <c r="A22" s="58">
        <v>45691.87595469908</v>
      </c>
      <c r="B22" s="71" t="s">
        <v>149</v>
      </c>
      <c r="C22" s="71" t="b">
        <v>0</v>
      </c>
      <c r="E22" s="78"/>
      <c r="G22" s="78"/>
      <c r="H22" s="71">
        <v>221.0</v>
      </c>
      <c r="I22" s="80"/>
      <c r="J22" s="71" t="s">
        <v>12</v>
      </c>
      <c r="K22" s="59">
        <v>45691.0</v>
      </c>
      <c r="L22" s="71" t="s">
        <v>129</v>
      </c>
      <c r="M22" s="71" t="s">
        <v>19</v>
      </c>
      <c r="N22" s="71" t="str">
        <f>IFERROR(__xludf.DUMMYFUNCTION("""COMPUTED_VALUE"""),"")</f>
        <v/>
      </c>
      <c r="O22" s="71" t="str">
        <f>IFERROR(__xludf.DUMMYFUNCTION("""COMPUTED_VALUE"""),"")</f>
        <v/>
      </c>
      <c r="P22" s="71" t="str">
        <f>IFERROR(__xludf.DUMMYFUNCTION("""COMPUTED_VALUE"""),"")</f>
        <v/>
      </c>
    </row>
    <row r="23">
      <c r="A23" s="58">
        <v>45691.91569396991</v>
      </c>
      <c r="B23" s="71" t="s">
        <v>168</v>
      </c>
      <c r="C23" s="71" t="b">
        <v>0</v>
      </c>
      <c r="E23" s="78"/>
      <c r="G23" s="78"/>
      <c r="H23" s="71">
        <v>189.0</v>
      </c>
      <c r="I23" s="80"/>
      <c r="J23" s="71" t="s">
        <v>12</v>
      </c>
      <c r="K23" s="59">
        <v>45691.0</v>
      </c>
      <c r="L23" s="71" t="s">
        <v>129</v>
      </c>
      <c r="M23" s="71" t="s">
        <v>18</v>
      </c>
      <c r="N23" s="71" t="str">
        <f>IFERROR(__xludf.DUMMYFUNCTION("""COMPUTED_VALUE"""),"")</f>
        <v/>
      </c>
      <c r="O23" s="71" t="str">
        <f>IFERROR(__xludf.DUMMYFUNCTION("""COMPUTED_VALUE"""),"")</f>
        <v/>
      </c>
      <c r="P23" s="71" t="str">
        <f>IFERROR(__xludf.DUMMYFUNCTION("""COMPUTED_VALUE"""),"")</f>
        <v/>
      </c>
    </row>
    <row r="24">
      <c r="A24" s="58">
        <v>45714.51804145833</v>
      </c>
      <c r="B24" s="71" t="s">
        <v>173</v>
      </c>
      <c r="C24" s="71" t="b">
        <v>0</v>
      </c>
      <c r="E24" s="78"/>
      <c r="G24" s="78"/>
      <c r="H24" s="71">
        <v>143.0</v>
      </c>
      <c r="I24" s="80"/>
      <c r="J24" s="71" t="s">
        <v>11</v>
      </c>
      <c r="K24" s="59">
        <v>45691.0</v>
      </c>
      <c r="L24" s="71" t="s">
        <v>129</v>
      </c>
      <c r="M24" s="71" t="s">
        <v>18</v>
      </c>
      <c r="N24" s="71" t="str">
        <f>IFERROR(__xludf.DUMMYFUNCTION("""COMPUTED_VALUE"""),"")</f>
        <v/>
      </c>
      <c r="O24" s="71" t="str">
        <f>IFERROR(__xludf.DUMMYFUNCTION("""COMPUTED_VALUE"""),"")</f>
        <v/>
      </c>
      <c r="P24" s="71" t="str">
        <f>IFERROR(__xludf.DUMMYFUNCTION("""COMPUTED_VALUE"""),"")</f>
        <v/>
      </c>
    </row>
    <row r="25">
      <c r="A25" s="58">
        <v>45693.64864901621</v>
      </c>
      <c r="B25" s="71" t="s">
        <v>153</v>
      </c>
      <c r="C25" s="71" t="b">
        <v>0</v>
      </c>
      <c r="E25" s="78"/>
      <c r="G25" s="78"/>
      <c r="H25" s="71">
        <v>143.0</v>
      </c>
      <c r="I25" s="80"/>
      <c r="J25" s="71" t="s">
        <v>11</v>
      </c>
      <c r="K25" s="59">
        <v>45691.0</v>
      </c>
      <c r="L25" s="71" t="s">
        <v>129</v>
      </c>
      <c r="M25" s="71" t="s">
        <v>19</v>
      </c>
      <c r="N25" s="71">
        <f>IFERROR(__xludf.DUMMYFUNCTION("""COMPUTED_VALUE"""),332.0)</f>
        <v>332</v>
      </c>
      <c r="O25" s="71">
        <f>IFERROR(__xludf.DUMMYFUNCTION("""COMPUTED_VALUE"""),431.0)</f>
        <v>431</v>
      </c>
      <c r="P25" s="71">
        <f>IFERROR(__xludf.DUMMYFUNCTION("""COMPUTED_VALUE"""),763.0)</f>
        <v>763</v>
      </c>
    </row>
    <row r="26">
      <c r="A26" s="58">
        <v>45692.49144658565</v>
      </c>
      <c r="B26" s="71" t="s">
        <v>167</v>
      </c>
      <c r="C26" s="71" t="b">
        <v>0</v>
      </c>
      <c r="E26" s="78"/>
      <c r="G26" s="78"/>
      <c r="H26" s="71">
        <v>83.0</v>
      </c>
      <c r="I26" s="80"/>
      <c r="J26" s="71" t="s">
        <v>10</v>
      </c>
      <c r="K26" s="59">
        <v>45692.0</v>
      </c>
      <c r="L26" s="71" t="s">
        <v>132</v>
      </c>
      <c r="M26" s="71" t="s">
        <v>19</v>
      </c>
      <c r="N26" s="71" t="str">
        <f>IFERROR(__xludf.DUMMYFUNCTION("""COMPUTED_VALUE"""),"")</f>
        <v/>
      </c>
      <c r="O26" s="71" t="str">
        <f>IFERROR(__xludf.DUMMYFUNCTION("""COMPUTED_VALUE"""),"")</f>
        <v/>
      </c>
      <c r="P26" s="71" t="str">
        <f>IFERROR(__xludf.DUMMYFUNCTION("""COMPUTED_VALUE"""),"")</f>
        <v/>
      </c>
    </row>
    <row r="27">
      <c r="A27" s="58">
        <v>45692.61604627315</v>
      </c>
      <c r="B27" s="71" t="s">
        <v>148</v>
      </c>
      <c r="C27" s="71" t="b">
        <v>0</v>
      </c>
      <c r="E27" s="78"/>
      <c r="G27" s="78"/>
      <c r="H27" s="71">
        <v>117.0</v>
      </c>
      <c r="I27" s="80"/>
      <c r="J27" s="71" t="s">
        <v>11</v>
      </c>
      <c r="K27" s="59">
        <v>45692.0</v>
      </c>
      <c r="L27" s="71" t="s">
        <v>132</v>
      </c>
      <c r="M27" s="71" t="s">
        <v>19</v>
      </c>
      <c r="N27" s="71" t="str">
        <f>IFERROR(__xludf.DUMMYFUNCTION("""COMPUTED_VALUE"""),"")</f>
        <v/>
      </c>
      <c r="O27" s="71" t="str">
        <f>IFERROR(__xludf.DUMMYFUNCTION("""COMPUTED_VALUE"""),"")</f>
        <v/>
      </c>
      <c r="P27" s="71" t="str">
        <f>IFERROR(__xludf.DUMMYFUNCTION("""COMPUTED_VALUE"""),"")</f>
        <v/>
      </c>
    </row>
    <row r="28">
      <c r="A28" s="58">
        <v>45692.81996253472</v>
      </c>
      <c r="B28" s="71" t="s">
        <v>169</v>
      </c>
      <c r="C28" s="71" t="b">
        <v>0</v>
      </c>
      <c r="E28" s="78"/>
      <c r="G28" s="78"/>
      <c r="H28" s="71">
        <v>241.0</v>
      </c>
      <c r="I28" s="80"/>
      <c r="J28" s="71" t="s">
        <v>12</v>
      </c>
      <c r="K28" s="59">
        <v>45692.0</v>
      </c>
      <c r="L28" s="71" t="s">
        <v>132</v>
      </c>
      <c r="M28" s="71" t="s">
        <v>18</v>
      </c>
      <c r="N28" s="71" t="str">
        <f>IFERROR(__xludf.DUMMYFUNCTION("""COMPUTED_VALUE"""),"")</f>
        <v/>
      </c>
      <c r="O28" s="71" t="str">
        <f>IFERROR(__xludf.DUMMYFUNCTION("""COMPUTED_VALUE"""),"")</f>
        <v/>
      </c>
      <c r="P28" s="71" t="str">
        <f>IFERROR(__xludf.DUMMYFUNCTION("""COMPUTED_VALUE"""),"")</f>
        <v/>
      </c>
    </row>
    <row r="29">
      <c r="A29" s="58">
        <v>45692.91789386574</v>
      </c>
      <c r="B29" s="71" t="s">
        <v>149</v>
      </c>
      <c r="C29" s="71" t="b">
        <v>0</v>
      </c>
      <c r="E29" s="78"/>
      <c r="G29" s="78"/>
      <c r="H29" s="71">
        <v>123.0</v>
      </c>
      <c r="I29" s="80"/>
      <c r="J29" s="71" t="s">
        <v>12</v>
      </c>
      <c r="K29" s="59">
        <v>45692.0</v>
      </c>
      <c r="L29" s="71" t="s">
        <v>132</v>
      </c>
      <c r="M29" s="71" t="s">
        <v>19</v>
      </c>
      <c r="N29" s="71" t="str">
        <f>IFERROR(__xludf.DUMMYFUNCTION("""COMPUTED_VALUE"""),"")</f>
        <v/>
      </c>
      <c r="O29" s="71" t="str">
        <f>IFERROR(__xludf.DUMMYFUNCTION("""COMPUTED_VALUE"""),"")</f>
        <v/>
      </c>
      <c r="P29" s="71" t="str">
        <f>IFERROR(__xludf.DUMMYFUNCTION("""COMPUTED_VALUE"""),"")</f>
        <v/>
      </c>
    </row>
    <row r="30">
      <c r="A30" s="58">
        <v>45692.94817321759</v>
      </c>
      <c r="B30" s="71" t="s">
        <v>167</v>
      </c>
      <c r="C30" s="71" t="b">
        <v>0</v>
      </c>
      <c r="E30" s="78"/>
      <c r="G30" s="78"/>
      <c r="H30" s="71">
        <v>105.0</v>
      </c>
      <c r="I30" s="80"/>
      <c r="J30" s="71" t="s">
        <v>11</v>
      </c>
      <c r="K30" s="59">
        <v>45692.0</v>
      </c>
      <c r="L30" s="71" t="s">
        <v>132</v>
      </c>
      <c r="M30" s="71" t="s">
        <v>18</v>
      </c>
      <c r="N30" s="71">
        <f>IFERROR(__xludf.DUMMYFUNCTION("""COMPUTED_VALUE"""),346.0)</f>
        <v>346</v>
      </c>
      <c r="O30" s="71">
        <f>IFERROR(__xludf.DUMMYFUNCTION("""COMPUTED_VALUE"""),323.0)</f>
        <v>323</v>
      </c>
      <c r="P30" s="71">
        <f>IFERROR(__xludf.DUMMYFUNCTION("""COMPUTED_VALUE"""),669.0)</f>
        <v>669</v>
      </c>
    </row>
    <row r="31">
      <c r="A31" s="58">
        <v>45693.37572600695</v>
      </c>
      <c r="B31" s="71" t="s">
        <v>170</v>
      </c>
      <c r="C31" s="71" t="b">
        <v>0</v>
      </c>
      <c r="E31" s="78"/>
      <c r="G31" s="78"/>
      <c r="H31" s="71">
        <v>65.0</v>
      </c>
      <c r="I31" s="80"/>
      <c r="J31" s="71" t="s">
        <v>10</v>
      </c>
      <c r="K31" s="59">
        <v>45693.0</v>
      </c>
      <c r="L31" s="71" t="s">
        <v>135</v>
      </c>
      <c r="M31" s="71" t="s">
        <v>19</v>
      </c>
      <c r="N31" s="71" t="str">
        <f>IFERROR(__xludf.DUMMYFUNCTION("""COMPUTED_VALUE"""),"")</f>
        <v/>
      </c>
      <c r="O31" s="71" t="str">
        <f>IFERROR(__xludf.DUMMYFUNCTION("""COMPUTED_VALUE"""),"")</f>
        <v/>
      </c>
      <c r="P31" s="71" t="str">
        <f>IFERROR(__xludf.DUMMYFUNCTION("""COMPUTED_VALUE"""),"")</f>
        <v/>
      </c>
    </row>
    <row r="32">
      <c r="A32" s="58">
        <v>45693.44145907407</v>
      </c>
      <c r="B32" s="71" t="s">
        <v>170</v>
      </c>
      <c r="C32" s="71" t="b">
        <v>0</v>
      </c>
      <c r="E32" s="78"/>
      <c r="G32" s="78"/>
      <c r="H32" s="71">
        <v>44.0</v>
      </c>
      <c r="I32" s="80"/>
      <c r="J32" s="71" t="s">
        <v>10</v>
      </c>
      <c r="K32" s="59">
        <v>45693.0</v>
      </c>
      <c r="L32" s="71" t="s">
        <v>135</v>
      </c>
      <c r="M32" s="71" t="s">
        <v>19</v>
      </c>
      <c r="N32" s="71" t="str">
        <f>IFERROR(__xludf.DUMMYFUNCTION("""COMPUTED_VALUE"""),"")</f>
        <v/>
      </c>
      <c r="O32" s="71" t="str">
        <f>IFERROR(__xludf.DUMMYFUNCTION("""COMPUTED_VALUE"""),"")</f>
        <v/>
      </c>
      <c r="P32" s="71" t="str">
        <f>IFERROR(__xludf.DUMMYFUNCTION("""COMPUTED_VALUE"""),"")</f>
        <v/>
      </c>
    </row>
    <row r="33">
      <c r="A33" s="58">
        <v>45693.57041016204</v>
      </c>
      <c r="B33" s="71" t="s">
        <v>171</v>
      </c>
      <c r="C33" s="71" t="b">
        <v>0</v>
      </c>
      <c r="E33" s="78"/>
      <c r="G33" s="78"/>
      <c r="H33" s="71">
        <v>71.0</v>
      </c>
      <c r="I33" s="80"/>
      <c r="J33" s="71" t="s">
        <v>11</v>
      </c>
      <c r="K33" s="59">
        <v>45693.0</v>
      </c>
      <c r="L33" s="71" t="s">
        <v>135</v>
      </c>
      <c r="M33" s="71" t="s">
        <v>18</v>
      </c>
      <c r="N33" s="71" t="str">
        <f>IFERROR(__xludf.DUMMYFUNCTION("""COMPUTED_VALUE"""),"")</f>
        <v/>
      </c>
      <c r="O33" s="71" t="str">
        <f>IFERROR(__xludf.DUMMYFUNCTION("""COMPUTED_VALUE"""),"")</f>
        <v/>
      </c>
      <c r="P33" s="71" t="str">
        <f>IFERROR(__xludf.DUMMYFUNCTION("""COMPUTED_VALUE"""),"")</f>
        <v/>
      </c>
    </row>
    <row r="34">
      <c r="A34" s="58">
        <v>45693.98833168981</v>
      </c>
      <c r="B34" s="71" t="s">
        <v>168</v>
      </c>
      <c r="C34" s="71" t="b">
        <v>0</v>
      </c>
      <c r="E34" s="78"/>
      <c r="G34" s="78"/>
      <c r="H34" s="71">
        <v>147.0</v>
      </c>
      <c r="I34" s="80"/>
      <c r="J34" s="71" t="s">
        <v>12</v>
      </c>
      <c r="K34" s="59">
        <v>45693.0</v>
      </c>
      <c r="L34" s="71" t="s">
        <v>135</v>
      </c>
      <c r="M34" s="71" t="s">
        <v>18</v>
      </c>
      <c r="N34" s="71">
        <f>IFERROR(__xludf.DUMMYFUNCTION("""COMPUTED_VALUE"""),218.0)</f>
        <v>218</v>
      </c>
      <c r="O34" s="71">
        <f>IFERROR(__xludf.DUMMYFUNCTION("""COMPUTED_VALUE"""),109.0)</f>
        <v>109</v>
      </c>
      <c r="P34" s="71">
        <f>IFERROR(__xludf.DUMMYFUNCTION("""COMPUTED_VALUE"""),327.0)</f>
        <v>327</v>
      </c>
    </row>
    <row r="35">
      <c r="A35" s="58">
        <v>45693.64964637731</v>
      </c>
      <c r="B35" s="71" t="s">
        <v>153</v>
      </c>
      <c r="C35" s="71" t="b">
        <v>0</v>
      </c>
      <c r="E35" s="78"/>
      <c r="G35" s="78"/>
      <c r="H35" s="71">
        <v>143.0</v>
      </c>
      <c r="I35" s="80"/>
      <c r="J35" s="71" t="s">
        <v>11</v>
      </c>
      <c r="K35" s="59">
        <v>45694.0</v>
      </c>
      <c r="L35" s="71" t="s">
        <v>137</v>
      </c>
      <c r="M35" s="71" t="s">
        <v>19</v>
      </c>
      <c r="N35" s="71" t="str">
        <f>IFERROR(__xludf.DUMMYFUNCTION("""COMPUTED_VALUE"""),"")</f>
        <v/>
      </c>
      <c r="O35" s="71" t="str">
        <f>IFERROR(__xludf.DUMMYFUNCTION("""COMPUTED_VALUE"""),"")</f>
        <v/>
      </c>
      <c r="P35" s="71" t="str">
        <f>IFERROR(__xludf.DUMMYFUNCTION("""COMPUTED_VALUE"""),"")</f>
        <v/>
      </c>
    </row>
    <row r="36">
      <c r="A36" s="58">
        <v>45694.42115711806</v>
      </c>
      <c r="B36" s="71" t="s">
        <v>136</v>
      </c>
      <c r="C36" s="71" t="b">
        <v>0</v>
      </c>
      <c r="E36" s="78"/>
      <c r="G36" s="78"/>
      <c r="H36" s="71">
        <v>40.0</v>
      </c>
      <c r="I36" s="80"/>
      <c r="J36" s="71" t="s">
        <v>10</v>
      </c>
      <c r="K36" s="59">
        <v>45694.0</v>
      </c>
      <c r="L36" s="71" t="s">
        <v>137</v>
      </c>
      <c r="M36" s="71" t="s">
        <v>19</v>
      </c>
      <c r="N36" s="71" t="str">
        <f>IFERROR(__xludf.DUMMYFUNCTION("""COMPUTED_VALUE"""),"")</f>
        <v/>
      </c>
      <c r="O36" s="71" t="str">
        <f>IFERROR(__xludf.DUMMYFUNCTION("""COMPUTED_VALUE"""),"")</f>
        <v/>
      </c>
      <c r="P36" s="71" t="str">
        <f>IFERROR(__xludf.DUMMYFUNCTION("""COMPUTED_VALUE"""),"")</f>
        <v/>
      </c>
    </row>
    <row r="37">
      <c r="A37" s="58">
        <v>45694.62302611111</v>
      </c>
      <c r="B37" s="71" t="s">
        <v>148</v>
      </c>
      <c r="C37" s="71" t="b">
        <v>0</v>
      </c>
      <c r="E37" s="78"/>
      <c r="G37" s="78"/>
      <c r="H37" s="71">
        <v>150.0</v>
      </c>
      <c r="I37" s="80"/>
      <c r="J37" s="71" t="s">
        <v>11</v>
      </c>
      <c r="K37" s="59">
        <v>45694.0</v>
      </c>
      <c r="L37" s="71" t="s">
        <v>137</v>
      </c>
      <c r="M37" s="71" t="s">
        <v>19</v>
      </c>
      <c r="N37" s="71" t="str">
        <f>IFERROR(__xludf.DUMMYFUNCTION("""COMPUTED_VALUE"""),"")</f>
        <v/>
      </c>
      <c r="O37" s="71">
        <f>IFERROR(__xludf.DUMMYFUNCTION("""COMPUTED_VALUE"""),333.0)</f>
        <v>333</v>
      </c>
      <c r="P37" s="71">
        <f>IFERROR(__xludf.DUMMYFUNCTION("""COMPUTED_VALUE"""),333.0)</f>
        <v>333</v>
      </c>
    </row>
    <row r="38">
      <c r="A38" s="58">
        <v>45695.5840415625</v>
      </c>
      <c r="B38" s="71" t="s">
        <v>171</v>
      </c>
      <c r="C38" s="71" t="b">
        <v>0</v>
      </c>
      <c r="E38" s="78"/>
      <c r="G38" s="78"/>
      <c r="H38" s="71">
        <v>185.0</v>
      </c>
      <c r="I38" s="80"/>
      <c r="J38" s="71" t="s">
        <v>11</v>
      </c>
      <c r="K38" s="59">
        <v>45695.0</v>
      </c>
      <c r="L38" s="71" t="s">
        <v>138</v>
      </c>
      <c r="M38" s="71" t="s">
        <v>18</v>
      </c>
      <c r="N38" s="71" t="str">
        <f>IFERROR(__xludf.DUMMYFUNCTION("""COMPUTED_VALUE"""),"")</f>
        <v/>
      </c>
      <c r="O38" s="71" t="str">
        <f>IFERROR(__xludf.DUMMYFUNCTION("""COMPUTED_VALUE"""),"")</f>
        <v/>
      </c>
      <c r="P38" s="71" t="str">
        <f>IFERROR(__xludf.DUMMYFUNCTION("""COMPUTED_VALUE"""),"")</f>
        <v/>
      </c>
    </row>
    <row r="39">
      <c r="A39" s="58">
        <v>45695.64371479167</v>
      </c>
      <c r="B39" s="71" t="s">
        <v>171</v>
      </c>
      <c r="C39" s="71" t="b">
        <v>0</v>
      </c>
      <c r="E39" s="78"/>
      <c r="G39" s="78"/>
      <c r="H39" s="71">
        <v>85.0</v>
      </c>
      <c r="I39" s="80"/>
      <c r="J39" s="71" t="s">
        <v>11</v>
      </c>
      <c r="K39" s="59">
        <v>45695.0</v>
      </c>
      <c r="L39" s="71" t="s">
        <v>138</v>
      </c>
      <c r="M39" s="71" t="s">
        <v>18</v>
      </c>
      <c r="N39" s="71" t="str">
        <f>IFERROR(__xludf.DUMMYFUNCTION("""COMPUTED_VALUE"""),"")</f>
        <v/>
      </c>
      <c r="O39" s="71" t="str">
        <f>IFERROR(__xludf.DUMMYFUNCTION("""COMPUTED_VALUE"""),"")</f>
        <v/>
      </c>
      <c r="P39" s="71" t="str">
        <f>IFERROR(__xludf.DUMMYFUNCTION("""COMPUTED_VALUE"""),"")</f>
        <v/>
      </c>
    </row>
    <row r="40">
      <c r="A40" s="58">
        <v>45696.34489802083</v>
      </c>
      <c r="B40" s="71" t="s">
        <v>134</v>
      </c>
      <c r="C40" s="71" t="b">
        <v>0</v>
      </c>
      <c r="E40" s="78"/>
      <c r="G40" s="78"/>
      <c r="H40" s="71">
        <v>219.0</v>
      </c>
      <c r="I40" s="80"/>
      <c r="J40" s="71" t="s">
        <v>12</v>
      </c>
      <c r="K40" s="59">
        <v>45695.0</v>
      </c>
      <c r="L40" s="71" t="s">
        <v>138</v>
      </c>
      <c r="M40" s="71" t="s">
        <v>18</v>
      </c>
      <c r="N40" s="71">
        <f>IFERROR(__xludf.DUMMYFUNCTION("""COMPUTED_VALUE"""),489.0)</f>
        <v>489</v>
      </c>
      <c r="O40" s="71" t="str">
        <f>IFERROR(__xludf.DUMMYFUNCTION("""COMPUTED_VALUE"""),"")</f>
        <v/>
      </c>
      <c r="P40" s="71">
        <f>IFERROR(__xludf.DUMMYFUNCTION("""COMPUTED_VALUE"""),489.0)</f>
        <v>489</v>
      </c>
    </row>
    <row r="41">
      <c r="A41" s="58">
        <v>45698.44732105324</v>
      </c>
      <c r="B41" s="71" t="s">
        <v>170</v>
      </c>
      <c r="C41" s="71" t="b">
        <v>0</v>
      </c>
      <c r="E41" s="78"/>
      <c r="G41" s="78"/>
      <c r="H41" s="71">
        <v>84.0</v>
      </c>
      <c r="I41" s="80"/>
      <c r="J41" s="71" t="s">
        <v>10</v>
      </c>
      <c r="K41" s="59">
        <v>45698.0</v>
      </c>
      <c r="L41" s="71" t="s">
        <v>129</v>
      </c>
      <c r="M41" s="71" t="s">
        <v>19</v>
      </c>
      <c r="N41" s="71" t="str">
        <f>IFERROR(__xludf.DUMMYFUNCTION("""COMPUTED_VALUE"""),"")</f>
        <v/>
      </c>
      <c r="O41" s="71" t="str">
        <f>IFERROR(__xludf.DUMMYFUNCTION("""COMPUTED_VALUE"""),"")</f>
        <v/>
      </c>
      <c r="P41" s="71" t="str">
        <f>IFERROR(__xludf.DUMMYFUNCTION("""COMPUTED_VALUE"""),"")</f>
        <v/>
      </c>
    </row>
    <row r="42">
      <c r="A42" s="58">
        <v>45698.87662484954</v>
      </c>
      <c r="B42" s="71" t="s">
        <v>149</v>
      </c>
      <c r="C42" s="71" t="b">
        <v>0</v>
      </c>
      <c r="E42" s="78"/>
      <c r="G42" s="78"/>
      <c r="H42" s="71">
        <v>189.0</v>
      </c>
      <c r="I42" s="80"/>
      <c r="J42" s="71" t="s">
        <v>12</v>
      </c>
      <c r="K42" s="59">
        <v>45698.0</v>
      </c>
      <c r="L42" s="71" t="s">
        <v>129</v>
      </c>
      <c r="M42" s="71" t="s">
        <v>19</v>
      </c>
      <c r="N42" s="71" t="str">
        <f>IFERROR(__xludf.DUMMYFUNCTION("""COMPUTED_VALUE"""),"")</f>
        <v/>
      </c>
      <c r="O42" s="71" t="str">
        <f>IFERROR(__xludf.DUMMYFUNCTION("""COMPUTED_VALUE"""),"")</f>
        <v/>
      </c>
      <c r="P42" s="71" t="str">
        <f>IFERROR(__xludf.DUMMYFUNCTION("""COMPUTED_VALUE"""),"")</f>
        <v/>
      </c>
    </row>
    <row r="43">
      <c r="A43" s="58">
        <v>45714.51920137731</v>
      </c>
      <c r="B43" s="71" t="s">
        <v>173</v>
      </c>
      <c r="C43" s="71" t="b">
        <v>0</v>
      </c>
      <c r="E43" s="78"/>
      <c r="G43" s="78"/>
      <c r="H43" s="71">
        <v>129.0</v>
      </c>
      <c r="I43" s="80"/>
      <c r="J43" s="71" t="s">
        <v>11</v>
      </c>
      <c r="K43" s="59">
        <v>45698.0</v>
      </c>
      <c r="L43" s="71" t="s">
        <v>129</v>
      </c>
      <c r="M43" s="71" t="s">
        <v>18</v>
      </c>
      <c r="N43" s="71" t="str">
        <f>IFERROR(__xludf.DUMMYFUNCTION("""COMPUTED_VALUE"""),"")</f>
        <v/>
      </c>
      <c r="O43" s="71" t="str">
        <f>IFERROR(__xludf.DUMMYFUNCTION("""COMPUTED_VALUE"""),"")</f>
        <v/>
      </c>
      <c r="P43" s="71" t="str">
        <f>IFERROR(__xludf.DUMMYFUNCTION("""COMPUTED_VALUE"""),"")</f>
        <v/>
      </c>
    </row>
    <row r="44">
      <c r="A44" s="58">
        <v>45698.95845163194</v>
      </c>
      <c r="B44" s="71" t="s">
        <v>168</v>
      </c>
      <c r="C44" s="71" t="b">
        <v>0</v>
      </c>
      <c r="E44" s="78"/>
      <c r="G44" s="78"/>
      <c r="H44" s="71">
        <v>196.0</v>
      </c>
      <c r="I44" s="80"/>
      <c r="J44" s="71" t="s">
        <v>12</v>
      </c>
      <c r="K44" s="59">
        <v>45698.0</v>
      </c>
      <c r="L44" s="71" t="s">
        <v>129</v>
      </c>
      <c r="M44" s="71" t="s">
        <v>18</v>
      </c>
      <c r="N44" s="71">
        <f>IFERROR(__xludf.DUMMYFUNCTION("""COMPUTED_VALUE"""),325.0)</f>
        <v>325</v>
      </c>
      <c r="O44" s="71">
        <f>IFERROR(__xludf.DUMMYFUNCTION("""COMPUTED_VALUE"""),273.0)</f>
        <v>273</v>
      </c>
      <c r="P44" s="71">
        <f>IFERROR(__xludf.DUMMYFUNCTION("""COMPUTED_VALUE"""),598.0)</f>
        <v>598</v>
      </c>
    </row>
    <row r="45">
      <c r="A45" s="58">
        <v>45699.48656039352</v>
      </c>
      <c r="B45" s="71" t="s">
        <v>167</v>
      </c>
      <c r="C45" s="71" t="b">
        <v>0</v>
      </c>
      <c r="E45" s="78"/>
      <c r="G45" s="78"/>
      <c r="H45" s="71">
        <v>80.0</v>
      </c>
      <c r="I45" s="80"/>
      <c r="J45" s="71" t="s">
        <v>10</v>
      </c>
      <c r="K45" s="59">
        <v>45699.0</v>
      </c>
      <c r="L45" s="71" t="s">
        <v>132</v>
      </c>
      <c r="M45" s="71" t="s">
        <v>19</v>
      </c>
      <c r="N45" s="71" t="str">
        <f>IFERROR(__xludf.DUMMYFUNCTION("""COMPUTED_VALUE"""),"")</f>
        <v/>
      </c>
      <c r="O45" s="71" t="str">
        <f>IFERROR(__xludf.DUMMYFUNCTION("""COMPUTED_VALUE"""),"")</f>
        <v/>
      </c>
      <c r="P45" s="71" t="str">
        <f>IFERROR(__xludf.DUMMYFUNCTION("""COMPUTED_VALUE"""),"")</f>
        <v/>
      </c>
    </row>
    <row r="46">
      <c r="A46" s="58">
        <v>45699.61554618055</v>
      </c>
      <c r="B46" s="71" t="s">
        <v>148</v>
      </c>
      <c r="C46" s="71" t="b">
        <v>0</v>
      </c>
      <c r="E46" s="78"/>
      <c r="G46" s="78"/>
      <c r="H46" s="71">
        <v>108.0</v>
      </c>
      <c r="I46" s="80"/>
      <c r="J46" s="71" t="s">
        <v>11</v>
      </c>
      <c r="K46" s="59">
        <v>45699.0</v>
      </c>
      <c r="L46" s="71" t="s">
        <v>132</v>
      </c>
      <c r="M46" s="71" t="s">
        <v>19</v>
      </c>
      <c r="N46" s="71" t="str">
        <f>IFERROR(__xludf.DUMMYFUNCTION("""COMPUTED_VALUE"""),"")</f>
        <v/>
      </c>
      <c r="O46" s="71" t="str">
        <f>IFERROR(__xludf.DUMMYFUNCTION("""COMPUTED_VALUE"""),"")</f>
        <v/>
      </c>
      <c r="P46" s="71" t="str">
        <f>IFERROR(__xludf.DUMMYFUNCTION("""COMPUTED_VALUE"""),"")</f>
        <v/>
      </c>
    </row>
    <row r="47">
      <c r="A47" s="58">
        <v>45699.67248162037</v>
      </c>
      <c r="B47" s="71" t="s">
        <v>167</v>
      </c>
      <c r="C47" s="71" t="b">
        <v>0</v>
      </c>
      <c r="E47" s="78"/>
      <c r="G47" s="78"/>
      <c r="H47" s="71">
        <v>145.0</v>
      </c>
      <c r="I47" s="80"/>
      <c r="J47" s="71" t="s">
        <v>11</v>
      </c>
      <c r="K47" s="59">
        <v>45699.0</v>
      </c>
      <c r="L47" s="71" t="s">
        <v>132</v>
      </c>
      <c r="M47" s="71" t="s">
        <v>18</v>
      </c>
      <c r="N47" s="71" t="str">
        <f>IFERROR(__xludf.DUMMYFUNCTION("""COMPUTED_VALUE"""),"")</f>
        <v/>
      </c>
      <c r="O47" s="71" t="str">
        <f>IFERROR(__xludf.DUMMYFUNCTION("""COMPUTED_VALUE"""),"")</f>
        <v/>
      </c>
      <c r="P47" s="71" t="str">
        <f>IFERROR(__xludf.DUMMYFUNCTION("""COMPUTED_VALUE"""),"")</f>
        <v/>
      </c>
    </row>
    <row r="48">
      <c r="A48" s="58">
        <v>45699.87689766203</v>
      </c>
      <c r="B48" s="71" t="s">
        <v>169</v>
      </c>
      <c r="C48" s="71" t="b">
        <v>0</v>
      </c>
      <c r="E48" s="78"/>
      <c r="G48" s="78"/>
      <c r="H48" s="71">
        <v>313.0</v>
      </c>
      <c r="I48" s="80"/>
      <c r="J48" s="71" t="s">
        <v>12</v>
      </c>
      <c r="K48" s="59">
        <v>45699.0</v>
      </c>
      <c r="L48" s="71" t="s">
        <v>132</v>
      </c>
      <c r="M48" s="71" t="s">
        <v>18</v>
      </c>
      <c r="N48" s="71" t="str">
        <f>IFERROR(__xludf.DUMMYFUNCTION("""COMPUTED_VALUE"""),"")</f>
        <v/>
      </c>
      <c r="O48" s="71" t="str">
        <f>IFERROR(__xludf.DUMMYFUNCTION("""COMPUTED_VALUE"""),"")</f>
        <v/>
      </c>
      <c r="P48" s="71" t="str">
        <f>IFERROR(__xludf.DUMMYFUNCTION("""COMPUTED_VALUE"""),"")</f>
        <v/>
      </c>
    </row>
    <row r="49">
      <c r="A49" s="58">
        <v>45699.87748395833</v>
      </c>
      <c r="B49" s="71" t="s">
        <v>149</v>
      </c>
      <c r="C49" s="71" t="b">
        <v>0</v>
      </c>
      <c r="E49" s="78"/>
      <c r="G49" s="78"/>
      <c r="H49" s="71">
        <v>201.0</v>
      </c>
      <c r="I49" s="80"/>
      <c r="J49" s="71" t="s">
        <v>12</v>
      </c>
      <c r="K49" s="59">
        <v>45699.0</v>
      </c>
      <c r="L49" s="71" t="s">
        <v>132</v>
      </c>
      <c r="M49" s="71" t="s">
        <v>19</v>
      </c>
      <c r="N49" s="71">
        <f>IFERROR(__xludf.DUMMYFUNCTION("""COMPUTED_VALUE"""),458.0)</f>
        <v>458</v>
      </c>
      <c r="O49" s="71">
        <f>IFERROR(__xludf.DUMMYFUNCTION("""COMPUTED_VALUE"""),389.0)</f>
        <v>389</v>
      </c>
      <c r="P49" s="71">
        <f>IFERROR(__xludf.DUMMYFUNCTION("""COMPUTED_VALUE"""),847.0)</f>
        <v>847</v>
      </c>
    </row>
    <row r="50">
      <c r="A50" s="58">
        <v>45700.44474181713</v>
      </c>
      <c r="B50" s="71" t="s">
        <v>170</v>
      </c>
      <c r="C50" s="71" t="b">
        <v>0</v>
      </c>
      <c r="E50" s="78"/>
      <c r="G50" s="78"/>
      <c r="H50" s="71">
        <v>83.0</v>
      </c>
      <c r="I50" s="80"/>
      <c r="J50" s="71" t="s">
        <v>10</v>
      </c>
      <c r="K50" s="59">
        <v>45700.0</v>
      </c>
      <c r="L50" s="71" t="s">
        <v>135</v>
      </c>
      <c r="M50" s="71" t="s">
        <v>19</v>
      </c>
      <c r="N50" s="71" t="str">
        <f>IFERROR(__xludf.DUMMYFUNCTION("""COMPUTED_VALUE"""),"")</f>
        <v/>
      </c>
      <c r="O50" s="71" t="str">
        <f>IFERROR(__xludf.DUMMYFUNCTION("""COMPUTED_VALUE"""),"")</f>
        <v/>
      </c>
      <c r="P50" s="71" t="str">
        <f>IFERROR(__xludf.DUMMYFUNCTION("""COMPUTED_VALUE"""),"")</f>
        <v/>
      </c>
    </row>
    <row r="51">
      <c r="A51" s="58">
        <v>45700.56592515046</v>
      </c>
      <c r="B51" s="71" t="s">
        <v>171</v>
      </c>
      <c r="C51" s="71" t="b">
        <v>0</v>
      </c>
      <c r="E51" s="78"/>
      <c r="G51" s="78"/>
      <c r="H51" s="71">
        <v>92.0</v>
      </c>
      <c r="I51" s="80"/>
      <c r="J51" s="71" t="s">
        <v>11</v>
      </c>
      <c r="K51" s="59">
        <v>45700.0</v>
      </c>
      <c r="L51" s="71" t="s">
        <v>135</v>
      </c>
      <c r="M51" s="71" t="s">
        <v>18</v>
      </c>
      <c r="N51" s="71" t="str">
        <f>IFERROR(__xludf.DUMMYFUNCTION("""COMPUTED_VALUE"""),"")</f>
        <v/>
      </c>
      <c r="O51" s="71" t="str">
        <f>IFERROR(__xludf.DUMMYFUNCTION("""COMPUTED_VALUE"""),"")</f>
        <v/>
      </c>
      <c r="P51" s="71" t="str">
        <f>IFERROR(__xludf.DUMMYFUNCTION("""COMPUTED_VALUE"""),"")</f>
        <v/>
      </c>
    </row>
    <row r="52">
      <c r="A52" s="58">
        <v>45700.66570581018</v>
      </c>
      <c r="B52" s="71" t="s">
        <v>153</v>
      </c>
      <c r="C52" s="71" t="b">
        <v>0</v>
      </c>
      <c r="E52" s="78"/>
      <c r="G52" s="78"/>
      <c r="H52" s="71">
        <v>161.0</v>
      </c>
      <c r="I52" s="80"/>
      <c r="J52" s="71" t="s">
        <v>10</v>
      </c>
      <c r="K52" s="59">
        <v>45700.0</v>
      </c>
      <c r="L52" s="71" t="s">
        <v>135</v>
      </c>
      <c r="M52" s="71" t="s">
        <v>19</v>
      </c>
      <c r="N52" s="71" t="str">
        <f>IFERROR(__xludf.DUMMYFUNCTION("""COMPUTED_VALUE"""),"")</f>
        <v/>
      </c>
      <c r="O52" s="71" t="str">
        <f>IFERROR(__xludf.DUMMYFUNCTION("""COMPUTED_VALUE"""),"")</f>
        <v/>
      </c>
      <c r="P52" s="71" t="str">
        <f>IFERROR(__xludf.DUMMYFUNCTION("""COMPUTED_VALUE"""),"")</f>
        <v/>
      </c>
    </row>
    <row r="53">
      <c r="A53" s="58">
        <v>45700.68113362268</v>
      </c>
      <c r="B53" s="71" t="s">
        <v>153</v>
      </c>
      <c r="C53" s="71" t="b">
        <v>0</v>
      </c>
      <c r="E53" s="78"/>
      <c r="G53" s="78"/>
      <c r="H53" s="71">
        <v>149.0</v>
      </c>
      <c r="I53" s="80"/>
      <c r="J53" s="71" t="s">
        <v>11</v>
      </c>
      <c r="K53" s="59">
        <v>45700.0</v>
      </c>
      <c r="L53" s="71" t="s">
        <v>135</v>
      </c>
      <c r="M53" s="71" t="s">
        <v>19</v>
      </c>
      <c r="N53" s="71" t="str">
        <f>IFERROR(__xludf.DUMMYFUNCTION("""COMPUTED_VALUE"""),"")</f>
        <v/>
      </c>
      <c r="O53" s="71" t="str">
        <f>IFERROR(__xludf.DUMMYFUNCTION("""COMPUTED_VALUE"""),"")</f>
        <v/>
      </c>
      <c r="P53" s="71" t="str">
        <f>IFERROR(__xludf.DUMMYFUNCTION("""COMPUTED_VALUE"""),"")</f>
        <v/>
      </c>
    </row>
    <row r="54">
      <c r="A54" s="58">
        <v>45700.6841506713</v>
      </c>
      <c r="B54" s="71" t="s">
        <v>153</v>
      </c>
      <c r="C54" s="71" t="b">
        <v>0</v>
      </c>
      <c r="E54" s="78"/>
      <c r="G54" s="78"/>
      <c r="H54" s="71">
        <v>120.0</v>
      </c>
      <c r="I54" s="80"/>
      <c r="J54" s="71" t="s">
        <v>11</v>
      </c>
      <c r="K54" s="59">
        <v>45700.0</v>
      </c>
      <c r="L54" s="71" t="s">
        <v>135</v>
      </c>
      <c r="M54" s="71" t="s">
        <v>19</v>
      </c>
      <c r="N54" s="71">
        <f>IFERROR(__xludf.DUMMYFUNCTION("""COMPUTED_VALUE"""),92.0)</f>
        <v>92</v>
      </c>
      <c r="O54" s="71">
        <f>IFERROR(__xludf.DUMMYFUNCTION("""COMPUTED_VALUE"""),513.0)</f>
        <v>513</v>
      </c>
      <c r="P54" s="71">
        <f>IFERROR(__xludf.DUMMYFUNCTION("""COMPUTED_VALUE"""),605.0)</f>
        <v>605</v>
      </c>
    </row>
    <row r="55">
      <c r="A55" s="58">
        <v>45701.41914650463</v>
      </c>
      <c r="B55" s="71" t="s">
        <v>136</v>
      </c>
      <c r="C55" s="71" t="b">
        <v>0</v>
      </c>
      <c r="E55" s="78"/>
      <c r="G55" s="78"/>
      <c r="H55" s="71">
        <v>36.0</v>
      </c>
      <c r="I55" s="80"/>
      <c r="J55" s="71" t="s">
        <v>10</v>
      </c>
      <c r="K55" s="59">
        <v>45701.0</v>
      </c>
      <c r="L55" s="71" t="s">
        <v>137</v>
      </c>
      <c r="M55" s="71" t="s">
        <v>19</v>
      </c>
      <c r="N55" s="71" t="str">
        <f>IFERROR(__xludf.DUMMYFUNCTION("""COMPUTED_VALUE"""),"")</f>
        <v/>
      </c>
      <c r="O55" s="71" t="str">
        <f>IFERROR(__xludf.DUMMYFUNCTION("""COMPUTED_VALUE"""),"")</f>
        <v/>
      </c>
      <c r="P55" s="71" t="str">
        <f>IFERROR(__xludf.DUMMYFUNCTION("""COMPUTED_VALUE"""),"")</f>
        <v/>
      </c>
    </row>
    <row r="56">
      <c r="A56" s="58">
        <v>45701.50735950231</v>
      </c>
      <c r="B56" s="71" t="s">
        <v>168</v>
      </c>
      <c r="C56" s="71" t="b">
        <v>0</v>
      </c>
      <c r="E56" s="78"/>
      <c r="G56" s="78"/>
      <c r="H56" s="71">
        <v>133.0</v>
      </c>
      <c r="I56" s="80"/>
      <c r="J56" s="71" t="s">
        <v>12</v>
      </c>
      <c r="K56" s="59">
        <v>45701.0</v>
      </c>
      <c r="L56" s="71" t="s">
        <v>137</v>
      </c>
      <c r="M56" s="71" t="s">
        <v>18</v>
      </c>
      <c r="N56" s="71" t="str">
        <f>IFERROR(__xludf.DUMMYFUNCTION("""COMPUTED_VALUE"""),"")</f>
        <v/>
      </c>
      <c r="O56" s="71" t="str">
        <f>IFERROR(__xludf.DUMMYFUNCTION("""COMPUTED_VALUE"""),"")</f>
        <v/>
      </c>
      <c r="P56" s="71" t="str">
        <f>IFERROR(__xludf.DUMMYFUNCTION("""COMPUTED_VALUE"""),"")</f>
        <v/>
      </c>
    </row>
    <row r="57">
      <c r="A57" s="58">
        <v>45701.62246792824</v>
      </c>
      <c r="B57" s="71" t="s">
        <v>148</v>
      </c>
      <c r="C57" s="71" t="b">
        <v>0</v>
      </c>
      <c r="E57" s="78"/>
      <c r="G57" s="78"/>
      <c r="H57" s="71">
        <v>143.0</v>
      </c>
      <c r="I57" s="80"/>
      <c r="J57" s="71" t="s">
        <v>11</v>
      </c>
      <c r="K57" s="59">
        <v>45701.0</v>
      </c>
      <c r="L57" s="71" t="s">
        <v>137</v>
      </c>
      <c r="M57" s="71" t="s">
        <v>19</v>
      </c>
      <c r="N57" s="71" t="str">
        <f>IFERROR(__xludf.DUMMYFUNCTION("""COMPUTED_VALUE"""),"")</f>
        <v/>
      </c>
      <c r="O57" s="71" t="str">
        <f>IFERROR(__xludf.DUMMYFUNCTION("""COMPUTED_VALUE"""),"")</f>
        <v/>
      </c>
      <c r="P57" s="71" t="str">
        <f>IFERROR(__xludf.DUMMYFUNCTION("""COMPUTED_VALUE"""),"")</f>
        <v/>
      </c>
    </row>
    <row r="58">
      <c r="A58" s="58">
        <v>45701.70325734954</v>
      </c>
      <c r="B58" s="71" t="s">
        <v>172</v>
      </c>
      <c r="C58" s="71" t="b">
        <v>0</v>
      </c>
      <c r="E58" s="78"/>
      <c r="G58" s="78"/>
      <c r="H58" s="71">
        <v>170.0</v>
      </c>
      <c r="I58" s="80"/>
      <c r="J58" s="71" t="s">
        <v>11</v>
      </c>
      <c r="K58" s="59">
        <v>45701.0</v>
      </c>
      <c r="L58" s="71" t="s">
        <v>137</v>
      </c>
      <c r="M58" s="71" t="s">
        <v>18</v>
      </c>
      <c r="N58" s="71" t="str">
        <f>IFERROR(__xludf.DUMMYFUNCTION("""COMPUTED_VALUE"""),"")</f>
        <v/>
      </c>
      <c r="O58" s="71" t="str">
        <f>IFERROR(__xludf.DUMMYFUNCTION("""COMPUTED_VALUE"""),"")</f>
        <v/>
      </c>
      <c r="P58" s="71" t="str">
        <f>IFERROR(__xludf.DUMMYFUNCTION("""COMPUTED_VALUE"""),"")</f>
        <v/>
      </c>
    </row>
    <row r="59">
      <c r="A59" s="58">
        <v>45701.78963363426</v>
      </c>
      <c r="B59" s="71" t="s">
        <v>171</v>
      </c>
      <c r="C59" s="71" t="b">
        <v>0</v>
      </c>
      <c r="E59" s="78"/>
      <c r="G59" s="78"/>
      <c r="H59" s="71">
        <v>65.0</v>
      </c>
      <c r="I59" s="80"/>
      <c r="J59" s="71" t="s">
        <v>12</v>
      </c>
      <c r="K59" s="59">
        <v>45701.0</v>
      </c>
      <c r="L59" s="71" t="s">
        <v>137</v>
      </c>
      <c r="M59" s="71" t="s">
        <v>18</v>
      </c>
      <c r="N59" s="71">
        <f>IFERROR(__xludf.DUMMYFUNCTION("""COMPUTED_VALUE"""),368.0)</f>
        <v>368</v>
      </c>
      <c r="O59" s="71">
        <f>IFERROR(__xludf.DUMMYFUNCTION("""COMPUTED_VALUE"""),179.0)</f>
        <v>179</v>
      </c>
      <c r="P59" s="71">
        <f>IFERROR(__xludf.DUMMYFUNCTION("""COMPUTED_VALUE"""),547.0)</f>
        <v>547</v>
      </c>
    </row>
    <row r="60">
      <c r="A60" s="58">
        <v>45702.4138437037</v>
      </c>
      <c r="B60" s="71" t="s">
        <v>136</v>
      </c>
      <c r="C60" s="71" t="b">
        <v>0</v>
      </c>
      <c r="E60" s="78"/>
      <c r="G60" s="78"/>
      <c r="H60" s="71">
        <v>41.0</v>
      </c>
      <c r="I60" s="80"/>
      <c r="J60" s="71" t="s">
        <v>10</v>
      </c>
      <c r="K60" s="59">
        <v>45702.0</v>
      </c>
      <c r="L60" s="71" t="s">
        <v>138</v>
      </c>
      <c r="M60" s="71" t="s">
        <v>19</v>
      </c>
      <c r="N60" s="71" t="str">
        <f>IFERROR(__xludf.DUMMYFUNCTION("""COMPUTED_VALUE"""),"")</f>
        <v/>
      </c>
      <c r="O60" s="71" t="str">
        <f>IFERROR(__xludf.DUMMYFUNCTION("""COMPUTED_VALUE"""),"")</f>
        <v/>
      </c>
      <c r="P60" s="71" t="str">
        <f>IFERROR(__xludf.DUMMYFUNCTION("""COMPUTED_VALUE"""),"")</f>
        <v/>
      </c>
    </row>
    <row r="61">
      <c r="A61" s="58">
        <v>45702.57749506945</v>
      </c>
      <c r="B61" s="71" t="s">
        <v>172</v>
      </c>
      <c r="C61" s="71" t="b">
        <v>0</v>
      </c>
      <c r="E61" s="78"/>
      <c r="G61" s="78"/>
      <c r="H61" s="71">
        <v>110.0</v>
      </c>
      <c r="I61" s="80"/>
      <c r="J61" s="71" t="s">
        <v>11</v>
      </c>
      <c r="K61" s="59">
        <v>45702.0</v>
      </c>
      <c r="L61" s="71" t="s">
        <v>138</v>
      </c>
      <c r="M61" s="71" t="s">
        <v>19</v>
      </c>
      <c r="N61" s="71" t="str">
        <f>IFERROR(__xludf.DUMMYFUNCTION("""COMPUTED_VALUE"""),"")</f>
        <v/>
      </c>
      <c r="O61" s="71" t="str">
        <f>IFERROR(__xludf.DUMMYFUNCTION("""COMPUTED_VALUE"""),"")</f>
        <v/>
      </c>
      <c r="P61" s="71" t="str">
        <f>IFERROR(__xludf.DUMMYFUNCTION("""COMPUTED_VALUE"""),"")</f>
        <v/>
      </c>
    </row>
    <row r="62">
      <c r="A62" s="58">
        <v>45709.816878125</v>
      </c>
      <c r="B62" s="71" t="s">
        <v>134</v>
      </c>
      <c r="C62" s="71" t="b">
        <v>0</v>
      </c>
      <c r="E62" s="78"/>
      <c r="G62" s="78"/>
      <c r="H62" s="71">
        <v>109.0</v>
      </c>
      <c r="I62" s="80"/>
      <c r="J62" s="71" t="s">
        <v>12</v>
      </c>
      <c r="K62" s="59">
        <v>45702.0</v>
      </c>
      <c r="L62" s="71" t="s">
        <v>138</v>
      </c>
      <c r="M62" s="71" t="s">
        <v>18</v>
      </c>
      <c r="N62" s="71">
        <f>IFERROR(__xludf.DUMMYFUNCTION("""COMPUTED_VALUE"""),109.0)</f>
        <v>109</v>
      </c>
      <c r="O62" s="71">
        <f>IFERROR(__xludf.DUMMYFUNCTION("""COMPUTED_VALUE"""),151.0)</f>
        <v>151</v>
      </c>
      <c r="P62" s="71">
        <f>IFERROR(__xludf.DUMMYFUNCTION("""COMPUTED_VALUE"""),260.0)</f>
        <v>260</v>
      </c>
    </row>
    <row r="63">
      <c r="A63" s="58">
        <v>45706.52407671297</v>
      </c>
      <c r="B63" s="71" t="s">
        <v>167</v>
      </c>
      <c r="C63" s="71" t="b">
        <v>0</v>
      </c>
      <c r="E63" s="78"/>
      <c r="G63" s="78"/>
      <c r="H63" s="71">
        <v>63.0</v>
      </c>
      <c r="I63" s="80"/>
      <c r="J63" s="71" t="s">
        <v>10</v>
      </c>
      <c r="K63" s="59">
        <v>45706.0</v>
      </c>
      <c r="L63" s="71" t="s">
        <v>132</v>
      </c>
      <c r="M63" s="71" t="s">
        <v>19</v>
      </c>
      <c r="N63" s="71" t="str">
        <f>IFERROR(__xludf.DUMMYFUNCTION("""COMPUTED_VALUE"""),"")</f>
        <v/>
      </c>
      <c r="O63" s="71" t="str">
        <f>IFERROR(__xludf.DUMMYFUNCTION("""COMPUTED_VALUE"""),"")</f>
        <v/>
      </c>
      <c r="P63" s="71" t="str">
        <f>IFERROR(__xludf.DUMMYFUNCTION("""COMPUTED_VALUE"""),"")</f>
        <v/>
      </c>
    </row>
    <row r="64">
      <c r="A64" s="58">
        <v>45706.6153730787</v>
      </c>
      <c r="B64" s="71" t="s">
        <v>148</v>
      </c>
      <c r="C64" s="71" t="b">
        <v>0</v>
      </c>
      <c r="E64" s="78"/>
      <c r="G64" s="78"/>
      <c r="H64" s="71">
        <v>116.0</v>
      </c>
      <c r="I64" s="80"/>
      <c r="J64" s="71" t="s">
        <v>11</v>
      </c>
      <c r="K64" s="59">
        <v>45706.0</v>
      </c>
      <c r="L64" s="71" t="s">
        <v>132</v>
      </c>
      <c r="M64" s="71" t="s">
        <v>19</v>
      </c>
      <c r="N64" s="71" t="str">
        <f>IFERROR(__xludf.DUMMYFUNCTION("""COMPUTED_VALUE"""),"")</f>
        <v/>
      </c>
      <c r="O64" s="71" t="str">
        <f>IFERROR(__xludf.DUMMYFUNCTION("""COMPUTED_VALUE"""),"")</f>
        <v/>
      </c>
      <c r="P64" s="71" t="str">
        <f>IFERROR(__xludf.DUMMYFUNCTION("""COMPUTED_VALUE"""),"")</f>
        <v/>
      </c>
    </row>
    <row r="65">
      <c r="A65" s="58">
        <v>45706.74029508102</v>
      </c>
      <c r="B65" s="71" t="s">
        <v>167</v>
      </c>
      <c r="C65" s="71" t="b">
        <v>0</v>
      </c>
      <c r="E65" s="78"/>
      <c r="G65" s="78"/>
      <c r="H65" s="71">
        <v>109.0</v>
      </c>
      <c r="I65" s="80"/>
      <c r="J65" s="71" t="s">
        <v>11</v>
      </c>
      <c r="K65" s="59">
        <v>45706.0</v>
      </c>
      <c r="L65" s="71" t="s">
        <v>132</v>
      </c>
      <c r="M65" s="71" t="s">
        <v>18</v>
      </c>
      <c r="N65" s="71" t="str">
        <f>IFERROR(__xludf.DUMMYFUNCTION("""COMPUTED_VALUE"""),"")</f>
        <v/>
      </c>
      <c r="O65" s="71" t="str">
        <f>IFERROR(__xludf.DUMMYFUNCTION("""COMPUTED_VALUE"""),"")</f>
        <v/>
      </c>
      <c r="P65" s="71" t="str">
        <f>IFERROR(__xludf.DUMMYFUNCTION("""COMPUTED_VALUE"""),"")</f>
        <v/>
      </c>
    </row>
    <row r="66">
      <c r="A66" s="58">
        <v>45706.87882736111</v>
      </c>
      <c r="B66" s="71" t="s">
        <v>149</v>
      </c>
      <c r="C66" s="71" t="b">
        <v>0</v>
      </c>
      <c r="E66" s="78"/>
      <c r="G66" s="78"/>
      <c r="H66" s="71">
        <v>120.0</v>
      </c>
      <c r="I66" s="80"/>
      <c r="J66" s="71" t="s">
        <v>12</v>
      </c>
      <c r="K66" s="59">
        <v>45706.0</v>
      </c>
      <c r="L66" s="71" t="s">
        <v>132</v>
      </c>
      <c r="M66" s="71" t="s">
        <v>19</v>
      </c>
      <c r="N66" s="71">
        <f>IFERROR(__xludf.DUMMYFUNCTION("""COMPUTED_VALUE"""),109.0)</f>
        <v>109</v>
      </c>
      <c r="O66" s="71">
        <f>IFERROR(__xludf.DUMMYFUNCTION("""COMPUTED_VALUE"""),299.0)</f>
        <v>299</v>
      </c>
      <c r="P66" s="71">
        <f>IFERROR(__xludf.DUMMYFUNCTION("""COMPUTED_VALUE"""),408.0)</f>
        <v>408</v>
      </c>
    </row>
    <row r="67">
      <c r="A67" s="58">
        <v>45707.43697265047</v>
      </c>
      <c r="B67" s="71" t="s">
        <v>170</v>
      </c>
      <c r="C67" s="71" t="b">
        <v>0</v>
      </c>
      <c r="E67" s="78"/>
      <c r="G67" s="78"/>
      <c r="H67" s="71">
        <v>107.0</v>
      </c>
      <c r="I67" s="80"/>
      <c r="J67" s="71" t="s">
        <v>10</v>
      </c>
      <c r="K67" s="59">
        <v>45707.0</v>
      </c>
      <c r="L67" s="71" t="s">
        <v>135</v>
      </c>
      <c r="M67" s="71" t="s">
        <v>19</v>
      </c>
      <c r="N67" s="71" t="str">
        <f>IFERROR(__xludf.DUMMYFUNCTION("""COMPUTED_VALUE"""),"")</f>
        <v/>
      </c>
      <c r="O67" s="71" t="str">
        <f>IFERROR(__xludf.DUMMYFUNCTION("""COMPUTED_VALUE"""),"")</f>
        <v/>
      </c>
      <c r="P67" s="71" t="str">
        <f>IFERROR(__xludf.DUMMYFUNCTION("""COMPUTED_VALUE"""),"")</f>
        <v/>
      </c>
    </row>
    <row r="68">
      <c r="A68" s="58">
        <v>45707.68789539352</v>
      </c>
      <c r="B68" s="71" t="s">
        <v>171</v>
      </c>
      <c r="C68" s="71" t="b">
        <v>0</v>
      </c>
      <c r="E68" s="78"/>
      <c r="G68" s="78"/>
      <c r="H68" s="71">
        <v>74.0</v>
      </c>
      <c r="I68" s="80"/>
      <c r="J68" s="71" t="s">
        <v>11</v>
      </c>
      <c r="K68" s="59">
        <v>45707.0</v>
      </c>
      <c r="L68" s="71" t="s">
        <v>135</v>
      </c>
      <c r="M68" s="71" t="s">
        <v>18</v>
      </c>
      <c r="N68" s="71" t="str">
        <f>IFERROR(__xludf.DUMMYFUNCTION("""COMPUTED_VALUE"""),"")</f>
        <v/>
      </c>
      <c r="O68" s="71" t="str">
        <f>IFERROR(__xludf.DUMMYFUNCTION("""COMPUTED_VALUE"""),"")</f>
        <v/>
      </c>
      <c r="P68" s="71" t="str">
        <f>IFERROR(__xludf.DUMMYFUNCTION("""COMPUTED_VALUE"""),"")</f>
        <v/>
      </c>
    </row>
    <row r="69">
      <c r="A69" s="58">
        <v>45707.88982784722</v>
      </c>
      <c r="B69" s="71" t="s">
        <v>168</v>
      </c>
      <c r="C69" s="71" t="b">
        <v>0</v>
      </c>
      <c r="E69" s="78"/>
      <c r="G69" s="78"/>
      <c r="H69" s="71">
        <v>456.0</v>
      </c>
      <c r="I69" s="80"/>
      <c r="J69" s="71" t="s">
        <v>12</v>
      </c>
      <c r="K69" s="59">
        <v>45707.0</v>
      </c>
      <c r="L69" s="71" t="s">
        <v>135</v>
      </c>
      <c r="M69" s="71" t="s">
        <v>18</v>
      </c>
      <c r="N69" s="71" t="str">
        <f>IFERROR(__xludf.DUMMYFUNCTION("""COMPUTED_VALUE"""),"")</f>
        <v/>
      </c>
      <c r="O69" s="71" t="str">
        <f>IFERROR(__xludf.DUMMYFUNCTION("""COMPUTED_VALUE"""),"")</f>
        <v/>
      </c>
      <c r="P69" s="71" t="str">
        <f>IFERROR(__xludf.DUMMYFUNCTION("""COMPUTED_VALUE"""),"")</f>
        <v/>
      </c>
    </row>
    <row r="70">
      <c r="A70" s="58">
        <v>45708.58594006945</v>
      </c>
      <c r="B70" s="71" t="s">
        <v>153</v>
      </c>
      <c r="C70" s="71" t="b">
        <v>0</v>
      </c>
      <c r="E70" s="78"/>
      <c r="G70" s="78"/>
      <c r="H70" s="71">
        <v>159.0</v>
      </c>
      <c r="I70" s="80"/>
      <c r="J70" s="71" t="s">
        <v>11</v>
      </c>
      <c r="K70" s="59">
        <v>45707.0</v>
      </c>
      <c r="L70" s="71" t="s">
        <v>135</v>
      </c>
      <c r="M70" s="71" t="s">
        <v>19</v>
      </c>
      <c r="N70" s="71">
        <f>IFERROR(__xludf.DUMMYFUNCTION("""COMPUTED_VALUE"""),530.0)</f>
        <v>530</v>
      </c>
      <c r="O70" s="71">
        <f>IFERROR(__xludf.DUMMYFUNCTION("""COMPUTED_VALUE"""),266.0)</f>
        <v>266</v>
      </c>
      <c r="P70" s="71">
        <f>IFERROR(__xludf.DUMMYFUNCTION("""COMPUTED_VALUE"""),796.0)</f>
        <v>796</v>
      </c>
    </row>
    <row r="71">
      <c r="A71" s="58">
        <v>45708.41108980324</v>
      </c>
      <c r="B71" s="71" t="s">
        <v>136</v>
      </c>
      <c r="C71" s="71" t="b">
        <v>0</v>
      </c>
      <c r="E71" s="78"/>
      <c r="G71" s="78"/>
      <c r="H71" s="71">
        <v>61.0</v>
      </c>
      <c r="I71" s="80"/>
      <c r="J71" s="71" t="s">
        <v>10</v>
      </c>
      <c r="K71" s="59">
        <v>45708.0</v>
      </c>
      <c r="L71" s="71" t="s">
        <v>137</v>
      </c>
      <c r="M71" s="71" t="s">
        <v>19</v>
      </c>
      <c r="N71" s="71" t="str">
        <f>IFERROR(__xludf.DUMMYFUNCTION("""COMPUTED_VALUE"""),"")</f>
        <v/>
      </c>
      <c r="O71" s="71" t="str">
        <f>IFERROR(__xludf.DUMMYFUNCTION("""COMPUTED_VALUE"""),"")</f>
        <v/>
      </c>
      <c r="P71" s="71" t="str">
        <f>IFERROR(__xludf.DUMMYFUNCTION("""COMPUTED_VALUE"""),"")</f>
        <v/>
      </c>
    </row>
    <row r="72">
      <c r="A72" s="58">
        <v>45708.62260802084</v>
      </c>
      <c r="B72" s="71" t="s">
        <v>148</v>
      </c>
      <c r="C72" s="71" t="b">
        <v>0</v>
      </c>
      <c r="E72" s="78"/>
      <c r="G72" s="78"/>
      <c r="H72" s="71">
        <v>100.0</v>
      </c>
      <c r="I72" s="80"/>
      <c r="J72" s="71" t="s">
        <v>11</v>
      </c>
      <c r="K72" s="59">
        <v>45708.0</v>
      </c>
      <c r="L72" s="71" t="s">
        <v>137</v>
      </c>
      <c r="M72" s="71" t="s">
        <v>19</v>
      </c>
      <c r="N72" s="71" t="str">
        <f>IFERROR(__xludf.DUMMYFUNCTION("""COMPUTED_VALUE"""),"")</f>
        <v/>
      </c>
      <c r="O72" s="71" t="str">
        <f>IFERROR(__xludf.DUMMYFUNCTION("""COMPUTED_VALUE"""),"")</f>
        <v/>
      </c>
      <c r="P72" s="71" t="str">
        <f>IFERROR(__xludf.DUMMYFUNCTION("""COMPUTED_VALUE"""),"")</f>
        <v/>
      </c>
    </row>
    <row r="73">
      <c r="A73" s="58">
        <v>45709.12182408565</v>
      </c>
      <c r="B73" s="71" t="s">
        <v>171</v>
      </c>
      <c r="C73" s="71" t="b">
        <v>0</v>
      </c>
      <c r="E73" s="78"/>
      <c r="G73" s="78"/>
      <c r="H73" s="71">
        <v>157.0</v>
      </c>
      <c r="I73" s="80"/>
      <c r="J73" s="71" t="s">
        <v>12</v>
      </c>
      <c r="K73" s="59">
        <v>45708.0</v>
      </c>
      <c r="L73" s="71" t="s">
        <v>137</v>
      </c>
      <c r="M73" s="71" t="s">
        <v>18</v>
      </c>
      <c r="N73" s="71" t="str">
        <f>IFERROR(__xludf.DUMMYFUNCTION("""COMPUTED_VALUE"""),"")</f>
        <v/>
      </c>
      <c r="O73" s="71" t="str">
        <f>IFERROR(__xludf.DUMMYFUNCTION("""COMPUTED_VALUE"""),"")</f>
        <v/>
      </c>
      <c r="P73" s="71" t="str">
        <f>IFERROR(__xludf.DUMMYFUNCTION("""COMPUTED_VALUE"""),"")</f>
        <v/>
      </c>
    </row>
    <row r="74">
      <c r="A74" s="58">
        <v>45709.54238133102</v>
      </c>
      <c r="B74" s="71" t="s">
        <v>172</v>
      </c>
      <c r="C74" s="71" t="b">
        <v>0</v>
      </c>
      <c r="E74" s="78"/>
      <c r="G74" s="78"/>
      <c r="H74" s="71">
        <v>180.0</v>
      </c>
      <c r="I74" s="80"/>
      <c r="J74" s="71" t="s">
        <v>11</v>
      </c>
      <c r="K74" s="59">
        <v>45708.0</v>
      </c>
      <c r="L74" s="71" t="s">
        <v>137</v>
      </c>
      <c r="M74" s="71" t="s">
        <v>18</v>
      </c>
      <c r="N74" s="71">
        <f>IFERROR(__xludf.DUMMYFUNCTION("""COMPUTED_VALUE"""),337.0)</f>
        <v>337</v>
      </c>
      <c r="O74" s="71">
        <f>IFERROR(__xludf.DUMMYFUNCTION("""COMPUTED_VALUE"""),161.0)</f>
        <v>161</v>
      </c>
      <c r="P74" s="71">
        <f>IFERROR(__xludf.DUMMYFUNCTION("""COMPUTED_VALUE"""),498.0)</f>
        <v>498</v>
      </c>
    </row>
    <row r="75">
      <c r="A75" s="58">
        <v>45709.57974533565</v>
      </c>
      <c r="B75" s="71" t="s">
        <v>172</v>
      </c>
      <c r="C75" s="71" t="b">
        <v>0</v>
      </c>
      <c r="E75" s="78"/>
      <c r="G75" s="78"/>
      <c r="H75" s="71">
        <v>149.0</v>
      </c>
      <c r="I75" s="80"/>
      <c r="J75" s="71" t="s">
        <v>11</v>
      </c>
      <c r="K75" s="59">
        <v>45709.0</v>
      </c>
      <c r="L75" s="71" t="s">
        <v>138</v>
      </c>
      <c r="M75" s="71" t="s">
        <v>19</v>
      </c>
      <c r="N75" s="71" t="str">
        <f>IFERROR(__xludf.DUMMYFUNCTION("""COMPUTED_VALUE"""),"")</f>
        <v/>
      </c>
      <c r="O75" s="71" t="str">
        <f>IFERROR(__xludf.DUMMYFUNCTION("""COMPUTED_VALUE"""),"")</f>
        <v/>
      </c>
      <c r="P75" s="71" t="str">
        <f>IFERROR(__xludf.DUMMYFUNCTION("""COMPUTED_VALUE"""),"")</f>
        <v/>
      </c>
    </row>
    <row r="76">
      <c r="A76" s="58">
        <v>45709.61592010417</v>
      </c>
      <c r="B76" s="71" t="s">
        <v>136</v>
      </c>
      <c r="C76" s="71" t="b">
        <v>0</v>
      </c>
      <c r="E76" s="78"/>
      <c r="G76" s="78"/>
      <c r="H76" s="71">
        <v>54.0</v>
      </c>
      <c r="I76" s="80"/>
      <c r="J76" s="71" t="s">
        <v>10</v>
      </c>
      <c r="K76" s="59">
        <v>45709.0</v>
      </c>
      <c r="L76" s="71" t="s">
        <v>138</v>
      </c>
      <c r="M76" s="71" t="s">
        <v>19</v>
      </c>
      <c r="N76" s="71" t="str">
        <f>IFERROR(__xludf.DUMMYFUNCTION("""COMPUTED_VALUE"""),"")</f>
        <v/>
      </c>
      <c r="O76" s="71" t="str">
        <f>IFERROR(__xludf.DUMMYFUNCTION("""COMPUTED_VALUE"""),"")</f>
        <v/>
      </c>
      <c r="P76" s="71" t="str">
        <f>IFERROR(__xludf.DUMMYFUNCTION("""COMPUTED_VALUE"""),"")</f>
        <v/>
      </c>
    </row>
    <row r="77">
      <c r="A77" s="58">
        <v>45709.6362371875</v>
      </c>
      <c r="B77" s="71" t="s">
        <v>171</v>
      </c>
      <c r="C77" s="71" t="b">
        <v>0</v>
      </c>
      <c r="E77" s="78"/>
      <c r="G77" s="78"/>
      <c r="H77" s="71">
        <v>121.0</v>
      </c>
      <c r="I77" s="80"/>
      <c r="J77" s="71" t="s">
        <v>11</v>
      </c>
      <c r="K77" s="59">
        <v>45709.0</v>
      </c>
      <c r="L77" s="71" t="s">
        <v>138</v>
      </c>
      <c r="M77" s="71" t="s">
        <v>18</v>
      </c>
      <c r="N77" s="71" t="str">
        <f>IFERROR(__xludf.DUMMYFUNCTION("""COMPUTED_VALUE"""),"")</f>
        <v/>
      </c>
      <c r="O77" s="71" t="str">
        <f>IFERROR(__xludf.DUMMYFUNCTION("""COMPUTED_VALUE"""),"")</f>
        <v/>
      </c>
      <c r="P77" s="71" t="str">
        <f>IFERROR(__xludf.DUMMYFUNCTION("""COMPUTED_VALUE"""),"")</f>
        <v/>
      </c>
    </row>
    <row r="78">
      <c r="A78" s="58">
        <v>45709.83111109953</v>
      </c>
      <c r="B78" s="71" t="s">
        <v>134</v>
      </c>
      <c r="C78" s="71" t="b">
        <v>0</v>
      </c>
      <c r="E78" s="78"/>
      <c r="G78" s="78"/>
      <c r="H78" s="71">
        <v>346.0</v>
      </c>
      <c r="I78" s="80"/>
      <c r="J78" s="71" t="s">
        <v>12</v>
      </c>
      <c r="K78" s="59">
        <v>45709.0</v>
      </c>
      <c r="L78" s="71" t="s">
        <v>138</v>
      </c>
      <c r="M78" s="71" t="s">
        <v>18</v>
      </c>
      <c r="N78" s="71">
        <f>IFERROR(__xludf.DUMMYFUNCTION("""COMPUTED_VALUE"""),467.0)</f>
        <v>467</v>
      </c>
      <c r="O78" s="71">
        <f>IFERROR(__xludf.DUMMYFUNCTION("""COMPUTED_VALUE"""),203.0)</f>
        <v>203</v>
      </c>
      <c r="P78" s="71">
        <f>IFERROR(__xludf.DUMMYFUNCTION("""COMPUTED_VALUE"""),670.0)</f>
        <v>670</v>
      </c>
    </row>
    <row r="79">
      <c r="A79" s="58">
        <v>45712.45446392361</v>
      </c>
      <c r="B79" s="71" t="s">
        <v>170</v>
      </c>
      <c r="C79" s="71" t="b">
        <v>0</v>
      </c>
      <c r="E79" s="78"/>
      <c r="G79" s="78"/>
      <c r="H79" s="71">
        <v>131.0</v>
      </c>
      <c r="I79" s="80"/>
      <c r="J79" s="71" t="s">
        <v>10</v>
      </c>
      <c r="K79" s="59">
        <v>45712.0</v>
      </c>
      <c r="L79" s="71" t="s">
        <v>129</v>
      </c>
      <c r="M79" s="71" t="s">
        <v>19</v>
      </c>
      <c r="N79" s="71" t="str">
        <f>IFERROR(__xludf.DUMMYFUNCTION("""COMPUTED_VALUE"""),"")</f>
        <v/>
      </c>
      <c r="O79" s="71" t="str">
        <f>IFERROR(__xludf.DUMMYFUNCTION("""COMPUTED_VALUE"""),"")</f>
        <v/>
      </c>
      <c r="P79" s="71" t="str">
        <f>IFERROR(__xludf.DUMMYFUNCTION("""COMPUTED_VALUE"""),"")</f>
        <v/>
      </c>
    </row>
    <row r="80">
      <c r="A80" s="58">
        <v>45712.71152118056</v>
      </c>
      <c r="B80" s="71" t="s">
        <v>153</v>
      </c>
      <c r="C80" s="71" t="b">
        <v>0</v>
      </c>
      <c r="E80" s="78"/>
      <c r="G80" s="78"/>
      <c r="H80" s="71">
        <v>162.0</v>
      </c>
      <c r="I80" s="80"/>
      <c r="J80" s="71" t="s">
        <v>11</v>
      </c>
      <c r="K80" s="59">
        <v>45712.0</v>
      </c>
      <c r="L80" s="71" t="s">
        <v>129</v>
      </c>
      <c r="M80" s="71" t="s">
        <v>19</v>
      </c>
      <c r="N80" s="71" t="str">
        <f>IFERROR(__xludf.DUMMYFUNCTION("""COMPUTED_VALUE"""),"")</f>
        <v/>
      </c>
      <c r="O80" s="71" t="str">
        <f>IFERROR(__xludf.DUMMYFUNCTION("""COMPUTED_VALUE"""),"")</f>
        <v/>
      </c>
      <c r="P80" s="71" t="str">
        <f>IFERROR(__xludf.DUMMYFUNCTION("""COMPUTED_VALUE"""),"")</f>
        <v/>
      </c>
    </row>
    <row r="81">
      <c r="A81" s="58">
        <v>45714.52004725694</v>
      </c>
      <c r="B81" s="71" t="s">
        <v>173</v>
      </c>
      <c r="C81" s="71" t="b">
        <v>0</v>
      </c>
      <c r="E81" s="78"/>
      <c r="G81" s="78"/>
      <c r="H81" s="71">
        <v>84.0</v>
      </c>
      <c r="I81" s="80"/>
      <c r="J81" s="71" t="s">
        <v>11</v>
      </c>
      <c r="K81" s="59">
        <v>45712.0</v>
      </c>
      <c r="L81" s="71" t="s">
        <v>129</v>
      </c>
      <c r="M81" s="71" t="s">
        <v>18</v>
      </c>
      <c r="N81" s="71" t="str">
        <f>IFERROR(__xludf.DUMMYFUNCTION("""COMPUTED_VALUE"""),"")</f>
        <v/>
      </c>
      <c r="O81" s="71" t="str">
        <f>IFERROR(__xludf.DUMMYFUNCTION("""COMPUTED_VALUE"""),"")</f>
        <v/>
      </c>
      <c r="P81" s="71" t="str">
        <f>IFERROR(__xludf.DUMMYFUNCTION("""COMPUTED_VALUE"""),"")</f>
        <v/>
      </c>
    </row>
    <row r="82">
      <c r="A82" s="58">
        <v>45712.87448568287</v>
      </c>
      <c r="B82" s="71" t="s">
        <v>149</v>
      </c>
      <c r="C82" s="71" t="b">
        <v>0</v>
      </c>
      <c r="E82" s="78"/>
      <c r="G82" s="78"/>
      <c r="H82" s="71">
        <v>143.0</v>
      </c>
      <c r="I82" s="80"/>
      <c r="J82" s="71" t="s">
        <v>12</v>
      </c>
      <c r="K82" s="59">
        <v>45712.0</v>
      </c>
      <c r="L82" s="71" t="s">
        <v>129</v>
      </c>
      <c r="M82" s="71" t="s">
        <v>19</v>
      </c>
      <c r="N82" s="71">
        <f>IFERROR(__xludf.DUMMYFUNCTION("""COMPUTED_VALUE"""),84.0)</f>
        <v>84</v>
      </c>
      <c r="O82" s="71">
        <f>IFERROR(__xludf.DUMMYFUNCTION("""COMPUTED_VALUE"""),436.0)</f>
        <v>436</v>
      </c>
      <c r="P82" s="71">
        <f>IFERROR(__xludf.DUMMYFUNCTION("""COMPUTED_VALUE"""),520.0)</f>
        <v>520</v>
      </c>
    </row>
    <row r="83">
      <c r="A83" s="58">
        <v>45713.50293648148</v>
      </c>
      <c r="B83" s="71" t="s">
        <v>167</v>
      </c>
      <c r="C83" s="71" t="b">
        <v>0</v>
      </c>
      <c r="E83" s="78"/>
      <c r="G83" s="78"/>
      <c r="H83" s="71">
        <v>78.0</v>
      </c>
      <c r="I83" s="80"/>
      <c r="J83" s="71" t="s">
        <v>10</v>
      </c>
      <c r="K83" s="59">
        <v>45713.0</v>
      </c>
      <c r="L83" s="71" t="s">
        <v>132</v>
      </c>
      <c r="M83" s="71" t="s">
        <v>19</v>
      </c>
      <c r="N83" s="71" t="str">
        <f>IFERROR(__xludf.DUMMYFUNCTION("""COMPUTED_VALUE"""),"")</f>
        <v/>
      </c>
      <c r="O83" s="71" t="str">
        <f>IFERROR(__xludf.DUMMYFUNCTION("""COMPUTED_VALUE"""),"")</f>
        <v/>
      </c>
      <c r="P83" s="71" t="str">
        <f>IFERROR(__xludf.DUMMYFUNCTION("""COMPUTED_VALUE"""),"")</f>
        <v/>
      </c>
    </row>
    <row r="84">
      <c r="A84" s="58">
        <v>45713.61268047454</v>
      </c>
      <c r="B84" s="71" t="s">
        <v>148</v>
      </c>
      <c r="C84" s="71" t="b">
        <v>0</v>
      </c>
      <c r="E84" s="78"/>
      <c r="G84" s="78"/>
      <c r="H84" s="71">
        <v>141.0</v>
      </c>
      <c r="I84" s="80"/>
      <c r="J84" s="71" t="s">
        <v>11</v>
      </c>
      <c r="K84" s="59">
        <v>45713.0</v>
      </c>
      <c r="L84" s="71" t="s">
        <v>132</v>
      </c>
      <c r="M84" s="71" t="s">
        <v>19</v>
      </c>
      <c r="N84" s="71" t="str">
        <f>IFERROR(__xludf.DUMMYFUNCTION("""COMPUTED_VALUE"""),"")</f>
        <v/>
      </c>
      <c r="O84" s="71" t="str">
        <f>IFERROR(__xludf.DUMMYFUNCTION("""COMPUTED_VALUE"""),"")</f>
        <v/>
      </c>
      <c r="P84" s="71" t="str">
        <f>IFERROR(__xludf.DUMMYFUNCTION("""COMPUTED_VALUE"""),"")</f>
        <v/>
      </c>
    </row>
    <row r="85">
      <c r="A85" s="58">
        <v>45713.63767238426</v>
      </c>
      <c r="B85" s="71" t="s">
        <v>167</v>
      </c>
      <c r="C85" s="71" t="b">
        <v>0</v>
      </c>
      <c r="E85" s="78"/>
      <c r="G85" s="78"/>
      <c r="H85" s="71">
        <v>153.0</v>
      </c>
      <c r="I85" s="80"/>
      <c r="J85" s="71" t="s">
        <v>11</v>
      </c>
      <c r="K85" s="59">
        <v>45713.0</v>
      </c>
      <c r="L85" s="71" t="s">
        <v>132</v>
      </c>
      <c r="M85" s="71" t="s">
        <v>18</v>
      </c>
      <c r="N85" s="71" t="str">
        <f>IFERROR(__xludf.DUMMYFUNCTION("""COMPUTED_VALUE"""),"")</f>
        <v/>
      </c>
      <c r="O85" s="71" t="str">
        <f>IFERROR(__xludf.DUMMYFUNCTION("""COMPUTED_VALUE"""),"")</f>
        <v/>
      </c>
      <c r="P85" s="71" t="str">
        <f>IFERROR(__xludf.DUMMYFUNCTION("""COMPUTED_VALUE"""),"")</f>
        <v/>
      </c>
    </row>
    <row r="86">
      <c r="A86" s="58">
        <v>45713.87502526621</v>
      </c>
      <c r="B86" s="71" t="s">
        <v>149</v>
      </c>
      <c r="C86" s="71" t="b">
        <v>0</v>
      </c>
      <c r="E86" s="78"/>
      <c r="G86" s="78"/>
      <c r="H86" s="71">
        <v>158.0</v>
      </c>
      <c r="I86" s="80"/>
      <c r="J86" s="71" t="s">
        <v>12</v>
      </c>
      <c r="K86" s="59">
        <v>45713.0</v>
      </c>
      <c r="L86" s="71" t="s">
        <v>132</v>
      </c>
      <c r="M86" s="71" t="s">
        <v>19</v>
      </c>
      <c r="N86" s="71">
        <f>IFERROR(__xludf.DUMMYFUNCTION("""COMPUTED_VALUE"""),153.0)</f>
        <v>153</v>
      </c>
      <c r="O86" s="71">
        <f>IFERROR(__xludf.DUMMYFUNCTION("""COMPUTED_VALUE"""),377.0)</f>
        <v>377</v>
      </c>
      <c r="P86" s="71">
        <f>IFERROR(__xludf.DUMMYFUNCTION("""COMPUTED_VALUE"""),530.0)</f>
        <v>530</v>
      </c>
    </row>
    <row r="87">
      <c r="A87" s="58">
        <v>45714.36989420139</v>
      </c>
      <c r="B87" s="71" t="s">
        <v>170</v>
      </c>
      <c r="C87" s="71" t="b">
        <v>0</v>
      </c>
      <c r="E87" s="78"/>
      <c r="G87" s="78"/>
      <c r="H87" s="71">
        <v>46.0</v>
      </c>
      <c r="I87" s="80"/>
      <c r="J87" s="71" t="s">
        <v>10</v>
      </c>
      <c r="K87" s="59">
        <v>45714.0</v>
      </c>
      <c r="L87" s="71" t="s">
        <v>135</v>
      </c>
      <c r="M87" s="71" t="s">
        <v>19</v>
      </c>
      <c r="N87" s="71" t="str">
        <f>IFERROR(__xludf.DUMMYFUNCTION("""COMPUTED_VALUE"""),"")</f>
        <v/>
      </c>
      <c r="O87" s="71" t="str">
        <f>IFERROR(__xludf.DUMMYFUNCTION("""COMPUTED_VALUE"""),"")</f>
        <v/>
      </c>
      <c r="P87" s="71" t="str">
        <f>IFERROR(__xludf.DUMMYFUNCTION("""COMPUTED_VALUE"""),"")</f>
        <v/>
      </c>
    </row>
    <row r="88">
      <c r="A88" s="58">
        <v>45714.42370984954</v>
      </c>
      <c r="B88" s="71" t="s">
        <v>170</v>
      </c>
      <c r="C88" s="71" t="b">
        <v>0</v>
      </c>
      <c r="E88" s="78"/>
      <c r="G88" s="78"/>
      <c r="H88" s="71">
        <v>48.0</v>
      </c>
      <c r="I88" s="80"/>
      <c r="J88" s="71" t="s">
        <v>10</v>
      </c>
      <c r="K88" s="59">
        <v>45714.0</v>
      </c>
      <c r="L88" s="71" t="s">
        <v>135</v>
      </c>
      <c r="M88" s="71" t="s">
        <v>19</v>
      </c>
      <c r="N88" s="71" t="str">
        <f>IFERROR(__xludf.DUMMYFUNCTION("""COMPUTED_VALUE"""),"")</f>
        <v/>
      </c>
      <c r="O88" s="71" t="str">
        <f>IFERROR(__xludf.DUMMYFUNCTION("""COMPUTED_VALUE"""),"")</f>
        <v/>
      </c>
      <c r="P88" s="71" t="str">
        <f>IFERROR(__xludf.DUMMYFUNCTION("""COMPUTED_VALUE"""),"")</f>
        <v/>
      </c>
    </row>
    <row r="89">
      <c r="A89" s="58">
        <v>45714.74915460648</v>
      </c>
      <c r="B89" s="71" t="s">
        <v>171</v>
      </c>
      <c r="C89" s="71" t="b">
        <v>0</v>
      </c>
      <c r="E89" s="78"/>
      <c r="G89" s="78"/>
      <c r="H89" s="71">
        <v>86.0</v>
      </c>
      <c r="I89" s="80"/>
      <c r="J89" s="71" t="s">
        <v>11</v>
      </c>
      <c r="K89" s="59">
        <v>45714.0</v>
      </c>
      <c r="L89" s="71" t="s">
        <v>135</v>
      </c>
      <c r="M89" s="71" t="s">
        <v>18</v>
      </c>
      <c r="N89" s="71" t="str">
        <f>IFERROR(__xludf.DUMMYFUNCTION("""COMPUTED_VALUE"""),"")</f>
        <v/>
      </c>
      <c r="O89" s="71" t="str">
        <f>IFERROR(__xludf.DUMMYFUNCTION("""COMPUTED_VALUE"""),"")</f>
        <v/>
      </c>
      <c r="P89" s="71" t="str">
        <f>IFERROR(__xludf.DUMMYFUNCTION("""COMPUTED_VALUE"""),"")</f>
        <v/>
      </c>
    </row>
    <row r="90">
      <c r="A90" s="58">
        <v>45714.75675534723</v>
      </c>
      <c r="B90" s="71" t="s">
        <v>168</v>
      </c>
      <c r="C90" s="71" t="b">
        <v>0</v>
      </c>
      <c r="E90" s="78"/>
      <c r="G90" s="78"/>
      <c r="H90" s="71">
        <v>109.0</v>
      </c>
      <c r="I90" s="80"/>
      <c r="J90" s="71" t="s">
        <v>12</v>
      </c>
      <c r="K90" s="59">
        <v>45714.0</v>
      </c>
      <c r="L90" s="71" t="s">
        <v>135</v>
      </c>
      <c r="M90" s="71" t="s">
        <v>18</v>
      </c>
      <c r="N90" s="71" t="str">
        <f>IFERROR(__xludf.DUMMYFUNCTION("""COMPUTED_VALUE"""),"")</f>
        <v/>
      </c>
      <c r="O90" s="71" t="str">
        <f>IFERROR(__xludf.DUMMYFUNCTION("""COMPUTED_VALUE"""),"")</f>
        <v/>
      </c>
      <c r="P90" s="71" t="str">
        <f>IFERROR(__xludf.DUMMYFUNCTION("""COMPUTED_VALUE"""),"")</f>
        <v/>
      </c>
    </row>
    <row r="91">
      <c r="A91" s="58">
        <v>45714.87074075232</v>
      </c>
      <c r="B91" s="71" t="s">
        <v>168</v>
      </c>
      <c r="C91" s="71" t="b">
        <v>0</v>
      </c>
      <c r="E91" s="78"/>
      <c r="G91" s="78"/>
      <c r="H91" s="71">
        <v>97.0</v>
      </c>
      <c r="I91" s="80"/>
      <c r="J91" s="71" t="s">
        <v>12</v>
      </c>
      <c r="K91" s="59">
        <v>45714.0</v>
      </c>
      <c r="L91" s="71" t="s">
        <v>135</v>
      </c>
      <c r="M91" s="71" t="s">
        <v>18</v>
      </c>
      <c r="N91" s="71">
        <f>IFERROR(__xludf.DUMMYFUNCTION("""COMPUTED_VALUE"""),292.0)</f>
        <v>292</v>
      </c>
      <c r="O91" s="71">
        <f>IFERROR(__xludf.DUMMYFUNCTION("""COMPUTED_VALUE"""),94.0)</f>
        <v>94</v>
      </c>
      <c r="P91" s="71">
        <f>IFERROR(__xludf.DUMMYFUNCTION("""COMPUTED_VALUE"""),386.0)</f>
        <v>386</v>
      </c>
    </row>
    <row r="92">
      <c r="A92" s="58">
        <v>45714.51712847222</v>
      </c>
      <c r="B92" s="71" t="s">
        <v>173</v>
      </c>
      <c r="C92" s="71" t="b">
        <v>0</v>
      </c>
      <c r="E92" s="78"/>
      <c r="G92" s="78"/>
      <c r="H92" s="71">
        <v>137.0</v>
      </c>
      <c r="I92" s="80"/>
      <c r="J92" s="71" t="s">
        <v>11</v>
      </c>
      <c r="K92" s="59">
        <v>45715.0</v>
      </c>
      <c r="L92" s="71" t="s">
        <v>137</v>
      </c>
      <c r="M92" s="71" t="s">
        <v>18</v>
      </c>
      <c r="N92" s="71" t="str">
        <f>IFERROR(__xludf.DUMMYFUNCTION("""COMPUTED_VALUE"""),"")</f>
        <v/>
      </c>
      <c r="O92" s="71" t="str">
        <f>IFERROR(__xludf.DUMMYFUNCTION("""COMPUTED_VALUE"""),"")</f>
        <v/>
      </c>
      <c r="P92" s="71" t="str">
        <f>IFERROR(__xludf.DUMMYFUNCTION("""COMPUTED_VALUE"""),"")</f>
        <v/>
      </c>
    </row>
    <row r="93">
      <c r="A93" s="58">
        <v>45715.41038087963</v>
      </c>
      <c r="B93" s="71" t="s">
        <v>136</v>
      </c>
      <c r="C93" s="71" t="b">
        <v>0</v>
      </c>
      <c r="E93" s="78"/>
      <c r="G93" s="78"/>
      <c r="H93" s="71">
        <v>99.0</v>
      </c>
      <c r="I93" s="80"/>
      <c r="J93" s="71" t="s">
        <v>10</v>
      </c>
      <c r="K93" s="59">
        <v>45715.0</v>
      </c>
      <c r="L93" s="71" t="s">
        <v>137</v>
      </c>
      <c r="M93" s="71" t="s">
        <v>19</v>
      </c>
      <c r="N93" s="71" t="str">
        <f>IFERROR(__xludf.DUMMYFUNCTION("""COMPUTED_VALUE"""),"")</f>
        <v/>
      </c>
      <c r="O93" s="71" t="str">
        <f>IFERROR(__xludf.DUMMYFUNCTION("""COMPUTED_VALUE"""),"")</f>
        <v/>
      </c>
      <c r="P93" s="71" t="str">
        <f>IFERROR(__xludf.DUMMYFUNCTION("""COMPUTED_VALUE"""),"")</f>
        <v/>
      </c>
    </row>
    <row r="94">
      <c r="A94" s="58">
        <v>45715.61812822917</v>
      </c>
      <c r="B94" s="71" t="s">
        <v>148</v>
      </c>
      <c r="C94" s="71" t="b">
        <v>0</v>
      </c>
      <c r="E94" s="78"/>
      <c r="G94" s="78"/>
      <c r="H94" s="71">
        <v>148.0</v>
      </c>
      <c r="I94" s="80"/>
      <c r="J94" s="71" t="s">
        <v>11</v>
      </c>
      <c r="K94" s="59">
        <v>45715.0</v>
      </c>
      <c r="L94" s="71" t="s">
        <v>137</v>
      </c>
      <c r="M94" s="71" t="s">
        <v>19</v>
      </c>
      <c r="N94" s="71" t="str">
        <f>IFERROR(__xludf.DUMMYFUNCTION("""COMPUTED_VALUE"""),"")</f>
        <v/>
      </c>
      <c r="O94" s="71" t="str">
        <f>IFERROR(__xludf.DUMMYFUNCTION("""COMPUTED_VALUE"""),"")</f>
        <v/>
      </c>
      <c r="P94" s="71" t="str">
        <f>IFERROR(__xludf.DUMMYFUNCTION("""COMPUTED_VALUE"""),"")</f>
        <v/>
      </c>
    </row>
    <row r="95">
      <c r="A95" s="58">
        <v>45715.69785201389</v>
      </c>
      <c r="B95" s="71" t="s">
        <v>172</v>
      </c>
      <c r="C95" s="71" t="b">
        <v>0</v>
      </c>
      <c r="E95" s="78"/>
      <c r="G95" s="78"/>
      <c r="H95" s="71">
        <v>194.0</v>
      </c>
      <c r="I95" s="80"/>
      <c r="J95" s="71" t="s">
        <v>11</v>
      </c>
      <c r="K95" s="59">
        <v>45715.0</v>
      </c>
      <c r="L95" s="71" t="s">
        <v>137</v>
      </c>
      <c r="M95" s="71" t="s">
        <v>18</v>
      </c>
      <c r="N95" s="71" t="str">
        <f>IFERROR(__xludf.DUMMYFUNCTION("""COMPUTED_VALUE"""),"")</f>
        <v/>
      </c>
      <c r="O95" s="71" t="str">
        <f>IFERROR(__xludf.DUMMYFUNCTION("""COMPUTED_VALUE"""),"")</f>
        <v/>
      </c>
      <c r="P95" s="71" t="str">
        <f>IFERROR(__xludf.DUMMYFUNCTION("""COMPUTED_VALUE"""),"")</f>
        <v/>
      </c>
    </row>
    <row r="96">
      <c r="A96" s="58">
        <v>45716.02655560185</v>
      </c>
      <c r="B96" s="71" t="s">
        <v>171</v>
      </c>
      <c r="C96" s="71" t="b">
        <v>0</v>
      </c>
      <c r="E96" s="78"/>
      <c r="G96" s="78"/>
      <c r="H96" s="71">
        <v>74.0</v>
      </c>
      <c r="I96" s="80"/>
      <c r="J96" s="71" t="s">
        <v>12</v>
      </c>
      <c r="K96" s="59">
        <v>45715.0</v>
      </c>
      <c r="L96" s="71" t="s">
        <v>137</v>
      </c>
      <c r="M96" s="71" t="s">
        <v>18</v>
      </c>
      <c r="N96" s="71">
        <f>IFERROR(__xludf.DUMMYFUNCTION("""COMPUTED_VALUE"""),405.0)</f>
        <v>405</v>
      </c>
      <c r="O96" s="71">
        <f>IFERROR(__xludf.DUMMYFUNCTION("""COMPUTED_VALUE"""),247.0)</f>
        <v>247</v>
      </c>
      <c r="P96" s="71">
        <f>IFERROR(__xludf.DUMMYFUNCTION("""COMPUTED_VALUE"""),652.0)</f>
        <v>652</v>
      </c>
    </row>
    <row r="97">
      <c r="A97" s="58">
        <v>45716.43643925926</v>
      </c>
      <c r="B97" s="71" t="s">
        <v>136</v>
      </c>
      <c r="C97" s="71" t="b">
        <v>0</v>
      </c>
      <c r="E97" s="78"/>
      <c r="G97" s="78"/>
      <c r="H97" s="71">
        <v>71.0</v>
      </c>
      <c r="I97" s="80"/>
      <c r="J97" s="71" t="s">
        <v>10</v>
      </c>
      <c r="K97" s="59">
        <v>45716.0</v>
      </c>
      <c r="L97" s="71" t="s">
        <v>138</v>
      </c>
      <c r="M97" s="71" t="s">
        <v>19</v>
      </c>
      <c r="N97" s="71" t="str">
        <f>IFERROR(__xludf.DUMMYFUNCTION("""COMPUTED_VALUE"""),"")</f>
        <v/>
      </c>
      <c r="O97" s="71" t="str">
        <f>IFERROR(__xludf.DUMMYFUNCTION("""COMPUTED_VALUE"""),"")</f>
        <v/>
      </c>
      <c r="P97" s="71" t="str">
        <f>IFERROR(__xludf.DUMMYFUNCTION("""COMPUTED_VALUE"""),"")</f>
        <v/>
      </c>
    </row>
    <row r="98">
      <c r="A98" s="58">
        <v>45716.58185446759</v>
      </c>
      <c r="B98" s="71" t="s">
        <v>172</v>
      </c>
      <c r="C98" s="71" t="b">
        <v>0</v>
      </c>
      <c r="E98" s="78"/>
      <c r="G98" s="78"/>
      <c r="H98" s="71">
        <v>129.0</v>
      </c>
      <c r="I98" s="80"/>
      <c r="J98" s="71" t="s">
        <v>11</v>
      </c>
      <c r="K98" s="59">
        <v>45716.0</v>
      </c>
      <c r="L98" s="71" t="s">
        <v>138</v>
      </c>
      <c r="M98" s="71" t="s">
        <v>19</v>
      </c>
      <c r="N98" s="71" t="str">
        <f>IFERROR(__xludf.DUMMYFUNCTION("""COMPUTED_VALUE"""),"")</f>
        <v/>
      </c>
      <c r="O98" s="71" t="str">
        <f>IFERROR(__xludf.DUMMYFUNCTION("""COMPUTED_VALUE"""),"")</f>
        <v/>
      </c>
      <c r="P98" s="71" t="str">
        <f>IFERROR(__xludf.DUMMYFUNCTION("""COMPUTED_VALUE"""),"")</f>
        <v/>
      </c>
    </row>
    <row r="99">
      <c r="A99" s="58">
        <v>45716.90464436343</v>
      </c>
      <c r="B99" s="71" t="s">
        <v>171</v>
      </c>
      <c r="C99" s="71" t="b">
        <v>0</v>
      </c>
      <c r="E99" s="78"/>
      <c r="G99" s="78"/>
      <c r="H99" s="71">
        <v>157.0</v>
      </c>
      <c r="I99" s="80"/>
      <c r="J99" s="71" t="s">
        <v>11</v>
      </c>
      <c r="K99" s="59">
        <v>45716.0</v>
      </c>
      <c r="L99" s="71" t="s">
        <v>138</v>
      </c>
      <c r="M99" s="71" t="s">
        <v>18</v>
      </c>
      <c r="N99" s="71" t="str">
        <f>IFERROR(__xludf.DUMMYFUNCTION("""COMPUTED_VALUE"""),"")</f>
        <v/>
      </c>
      <c r="O99" s="71" t="str">
        <f>IFERROR(__xludf.DUMMYFUNCTION("""COMPUTED_VALUE"""),"")</f>
        <v/>
      </c>
      <c r="P99" s="71" t="str">
        <f>IFERROR(__xludf.DUMMYFUNCTION("""COMPUTED_VALUE"""),"")</f>
        <v/>
      </c>
    </row>
    <row r="100">
      <c r="A100" s="58">
        <v>45723.80391787037</v>
      </c>
      <c r="B100" s="71" t="s">
        <v>134</v>
      </c>
      <c r="C100" s="71" t="b">
        <v>0</v>
      </c>
      <c r="E100" s="78"/>
      <c r="G100" s="78"/>
      <c r="H100" s="71">
        <v>162.0</v>
      </c>
      <c r="I100" s="80"/>
      <c r="J100" s="71" t="s">
        <v>12</v>
      </c>
      <c r="K100" s="59">
        <v>45716.0</v>
      </c>
      <c r="L100" s="71" t="s">
        <v>138</v>
      </c>
      <c r="M100" s="71" t="s">
        <v>18</v>
      </c>
      <c r="N100" s="71">
        <f>IFERROR(__xludf.DUMMYFUNCTION("""COMPUTED_VALUE"""),319.0)</f>
        <v>319</v>
      </c>
      <c r="O100" s="71">
        <f>IFERROR(__xludf.DUMMYFUNCTION("""COMPUTED_VALUE"""),200.0)</f>
        <v>200</v>
      </c>
      <c r="P100" s="71">
        <f>IFERROR(__xludf.DUMMYFUNCTION("""COMPUTED_VALUE"""),519.0)</f>
        <v>519</v>
      </c>
    </row>
    <row r="101">
      <c r="A101" s="58">
        <v>45719.43708381944</v>
      </c>
      <c r="B101" s="71" t="s">
        <v>170</v>
      </c>
      <c r="C101" s="71" t="b">
        <v>0</v>
      </c>
      <c r="E101" s="78"/>
      <c r="G101" s="78"/>
      <c r="H101" s="71">
        <v>100.0</v>
      </c>
      <c r="I101" s="80"/>
      <c r="J101" s="71" t="s">
        <v>10</v>
      </c>
      <c r="K101" s="59">
        <v>45719.0</v>
      </c>
      <c r="L101" s="71" t="s">
        <v>129</v>
      </c>
      <c r="M101" s="71" t="s">
        <v>19</v>
      </c>
      <c r="N101" s="71" t="str">
        <f>IFERROR(__xludf.DUMMYFUNCTION("""COMPUTED_VALUE"""),"")</f>
        <v/>
      </c>
      <c r="O101" s="71" t="str">
        <f>IFERROR(__xludf.DUMMYFUNCTION("""COMPUTED_VALUE"""),"")</f>
        <v/>
      </c>
      <c r="P101" s="71" t="str">
        <f>IFERROR(__xludf.DUMMYFUNCTION("""COMPUTED_VALUE"""),"")</f>
        <v/>
      </c>
    </row>
    <row r="102">
      <c r="A102" s="58">
        <v>45719.80542472222</v>
      </c>
      <c r="B102" s="71" t="s">
        <v>153</v>
      </c>
      <c r="C102" s="71" t="b">
        <v>0</v>
      </c>
      <c r="E102" s="78"/>
      <c r="G102" s="78"/>
      <c r="H102" s="71">
        <v>149.0</v>
      </c>
      <c r="I102" s="80"/>
      <c r="J102" s="71" t="s">
        <v>11</v>
      </c>
      <c r="K102" s="59">
        <v>45719.0</v>
      </c>
      <c r="L102" s="71" t="s">
        <v>129</v>
      </c>
      <c r="M102" s="71" t="s">
        <v>19</v>
      </c>
      <c r="N102" s="71" t="str">
        <f>IFERROR(__xludf.DUMMYFUNCTION("""COMPUTED_VALUE"""),"")</f>
        <v/>
      </c>
      <c r="O102" s="71" t="str">
        <f>IFERROR(__xludf.DUMMYFUNCTION("""COMPUTED_VALUE"""),"")</f>
        <v/>
      </c>
      <c r="P102" s="71" t="str">
        <f>IFERROR(__xludf.DUMMYFUNCTION("""COMPUTED_VALUE"""),"")</f>
        <v/>
      </c>
    </row>
    <row r="103">
      <c r="A103" s="58">
        <v>45719.86921488426</v>
      </c>
      <c r="B103" s="71" t="s">
        <v>168</v>
      </c>
      <c r="C103" s="71" t="b">
        <v>0</v>
      </c>
      <c r="E103" s="78"/>
      <c r="G103" s="78"/>
      <c r="H103" s="71">
        <v>182.0</v>
      </c>
      <c r="I103" s="80"/>
      <c r="J103" s="71" t="s">
        <v>12</v>
      </c>
      <c r="K103" s="59">
        <v>45719.0</v>
      </c>
      <c r="L103" s="71" t="s">
        <v>129</v>
      </c>
      <c r="M103" s="71" t="s">
        <v>18</v>
      </c>
      <c r="N103" s="71" t="str">
        <f>IFERROR(__xludf.DUMMYFUNCTION("""COMPUTED_VALUE"""),"")</f>
        <v/>
      </c>
      <c r="O103" s="71" t="str">
        <f>IFERROR(__xludf.DUMMYFUNCTION("""COMPUTED_VALUE"""),"")</f>
        <v/>
      </c>
      <c r="P103" s="71" t="str">
        <f>IFERROR(__xludf.DUMMYFUNCTION("""COMPUTED_VALUE"""),"")</f>
        <v/>
      </c>
    </row>
    <row r="104">
      <c r="A104" s="58">
        <v>45725.42979231481</v>
      </c>
      <c r="B104" s="71" t="s">
        <v>173</v>
      </c>
      <c r="C104" s="71" t="b">
        <v>0</v>
      </c>
      <c r="E104" s="78"/>
      <c r="G104" s="78"/>
      <c r="H104" s="71">
        <v>89.0</v>
      </c>
      <c r="I104" s="80"/>
      <c r="J104" s="71" t="s">
        <v>11</v>
      </c>
      <c r="K104" s="59">
        <v>45719.0</v>
      </c>
      <c r="L104" s="71" t="s">
        <v>129</v>
      </c>
      <c r="M104" s="71" t="s">
        <v>18</v>
      </c>
      <c r="N104" s="71" t="str">
        <f>IFERROR(__xludf.DUMMYFUNCTION("""COMPUTED_VALUE"""),"")</f>
        <v/>
      </c>
      <c r="O104" s="71" t="str">
        <f>IFERROR(__xludf.DUMMYFUNCTION("""COMPUTED_VALUE"""),"")</f>
        <v/>
      </c>
      <c r="P104" s="71" t="str">
        <f>IFERROR(__xludf.DUMMYFUNCTION("""COMPUTED_VALUE"""),"")</f>
        <v/>
      </c>
    </row>
    <row r="105">
      <c r="A105" s="58">
        <v>45719.8771768287</v>
      </c>
      <c r="B105" s="71" t="s">
        <v>149</v>
      </c>
      <c r="C105" s="71" t="b">
        <v>0</v>
      </c>
      <c r="E105" s="78"/>
      <c r="G105" s="78"/>
      <c r="H105" s="71">
        <v>135.0</v>
      </c>
      <c r="I105" s="80"/>
      <c r="J105" s="71" t="s">
        <v>12</v>
      </c>
      <c r="K105" s="59">
        <v>45719.0</v>
      </c>
      <c r="L105" s="71" t="s">
        <v>129</v>
      </c>
      <c r="M105" s="71" t="s">
        <v>19</v>
      </c>
      <c r="N105" s="71">
        <f>IFERROR(__xludf.DUMMYFUNCTION("""COMPUTED_VALUE"""),271.0)</f>
        <v>271</v>
      </c>
      <c r="O105" s="71">
        <f>IFERROR(__xludf.DUMMYFUNCTION("""COMPUTED_VALUE"""),384.0)</f>
        <v>384</v>
      </c>
      <c r="P105" s="71">
        <f>IFERROR(__xludf.DUMMYFUNCTION("""COMPUTED_VALUE"""),655.0)</f>
        <v>655</v>
      </c>
    </row>
    <row r="106">
      <c r="A106" s="58">
        <v>45720.57544275463</v>
      </c>
      <c r="B106" s="71" t="s">
        <v>167</v>
      </c>
      <c r="C106" s="71" t="b">
        <v>0</v>
      </c>
      <c r="E106" s="78"/>
      <c r="G106" s="78"/>
      <c r="H106" s="71">
        <v>53.0</v>
      </c>
      <c r="I106" s="80"/>
      <c r="J106" s="71" t="s">
        <v>11</v>
      </c>
      <c r="K106" s="59">
        <v>45720.0</v>
      </c>
      <c r="L106" s="71" t="s">
        <v>132</v>
      </c>
      <c r="M106" s="71" t="s">
        <v>18</v>
      </c>
      <c r="N106" s="71" t="str">
        <f>IFERROR(__xludf.DUMMYFUNCTION("""COMPUTED_VALUE"""),"")</f>
        <v/>
      </c>
      <c r="O106" s="71" t="str">
        <f>IFERROR(__xludf.DUMMYFUNCTION("""COMPUTED_VALUE"""),"")</f>
        <v/>
      </c>
      <c r="P106" s="71" t="str">
        <f>IFERROR(__xludf.DUMMYFUNCTION("""COMPUTED_VALUE"""),"")</f>
        <v/>
      </c>
    </row>
    <row r="107">
      <c r="A107" s="58">
        <v>45720.88419557871</v>
      </c>
      <c r="B107" s="71" t="s">
        <v>171</v>
      </c>
      <c r="C107" s="71" t="b">
        <v>0</v>
      </c>
      <c r="E107" s="78"/>
      <c r="G107" s="78"/>
      <c r="H107" s="71">
        <v>164.0</v>
      </c>
      <c r="I107" s="80"/>
      <c r="J107" s="71" t="s">
        <v>12</v>
      </c>
      <c r="K107" s="59">
        <v>45720.0</v>
      </c>
      <c r="L107" s="71" t="s">
        <v>132</v>
      </c>
      <c r="M107" s="71" t="s">
        <v>18</v>
      </c>
      <c r="N107" s="71">
        <f>IFERROR(__xludf.DUMMYFUNCTION("""COMPUTED_VALUE"""),217.0)</f>
        <v>217</v>
      </c>
      <c r="O107" s="71" t="str">
        <f>IFERROR(__xludf.DUMMYFUNCTION("""COMPUTED_VALUE"""),"")</f>
        <v/>
      </c>
      <c r="P107" s="71">
        <f>IFERROR(__xludf.DUMMYFUNCTION("""COMPUTED_VALUE"""),217.0)</f>
        <v>217</v>
      </c>
    </row>
    <row r="108">
      <c r="A108" s="58">
        <v>45721.4574687037</v>
      </c>
      <c r="B108" s="71" t="s">
        <v>170</v>
      </c>
      <c r="C108" s="71" t="b">
        <v>0</v>
      </c>
      <c r="E108" s="78"/>
      <c r="G108" s="78"/>
      <c r="H108" s="71">
        <v>84.0</v>
      </c>
      <c r="I108" s="80"/>
      <c r="J108" s="71" t="s">
        <v>10</v>
      </c>
      <c r="K108" s="59">
        <v>45721.0</v>
      </c>
      <c r="L108" s="71" t="s">
        <v>135</v>
      </c>
      <c r="M108" s="71" t="s">
        <v>19</v>
      </c>
      <c r="N108" s="71" t="str">
        <f>IFERROR(__xludf.DUMMYFUNCTION("""COMPUTED_VALUE"""),"")</f>
        <v/>
      </c>
      <c r="O108" s="71" t="str">
        <f>IFERROR(__xludf.DUMMYFUNCTION("""COMPUTED_VALUE"""),"")</f>
        <v/>
      </c>
      <c r="P108" s="71" t="str">
        <f>IFERROR(__xludf.DUMMYFUNCTION("""COMPUTED_VALUE"""),"")</f>
        <v/>
      </c>
    </row>
    <row r="109">
      <c r="A109" s="58">
        <v>45721.6610537963</v>
      </c>
      <c r="B109" s="71" t="s">
        <v>153</v>
      </c>
      <c r="C109" s="71" t="b">
        <v>0</v>
      </c>
      <c r="E109" s="78"/>
      <c r="G109" s="78"/>
      <c r="H109" s="71">
        <v>151.0</v>
      </c>
      <c r="I109" s="80"/>
      <c r="J109" s="71" t="s">
        <v>11</v>
      </c>
      <c r="K109" s="59">
        <v>45721.0</v>
      </c>
      <c r="L109" s="71" t="s">
        <v>135</v>
      </c>
      <c r="M109" s="71" t="s">
        <v>19</v>
      </c>
      <c r="N109" s="71" t="str">
        <f>IFERROR(__xludf.DUMMYFUNCTION("""COMPUTED_VALUE"""),"")</f>
        <v/>
      </c>
      <c r="O109" s="71" t="str">
        <f>IFERROR(__xludf.DUMMYFUNCTION("""COMPUTED_VALUE"""),"")</f>
        <v/>
      </c>
      <c r="P109" s="71" t="str">
        <f>IFERROR(__xludf.DUMMYFUNCTION("""COMPUTED_VALUE"""),"")</f>
        <v/>
      </c>
    </row>
    <row r="110">
      <c r="A110" s="58">
        <v>45721.86796104167</v>
      </c>
      <c r="B110" s="71" t="s">
        <v>168</v>
      </c>
      <c r="C110" s="71" t="b">
        <v>0</v>
      </c>
      <c r="E110" s="78"/>
      <c r="G110" s="78"/>
      <c r="H110" s="71">
        <v>163.0</v>
      </c>
      <c r="I110" s="80"/>
      <c r="J110" s="71" t="s">
        <v>12</v>
      </c>
      <c r="K110" s="59">
        <v>45721.0</v>
      </c>
      <c r="L110" s="71" t="s">
        <v>135</v>
      </c>
      <c r="M110" s="71" t="s">
        <v>18</v>
      </c>
      <c r="N110" s="71" t="str">
        <f>IFERROR(__xludf.DUMMYFUNCTION("""COMPUTED_VALUE"""),"")</f>
        <v/>
      </c>
      <c r="O110" s="71" t="str">
        <f>IFERROR(__xludf.DUMMYFUNCTION("""COMPUTED_VALUE"""),"")</f>
        <v/>
      </c>
      <c r="P110" s="71" t="str">
        <f>IFERROR(__xludf.DUMMYFUNCTION("""COMPUTED_VALUE"""),"")</f>
        <v/>
      </c>
    </row>
    <row r="111">
      <c r="A111" s="58">
        <v>45721.87679684028</v>
      </c>
      <c r="B111" s="71" t="s">
        <v>149</v>
      </c>
      <c r="C111" s="71" t="b">
        <v>0</v>
      </c>
      <c r="E111" s="78"/>
      <c r="G111" s="78"/>
      <c r="H111" s="71">
        <v>160.0</v>
      </c>
      <c r="I111" s="80"/>
      <c r="J111" s="71" t="s">
        <v>12</v>
      </c>
      <c r="K111" s="59">
        <v>45721.0</v>
      </c>
      <c r="L111" s="71" t="s">
        <v>135</v>
      </c>
      <c r="M111" s="71" t="s">
        <v>19</v>
      </c>
      <c r="N111" s="71">
        <f>IFERROR(__xludf.DUMMYFUNCTION("""COMPUTED_VALUE"""),163.0)</f>
        <v>163</v>
      </c>
      <c r="O111" s="71">
        <f>IFERROR(__xludf.DUMMYFUNCTION("""COMPUTED_VALUE"""),395.0)</f>
        <v>395</v>
      </c>
      <c r="P111" s="71">
        <f>IFERROR(__xludf.DUMMYFUNCTION("""COMPUTED_VALUE"""),558.0)</f>
        <v>558</v>
      </c>
    </row>
    <row r="112">
      <c r="A112" s="58">
        <v>45722.40703283565</v>
      </c>
      <c r="B112" s="71" t="s">
        <v>136</v>
      </c>
      <c r="C112" s="71" t="b">
        <v>0</v>
      </c>
      <c r="E112" s="78"/>
      <c r="G112" s="78"/>
      <c r="H112" s="71">
        <v>68.0</v>
      </c>
      <c r="I112" s="80"/>
      <c r="J112" s="71" t="s">
        <v>10</v>
      </c>
      <c r="K112" s="59">
        <v>45722.0</v>
      </c>
      <c r="L112" s="71" t="s">
        <v>137</v>
      </c>
      <c r="M112" s="71" t="s">
        <v>19</v>
      </c>
      <c r="N112" s="71" t="str">
        <f>IFERROR(__xludf.DUMMYFUNCTION("""COMPUTED_VALUE"""),"")</f>
        <v/>
      </c>
      <c r="O112" s="71" t="str">
        <f>IFERROR(__xludf.DUMMYFUNCTION("""COMPUTED_VALUE"""),"")</f>
        <v/>
      </c>
      <c r="P112" s="71" t="str">
        <f>IFERROR(__xludf.DUMMYFUNCTION("""COMPUTED_VALUE"""),"")</f>
        <v/>
      </c>
    </row>
    <row r="113">
      <c r="A113" s="58">
        <v>45722.62462516204</v>
      </c>
      <c r="B113" s="71" t="s">
        <v>148</v>
      </c>
      <c r="C113" s="71" t="b">
        <v>0</v>
      </c>
      <c r="E113" s="78"/>
      <c r="G113" s="78"/>
      <c r="H113" s="71">
        <v>111.0</v>
      </c>
      <c r="I113" s="80"/>
      <c r="J113" s="71" t="s">
        <v>11</v>
      </c>
      <c r="K113" s="59">
        <v>45722.0</v>
      </c>
      <c r="L113" s="71" t="s">
        <v>137</v>
      </c>
      <c r="M113" s="71" t="s">
        <v>19</v>
      </c>
      <c r="N113" s="71" t="str">
        <f>IFERROR(__xludf.DUMMYFUNCTION("""COMPUTED_VALUE"""),"")</f>
        <v/>
      </c>
      <c r="O113" s="71" t="str">
        <f>IFERROR(__xludf.DUMMYFUNCTION("""COMPUTED_VALUE"""),"")</f>
        <v/>
      </c>
      <c r="P113" s="71" t="str">
        <f>IFERROR(__xludf.DUMMYFUNCTION("""COMPUTED_VALUE"""),"")</f>
        <v/>
      </c>
    </row>
    <row r="114">
      <c r="A114" s="58">
        <v>45723.4745058449</v>
      </c>
      <c r="B114" s="71" t="s">
        <v>171</v>
      </c>
      <c r="C114" s="71" t="b">
        <v>0</v>
      </c>
      <c r="E114" s="78"/>
      <c r="G114" s="78"/>
      <c r="H114" s="71">
        <v>57.0</v>
      </c>
      <c r="I114" s="80"/>
      <c r="J114" s="71" t="s">
        <v>12</v>
      </c>
      <c r="K114" s="59">
        <v>45722.0</v>
      </c>
      <c r="L114" s="71" t="s">
        <v>137</v>
      </c>
      <c r="M114" s="71" t="s">
        <v>18</v>
      </c>
      <c r="N114" s="71" t="str">
        <f>IFERROR(__xludf.DUMMYFUNCTION("""COMPUTED_VALUE"""),"")</f>
        <v/>
      </c>
      <c r="O114" s="71" t="str">
        <f>IFERROR(__xludf.DUMMYFUNCTION("""COMPUTED_VALUE"""),"")</f>
        <v/>
      </c>
      <c r="P114" s="71" t="str">
        <f>IFERROR(__xludf.DUMMYFUNCTION("""COMPUTED_VALUE"""),"")</f>
        <v/>
      </c>
    </row>
    <row r="115">
      <c r="A115" s="58">
        <v>45735.73102542824</v>
      </c>
      <c r="B115" s="71" t="s">
        <v>174</v>
      </c>
      <c r="C115" s="71" t="b">
        <v>0</v>
      </c>
      <c r="E115" s="78"/>
      <c r="G115" s="78"/>
      <c r="H115" s="71">
        <v>172.0</v>
      </c>
      <c r="I115" s="80"/>
      <c r="J115" s="71" t="s">
        <v>12</v>
      </c>
      <c r="K115" s="59">
        <v>45722.0</v>
      </c>
      <c r="L115" s="71" t="s">
        <v>137</v>
      </c>
      <c r="M115" s="71" t="s">
        <v>19</v>
      </c>
      <c r="N115" s="71">
        <f>IFERROR(__xludf.DUMMYFUNCTION("""COMPUTED_VALUE"""),57.0)</f>
        <v>57</v>
      </c>
      <c r="O115" s="71">
        <f>IFERROR(__xludf.DUMMYFUNCTION("""COMPUTED_VALUE"""),351.0)</f>
        <v>351</v>
      </c>
      <c r="P115" s="71">
        <f>IFERROR(__xludf.DUMMYFUNCTION("""COMPUTED_VALUE"""),408.0)</f>
        <v>408</v>
      </c>
    </row>
    <row r="116">
      <c r="A116" s="58">
        <v>45723.42216476852</v>
      </c>
      <c r="B116" s="71" t="s">
        <v>136</v>
      </c>
      <c r="C116" s="71" t="b">
        <v>0</v>
      </c>
      <c r="E116" s="78"/>
      <c r="G116" s="78"/>
      <c r="H116" s="71">
        <v>31.0</v>
      </c>
      <c r="I116" s="80"/>
      <c r="J116" s="71" t="s">
        <v>10</v>
      </c>
      <c r="K116" s="59">
        <v>45723.0</v>
      </c>
      <c r="L116" s="71" t="s">
        <v>138</v>
      </c>
      <c r="M116" s="71" t="s">
        <v>19</v>
      </c>
      <c r="N116" s="71" t="str">
        <f>IFERROR(__xludf.DUMMYFUNCTION("""COMPUTED_VALUE"""),"")</f>
        <v/>
      </c>
      <c r="O116" s="71" t="str">
        <f>IFERROR(__xludf.DUMMYFUNCTION("""COMPUTED_VALUE"""),"")</f>
        <v/>
      </c>
      <c r="P116" s="71" t="str">
        <f>IFERROR(__xludf.DUMMYFUNCTION("""COMPUTED_VALUE"""),"")</f>
        <v/>
      </c>
    </row>
    <row r="117">
      <c r="A117" s="58">
        <v>45723.82737283565</v>
      </c>
      <c r="B117" s="71" t="s">
        <v>134</v>
      </c>
      <c r="C117" s="71" t="b">
        <v>0</v>
      </c>
      <c r="E117" s="78"/>
      <c r="G117" s="78"/>
      <c r="H117" s="71">
        <v>52.0</v>
      </c>
      <c r="I117" s="80"/>
      <c r="J117" s="71" t="s">
        <v>12</v>
      </c>
      <c r="K117" s="59">
        <v>45723.0</v>
      </c>
      <c r="L117" s="71" t="s">
        <v>138</v>
      </c>
      <c r="M117" s="71" t="s">
        <v>18</v>
      </c>
      <c r="N117" s="71" t="str">
        <f>IFERROR(__xludf.DUMMYFUNCTION("""COMPUTED_VALUE"""),"")</f>
        <v/>
      </c>
      <c r="O117" s="71" t="str">
        <f>IFERROR(__xludf.DUMMYFUNCTION("""COMPUTED_VALUE"""),"")</f>
        <v/>
      </c>
      <c r="P117" s="71" t="str">
        <f>IFERROR(__xludf.DUMMYFUNCTION("""COMPUTED_VALUE"""),"")</f>
        <v/>
      </c>
    </row>
    <row r="118">
      <c r="A118" s="58">
        <v>45724.02042885416</v>
      </c>
      <c r="B118" s="71" t="s">
        <v>171</v>
      </c>
      <c r="C118" s="71" t="b">
        <v>0</v>
      </c>
      <c r="E118" s="78"/>
      <c r="G118" s="78"/>
      <c r="H118" s="71">
        <v>138.0</v>
      </c>
      <c r="I118" s="80"/>
      <c r="J118" s="71" t="s">
        <v>11</v>
      </c>
      <c r="K118" s="59">
        <v>45723.0</v>
      </c>
      <c r="L118" s="71" t="s">
        <v>138</v>
      </c>
      <c r="M118" s="71" t="s">
        <v>18</v>
      </c>
      <c r="N118" s="71">
        <f>IFERROR(__xludf.DUMMYFUNCTION("""COMPUTED_VALUE"""),190.0)</f>
        <v>190</v>
      </c>
      <c r="O118" s="71">
        <f>IFERROR(__xludf.DUMMYFUNCTION("""COMPUTED_VALUE"""),31.0)</f>
        <v>31</v>
      </c>
      <c r="P118" s="71">
        <f>IFERROR(__xludf.DUMMYFUNCTION("""COMPUTED_VALUE"""),221.0)</f>
        <v>221</v>
      </c>
    </row>
    <row r="119">
      <c r="A119" s="58">
        <v>45733.66387763889</v>
      </c>
      <c r="B119" s="71" t="s">
        <v>153</v>
      </c>
      <c r="C119" s="71" t="b">
        <v>0</v>
      </c>
      <c r="E119" s="78"/>
      <c r="G119" s="78"/>
      <c r="H119" s="71">
        <v>113.0</v>
      </c>
      <c r="I119" s="80"/>
      <c r="J119" s="71" t="s">
        <v>11</v>
      </c>
      <c r="K119" s="59">
        <v>45733.0</v>
      </c>
      <c r="L119" s="71" t="s">
        <v>129</v>
      </c>
      <c r="M119" s="71" t="s">
        <v>19</v>
      </c>
      <c r="N119" s="71" t="str">
        <f>IFERROR(__xludf.DUMMYFUNCTION("""COMPUTED_VALUE"""),"")</f>
        <v/>
      </c>
      <c r="O119" s="71" t="str">
        <f>IFERROR(__xludf.DUMMYFUNCTION("""COMPUTED_VALUE"""),"")</f>
        <v/>
      </c>
      <c r="P119" s="71" t="str">
        <f>IFERROR(__xludf.DUMMYFUNCTION("""COMPUTED_VALUE"""),"")</f>
        <v/>
      </c>
    </row>
    <row r="120">
      <c r="A120" s="58">
        <v>45733.75786012731</v>
      </c>
      <c r="B120" s="71" t="s">
        <v>173</v>
      </c>
      <c r="C120" s="71" t="b">
        <v>0</v>
      </c>
      <c r="E120" s="78"/>
      <c r="G120" s="78"/>
      <c r="H120" s="71">
        <v>77.0</v>
      </c>
      <c r="I120" s="80"/>
      <c r="J120" s="71" t="s">
        <v>11</v>
      </c>
      <c r="K120" s="59">
        <v>45733.0</v>
      </c>
      <c r="L120" s="71" t="s">
        <v>129</v>
      </c>
      <c r="M120" s="71" t="s">
        <v>18</v>
      </c>
      <c r="N120" s="71" t="str">
        <f>IFERROR(__xludf.DUMMYFUNCTION("""COMPUTED_VALUE"""),"")</f>
        <v/>
      </c>
      <c r="O120" s="71" t="str">
        <f>IFERROR(__xludf.DUMMYFUNCTION("""COMPUTED_VALUE"""),"")</f>
        <v/>
      </c>
      <c r="P120" s="71" t="str">
        <f>IFERROR(__xludf.DUMMYFUNCTION("""COMPUTED_VALUE"""),"")</f>
        <v/>
      </c>
    </row>
    <row r="121">
      <c r="A121" s="58">
        <v>45733.86957756944</v>
      </c>
      <c r="B121" s="71" t="s">
        <v>168</v>
      </c>
      <c r="C121" s="71" t="b">
        <v>0</v>
      </c>
      <c r="E121" s="78"/>
      <c r="G121" s="78"/>
      <c r="H121" s="71">
        <v>152.0</v>
      </c>
      <c r="I121" s="80"/>
      <c r="J121" s="71" t="s">
        <v>12</v>
      </c>
      <c r="K121" s="59">
        <v>45733.0</v>
      </c>
      <c r="L121" s="71" t="s">
        <v>129</v>
      </c>
      <c r="M121" s="71" t="s">
        <v>18</v>
      </c>
      <c r="N121" s="71" t="str">
        <f>IFERROR(__xludf.DUMMYFUNCTION("""COMPUTED_VALUE"""),"")</f>
        <v/>
      </c>
      <c r="O121" s="71" t="str">
        <f>IFERROR(__xludf.DUMMYFUNCTION("""COMPUTED_VALUE"""),"")</f>
        <v/>
      </c>
      <c r="P121" s="71" t="str">
        <f>IFERROR(__xludf.DUMMYFUNCTION("""COMPUTED_VALUE"""),"")</f>
        <v/>
      </c>
    </row>
    <row r="122">
      <c r="A122" s="58">
        <v>45733.8983961574</v>
      </c>
      <c r="B122" s="71" t="s">
        <v>149</v>
      </c>
      <c r="C122" s="71" t="b">
        <v>0</v>
      </c>
      <c r="E122" s="78"/>
      <c r="G122" s="78"/>
      <c r="H122" s="71">
        <v>127.0</v>
      </c>
      <c r="I122" s="80"/>
      <c r="J122" s="71" t="s">
        <v>12</v>
      </c>
      <c r="K122" s="59">
        <v>45733.0</v>
      </c>
      <c r="L122" s="71" t="s">
        <v>129</v>
      </c>
      <c r="M122" s="71" t="s">
        <v>19</v>
      </c>
      <c r="N122" s="71" t="str">
        <f>IFERROR(__xludf.DUMMYFUNCTION("""COMPUTED_VALUE"""),"")</f>
        <v/>
      </c>
      <c r="O122" s="71" t="str">
        <f>IFERROR(__xludf.DUMMYFUNCTION("""COMPUTED_VALUE"""),"")</f>
        <v/>
      </c>
      <c r="P122" s="71" t="str">
        <f>IFERROR(__xludf.DUMMYFUNCTION("""COMPUTED_VALUE"""),"")</f>
        <v/>
      </c>
    </row>
    <row r="123">
      <c r="A123" s="58">
        <v>45735.29506770834</v>
      </c>
      <c r="B123" s="71" t="s">
        <v>170</v>
      </c>
      <c r="C123" s="71" t="b">
        <v>0</v>
      </c>
      <c r="E123" s="78"/>
      <c r="G123" s="78"/>
      <c r="H123" s="71">
        <v>80.0</v>
      </c>
      <c r="I123" s="80"/>
      <c r="J123" s="71" t="s">
        <v>10</v>
      </c>
      <c r="K123" s="59">
        <v>45733.0</v>
      </c>
      <c r="L123" s="71" t="s">
        <v>129</v>
      </c>
      <c r="M123" s="71" t="s">
        <v>19</v>
      </c>
      <c r="N123" s="71">
        <f>IFERROR(__xludf.DUMMYFUNCTION("""COMPUTED_VALUE"""),229.0)</f>
        <v>229</v>
      </c>
      <c r="O123" s="71">
        <f>IFERROR(__xludf.DUMMYFUNCTION("""COMPUTED_VALUE"""),320.0)</f>
        <v>320</v>
      </c>
      <c r="P123" s="71">
        <f>IFERROR(__xludf.DUMMYFUNCTION("""COMPUTED_VALUE"""),549.0)</f>
        <v>549</v>
      </c>
    </row>
    <row r="124">
      <c r="A124" s="58">
        <v>45734.61493028935</v>
      </c>
      <c r="B124" s="71" t="s">
        <v>148</v>
      </c>
      <c r="C124" s="71" t="b">
        <v>0</v>
      </c>
      <c r="E124" s="78"/>
      <c r="G124" s="78"/>
      <c r="H124" s="71">
        <v>104.0</v>
      </c>
      <c r="I124" s="80"/>
      <c r="J124" s="71" t="s">
        <v>11</v>
      </c>
      <c r="K124" s="59">
        <v>45734.0</v>
      </c>
      <c r="L124" s="71" t="s">
        <v>132</v>
      </c>
      <c r="M124" s="71" t="s">
        <v>19</v>
      </c>
      <c r="N124" s="71" t="str">
        <f>IFERROR(__xludf.DUMMYFUNCTION("""COMPUTED_VALUE"""),"")</f>
        <v/>
      </c>
      <c r="O124" s="71" t="str">
        <f>IFERROR(__xludf.DUMMYFUNCTION("""COMPUTED_VALUE"""),"")</f>
        <v/>
      </c>
      <c r="P124" s="71" t="str">
        <f>IFERROR(__xludf.DUMMYFUNCTION("""COMPUTED_VALUE"""),"")</f>
        <v/>
      </c>
    </row>
    <row r="125">
      <c r="A125" s="58">
        <v>45734.65609387732</v>
      </c>
      <c r="B125" s="71" t="s">
        <v>149</v>
      </c>
      <c r="C125" s="71" t="b">
        <v>0</v>
      </c>
      <c r="E125" s="78"/>
      <c r="G125" s="78"/>
      <c r="H125" s="71">
        <v>53.0</v>
      </c>
      <c r="I125" s="80"/>
      <c r="J125" s="71" t="s">
        <v>11</v>
      </c>
      <c r="K125" s="59">
        <v>45734.0</v>
      </c>
      <c r="L125" s="71" t="s">
        <v>132</v>
      </c>
      <c r="M125" s="71" t="s">
        <v>18</v>
      </c>
      <c r="N125" s="71" t="str">
        <f>IFERROR(__xludf.DUMMYFUNCTION("""COMPUTED_VALUE"""),"")</f>
        <v/>
      </c>
      <c r="O125" s="71" t="str">
        <f>IFERROR(__xludf.DUMMYFUNCTION("""COMPUTED_VALUE"""),"")</f>
        <v/>
      </c>
      <c r="P125" s="71" t="str">
        <f>IFERROR(__xludf.DUMMYFUNCTION("""COMPUTED_VALUE"""),"")</f>
        <v/>
      </c>
    </row>
    <row r="126">
      <c r="A126" s="58">
        <v>45734.87606891204</v>
      </c>
      <c r="B126" s="71" t="s">
        <v>149</v>
      </c>
      <c r="C126" s="71" t="b">
        <v>0</v>
      </c>
      <c r="E126" s="78"/>
      <c r="G126" s="78"/>
      <c r="H126" s="71">
        <v>151.0</v>
      </c>
      <c r="I126" s="80"/>
      <c r="J126" s="71" t="s">
        <v>12</v>
      </c>
      <c r="K126" s="59">
        <v>45734.0</v>
      </c>
      <c r="L126" s="71" t="s">
        <v>132</v>
      </c>
      <c r="M126" s="71" t="s">
        <v>19</v>
      </c>
      <c r="N126" s="71">
        <f>IFERROR(__xludf.DUMMYFUNCTION("""COMPUTED_VALUE"""),53.0)</f>
        <v>53</v>
      </c>
      <c r="O126" s="71">
        <f>IFERROR(__xludf.DUMMYFUNCTION("""COMPUTED_VALUE"""),255.0)</f>
        <v>255</v>
      </c>
      <c r="P126" s="71">
        <f>IFERROR(__xludf.DUMMYFUNCTION("""COMPUTED_VALUE"""),308.0)</f>
        <v>308</v>
      </c>
    </row>
    <row r="127">
      <c r="A127" s="58">
        <v>45735.45751416666</v>
      </c>
      <c r="B127" s="71" t="s">
        <v>170</v>
      </c>
      <c r="C127" s="71" t="b">
        <v>0</v>
      </c>
      <c r="E127" s="78"/>
      <c r="G127" s="78"/>
      <c r="H127" s="71">
        <v>83.0</v>
      </c>
      <c r="I127" s="80"/>
      <c r="J127" s="71" t="s">
        <v>10</v>
      </c>
      <c r="K127" s="59">
        <v>45735.0</v>
      </c>
      <c r="L127" s="71" t="s">
        <v>135</v>
      </c>
      <c r="M127" s="71" t="s">
        <v>19</v>
      </c>
      <c r="N127" s="71" t="str">
        <f>IFERROR(__xludf.DUMMYFUNCTION("""COMPUTED_VALUE"""),"")</f>
        <v/>
      </c>
      <c r="O127" s="71" t="str">
        <f>IFERROR(__xludf.DUMMYFUNCTION("""COMPUTED_VALUE"""),"")</f>
        <v/>
      </c>
      <c r="P127" s="71" t="str">
        <f>IFERROR(__xludf.DUMMYFUNCTION("""COMPUTED_VALUE"""),"")</f>
        <v/>
      </c>
    </row>
    <row r="128">
      <c r="A128" s="58">
        <v>45735.70274005787</v>
      </c>
      <c r="B128" s="71" t="s">
        <v>153</v>
      </c>
      <c r="C128" s="71" t="b">
        <v>0</v>
      </c>
      <c r="E128" s="78"/>
      <c r="G128" s="78"/>
      <c r="H128" s="71">
        <v>122.0</v>
      </c>
      <c r="I128" s="80"/>
      <c r="J128" s="71" t="s">
        <v>11</v>
      </c>
      <c r="K128" s="59">
        <v>45735.0</v>
      </c>
      <c r="L128" s="71" t="s">
        <v>135</v>
      </c>
      <c r="M128" s="71" t="s">
        <v>19</v>
      </c>
      <c r="N128" s="71" t="str">
        <f>IFERROR(__xludf.DUMMYFUNCTION("""COMPUTED_VALUE"""),"")</f>
        <v/>
      </c>
      <c r="O128" s="71" t="str">
        <f>IFERROR(__xludf.DUMMYFUNCTION("""COMPUTED_VALUE"""),"")</f>
        <v/>
      </c>
      <c r="P128" s="71" t="str">
        <f>IFERROR(__xludf.DUMMYFUNCTION("""COMPUTED_VALUE"""),"")</f>
        <v/>
      </c>
    </row>
    <row r="129">
      <c r="A129" s="58">
        <v>45735.70349564815</v>
      </c>
      <c r="B129" s="71" t="s">
        <v>153</v>
      </c>
      <c r="C129" s="71" t="b">
        <v>0</v>
      </c>
      <c r="E129" s="78"/>
      <c r="G129" s="78"/>
      <c r="H129" s="71">
        <v>70.0</v>
      </c>
      <c r="I129" s="80"/>
      <c r="J129" s="71" t="s">
        <v>11</v>
      </c>
      <c r="K129" s="59">
        <v>45735.0</v>
      </c>
      <c r="L129" s="71" t="s">
        <v>135</v>
      </c>
      <c r="M129" s="71" t="s">
        <v>19</v>
      </c>
      <c r="N129" s="71" t="str">
        <f>IFERROR(__xludf.DUMMYFUNCTION("""COMPUTED_VALUE"""),"")</f>
        <v/>
      </c>
      <c r="O129" s="71" t="str">
        <f>IFERROR(__xludf.DUMMYFUNCTION("""COMPUTED_VALUE"""),"")</f>
        <v/>
      </c>
      <c r="P129" s="71" t="str">
        <f>IFERROR(__xludf.DUMMYFUNCTION("""COMPUTED_VALUE"""),"")</f>
        <v/>
      </c>
    </row>
    <row r="130">
      <c r="A130" s="58">
        <v>45735.70688033565</v>
      </c>
      <c r="B130" s="71" t="s">
        <v>171</v>
      </c>
      <c r="C130" s="71" t="b">
        <v>0</v>
      </c>
      <c r="E130" s="78"/>
      <c r="G130" s="78"/>
      <c r="H130" s="71">
        <v>79.0</v>
      </c>
      <c r="I130" s="80"/>
      <c r="J130" s="71" t="s">
        <v>11</v>
      </c>
      <c r="K130" s="59">
        <v>45735.0</v>
      </c>
      <c r="L130" s="71" t="s">
        <v>135</v>
      </c>
      <c r="M130" s="71" t="s">
        <v>18</v>
      </c>
      <c r="N130" s="71" t="str">
        <f>IFERROR(__xludf.DUMMYFUNCTION("""COMPUTED_VALUE"""),"")</f>
        <v/>
      </c>
      <c r="O130" s="71" t="str">
        <f>IFERROR(__xludf.DUMMYFUNCTION("""COMPUTED_VALUE"""),"")</f>
        <v/>
      </c>
      <c r="P130" s="71" t="str">
        <f>IFERROR(__xludf.DUMMYFUNCTION("""COMPUTED_VALUE"""),"")</f>
        <v/>
      </c>
    </row>
    <row r="131">
      <c r="A131" s="58">
        <v>45735.86557758102</v>
      </c>
      <c r="B131" s="71" t="s">
        <v>168</v>
      </c>
      <c r="C131" s="71" t="b">
        <v>0</v>
      </c>
      <c r="E131" s="78"/>
      <c r="G131" s="78"/>
      <c r="H131" s="71">
        <v>156.0</v>
      </c>
      <c r="I131" s="80"/>
      <c r="J131" s="71" t="s">
        <v>12</v>
      </c>
      <c r="K131" s="59">
        <v>45735.0</v>
      </c>
      <c r="L131" s="71" t="s">
        <v>135</v>
      </c>
      <c r="M131" s="71" t="s">
        <v>18</v>
      </c>
      <c r="N131" s="71" t="str">
        <f>IFERROR(__xludf.DUMMYFUNCTION("""COMPUTED_VALUE"""),"")</f>
        <v/>
      </c>
      <c r="O131" s="71" t="str">
        <f>IFERROR(__xludf.DUMMYFUNCTION("""COMPUTED_VALUE"""),"")</f>
        <v/>
      </c>
      <c r="P131" s="71" t="str">
        <f>IFERROR(__xludf.DUMMYFUNCTION("""COMPUTED_VALUE"""),"")</f>
        <v/>
      </c>
    </row>
    <row r="132">
      <c r="A132" s="58">
        <v>45735.87082994213</v>
      </c>
      <c r="B132" s="71" t="s">
        <v>174</v>
      </c>
      <c r="C132" s="71" t="b">
        <v>0</v>
      </c>
      <c r="E132" s="78"/>
      <c r="G132" s="78"/>
      <c r="H132" s="71">
        <v>148.0</v>
      </c>
      <c r="I132" s="80"/>
      <c r="J132" s="71" t="s">
        <v>12</v>
      </c>
      <c r="K132" s="59">
        <v>45735.0</v>
      </c>
      <c r="L132" s="71" t="s">
        <v>135</v>
      </c>
      <c r="M132" s="71" t="s">
        <v>19</v>
      </c>
      <c r="N132" s="71">
        <f>IFERROR(__xludf.DUMMYFUNCTION("""COMPUTED_VALUE"""),235.0)</f>
        <v>235</v>
      </c>
      <c r="O132" s="71">
        <f>IFERROR(__xludf.DUMMYFUNCTION("""COMPUTED_VALUE"""),423.0)</f>
        <v>423</v>
      </c>
      <c r="P132" s="71">
        <f>IFERROR(__xludf.DUMMYFUNCTION("""COMPUTED_VALUE"""),658.0)</f>
        <v>658</v>
      </c>
    </row>
    <row r="133">
      <c r="A133" s="58">
        <v>45736.41192675926</v>
      </c>
      <c r="B133" s="71" t="s">
        <v>136</v>
      </c>
      <c r="C133" s="71" t="b">
        <v>0</v>
      </c>
      <c r="E133" s="78"/>
      <c r="G133" s="78"/>
      <c r="H133" s="71">
        <v>58.0</v>
      </c>
      <c r="I133" s="80"/>
      <c r="J133" s="71" t="s">
        <v>10</v>
      </c>
      <c r="K133" s="59">
        <v>45736.0</v>
      </c>
      <c r="L133" s="71" t="s">
        <v>137</v>
      </c>
      <c r="M133" s="71" t="s">
        <v>19</v>
      </c>
      <c r="N133" s="71" t="str">
        <f>IFERROR(__xludf.DUMMYFUNCTION("""COMPUTED_VALUE"""),"")</f>
        <v/>
      </c>
      <c r="O133" s="71" t="str">
        <f>IFERROR(__xludf.DUMMYFUNCTION("""COMPUTED_VALUE"""),"")</f>
        <v/>
      </c>
      <c r="P133" s="71" t="str">
        <f>IFERROR(__xludf.DUMMYFUNCTION("""COMPUTED_VALUE"""),"")</f>
        <v/>
      </c>
    </row>
    <row r="134">
      <c r="A134" s="58">
        <v>45736.62232964121</v>
      </c>
      <c r="B134" s="71" t="s">
        <v>148</v>
      </c>
      <c r="C134" s="71" t="b">
        <v>0</v>
      </c>
      <c r="E134" s="78"/>
      <c r="G134" s="78"/>
      <c r="H134" s="71">
        <v>143.0</v>
      </c>
      <c r="I134" s="80"/>
      <c r="J134" s="71" t="s">
        <v>11</v>
      </c>
      <c r="K134" s="59">
        <v>45736.0</v>
      </c>
      <c r="L134" s="71" t="s">
        <v>137</v>
      </c>
      <c r="M134" s="71" t="s">
        <v>19</v>
      </c>
      <c r="N134" s="71" t="str">
        <f>IFERROR(__xludf.DUMMYFUNCTION("""COMPUTED_VALUE"""),"")</f>
        <v/>
      </c>
      <c r="O134" s="71" t="str">
        <f>IFERROR(__xludf.DUMMYFUNCTION("""COMPUTED_VALUE"""),"")</f>
        <v/>
      </c>
      <c r="P134" s="71" t="str">
        <f>IFERROR(__xludf.DUMMYFUNCTION("""COMPUTED_VALUE"""),"")</f>
        <v/>
      </c>
    </row>
    <row r="135">
      <c r="A135" s="58">
        <v>45736.70045879629</v>
      </c>
      <c r="B135" s="71" t="s">
        <v>172</v>
      </c>
      <c r="C135" s="71" t="b">
        <v>0</v>
      </c>
      <c r="E135" s="78"/>
      <c r="G135" s="78"/>
      <c r="H135" s="71">
        <v>112.0</v>
      </c>
      <c r="I135" s="80"/>
      <c r="J135" s="71" t="s">
        <v>11</v>
      </c>
      <c r="K135" s="59">
        <v>45736.0</v>
      </c>
      <c r="L135" s="71" t="s">
        <v>137</v>
      </c>
      <c r="M135" s="71" t="s">
        <v>18</v>
      </c>
      <c r="N135" s="71" t="str">
        <f>IFERROR(__xludf.DUMMYFUNCTION("""COMPUTED_VALUE"""),"")</f>
        <v/>
      </c>
      <c r="O135" s="71" t="str">
        <f>IFERROR(__xludf.DUMMYFUNCTION("""COMPUTED_VALUE"""),"")</f>
        <v/>
      </c>
      <c r="P135" s="71" t="str">
        <f>IFERROR(__xludf.DUMMYFUNCTION("""COMPUTED_VALUE"""),"")</f>
        <v/>
      </c>
    </row>
    <row r="136">
      <c r="A136" s="58">
        <v>45736.79746282408</v>
      </c>
      <c r="B136" s="71" t="s">
        <v>171</v>
      </c>
      <c r="C136" s="71" t="b">
        <v>0</v>
      </c>
      <c r="E136" s="78"/>
      <c r="G136" s="78"/>
      <c r="H136" s="71">
        <v>78.0</v>
      </c>
      <c r="I136" s="80"/>
      <c r="J136" s="71" t="s">
        <v>12</v>
      </c>
      <c r="K136" s="59">
        <v>45736.0</v>
      </c>
      <c r="L136" s="71" t="s">
        <v>137</v>
      </c>
      <c r="M136" s="71" t="s">
        <v>18</v>
      </c>
      <c r="N136" s="71" t="str">
        <f>IFERROR(__xludf.DUMMYFUNCTION("""COMPUTED_VALUE"""),"")</f>
        <v/>
      </c>
      <c r="O136" s="71" t="str">
        <f>IFERROR(__xludf.DUMMYFUNCTION("""COMPUTED_VALUE"""),"")</f>
        <v/>
      </c>
      <c r="P136" s="71" t="str">
        <f>IFERROR(__xludf.DUMMYFUNCTION("""COMPUTED_VALUE"""),"")</f>
        <v/>
      </c>
    </row>
    <row r="137">
      <c r="A137" s="58">
        <v>45736.86976177083</v>
      </c>
      <c r="B137" s="71" t="s">
        <v>174</v>
      </c>
      <c r="C137" s="71" t="b">
        <v>0</v>
      </c>
      <c r="E137" s="78"/>
      <c r="G137" s="78"/>
      <c r="H137" s="71">
        <v>165.0</v>
      </c>
      <c r="I137" s="80"/>
      <c r="J137" s="71" t="s">
        <v>12</v>
      </c>
      <c r="K137" s="59">
        <v>45736.0</v>
      </c>
      <c r="L137" s="71" t="s">
        <v>137</v>
      </c>
      <c r="M137" s="71" t="s">
        <v>19</v>
      </c>
      <c r="N137" s="71">
        <f>IFERROR(__xludf.DUMMYFUNCTION("""COMPUTED_VALUE"""),190.0)</f>
        <v>190</v>
      </c>
      <c r="O137" s="71">
        <f>IFERROR(__xludf.DUMMYFUNCTION("""COMPUTED_VALUE"""),366.0)</f>
        <v>366</v>
      </c>
      <c r="P137" s="71">
        <f>IFERROR(__xludf.DUMMYFUNCTION("""COMPUTED_VALUE"""),556.0)</f>
        <v>556</v>
      </c>
    </row>
    <row r="138">
      <c r="A138" s="58">
        <v>45737.41600237269</v>
      </c>
      <c r="B138" s="71" t="s">
        <v>136</v>
      </c>
      <c r="C138" s="71" t="b">
        <v>0</v>
      </c>
      <c r="E138" s="78"/>
      <c r="G138" s="78"/>
      <c r="H138" s="71">
        <v>48.0</v>
      </c>
      <c r="I138" s="80"/>
      <c r="J138" s="71" t="s">
        <v>10</v>
      </c>
      <c r="K138" s="59">
        <v>45737.0</v>
      </c>
      <c r="L138" s="71" t="s">
        <v>138</v>
      </c>
      <c r="M138" s="71" t="s">
        <v>19</v>
      </c>
      <c r="N138" s="71" t="str">
        <f>IFERROR(__xludf.DUMMYFUNCTION("""COMPUTED_VALUE"""),"")</f>
        <v/>
      </c>
      <c r="O138" s="71" t="str">
        <f>IFERROR(__xludf.DUMMYFUNCTION("""COMPUTED_VALUE"""),"")</f>
        <v/>
      </c>
      <c r="P138" s="71" t="str">
        <f>IFERROR(__xludf.DUMMYFUNCTION("""COMPUTED_VALUE"""),"")</f>
        <v/>
      </c>
    </row>
    <row r="139">
      <c r="A139" s="58">
        <v>45737.57863903936</v>
      </c>
      <c r="B139" s="71" t="s">
        <v>172</v>
      </c>
      <c r="C139" s="71" t="b">
        <v>0</v>
      </c>
      <c r="E139" s="78"/>
      <c r="G139" s="78"/>
      <c r="H139" s="71">
        <v>87.0</v>
      </c>
      <c r="I139" s="80"/>
      <c r="J139" s="71" t="s">
        <v>11</v>
      </c>
      <c r="K139" s="59">
        <v>45737.0</v>
      </c>
      <c r="L139" s="71" t="s">
        <v>138</v>
      </c>
      <c r="M139" s="71" t="s">
        <v>19</v>
      </c>
      <c r="N139" s="71" t="str">
        <f>IFERROR(__xludf.DUMMYFUNCTION("""COMPUTED_VALUE"""),"")</f>
        <v/>
      </c>
      <c r="O139" s="71" t="str">
        <f>IFERROR(__xludf.DUMMYFUNCTION("""COMPUTED_VALUE"""),"")</f>
        <v/>
      </c>
      <c r="P139" s="71" t="str">
        <f>IFERROR(__xludf.DUMMYFUNCTION("""COMPUTED_VALUE"""),"")</f>
        <v/>
      </c>
    </row>
    <row r="140">
      <c r="A140" s="58">
        <v>45737.85174299769</v>
      </c>
      <c r="B140" s="71" t="s">
        <v>133</v>
      </c>
      <c r="C140" s="71" t="b">
        <v>0</v>
      </c>
      <c r="E140" s="78"/>
      <c r="G140" s="78"/>
      <c r="H140" s="71">
        <v>195.0</v>
      </c>
      <c r="I140" s="80"/>
      <c r="J140" s="71" t="s">
        <v>12</v>
      </c>
      <c r="K140" s="59">
        <v>45737.0</v>
      </c>
      <c r="L140" s="71" t="s">
        <v>138</v>
      </c>
      <c r="M140" s="71" t="s">
        <v>18</v>
      </c>
      <c r="N140" s="71">
        <f>IFERROR(__xludf.DUMMYFUNCTION("""COMPUTED_VALUE"""),195.0)</f>
        <v>195</v>
      </c>
      <c r="O140" s="71">
        <f>IFERROR(__xludf.DUMMYFUNCTION("""COMPUTED_VALUE"""),135.0)</f>
        <v>135</v>
      </c>
      <c r="P140" s="71">
        <f>IFERROR(__xludf.DUMMYFUNCTION("""COMPUTED_VALUE"""),330.0)</f>
        <v>330</v>
      </c>
    </row>
    <row r="141">
      <c r="A141" s="58">
        <v>45740.44430402778</v>
      </c>
      <c r="B141" s="71" t="s">
        <v>170</v>
      </c>
      <c r="C141" s="71" t="b">
        <v>0</v>
      </c>
      <c r="E141" s="78"/>
      <c r="G141" s="78"/>
      <c r="H141" s="71">
        <v>64.0</v>
      </c>
      <c r="I141" s="80"/>
      <c r="J141" s="71" t="s">
        <v>10</v>
      </c>
      <c r="K141" s="59">
        <v>45740.0</v>
      </c>
      <c r="L141" s="71" t="s">
        <v>129</v>
      </c>
      <c r="M141" s="71" t="s">
        <v>19</v>
      </c>
      <c r="N141" s="71" t="str">
        <f>IFERROR(__xludf.DUMMYFUNCTION("""COMPUTED_VALUE"""),"")</f>
        <v/>
      </c>
      <c r="O141" s="71" t="str">
        <f>IFERROR(__xludf.DUMMYFUNCTION("""COMPUTED_VALUE"""),"")</f>
        <v/>
      </c>
      <c r="P141" s="71" t="str">
        <f>IFERROR(__xludf.DUMMYFUNCTION("""COMPUTED_VALUE"""),"")</f>
        <v/>
      </c>
    </row>
    <row r="142">
      <c r="A142" s="58">
        <v>45740.70790523148</v>
      </c>
      <c r="B142" s="71" t="s">
        <v>173</v>
      </c>
      <c r="C142" s="71" t="b">
        <v>0</v>
      </c>
      <c r="E142" s="78"/>
      <c r="G142" s="78"/>
      <c r="H142" s="71">
        <v>102.0</v>
      </c>
      <c r="I142" s="80"/>
      <c r="J142" s="71" t="s">
        <v>11</v>
      </c>
      <c r="K142" s="59">
        <v>45740.0</v>
      </c>
      <c r="L142" s="71" t="s">
        <v>129</v>
      </c>
      <c r="M142" s="71" t="s">
        <v>18</v>
      </c>
      <c r="N142" s="71" t="str">
        <f>IFERROR(__xludf.DUMMYFUNCTION("""COMPUTED_VALUE"""),"")</f>
        <v/>
      </c>
      <c r="O142" s="71" t="str">
        <f>IFERROR(__xludf.DUMMYFUNCTION("""COMPUTED_VALUE"""),"")</f>
        <v/>
      </c>
      <c r="P142" s="71" t="str">
        <f>IFERROR(__xludf.DUMMYFUNCTION("""COMPUTED_VALUE"""),"")</f>
        <v/>
      </c>
    </row>
    <row r="143">
      <c r="A143" s="58">
        <v>45740.87949960648</v>
      </c>
      <c r="B143" s="71" t="s">
        <v>149</v>
      </c>
      <c r="C143" s="71" t="b">
        <v>0</v>
      </c>
      <c r="E143" s="78"/>
      <c r="G143" s="78"/>
      <c r="H143" s="71">
        <v>131.0</v>
      </c>
      <c r="I143" s="80"/>
      <c r="J143" s="71" t="s">
        <v>12</v>
      </c>
      <c r="K143" s="59">
        <v>45740.0</v>
      </c>
      <c r="L143" s="71" t="s">
        <v>129</v>
      </c>
      <c r="M143" s="71" t="s">
        <v>19</v>
      </c>
      <c r="N143" s="71">
        <f>IFERROR(__xludf.DUMMYFUNCTION("""COMPUTED_VALUE"""),102.0)</f>
        <v>102</v>
      </c>
      <c r="O143" s="71">
        <f>IFERROR(__xludf.DUMMYFUNCTION("""COMPUTED_VALUE"""),195.0)</f>
        <v>195</v>
      </c>
      <c r="P143" s="71">
        <f>IFERROR(__xludf.DUMMYFUNCTION("""COMPUTED_VALUE"""),297.0)</f>
        <v>297</v>
      </c>
    </row>
    <row r="144">
      <c r="A144" s="58">
        <v>45741.46635185185</v>
      </c>
      <c r="B144" s="71" t="s">
        <v>167</v>
      </c>
      <c r="C144" s="71" t="b">
        <v>0</v>
      </c>
      <c r="E144" s="78"/>
      <c r="G144" s="78"/>
      <c r="H144" s="71">
        <v>64.0</v>
      </c>
      <c r="I144" s="80"/>
      <c r="J144" s="71" t="s">
        <v>10</v>
      </c>
      <c r="K144" s="59">
        <v>45741.0</v>
      </c>
      <c r="L144" s="71" t="s">
        <v>132</v>
      </c>
      <c r="M144" s="71" t="s">
        <v>19</v>
      </c>
      <c r="N144" s="71" t="str">
        <f>IFERROR(__xludf.DUMMYFUNCTION("""COMPUTED_VALUE"""),"")</f>
        <v/>
      </c>
      <c r="O144" s="71" t="str">
        <f>IFERROR(__xludf.DUMMYFUNCTION("""COMPUTED_VALUE"""),"")</f>
        <v/>
      </c>
      <c r="P144" s="71" t="str">
        <f>IFERROR(__xludf.DUMMYFUNCTION("""COMPUTED_VALUE"""),"")</f>
        <v/>
      </c>
    </row>
    <row r="145">
      <c r="A145" s="58">
        <v>45741.61442607639</v>
      </c>
      <c r="B145" s="71" t="s">
        <v>148</v>
      </c>
      <c r="C145" s="71" t="b">
        <v>0</v>
      </c>
      <c r="E145" s="78"/>
      <c r="G145" s="78"/>
      <c r="H145" s="71">
        <v>119.0</v>
      </c>
      <c r="I145" s="80"/>
      <c r="J145" s="71" t="s">
        <v>11</v>
      </c>
      <c r="K145" s="59">
        <v>45741.0</v>
      </c>
      <c r="L145" s="71" t="s">
        <v>132</v>
      </c>
      <c r="M145" s="71" t="s">
        <v>19</v>
      </c>
      <c r="N145" s="71" t="str">
        <f>IFERROR(__xludf.DUMMYFUNCTION("""COMPUTED_VALUE"""),"")</f>
        <v/>
      </c>
      <c r="O145" s="71" t="str">
        <f>IFERROR(__xludf.DUMMYFUNCTION("""COMPUTED_VALUE"""),"")</f>
        <v/>
      </c>
      <c r="P145" s="71" t="str">
        <f>IFERROR(__xludf.DUMMYFUNCTION("""COMPUTED_VALUE"""),"")</f>
        <v/>
      </c>
    </row>
    <row r="146">
      <c r="A146" s="58">
        <v>45743.761775</v>
      </c>
      <c r="B146" s="71" t="s">
        <v>167</v>
      </c>
      <c r="C146" s="71" t="b">
        <v>0</v>
      </c>
      <c r="E146" s="78"/>
      <c r="G146" s="78"/>
      <c r="H146" s="71">
        <v>96.0</v>
      </c>
      <c r="I146" s="80"/>
      <c r="J146" s="71" t="s">
        <v>11</v>
      </c>
      <c r="K146" s="59">
        <v>45741.0</v>
      </c>
      <c r="L146" s="71" t="s">
        <v>132</v>
      </c>
      <c r="M146" s="71" t="s">
        <v>18</v>
      </c>
      <c r="N146" s="71" t="str">
        <f>IFERROR(__xludf.DUMMYFUNCTION("""COMPUTED_VALUE"""),"")</f>
        <v/>
      </c>
      <c r="O146" s="71" t="str">
        <f>IFERROR(__xludf.DUMMYFUNCTION("""COMPUTED_VALUE"""),"")</f>
        <v/>
      </c>
      <c r="P146" s="71" t="str">
        <f>IFERROR(__xludf.DUMMYFUNCTION("""COMPUTED_VALUE"""),"")</f>
        <v/>
      </c>
    </row>
    <row r="147">
      <c r="A147" s="58">
        <v>45741.87562347222</v>
      </c>
      <c r="B147" s="71" t="s">
        <v>149</v>
      </c>
      <c r="C147" s="71" t="b">
        <v>0</v>
      </c>
      <c r="E147" s="78"/>
      <c r="G147" s="78"/>
      <c r="H147" s="71">
        <v>149.0</v>
      </c>
      <c r="I147" s="80"/>
      <c r="J147" s="71" t="s">
        <v>12</v>
      </c>
      <c r="K147" s="59">
        <v>45741.0</v>
      </c>
      <c r="L147" s="71" t="s">
        <v>132</v>
      </c>
      <c r="M147" s="71" t="s">
        <v>19</v>
      </c>
      <c r="N147" s="71">
        <f>IFERROR(__xludf.DUMMYFUNCTION("""COMPUTED_VALUE"""),96.0)</f>
        <v>96</v>
      </c>
      <c r="O147" s="71">
        <f>IFERROR(__xludf.DUMMYFUNCTION("""COMPUTED_VALUE"""),332.0)</f>
        <v>332</v>
      </c>
      <c r="P147" s="71">
        <f>IFERROR(__xludf.DUMMYFUNCTION("""COMPUTED_VALUE"""),428.0)</f>
        <v>428</v>
      </c>
    </row>
    <row r="148">
      <c r="A148" s="58">
        <v>45742.44171628472</v>
      </c>
      <c r="B148" s="71" t="s">
        <v>170</v>
      </c>
      <c r="C148" s="71" t="b">
        <v>0</v>
      </c>
      <c r="E148" s="78"/>
      <c r="G148" s="78"/>
      <c r="H148" s="71">
        <v>80.0</v>
      </c>
      <c r="I148" s="80"/>
      <c r="J148" s="71" t="s">
        <v>10</v>
      </c>
      <c r="K148" s="59">
        <v>45742.0</v>
      </c>
      <c r="L148" s="71" t="s">
        <v>135</v>
      </c>
      <c r="M148" s="71" t="s">
        <v>19</v>
      </c>
      <c r="N148" s="71" t="str">
        <f>IFERROR(__xludf.DUMMYFUNCTION("""COMPUTED_VALUE"""),"")</f>
        <v/>
      </c>
      <c r="O148" s="71" t="str">
        <f>IFERROR(__xludf.DUMMYFUNCTION("""COMPUTED_VALUE"""),"")</f>
        <v/>
      </c>
      <c r="P148" s="71" t="str">
        <f>IFERROR(__xludf.DUMMYFUNCTION("""COMPUTED_VALUE"""),"")</f>
        <v/>
      </c>
    </row>
    <row r="149">
      <c r="A149" s="58">
        <v>45742.6471233449</v>
      </c>
      <c r="B149" s="71" t="s">
        <v>153</v>
      </c>
      <c r="C149" s="71" t="b">
        <v>0</v>
      </c>
      <c r="E149" s="78"/>
      <c r="G149" s="78"/>
      <c r="H149" s="71">
        <v>99.0</v>
      </c>
      <c r="I149" s="80"/>
      <c r="J149" s="71" t="s">
        <v>11</v>
      </c>
      <c r="K149" s="59">
        <v>45742.0</v>
      </c>
      <c r="L149" s="71" t="s">
        <v>135</v>
      </c>
      <c r="M149" s="71" t="s">
        <v>19</v>
      </c>
      <c r="N149" s="71" t="str">
        <f>IFERROR(__xludf.DUMMYFUNCTION("""COMPUTED_VALUE"""),"")</f>
        <v/>
      </c>
      <c r="O149" s="71" t="str">
        <f>IFERROR(__xludf.DUMMYFUNCTION("""COMPUTED_VALUE"""),"")</f>
        <v/>
      </c>
      <c r="P149" s="71" t="str">
        <f>IFERROR(__xludf.DUMMYFUNCTION("""COMPUTED_VALUE"""),"")</f>
        <v/>
      </c>
    </row>
    <row r="150">
      <c r="A150" s="58">
        <v>45742.72214975695</v>
      </c>
      <c r="B150" s="71" t="s">
        <v>171</v>
      </c>
      <c r="C150" s="71" t="b">
        <v>0</v>
      </c>
      <c r="E150" s="78"/>
      <c r="G150" s="78"/>
      <c r="H150" s="71">
        <v>52.0</v>
      </c>
      <c r="I150" s="80"/>
      <c r="J150" s="71" t="s">
        <v>11</v>
      </c>
      <c r="K150" s="59">
        <v>45742.0</v>
      </c>
      <c r="L150" s="71" t="s">
        <v>135</v>
      </c>
      <c r="M150" s="71" t="s">
        <v>18</v>
      </c>
      <c r="N150" s="71" t="str">
        <f>IFERROR(__xludf.DUMMYFUNCTION("""COMPUTED_VALUE"""),"")</f>
        <v/>
      </c>
      <c r="O150" s="71" t="str">
        <f>IFERROR(__xludf.DUMMYFUNCTION("""COMPUTED_VALUE"""),"")</f>
        <v/>
      </c>
      <c r="P150" s="71" t="str">
        <f>IFERROR(__xludf.DUMMYFUNCTION("""COMPUTED_VALUE"""),"")</f>
        <v/>
      </c>
    </row>
    <row r="151">
      <c r="A151" s="58">
        <v>45742.86914434028</v>
      </c>
      <c r="B151" s="71" t="s">
        <v>168</v>
      </c>
      <c r="C151" s="71" t="b">
        <v>0</v>
      </c>
      <c r="E151" s="78"/>
      <c r="G151" s="78"/>
      <c r="H151" s="71">
        <v>177.0</v>
      </c>
      <c r="I151" s="80"/>
      <c r="J151" s="71" t="s">
        <v>12</v>
      </c>
      <c r="K151" s="59">
        <v>45742.0</v>
      </c>
      <c r="L151" s="71" t="s">
        <v>135</v>
      </c>
      <c r="M151" s="71" t="s">
        <v>18</v>
      </c>
      <c r="N151" s="71" t="str">
        <f>IFERROR(__xludf.DUMMYFUNCTION("""COMPUTED_VALUE"""),"")</f>
        <v/>
      </c>
      <c r="O151" s="71" t="str">
        <f>IFERROR(__xludf.DUMMYFUNCTION("""COMPUTED_VALUE"""),"")</f>
        <v/>
      </c>
      <c r="P151" s="71" t="str">
        <f>IFERROR(__xludf.DUMMYFUNCTION("""COMPUTED_VALUE"""),"")</f>
        <v/>
      </c>
    </row>
    <row r="152">
      <c r="A152" s="58">
        <v>45742.87414686343</v>
      </c>
      <c r="B152" s="71" t="s">
        <v>174</v>
      </c>
      <c r="C152" s="71" t="b">
        <v>0</v>
      </c>
      <c r="E152" s="78"/>
      <c r="G152" s="78"/>
      <c r="H152" s="71">
        <v>108.0</v>
      </c>
      <c r="I152" s="80"/>
      <c r="J152" s="71" t="s">
        <v>12</v>
      </c>
      <c r="K152" s="59">
        <v>45742.0</v>
      </c>
      <c r="L152" s="71" t="s">
        <v>135</v>
      </c>
      <c r="M152" s="71" t="s">
        <v>19</v>
      </c>
      <c r="N152" s="71">
        <f>IFERROR(__xludf.DUMMYFUNCTION("""COMPUTED_VALUE"""),229.0)</f>
        <v>229</v>
      </c>
      <c r="O152" s="71">
        <f>IFERROR(__xludf.DUMMYFUNCTION("""COMPUTED_VALUE"""),287.0)</f>
        <v>287</v>
      </c>
      <c r="P152" s="71">
        <f>IFERROR(__xludf.DUMMYFUNCTION("""COMPUTED_VALUE"""),516.0)</f>
        <v>516</v>
      </c>
    </row>
    <row r="153">
      <c r="A153" s="58">
        <v>45743.54629245371</v>
      </c>
      <c r="B153" s="71" t="s">
        <v>136</v>
      </c>
      <c r="C153" s="71" t="b">
        <v>0</v>
      </c>
      <c r="E153" s="78"/>
      <c r="G153" s="78"/>
      <c r="H153" s="71">
        <v>62.0</v>
      </c>
      <c r="I153" s="80"/>
      <c r="J153" s="71" t="s">
        <v>10</v>
      </c>
      <c r="K153" s="59">
        <v>45743.0</v>
      </c>
      <c r="L153" s="71" t="s">
        <v>137</v>
      </c>
      <c r="M153" s="71" t="s">
        <v>19</v>
      </c>
      <c r="N153" s="71" t="str">
        <f>IFERROR(__xludf.DUMMYFUNCTION("""COMPUTED_VALUE"""),"")</f>
        <v/>
      </c>
      <c r="O153" s="71" t="str">
        <f>IFERROR(__xludf.DUMMYFUNCTION("""COMPUTED_VALUE"""),"")</f>
        <v/>
      </c>
      <c r="P153" s="71" t="str">
        <f>IFERROR(__xludf.DUMMYFUNCTION("""COMPUTED_VALUE"""),"")</f>
        <v/>
      </c>
    </row>
    <row r="154">
      <c r="A154" s="58">
        <v>45743.62253017361</v>
      </c>
      <c r="B154" s="71" t="s">
        <v>175</v>
      </c>
      <c r="C154" s="71" t="b">
        <v>0</v>
      </c>
      <c r="E154" s="78"/>
      <c r="G154" s="78"/>
      <c r="H154" s="71">
        <v>114.0</v>
      </c>
      <c r="I154" s="80"/>
      <c r="J154" s="71" t="s">
        <v>11</v>
      </c>
      <c r="K154" s="59">
        <v>45743.0</v>
      </c>
      <c r="L154" s="71" t="s">
        <v>137</v>
      </c>
      <c r="M154" s="71" t="s">
        <v>19</v>
      </c>
      <c r="N154" s="71" t="str">
        <f>IFERROR(__xludf.DUMMYFUNCTION("""COMPUTED_VALUE"""),"")</f>
        <v/>
      </c>
      <c r="O154" s="71" t="str">
        <f>IFERROR(__xludf.DUMMYFUNCTION("""COMPUTED_VALUE"""),"")</f>
        <v/>
      </c>
      <c r="P154" s="71" t="str">
        <f>IFERROR(__xludf.DUMMYFUNCTION("""COMPUTED_VALUE"""),"")</f>
        <v/>
      </c>
    </row>
    <row r="155">
      <c r="A155" s="58">
        <v>45743.8444322338</v>
      </c>
      <c r="B155" s="71" t="s">
        <v>171</v>
      </c>
      <c r="C155" s="71" t="b">
        <v>0</v>
      </c>
      <c r="E155" s="78"/>
      <c r="G155" s="78"/>
      <c r="H155" s="71">
        <v>82.0</v>
      </c>
      <c r="I155" s="80"/>
      <c r="J155" s="71" t="s">
        <v>12</v>
      </c>
      <c r="K155" s="59">
        <v>45743.0</v>
      </c>
      <c r="L155" s="71" t="s">
        <v>137</v>
      </c>
      <c r="M155" s="71" t="s">
        <v>18</v>
      </c>
      <c r="N155" s="71" t="str">
        <f>IFERROR(__xludf.DUMMYFUNCTION("""COMPUTED_VALUE"""),"")</f>
        <v/>
      </c>
      <c r="O155" s="71" t="str">
        <f>IFERROR(__xludf.DUMMYFUNCTION("""COMPUTED_VALUE"""),"")</f>
        <v/>
      </c>
      <c r="P155" s="71" t="str">
        <f>IFERROR(__xludf.DUMMYFUNCTION("""COMPUTED_VALUE"""),"")</f>
        <v/>
      </c>
    </row>
    <row r="156">
      <c r="A156" s="58">
        <v>45743.87390974537</v>
      </c>
      <c r="B156" s="71" t="s">
        <v>174</v>
      </c>
      <c r="C156" s="71" t="b">
        <v>0</v>
      </c>
      <c r="E156" s="78"/>
      <c r="G156" s="78"/>
      <c r="H156" s="71">
        <v>122.0</v>
      </c>
      <c r="I156" s="80"/>
      <c r="J156" s="71" t="s">
        <v>12</v>
      </c>
      <c r="K156" s="59">
        <v>45743.0</v>
      </c>
      <c r="L156" s="71" t="s">
        <v>137</v>
      </c>
      <c r="M156" s="71" t="s">
        <v>19</v>
      </c>
      <c r="N156" s="71" t="str">
        <f>IFERROR(__xludf.DUMMYFUNCTION("""COMPUTED_VALUE"""),"")</f>
        <v/>
      </c>
      <c r="O156" s="71" t="str">
        <f>IFERROR(__xludf.DUMMYFUNCTION("""COMPUTED_VALUE"""),"")</f>
        <v/>
      </c>
      <c r="P156" s="71" t="str">
        <f>IFERROR(__xludf.DUMMYFUNCTION("""COMPUTED_VALUE"""),"")</f>
        <v/>
      </c>
    </row>
    <row r="157">
      <c r="A157" s="58">
        <v>45743.89451269676</v>
      </c>
      <c r="B157" s="71" t="s">
        <v>172</v>
      </c>
      <c r="C157" s="71" t="b">
        <v>0</v>
      </c>
      <c r="E157" s="78"/>
      <c r="G157" s="78"/>
      <c r="H157" s="71">
        <v>115.0</v>
      </c>
      <c r="I157" s="80"/>
      <c r="J157" s="71" t="s">
        <v>11</v>
      </c>
      <c r="K157" s="59">
        <v>45743.0</v>
      </c>
      <c r="L157" s="71" t="s">
        <v>137</v>
      </c>
      <c r="M157" s="71" t="s">
        <v>18</v>
      </c>
      <c r="N157" s="71">
        <f>IFERROR(__xludf.DUMMYFUNCTION("""COMPUTED_VALUE"""),197.0)</f>
        <v>197</v>
      </c>
      <c r="O157" s="71">
        <f>IFERROR(__xludf.DUMMYFUNCTION("""COMPUTED_VALUE"""),298.0)</f>
        <v>298</v>
      </c>
      <c r="P157" s="71">
        <f>IFERROR(__xludf.DUMMYFUNCTION("""COMPUTED_VALUE"""),495.0)</f>
        <v>495</v>
      </c>
    </row>
    <row r="158">
      <c r="A158" s="58">
        <v>45744.45713811342</v>
      </c>
      <c r="B158" s="71" t="s">
        <v>136</v>
      </c>
      <c r="C158" s="71" t="b">
        <v>0</v>
      </c>
      <c r="E158" s="78"/>
      <c r="G158" s="78"/>
      <c r="H158" s="71">
        <v>53.0</v>
      </c>
      <c r="I158" s="80"/>
      <c r="J158" s="71" t="s">
        <v>10</v>
      </c>
      <c r="K158" s="59">
        <v>45744.0</v>
      </c>
      <c r="L158" s="71" t="s">
        <v>138</v>
      </c>
      <c r="M158" s="71" t="s">
        <v>19</v>
      </c>
      <c r="N158" s="71" t="str">
        <f>IFERROR(__xludf.DUMMYFUNCTION("""COMPUTED_VALUE"""),"")</f>
        <v/>
      </c>
      <c r="O158" s="71" t="str">
        <f>IFERROR(__xludf.DUMMYFUNCTION("""COMPUTED_VALUE"""),"")</f>
        <v/>
      </c>
      <c r="P158" s="71" t="str">
        <f>IFERROR(__xludf.DUMMYFUNCTION("""COMPUTED_VALUE"""),"")</f>
        <v/>
      </c>
    </row>
    <row r="159">
      <c r="A159" s="58">
        <v>45744.64870351852</v>
      </c>
      <c r="B159" s="71" t="s">
        <v>171</v>
      </c>
      <c r="C159" s="71" t="b">
        <v>0</v>
      </c>
      <c r="E159" s="78"/>
      <c r="G159" s="78"/>
      <c r="H159" s="71">
        <v>161.0</v>
      </c>
      <c r="I159" s="80"/>
      <c r="J159" s="71" t="s">
        <v>11</v>
      </c>
      <c r="K159" s="59">
        <v>45744.0</v>
      </c>
      <c r="L159" s="71" t="s">
        <v>138</v>
      </c>
      <c r="M159" s="71" t="s">
        <v>18</v>
      </c>
      <c r="N159" s="71" t="str">
        <f>IFERROR(__xludf.DUMMYFUNCTION("""COMPUTED_VALUE"""),"")</f>
        <v/>
      </c>
      <c r="O159" s="71" t="str">
        <f>IFERROR(__xludf.DUMMYFUNCTION("""COMPUTED_VALUE"""),"")</f>
        <v/>
      </c>
      <c r="P159" s="71" t="str">
        <f>IFERROR(__xludf.DUMMYFUNCTION("""COMPUTED_VALUE"""),"")</f>
        <v/>
      </c>
    </row>
    <row r="160">
      <c r="A160" s="58">
        <v>45744.83349908565</v>
      </c>
      <c r="B160" s="71" t="s">
        <v>149</v>
      </c>
      <c r="C160" s="71" t="b">
        <v>0</v>
      </c>
      <c r="E160" s="78"/>
      <c r="G160" s="78"/>
      <c r="H160" s="71">
        <v>231.0</v>
      </c>
      <c r="I160" s="80"/>
      <c r="J160" s="71" t="s">
        <v>12</v>
      </c>
      <c r="K160" s="59">
        <v>45744.0</v>
      </c>
      <c r="L160" s="71" t="s">
        <v>138</v>
      </c>
      <c r="M160" s="71" t="s">
        <v>18</v>
      </c>
      <c r="N160" s="71">
        <f>IFERROR(__xludf.DUMMYFUNCTION("""COMPUTED_VALUE"""),392.0)</f>
        <v>392</v>
      </c>
      <c r="O160" s="71">
        <f>IFERROR(__xludf.DUMMYFUNCTION("""COMPUTED_VALUE"""),53.0)</f>
        <v>53</v>
      </c>
      <c r="P160" s="71">
        <f>IFERROR(__xludf.DUMMYFUNCTION("""COMPUTED_VALUE"""),445.0)</f>
        <v>445</v>
      </c>
    </row>
    <row r="161">
      <c r="A161" s="58">
        <v>45747.67351732639</v>
      </c>
      <c r="B161" s="71" t="s">
        <v>153</v>
      </c>
      <c r="C161" s="71" t="b">
        <v>0</v>
      </c>
      <c r="E161" s="78"/>
      <c r="G161" s="78"/>
      <c r="H161" s="71">
        <v>119.0</v>
      </c>
      <c r="I161" s="80"/>
      <c r="J161" s="71" t="s">
        <v>11</v>
      </c>
      <c r="K161" s="59">
        <v>45747.0</v>
      </c>
      <c r="L161" s="71" t="s">
        <v>129</v>
      </c>
      <c r="M161" s="71" t="s">
        <v>19</v>
      </c>
      <c r="N161" s="71" t="str">
        <f>IFERROR(__xludf.DUMMYFUNCTION("""COMPUTED_VALUE"""),"")</f>
        <v/>
      </c>
      <c r="O161" s="71" t="str">
        <f>IFERROR(__xludf.DUMMYFUNCTION("""COMPUTED_VALUE"""),"")</f>
        <v/>
      </c>
      <c r="P161" s="71" t="str">
        <f>IFERROR(__xludf.DUMMYFUNCTION("""COMPUTED_VALUE"""),"")</f>
        <v/>
      </c>
    </row>
    <row r="162">
      <c r="A162" s="58">
        <v>45747.75040759259</v>
      </c>
      <c r="B162" s="71" t="s">
        <v>173</v>
      </c>
      <c r="C162" s="71" t="b">
        <v>0</v>
      </c>
      <c r="E162" s="78"/>
      <c r="G162" s="78"/>
      <c r="H162" s="71">
        <v>32.0</v>
      </c>
      <c r="I162" s="80"/>
      <c r="J162" s="71" t="s">
        <v>11</v>
      </c>
      <c r="K162" s="59">
        <v>45747.0</v>
      </c>
      <c r="L162" s="71" t="s">
        <v>129</v>
      </c>
      <c r="M162" s="71" t="s">
        <v>18</v>
      </c>
      <c r="N162" s="71" t="str">
        <f>IFERROR(__xludf.DUMMYFUNCTION("""COMPUTED_VALUE"""),"")</f>
        <v/>
      </c>
      <c r="O162" s="71" t="str">
        <f>IFERROR(__xludf.DUMMYFUNCTION("""COMPUTED_VALUE"""),"")</f>
        <v/>
      </c>
      <c r="P162" s="71" t="str">
        <f>IFERROR(__xludf.DUMMYFUNCTION("""COMPUTED_VALUE"""),"")</f>
        <v/>
      </c>
    </row>
    <row r="163">
      <c r="A163" s="58">
        <v>45747.75127938658</v>
      </c>
      <c r="B163" s="71" t="s">
        <v>173</v>
      </c>
      <c r="C163" s="71" t="b">
        <v>0</v>
      </c>
      <c r="E163" s="78"/>
      <c r="G163" s="78"/>
      <c r="H163" s="71">
        <v>58.0</v>
      </c>
      <c r="I163" s="80"/>
      <c r="J163" s="71" t="s">
        <v>11</v>
      </c>
      <c r="K163" s="59">
        <v>45747.0</v>
      </c>
      <c r="L163" s="71" t="s">
        <v>129</v>
      </c>
      <c r="M163" s="71" t="s">
        <v>18</v>
      </c>
      <c r="N163" s="71" t="str">
        <f>IFERROR(__xludf.DUMMYFUNCTION("""COMPUTED_VALUE"""),"")</f>
        <v/>
      </c>
      <c r="O163" s="71" t="str">
        <f>IFERROR(__xludf.DUMMYFUNCTION("""COMPUTED_VALUE"""),"")</f>
        <v/>
      </c>
      <c r="P163" s="71" t="str">
        <f>IFERROR(__xludf.DUMMYFUNCTION("""COMPUTED_VALUE"""),"")</f>
        <v/>
      </c>
    </row>
    <row r="164">
      <c r="A164" s="58">
        <v>45747.86790283565</v>
      </c>
      <c r="B164" s="71" t="s">
        <v>168</v>
      </c>
      <c r="C164" s="71" t="b">
        <v>0</v>
      </c>
      <c r="E164" s="78"/>
      <c r="G164" s="78"/>
      <c r="H164" s="71">
        <v>123.0</v>
      </c>
      <c r="I164" s="80"/>
      <c r="J164" s="71" t="s">
        <v>12</v>
      </c>
      <c r="K164" s="59">
        <v>45747.0</v>
      </c>
      <c r="L164" s="71" t="s">
        <v>129</v>
      </c>
      <c r="M164" s="71" t="s">
        <v>18</v>
      </c>
      <c r="N164" s="71" t="str">
        <f>IFERROR(__xludf.DUMMYFUNCTION("""COMPUTED_VALUE"""),"")</f>
        <v/>
      </c>
      <c r="O164" s="71" t="str">
        <f>IFERROR(__xludf.DUMMYFUNCTION("""COMPUTED_VALUE"""),"")</f>
        <v/>
      </c>
      <c r="P164" s="71" t="str">
        <f>IFERROR(__xludf.DUMMYFUNCTION("""COMPUTED_VALUE"""),"")</f>
        <v/>
      </c>
    </row>
    <row r="165">
      <c r="A165" s="58">
        <v>45747.87724680555</v>
      </c>
      <c r="B165" s="71" t="s">
        <v>149</v>
      </c>
      <c r="C165" s="71" t="b">
        <v>0</v>
      </c>
      <c r="E165" s="78"/>
      <c r="G165" s="78"/>
      <c r="H165" s="71">
        <v>178.0</v>
      </c>
      <c r="I165" s="80"/>
      <c r="J165" s="71" t="s">
        <v>12</v>
      </c>
      <c r="K165" s="59">
        <v>45747.0</v>
      </c>
      <c r="L165" s="71" t="s">
        <v>129</v>
      </c>
      <c r="M165" s="71" t="s">
        <v>19</v>
      </c>
      <c r="N165" s="71" t="str">
        <f>IFERROR(__xludf.DUMMYFUNCTION("""COMPUTED_VALUE"""),"")</f>
        <v/>
      </c>
      <c r="O165" s="71" t="str">
        <f>IFERROR(__xludf.DUMMYFUNCTION("""COMPUTED_VALUE"""),"")</f>
        <v/>
      </c>
      <c r="P165" s="71" t="str">
        <f>IFERROR(__xludf.DUMMYFUNCTION("""COMPUTED_VALUE"""),"")</f>
        <v/>
      </c>
    </row>
    <row r="166">
      <c r="A166" s="58">
        <v>45747.97479982639</v>
      </c>
      <c r="B166" s="71" t="s">
        <v>170</v>
      </c>
      <c r="C166" s="71" t="b">
        <v>0</v>
      </c>
      <c r="E166" s="78"/>
      <c r="G166" s="78"/>
      <c r="H166" s="71">
        <v>84.0</v>
      </c>
      <c r="I166" s="80"/>
      <c r="J166" s="71" t="s">
        <v>10</v>
      </c>
      <c r="K166" s="59">
        <v>45747.0</v>
      </c>
      <c r="L166" s="71" t="s">
        <v>129</v>
      </c>
      <c r="M166" s="71" t="s">
        <v>19</v>
      </c>
      <c r="N166" s="71">
        <f>IFERROR(__xludf.DUMMYFUNCTION("""COMPUTED_VALUE"""),213.0)</f>
        <v>213</v>
      </c>
      <c r="O166" s="71">
        <f>IFERROR(__xludf.DUMMYFUNCTION("""COMPUTED_VALUE"""),381.0)</f>
        <v>381</v>
      </c>
      <c r="P166" s="71">
        <f>IFERROR(__xludf.DUMMYFUNCTION("""COMPUTED_VALUE"""),594.0)</f>
        <v>594</v>
      </c>
    </row>
    <row r="167">
      <c r="A167" s="58">
        <v>45748.48252524305</v>
      </c>
      <c r="B167" s="71" t="s">
        <v>167</v>
      </c>
      <c r="C167" s="71" t="b">
        <v>0</v>
      </c>
      <c r="E167" s="78"/>
      <c r="G167" s="78"/>
      <c r="H167" s="71">
        <v>62.0</v>
      </c>
      <c r="I167" s="80"/>
      <c r="J167" s="71" t="s">
        <v>10</v>
      </c>
      <c r="K167" s="59">
        <v>45748.0</v>
      </c>
      <c r="L167" s="71" t="s">
        <v>132</v>
      </c>
      <c r="M167" s="71" t="s">
        <v>19</v>
      </c>
      <c r="N167" s="71" t="str">
        <f>IFERROR(__xludf.DUMMYFUNCTION("""COMPUTED_VALUE"""),"")</f>
        <v/>
      </c>
      <c r="O167" s="71" t="str">
        <f>IFERROR(__xludf.DUMMYFUNCTION("""COMPUTED_VALUE"""),"")</f>
        <v/>
      </c>
      <c r="P167" s="71" t="str">
        <f>IFERROR(__xludf.DUMMYFUNCTION("""COMPUTED_VALUE"""),"")</f>
        <v/>
      </c>
    </row>
    <row r="168">
      <c r="A168" s="58">
        <v>45748.6211665162</v>
      </c>
      <c r="B168" s="71" t="s">
        <v>148</v>
      </c>
      <c r="C168" s="71" t="b">
        <v>0</v>
      </c>
      <c r="E168" s="78"/>
      <c r="G168" s="78"/>
      <c r="H168" s="71">
        <v>115.0</v>
      </c>
      <c r="I168" s="80"/>
      <c r="J168" s="71" t="s">
        <v>11</v>
      </c>
      <c r="K168" s="59">
        <v>45748.0</v>
      </c>
      <c r="L168" s="71" t="s">
        <v>132</v>
      </c>
      <c r="M168" s="71" t="s">
        <v>19</v>
      </c>
      <c r="N168" s="71" t="str">
        <f>IFERROR(__xludf.DUMMYFUNCTION("""COMPUTED_VALUE"""),"")</f>
        <v/>
      </c>
      <c r="O168" s="71" t="str">
        <f>IFERROR(__xludf.DUMMYFUNCTION("""COMPUTED_VALUE"""),"")</f>
        <v/>
      </c>
      <c r="P168" s="71" t="str">
        <f>IFERROR(__xludf.DUMMYFUNCTION("""COMPUTED_VALUE"""),"")</f>
        <v/>
      </c>
    </row>
    <row r="169">
      <c r="A169" s="58">
        <v>45748.63233587963</v>
      </c>
      <c r="B169" s="71" t="s">
        <v>167</v>
      </c>
      <c r="C169" s="71" t="b">
        <v>0</v>
      </c>
      <c r="E169" s="78"/>
      <c r="G169" s="78"/>
      <c r="H169" s="71">
        <v>120.0</v>
      </c>
      <c r="I169" s="80"/>
      <c r="J169" s="71" t="s">
        <v>11</v>
      </c>
      <c r="K169" s="59">
        <v>45748.0</v>
      </c>
      <c r="L169" s="71" t="s">
        <v>132</v>
      </c>
      <c r="M169" s="71" t="s">
        <v>18</v>
      </c>
      <c r="N169" s="71" t="str">
        <f>IFERROR(__xludf.DUMMYFUNCTION("""COMPUTED_VALUE"""),"")</f>
        <v/>
      </c>
      <c r="O169" s="71" t="str">
        <f>IFERROR(__xludf.DUMMYFUNCTION("""COMPUTED_VALUE"""),"")</f>
        <v/>
      </c>
      <c r="P169" s="71" t="str">
        <f>IFERROR(__xludf.DUMMYFUNCTION("""COMPUTED_VALUE"""),"")</f>
        <v/>
      </c>
    </row>
    <row r="170">
      <c r="A170" s="58">
        <v>45748.8772428125</v>
      </c>
      <c r="B170" s="71" t="s">
        <v>149</v>
      </c>
      <c r="C170" s="71" t="b">
        <v>0</v>
      </c>
      <c r="E170" s="78"/>
      <c r="G170" s="78"/>
      <c r="H170" s="71">
        <v>151.0</v>
      </c>
      <c r="I170" s="80"/>
      <c r="J170" s="71" t="s">
        <v>12</v>
      </c>
      <c r="K170" s="59">
        <v>45748.0</v>
      </c>
      <c r="L170" s="71" t="s">
        <v>132</v>
      </c>
      <c r="M170" s="71" t="s">
        <v>19</v>
      </c>
      <c r="N170" s="71">
        <f>IFERROR(__xludf.DUMMYFUNCTION("""COMPUTED_VALUE"""),120.0)</f>
        <v>120</v>
      </c>
      <c r="O170" s="71">
        <f>IFERROR(__xludf.DUMMYFUNCTION("""COMPUTED_VALUE"""),328.0)</f>
        <v>328</v>
      </c>
      <c r="P170" s="71">
        <f>IFERROR(__xludf.DUMMYFUNCTION("""COMPUTED_VALUE"""),448.0)</f>
        <v>448</v>
      </c>
    </row>
    <row r="171">
      <c r="A171" s="58">
        <v>45749.43951292824</v>
      </c>
      <c r="B171" s="71" t="s">
        <v>170</v>
      </c>
      <c r="C171" s="71" t="b">
        <v>0</v>
      </c>
      <c r="E171" s="78"/>
      <c r="G171" s="78"/>
      <c r="H171" s="71">
        <v>71.0</v>
      </c>
      <c r="I171" s="80"/>
      <c r="J171" s="71" t="s">
        <v>10</v>
      </c>
      <c r="K171" s="59">
        <v>45749.0</v>
      </c>
      <c r="L171" s="71" t="s">
        <v>135</v>
      </c>
      <c r="M171" s="71" t="s">
        <v>19</v>
      </c>
      <c r="N171" s="71" t="str">
        <f>IFERROR(__xludf.DUMMYFUNCTION("""COMPUTED_VALUE"""),"")</f>
        <v/>
      </c>
      <c r="O171" s="71" t="str">
        <f>IFERROR(__xludf.DUMMYFUNCTION("""COMPUTED_VALUE"""),"")</f>
        <v/>
      </c>
      <c r="P171" s="71" t="str">
        <f>IFERROR(__xludf.DUMMYFUNCTION("""COMPUTED_VALUE"""),"")</f>
        <v/>
      </c>
    </row>
    <row r="172">
      <c r="A172" s="58">
        <v>45749.78980157407</v>
      </c>
      <c r="B172" s="71" t="s">
        <v>171</v>
      </c>
      <c r="C172" s="71" t="b">
        <v>0</v>
      </c>
      <c r="E172" s="78"/>
      <c r="G172" s="78"/>
      <c r="H172" s="71">
        <v>73.0</v>
      </c>
      <c r="I172" s="80"/>
      <c r="J172" s="71" t="s">
        <v>11</v>
      </c>
      <c r="K172" s="59">
        <v>45749.0</v>
      </c>
      <c r="L172" s="71" t="s">
        <v>135</v>
      </c>
      <c r="M172" s="71" t="s">
        <v>18</v>
      </c>
      <c r="N172" s="71" t="str">
        <f>IFERROR(__xludf.DUMMYFUNCTION("""COMPUTED_VALUE"""),"")</f>
        <v/>
      </c>
      <c r="O172" s="71" t="str">
        <f>IFERROR(__xludf.DUMMYFUNCTION("""COMPUTED_VALUE"""),"")</f>
        <v/>
      </c>
      <c r="P172" s="71" t="str">
        <f>IFERROR(__xludf.DUMMYFUNCTION("""COMPUTED_VALUE"""),"")</f>
        <v/>
      </c>
    </row>
    <row r="173">
      <c r="A173" s="58">
        <v>45749.8730221412</v>
      </c>
      <c r="B173" s="71" t="s">
        <v>174</v>
      </c>
      <c r="C173" s="71" t="b">
        <v>0</v>
      </c>
      <c r="E173" s="78"/>
      <c r="G173" s="78"/>
      <c r="H173" s="71">
        <v>109.0</v>
      </c>
      <c r="I173" s="80"/>
      <c r="J173" s="71" t="s">
        <v>12</v>
      </c>
      <c r="K173" s="59">
        <v>45749.0</v>
      </c>
      <c r="L173" s="71" t="s">
        <v>135</v>
      </c>
      <c r="M173" s="71" t="s">
        <v>19</v>
      </c>
      <c r="N173" s="71" t="str">
        <f>IFERROR(__xludf.DUMMYFUNCTION("""COMPUTED_VALUE"""),"")</f>
        <v/>
      </c>
      <c r="O173" s="71" t="str">
        <f>IFERROR(__xludf.DUMMYFUNCTION("""COMPUTED_VALUE"""),"")</f>
        <v/>
      </c>
      <c r="P173" s="71" t="str">
        <f>IFERROR(__xludf.DUMMYFUNCTION("""COMPUTED_VALUE"""),"")</f>
        <v/>
      </c>
    </row>
    <row r="174">
      <c r="A174" s="58">
        <v>45750.41629440972</v>
      </c>
      <c r="B174" s="71" t="s">
        <v>136</v>
      </c>
      <c r="C174" s="71" t="b">
        <v>0</v>
      </c>
      <c r="E174" s="78"/>
      <c r="G174" s="78"/>
      <c r="H174" s="71">
        <v>70.0</v>
      </c>
      <c r="I174" s="80"/>
      <c r="J174" s="71" t="s">
        <v>10</v>
      </c>
      <c r="K174" s="59">
        <v>45749.0</v>
      </c>
      <c r="L174" s="71" t="s">
        <v>135</v>
      </c>
      <c r="M174" s="71" t="s">
        <v>19</v>
      </c>
      <c r="N174" s="71">
        <f>IFERROR(__xludf.DUMMYFUNCTION("""COMPUTED_VALUE"""),73.0)</f>
        <v>73</v>
      </c>
      <c r="O174" s="71">
        <f>IFERROR(__xludf.DUMMYFUNCTION("""COMPUTED_VALUE"""),250.0)</f>
        <v>250</v>
      </c>
      <c r="P174" s="71">
        <f>IFERROR(__xludf.DUMMYFUNCTION("""COMPUTED_VALUE"""),323.0)</f>
        <v>323</v>
      </c>
    </row>
    <row r="175">
      <c r="A175" s="58">
        <v>45750.55022025463</v>
      </c>
      <c r="B175" s="71" t="s">
        <v>173</v>
      </c>
      <c r="C175" s="71" t="b">
        <v>0</v>
      </c>
      <c r="E175" s="78"/>
      <c r="G175" s="78"/>
      <c r="H175" s="71">
        <v>60.0</v>
      </c>
      <c r="I175" s="80"/>
      <c r="J175" s="71" t="s">
        <v>11</v>
      </c>
      <c r="K175" s="59">
        <v>45750.0</v>
      </c>
      <c r="L175" s="71" t="s">
        <v>137</v>
      </c>
      <c r="M175" s="71" t="s">
        <v>18</v>
      </c>
      <c r="N175" s="71" t="str">
        <f>IFERROR(__xludf.DUMMYFUNCTION("""COMPUTED_VALUE"""),"")</f>
        <v/>
      </c>
      <c r="O175" s="71" t="str">
        <f>IFERROR(__xludf.DUMMYFUNCTION("""COMPUTED_VALUE"""),"")</f>
        <v/>
      </c>
      <c r="P175" s="71" t="str">
        <f>IFERROR(__xludf.DUMMYFUNCTION("""COMPUTED_VALUE"""),"")</f>
        <v/>
      </c>
    </row>
    <row r="176">
      <c r="A176" s="58">
        <v>45750.715476875</v>
      </c>
      <c r="B176" s="71" t="s">
        <v>172</v>
      </c>
      <c r="C176" s="71" t="b">
        <v>0</v>
      </c>
      <c r="E176" s="78"/>
      <c r="G176" s="78"/>
      <c r="H176" s="71">
        <v>90.0</v>
      </c>
      <c r="I176" s="80"/>
      <c r="J176" s="71" t="s">
        <v>11</v>
      </c>
      <c r="K176" s="59">
        <v>45750.0</v>
      </c>
      <c r="L176" s="71" t="s">
        <v>137</v>
      </c>
      <c r="M176" s="71" t="s">
        <v>18</v>
      </c>
      <c r="N176" s="71" t="str">
        <f>IFERROR(__xludf.DUMMYFUNCTION("""COMPUTED_VALUE"""),"")</f>
        <v/>
      </c>
      <c r="O176" s="71" t="str">
        <f>IFERROR(__xludf.DUMMYFUNCTION("""COMPUTED_VALUE"""),"")</f>
        <v/>
      </c>
      <c r="P176" s="71" t="str">
        <f>IFERROR(__xludf.DUMMYFUNCTION("""COMPUTED_VALUE"""),"")</f>
        <v/>
      </c>
    </row>
    <row r="177">
      <c r="A177" s="58">
        <v>45750.87069979167</v>
      </c>
      <c r="B177" s="71" t="s">
        <v>174</v>
      </c>
      <c r="C177" s="71" t="b">
        <v>0</v>
      </c>
      <c r="E177" s="78"/>
      <c r="G177" s="78"/>
      <c r="H177" s="71">
        <v>125.0</v>
      </c>
      <c r="I177" s="80"/>
      <c r="J177" s="71" t="s">
        <v>12</v>
      </c>
      <c r="K177" s="59">
        <v>45750.0</v>
      </c>
      <c r="L177" s="71" t="s">
        <v>137</v>
      </c>
      <c r="M177" s="71" t="s">
        <v>19</v>
      </c>
      <c r="N177" s="71" t="str">
        <f>IFERROR(__xludf.DUMMYFUNCTION("""COMPUTED_VALUE"""),"")</f>
        <v/>
      </c>
      <c r="O177" s="71" t="str">
        <f>IFERROR(__xludf.DUMMYFUNCTION("""COMPUTED_VALUE"""),"")</f>
        <v/>
      </c>
      <c r="P177" s="71" t="str">
        <f>IFERROR(__xludf.DUMMYFUNCTION("""COMPUTED_VALUE"""),"")</f>
        <v/>
      </c>
    </row>
    <row r="178">
      <c r="A178" s="58">
        <v>45751.57243150463</v>
      </c>
      <c r="B178" s="71" t="s">
        <v>172</v>
      </c>
      <c r="C178" s="71" t="b">
        <v>0</v>
      </c>
      <c r="E178" s="78"/>
      <c r="G178" s="78"/>
      <c r="H178" s="71">
        <v>90.0</v>
      </c>
      <c r="I178" s="80"/>
      <c r="J178" s="71" t="s">
        <v>11</v>
      </c>
      <c r="K178" s="59">
        <v>45750.0</v>
      </c>
      <c r="L178" s="71" t="s">
        <v>137</v>
      </c>
      <c r="M178" s="71" t="s">
        <v>18</v>
      </c>
      <c r="N178" s="71">
        <f>IFERROR(__xludf.DUMMYFUNCTION("""COMPUTED_VALUE"""),240.0)</f>
        <v>240</v>
      </c>
      <c r="O178" s="71">
        <f>IFERROR(__xludf.DUMMYFUNCTION("""COMPUTED_VALUE"""),125.0)</f>
        <v>125</v>
      </c>
      <c r="P178" s="71">
        <f>IFERROR(__xludf.DUMMYFUNCTION("""COMPUTED_VALUE"""),365.0)</f>
        <v>365</v>
      </c>
    </row>
    <row r="179">
      <c r="A179" s="58">
        <v>45751.80855782407</v>
      </c>
      <c r="B179" s="71" t="s">
        <v>171</v>
      </c>
      <c r="C179" s="71" t="b">
        <v>0</v>
      </c>
      <c r="E179" s="78"/>
      <c r="G179" s="78"/>
      <c r="H179" s="71">
        <v>136.0</v>
      </c>
      <c r="I179" s="80"/>
      <c r="J179" s="71" t="s">
        <v>11</v>
      </c>
      <c r="K179" s="59">
        <v>45751.0</v>
      </c>
      <c r="L179" s="71" t="s">
        <v>138</v>
      </c>
      <c r="M179" s="71" t="s">
        <v>18</v>
      </c>
      <c r="N179" s="71" t="str">
        <f>IFERROR(__xludf.DUMMYFUNCTION("""COMPUTED_VALUE"""),"")</f>
        <v/>
      </c>
      <c r="O179" s="71" t="str">
        <f>IFERROR(__xludf.DUMMYFUNCTION("""COMPUTED_VALUE"""),"")</f>
        <v/>
      </c>
      <c r="P179" s="71" t="str">
        <f>IFERROR(__xludf.DUMMYFUNCTION("""COMPUTED_VALUE"""),"")</f>
        <v/>
      </c>
    </row>
    <row r="180">
      <c r="A180" s="58">
        <v>45751.83854016204</v>
      </c>
      <c r="B180" s="71" t="s">
        <v>149</v>
      </c>
      <c r="C180" s="71" t="b">
        <v>0</v>
      </c>
      <c r="E180" s="78"/>
      <c r="G180" s="78"/>
      <c r="H180" s="71">
        <v>168.0</v>
      </c>
      <c r="I180" s="80"/>
      <c r="J180" s="71" t="s">
        <v>12</v>
      </c>
      <c r="K180" s="59">
        <v>45751.0</v>
      </c>
      <c r="L180" s="71" t="s">
        <v>138</v>
      </c>
      <c r="M180" s="71" t="s">
        <v>18</v>
      </c>
      <c r="N180" s="71" t="str">
        <f>IFERROR(__xludf.DUMMYFUNCTION("""COMPUTED_VALUE"""),"")</f>
        <v/>
      </c>
      <c r="O180" s="71" t="str">
        <f>IFERROR(__xludf.DUMMYFUNCTION("""COMPUTED_VALUE"""),"")</f>
        <v/>
      </c>
      <c r="P180" s="71" t="str">
        <f>IFERROR(__xludf.DUMMYFUNCTION("""COMPUTED_VALUE"""),"")</f>
        <v/>
      </c>
    </row>
    <row r="181">
      <c r="A181" s="58">
        <v>45751.84361133102</v>
      </c>
      <c r="B181" s="71" t="s">
        <v>172</v>
      </c>
      <c r="C181" s="71" t="b">
        <v>0</v>
      </c>
      <c r="E181" s="78"/>
      <c r="G181" s="78"/>
      <c r="H181" s="71">
        <v>100.0</v>
      </c>
      <c r="I181" s="80"/>
      <c r="J181" s="71" t="s">
        <v>11</v>
      </c>
      <c r="K181" s="59">
        <v>45751.0</v>
      </c>
      <c r="L181" s="71" t="s">
        <v>138</v>
      </c>
      <c r="M181" s="71" t="s">
        <v>19</v>
      </c>
      <c r="N181" s="71">
        <f>IFERROR(__xludf.DUMMYFUNCTION("""COMPUTED_VALUE"""),304.0)</f>
        <v>304</v>
      </c>
      <c r="O181" s="71">
        <f>IFERROR(__xludf.DUMMYFUNCTION("""COMPUTED_VALUE"""),100.0)</f>
        <v>100</v>
      </c>
      <c r="P181" s="71">
        <f>IFERROR(__xludf.DUMMYFUNCTION("""COMPUTED_VALUE"""),404.0)</f>
        <v>404</v>
      </c>
    </row>
    <row r="182">
      <c r="A182" s="58">
        <v>45754.45827891204</v>
      </c>
      <c r="B182" s="71" t="s">
        <v>170</v>
      </c>
      <c r="C182" s="71" t="b">
        <v>0</v>
      </c>
      <c r="E182" s="78"/>
      <c r="G182" s="78"/>
      <c r="H182" s="71">
        <v>76.0</v>
      </c>
      <c r="I182" s="80"/>
      <c r="J182" s="71" t="s">
        <v>10</v>
      </c>
      <c r="K182" s="59">
        <v>45754.0</v>
      </c>
      <c r="L182" s="71" t="s">
        <v>129</v>
      </c>
      <c r="M182" s="71" t="s">
        <v>19</v>
      </c>
      <c r="N182" s="71" t="str">
        <f>IFERROR(__xludf.DUMMYFUNCTION("""COMPUTED_VALUE"""),"")</f>
        <v/>
      </c>
      <c r="O182" s="71" t="str">
        <f>IFERROR(__xludf.DUMMYFUNCTION("""COMPUTED_VALUE"""),"")</f>
        <v/>
      </c>
      <c r="P182" s="71" t="str">
        <f>IFERROR(__xludf.DUMMYFUNCTION("""COMPUTED_VALUE"""),"")</f>
        <v/>
      </c>
    </row>
    <row r="183">
      <c r="A183" s="58">
        <v>45754.67129015047</v>
      </c>
      <c r="B183" s="71" t="s">
        <v>153</v>
      </c>
      <c r="C183" s="71" t="b">
        <v>0</v>
      </c>
      <c r="E183" s="78"/>
      <c r="G183" s="78"/>
      <c r="H183" s="71">
        <v>216.0</v>
      </c>
      <c r="I183" s="80"/>
      <c r="J183" s="71" t="s">
        <v>11</v>
      </c>
      <c r="K183" s="59">
        <v>45754.0</v>
      </c>
      <c r="L183" s="71" t="s">
        <v>129</v>
      </c>
      <c r="M183" s="71" t="s">
        <v>19</v>
      </c>
      <c r="N183" s="71" t="str">
        <f>IFERROR(__xludf.DUMMYFUNCTION("""COMPUTED_VALUE"""),"")</f>
        <v/>
      </c>
      <c r="O183" s="71" t="str">
        <f>IFERROR(__xludf.DUMMYFUNCTION("""COMPUTED_VALUE"""),"")</f>
        <v/>
      </c>
      <c r="P183" s="71" t="str">
        <f>IFERROR(__xludf.DUMMYFUNCTION("""COMPUTED_VALUE"""),"")</f>
        <v/>
      </c>
    </row>
    <row r="184">
      <c r="A184" s="58">
        <v>45754.70528375</v>
      </c>
      <c r="B184" s="71" t="s">
        <v>173</v>
      </c>
      <c r="C184" s="71" t="b">
        <v>0</v>
      </c>
      <c r="E184" s="78"/>
      <c r="G184" s="78"/>
      <c r="H184" s="71">
        <v>91.0</v>
      </c>
      <c r="I184" s="80"/>
      <c r="J184" s="71" t="s">
        <v>11</v>
      </c>
      <c r="K184" s="59">
        <v>45754.0</v>
      </c>
      <c r="L184" s="71" t="s">
        <v>129</v>
      </c>
      <c r="M184" s="71" t="s">
        <v>18</v>
      </c>
      <c r="N184" s="71" t="str">
        <f>IFERROR(__xludf.DUMMYFUNCTION("""COMPUTED_VALUE"""),"")</f>
        <v/>
      </c>
      <c r="O184" s="71" t="str">
        <f>IFERROR(__xludf.DUMMYFUNCTION("""COMPUTED_VALUE"""),"")</f>
        <v/>
      </c>
      <c r="P184" s="71" t="str">
        <f>IFERROR(__xludf.DUMMYFUNCTION("""COMPUTED_VALUE"""),"")</f>
        <v/>
      </c>
    </row>
    <row r="185">
      <c r="A185" s="58">
        <v>45754.8724421412</v>
      </c>
      <c r="B185" s="71" t="s">
        <v>168</v>
      </c>
      <c r="C185" s="71" t="b">
        <v>0</v>
      </c>
      <c r="E185" s="78"/>
      <c r="G185" s="78"/>
      <c r="H185" s="71">
        <v>93.0</v>
      </c>
      <c r="I185" s="80"/>
      <c r="J185" s="71" t="s">
        <v>12</v>
      </c>
      <c r="K185" s="59">
        <v>45754.0</v>
      </c>
      <c r="L185" s="71" t="s">
        <v>129</v>
      </c>
      <c r="M185" s="71" t="s">
        <v>18</v>
      </c>
      <c r="N185" s="71" t="str">
        <f>IFERROR(__xludf.DUMMYFUNCTION("""COMPUTED_VALUE"""),"")</f>
        <v/>
      </c>
      <c r="O185" s="71" t="str">
        <f>IFERROR(__xludf.DUMMYFUNCTION("""COMPUTED_VALUE"""),"")</f>
        <v/>
      </c>
      <c r="P185" s="71" t="str">
        <f>IFERROR(__xludf.DUMMYFUNCTION("""COMPUTED_VALUE"""),"")</f>
        <v/>
      </c>
    </row>
    <row r="186">
      <c r="A186" s="58">
        <v>45754.88418136574</v>
      </c>
      <c r="B186" s="71" t="s">
        <v>149</v>
      </c>
      <c r="C186" s="71" t="b">
        <v>0</v>
      </c>
      <c r="E186" s="78"/>
      <c r="G186" s="78"/>
      <c r="H186" s="71">
        <v>128.0</v>
      </c>
      <c r="I186" s="80"/>
      <c r="J186" s="71" t="s">
        <v>12</v>
      </c>
      <c r="K186" s="59">
        <v>45754.0</v>
      </c>
      <c r="L186" s="71" t="s">
        <v>129</v>
      </c>
      <c r="M186" s="71" t="s">
        <v>19</v>
      </c>
      <c r="N186" s="71">
        <f>IFERROR(__xludf.DUMMYFUNCTION("""COMPUTED_VALUE"""),184.0)</f>
        <v>184</v>
      </c>
      <c r="O186" s="71">
        <f>IFERROR(__xludf.DUMMYFUNCTION("""COMPUTED_VALUE"""),420.0)</f>
        <v>420</v>
      </c>
      <c r="P186" s="71">
        <f>IFERROR(__xludf.DUMMYFUNCTION("""COMPUTED_VALUE"""),604.0)</f>
        <v>604</v>
      </c>
    </row>
    <row r="187">
      <c r="A187" s="58">
        <v>45755.4839155787</v>
      </c>
      <c r="B187" s="71" t="s">
        <v>167</v>
      </c>
      <c r="C187" s="71" t="b">
        <v>0</v>
      </c>
      <c r="E187" s="78"/>
      <c r="G187" s="78"/>
      <c r="H187" s="71">
        <v>62.0</v>
      </c>
      <c r="I187" s="80"/>
      <c r="J187" s="71" t="s">
        <v>10</v>
      </c>
      <c r="K187" s="59">
        <v>45755.0</v>
      </c>
      <c r="L187" s="71" t="s">
        <v>132</v>
      </c>
      <c r="M187" s="71" t="s">
        <v>19</v>
      </c>
      <c r="N187" s="71" t="str">
        <f>IFERROR(__xludf.DUMMYFUNCTION("""COMPUTED_VALUE"""),"")</f>
        <v/>
      </c>
      <c r="O187" s="71" t="str">
        <f>IFERROR(__xludf.DUMMYFUNCTION("""COMPUTED_VALUE"""),"")</f>
        <v/>
      </c>
      <c r="P187" s="71" t="str">
        <f>IFERROR(__xludf.DUMMYFUNCTION("""COMPUTED_VALUE"""),"")</f>
        <v/>
      </c>
    </row>
    <row r="188">
      <c r="A188" s="58">
        <v>45755.62108011574</v>
      </c>
      <c r="B188" s="71" t="s">
        <v>148</v>
      </c>
      <c r="C188" s="71" t="b">
        <v>0</v>
      </c>
      <c r="E188" s="78"/>
      <c r="G188" s="78"/>
      <c r="H188" s="71">
        <v>120.0</v>
      </c>
      <c r="I188" s="80"/>
      <c r="J188" s="71" t="s">
        <v>11</v>
      </c>
      <c r="K188" s="59">
        <v>45755.0</v>
      </c>
      <c r="L188" s="71" t="s">
        <v>132</v>
      </c>
      <c r="M188" s="71" t="s">
        <v>19</v>
      </c>
      <c r="N188" s="71" t="str">
        <f>IFERROR(__xludf.DUMMYFUNCTION("""COMPUTED_VALUE"""),"")</f>
        <v/>
      </c>
      <c r="O188" s="71" t="str">
        <f>IFERROR(__xludf.DUMMYFUNCTION("""COMPUTED_VALUE"""),"")</f>
        <v/>
      </c>
      <c r="P188" s="71" t="str">
        <f>IFERROR(__xludf.DUMMYFUNCTION("""COMPUTED_VALUE"""),"")</f>
        <v/>
      </c>
    </row>
    <row r="189">
      <c r="A189" s="58">
        <v>45755.65064763889</v>
      </c>
      <c r="B189" s="71" t="s">
        <v>167</v>
      </c>
      <c r="C189" s="71" t="b">
        <v>0</v>
      </c>
      <c r="E189" s="78"/>
      <c r="G189" s="78"/>
      <c r="H189" s="71">
        <v>117.0</v>
      </c>
      <c r="I189" s="80"/>
      <c r="J189" s="71" t="s">
        <v>11</v>
      </c>
      <c r="K189" s="59">
        <v>45755.0</v>
      </c>
      <c r="L189" s="71" t="s">
        <v>132</v>
      </c>
      <c r="M189" s="71" t="s">
        <v>18</v>
      </c>
      <c r="N189" s="71" t="str">
        <f>IFERROR(__xludf.DUMMYFUNCTION("""COMPUTED_VALUE"""),"")</f>
        <v/>
      </c>
      <c r="O189" s="71" t="str">
        <f>IFERROR(__xludf.DUMMYFUNCTION("""COMPUTED_VALUE"""),"")</f>
        <v/>
      </c>
      <c r="P189" s="71" t="str">
        <f>IFERROR(__xludf.DUMMYFUNCTION("""COMPUTED_VALUE"""),"")</f>
        <v/>
      </c>
    </row>
    <row r="190">
      <c r="A190" s="58">
        <v>45755.86593456018</v>
      </c>
      <c r="B190" s="71" t="s">
        <v>149</v>
      </c>
      <c r="C190" s="71" t="b">
        <v>0</v>
      </c>
      <c r="E190" s="78"/>
      <c r="G190" s="78"/>
      <c r="H190" s="71">
        <v>152.0</v>
      </c>
      <c r="I190" s="80"/>
      <c r="J190" s="71" t="s">
        <v>12</v>
      </c>
      <c r="K190" s="59">
        <v>45755.0</v>
      </c>
      <c r="L190" s="71" t="s">
        <v>132</v>
      </c>
      <c r="M190" s="71" t="s">
        <v>19</v>
      </c>
      <c r="N190" s="71">
        <f>IFERROR(__xludf.DUMMYFUNCTION("""COMPUTED_VALUE"""),117.0)</f>
        <v>117</v>
      </c>
      <c r="O190" s="71">
        <f>IFERROR(__xludf.DUMMYFUNCTION("""COMPUTED_VALUE"""),334.0)</f>
        <v>334</v>
      </c>
      <c r="P190" s="71">
        <f>IFERROR(__xludf.DUMMYFUNCTION("""COMPUTED_VALUE"""),451.0)</f>
        <v>451</v>
      </c>
    </row>
    <row r="191">
      <c r="A191" s="58">
        <v>45756.43302230324</v>
      </c>
      <c r="B191" s="71" t="s">
        <v>170</v>
      </c>
      <c r="C191" s="71" t="b">
        <v>0</v>
      </c>
      <c r="E191" s="78"/>
      <c r="G191" s="78"/>
      <c r="H191" s="71">
        <v>57.0</v>
      </c>
      <c r="I191" s="80"/>
      <c r="J191" s="71" t="s">
        <v>10</v>
      </c>
      <c r="K191" s="59">
        <v>45756.0</v>
      </c>
      <c r="L191" s="71" t="s">
        <v>135</v>
      </c>
      <c r="M191" s="71" t="s">
        <v>19</v>
      </c>
      <c r="N191" s="71" t="str">
        <f>IFERROR(__xludf.DUMMYFUNCTION("""COMPUTED_VALUE"""),"")</f>
        <v/>
      </c>
      <c r="O191" s="71" t="str">
        <f>IFERROR(__xludf.DUMMYFUNCTION("""COMPUTED_VALUE"""),"")</f>
        <v/>
      </c>
      <c r="P191" s="71" t="str">
        <f>IFERROR(__xludf.DUMMYFUNCTION("""COMPUTED_VALUE"""),"")</f>
        <v/>
      </c>
    </row>
    <row r="192">
      <c r="A192" s="58">
        <v>45756.57003575232</v>
      </c>
      <c r="B192" s="71" t="s">
        <v>171</v>
      </c>
      <c r="C192" s="71" t="b">
        <v>0</v>
      </c>
      <c r="E192" s="78"/>
      <c r="G192" s="78"/>
      <c r="H192" s="71">
        <v>69.0</v>
      </c>
      <c r="I192" s="80"/>
      <c r="J192" s="71" t="s">
        <v>11</v>
      </c>
      <c r="K192" s="59">
        <v>45756.0</v>
      </c>
      <c r="L192" s="71" t="s">
        <v>135</v>
      </c>
      <c r="M192" s="71" t="s">
        <v>18</v>
      </c>
      <c r="N192" s="71" t="str">
        <f>IFERROR(__xludf.DUMMYFUNCTION("""COMPUTED_VALUE"""),"")</f>
        <v/>
      </c>
      <c r="O192" s="71" t="str">
        <f>IFERROR(__xludf.DUMMYFUNCTION("""COMPUTED_VALUE"""),"")</f>
        <v/>
      </c>
      <c r="P192" s="71" t="str">
        <f>IFERROR(__xludf.DUMMYFUNCTION("""COMPUTED_VALUE"""),"")</f>
        <v/>
      </c>
    </row>
    <row r="193">
      <c r="A193" s="58">
        <v>45756.64273908565</v>
      </c>
      <c r="B193" s="71" t="s">
        <v>173</v>
      </c>
      <c r="C193" s="71" t="b">
        <v>0</v>
      </c>
      <c r="E193" s="78"/>
      <c r="G193" s="78"/>
      <c r="H193" s="71">
        <v>40.0</v>
      </c>
      <c r="I193" s="80"/>
      <c r="J193" s="71" t="s">
        <v>11</v>
      </c>
      <c r="K193" s="59">
        <v>45756.0</v>
      </c>
      <c r="L193" s="71" t="s">
        <v>135</v>
      </c>
      <c r="M193" s="71" t="s">
        <v>18</v>
      </c>
      <c r="N193" s="71" t="str">
        <f>IFERROR(__xludf.DUMMYFUNCTION("""COMPUTED_VALUE"""),"")</f>
        <v/>
      </c>
      <c r="O193" s="71" t="str">
        <f>IFERROR(__xludf.DUMMYFUNCTION("""COMPUTED_VALUE"""),"")</f>
        <v/>
      </c>
      <c r="P193" s="71" t="str">
        <f>IFERROR(__xludf.DUMMYFUNCTION("""COMPUTED_VALUE"""),"")</f>
        <v/>
      </c>
    </row>
    <row r="194">
      <c r="A194" s="58">
        <v>45756.67275935185</v>
      </c>
      <c r="B194" s="71" t="s">
        <v>153</v>
      </c>
      <c r="C194" s="71" t="b">
        <v>0</v>
      </c>
      <c r="E194" s="78"/>
      <c r="G194" s="78"/>
      <c r="H194" s="71">
        <v>184.0</v>
      </c>
      <c r="I194" s="80"/>
      <c r="J194" s="71" t="s">
        <v>11</v>
      </c>
      <c r="K194" s="59">
        <v>45756.0</v>
      </c>
      <c r="L194" s="71" t="s">
        <v>135</v>
      </c>
      <c r="M194" s="71" t="s">
        <v>19</v>
      </c>
      <c r="N194" s="71" t="str">
        <f>IFERROR(__xludf.DUMMYFUNCTION("""COMPUTED_VALUE"""),"")</f>
        <v/>
      </c>
      <c r="O194" s="71" t="str">
        <f>IFERROR(__xludf.DUMMYFUNCTION("""COMPUTED_VALUE"""),"")</f>
        <v/>
      </c>
      <c r="P194" s="71" t="str">
        <f>IFERROR(__xludf.DUMMYFUNCTION("""COMPUTED_VALUE"""),"")</f>
        <v/>
      </c>
    </row>
    <row r="195">
      <c r="A195" s="58">
        <v>45756.8693002662</v>
      </c>
      <c r="B195" s="71" t="s">
        <v>168</v>
      </c>
      <c r="C195" s="71" t="b">
        <v>0</v>
      </c>
      <c r="E195" s="78"/>
      <c r="G195" s="78"/>
      <c r="H195" s="71">
        <v>113.0</v>
      </c>
      <c r="I195" s="80"/>
      <c r="J195" s="71" t="s">
        <v>12</v>
      </c>
      <c r="K195" s="59">
        <v>45756.0</v>
      </c>
      <c r="L195" s="71" t="s">
        <v>135</v>
      </c>
      <c r="M195" s="71" t="s">
        <v>18</v>
      </c>
      <c r="N195" s="71" t="str">
        <f>IFERROR(__xludf.DUMMYFUNCTION("""COMPUTED_VALUE"""),"")</f>
        <v/>
      </c>
      <c r="O195" s="71" t="str">
        <f>IFERROR(__xludf.DUMMYFUNCTION("""COMPUTED_VALUE"""),"")</f>
        <v/>
      </c>
      <c r="P195" s="71" t="str">
        <f>IFERROR(__xludf.DUMMYFUNCTION("""COMPUTED_VALUE"""),"")</f>
        <v/>
      </c>
    </row>
    <row r="196">
      <c r="A196" s="58">
        <v>45756.87726829861</v>
      </c>
      <c r="B196" s="71" t="s">
        <v>174</v>
      </c>
      <c r="C196" s="71" t="b">
        <v>0</v>
      </c>
      <c r="E196" s="78"/>
      <c r="G196" s="78"/>
      <c r="H196" s="71">
        <v>149.0</v>
      </c>
      <c r="I196" s="80"/>
      <c r="J196" s="71" t="s">
        <v>12</v>
      </c>
      <c r="K196" s="59">
        <v>45756.0</v>
      </c>
      <c r="L196" s="71" t="s">
        <v>135</v>
      </c>
      <c r="M196" s="71" t="s">
        <v>19</v>
      </c>
      <c r="N196" s="71">
        <f>IFERROR(__xludf.DUMMYFUNCTION("""COMPUTED_VALUE"""),222.0)</f>
        <v>222</v>
      </c>
      <c r="O196" s="71">
        <f>IFERROR(__xludf.DUMMYFUNCTION("""COMPUTED_VALUE"""),390.0)</f>
        <v>390</v>
      </c>
      <c r="P196" s="71">
        <f>IFERROR(__xludf.DUMMYFUNCTION("""COMPUTED_VALUE"""),612.0)</f>
        <v>612</v>
      </c>
    </row>
    <row r="197">
      <c r="A197" s="58">
        <v>45757.54250018518</v>
      </c>
      <c r="B197" s="71" t="s">
        <v>173</v>
      </c>
      <c r="C197" s="71" t="b">
        <v>0</v>
      </c>
      <c r="E197" s="78"/>
      <c r="G197" s="78"/>
      <c r="H197" s="71">
        <v>48.0</v>
      </c>
      <c r="I197" s="80"/>
      <c r="J197" s="71" t="s">
        <v>11</v>
      </c>
      <c r="K197" s="59">
        <v>45757.0</v>
      </c>
      <c r="L197" s="71" t="s">
        <v>137</v>
      </c>
      <c r="M197" s="71" t="s">
        <v>18</v>
      </c>
      <c r="N197" s="71" t="str">
        <f>IFERROR(__xludf.DUMMYFUNCTION("""COMPUTED_VALUE"""),"")</f>
        <v/>
      </c>
      <c r="O197" s="71" t="str">
        <f>IFERROR(__xludf.DUMMYFUNCTION("""COMPUTED_VALUE"""),"")</f>
        <v/>
      </c>
      <c r="P197" s="71" t="str">
        <f>IFERROR(__xludf.DUMMYFUNCTION("""COMPUTED_VALUE"""),"")</f>
        <v/>
      </c>
    </row>
    <row r="198">
      <c r="A198" s="58">
        <v>45757.62083114583</v>
      </c>
      <c r="B198" s="71" t="s">
        <v>148</v>
      </c>
      <c r="C198" s="71" t="b">
        <v>0</v>
      </c>
      <c r="E198" s="78"/>
      <c r="G198" s="78"/>
      <c r="H198" s="71">
        <v>107.0</v>
      </c>
      <c r="I198" s="80"/>
      <c r="J198" s="71" t="s">
        <v>11</v>
      </c>
      <c r="K198" s="59">
        <v>45757.0</v>
      </c>
      <c r="L198" s="71" t="s">
        <v>137</v>
      </c>
      <c r="M198" s="71" t="s">
        <v>19</v>
      </c>
      <c r="N198" s="71" t="str">
        <f>IFERROR(__xludf.DUMMYFUNCTION("""COMPUTED_VALUE"""),"")</f>
        <v/>
      </c>
      <c r="O198" s="71" t="str">
        <f>IFERROR(__xludf.DUMMYFUNCTION("""COMPUTED_VALUE"""),"")</f>
        <v/>
      </c>
      <c r="P198" s="71" t="str">
        <f>IFERROR(__xludf.DUMMYFUNCTION("""COMPUTED_VALUE"""),"")</f>
        <v/>
      </c>
    </row>
    <row r="199">
      <c r="A199" s="58">
        <v>45757.71045429399</v>
      </c>
      <c r="B199" s="71" t="s">
        <v>172</v>
      </c>
      <c r="C199" s="71" t="b">
        <v>0</v>
      </c>
      <c r="E199" s="78"/>
      <c r="G199" s="78"/>
      <c r="H199" s="71">
        <v>92.0</v>
      </c>
      <c r="I199" s="80"/>
      <c r="J199" s="71" t="s">
        <v>11</v>
      </c>
      <c r="K199" s="59">
        <v>45757.0</v>
      </c>
      <c r="L199" s="71" t="s">
        <v>137</v>
      </c>
      <c r="M199" s="71" t="s">
        <v>18</v>
      </c>
      <c r="N199" s="71" t="str">
        <f>IFERROR(__xludf.DUMMYFUNCTION("""COMPUTED_VALUE"""),"")</f>
        <v/>
      </c>
      <c r="O199" s="71" t="str">
        <f>IFERROR(__xludf.DUMMYFUNCTION("""COMPUTED_VALUE"""),"")</f>
        <v/>
      </c>
      <c r="P199" s="71" t="str">
        <f>IFERROR(__xludf.DUMMYFUNCTION("""COMPUTED_VALUE"""),"")</f>
        <v/>
      </c>
    </row>
    <row r="200">
      <c r="A200" s="58">
        <v>45757.8817015625</v>
      </c>
      <c r="B200" s="71" t="s">
        <v>174</v>
      </c>
      <c r="C200" s="71" t="b">
        <v>0</v>
      </c>
      <c r="E200" s="78"/>
      <c r="G200" s="78"/>
      <c r="H200" s="71">
        <v>130.0</v>
      </c>
      <c r="I200" s="80"/>
      <c r="J200" s="71" t="s">
        <v>12</v>
      </c>
      <c r="K200" s="59">
        <v>45757.0</v>
      </c>
      <c r="L200" s="71" t="s">
        <v>137</v>
      </c>
      <c r="M200" s="71" t="s">
        <v>19</v>
      </c>
      <c r="N200" s="71" t="str">
        <f>IFERROR(__xludf.DUMMYFUNCTION("""COMPUTED_VALUE"""),"")</f>
        <v/>
      </c>
      <c r="O200" s="71" t="str">
        <f>IFERROR(__xludf.DUMMYFUNCTION("""COMPUTED_VALUE"""),"")</f>
        <v/>
      </c>
      <c r="P200" s="71" t="str">
        <f>IFERROR(__xludf.DUMMYFUNCTION("""COMPUTED_VALUE"""),"")</f>
        <v/>
      </c>
    </row>
    <row r="201">
      <c r="A201" s="58">
        <v>45758.26769672454</v>
      </c>
      <c r="B201" s="71" t="s">
        <v>171</v>
      </c>
      <c r="C201" s="71" t="b">
        <v>0</v>
      </c>
      <c r="E201" s="78"/>
      <c r="G201" s="78"/>
      <c r="H201" s="71">
        <v>115.0</v>
      </c>
      <c r="I201" s="80"/>
      <c r="J201" s="71" t="s">
        <v>12</v>
      </c>
      <c r="K201" s="59">
        <v>45757.0</v>
      </c>
      <c r="L201" s="71" t="s">
        <v>137</v>
      </c>
      <c r="M201" s="71" t="s">
        <v>18</v>
      </c>
      <c r="N201" s="71" t="str">
        <f>IFERROR(__xludf.DUMMYFUNCTION("""COMPUTED_VALUE"""),"")</f>
        <v/>
      </c>
      <c r="O201" s="71" t="str">
        <f>IFERROR(__xludf.DUMMYFUNCTION("""COMPUTED_VALUE"""),"")</f>
        <v/>
      </c>
      <c r="P201" s="71" t="str">
        <f>IFERROR(__xludf.DUMMYFUNCTION("""COMPUTED_VALUE"""),"")</f>
        <v/>
      </c>
    </row>
    <row r="202">
      <c r="A202" s="58">
        <v>45765.4369315625</v>
      </c>
      <c r="B202" s="71" t="s">
        <v>136</v>
      </c>
      <c r="C202" s="71" t="b">
        <v>0</v>
      </c>
      <c r="E202" s="78"/>
      <c r="G202" s="78"/>
      <c r="H202" s="71">
        <v>61.0</v>
      </c>
      <c r="I202" s="80"/>
      <c r="J202" s="71" t="s">
        <v>10</v>
      </c>
      <c r="K202" s="59">
        <v>45757.0</v>
      </c>
      <c r="L202" s="71" t="s">
        <v>137</v>
      </c>
      <c r="M202" s="71" t="s">
        <v>19</v>
      </c>
      <c r="N202" s="71">
        <f>IFERROR(__xludf.DUMMYFUNCTION("""COMPUTED_VALUE"""),255.0)</f>
        <v>255</v>
      </c>
      <c r="O202" s="71">
        <f>IFERROR(__xludf.DUMMYFUNCTION("""COMPUTED_VALUE"""),298.0)</f>
        <v>298</v>
      </c>
      <c r="P202" s="71">
        <f>IFERROR(__xludf.DUMMYFUNCTION("""COMPUTED_VALUE"""),553.0)</f>
        <v>553</v>
      </c>
    </row>
    <row r="203">
      <c r="A203" s="58">
        <v>45758.61308925926</v>
      </c>
      <c r="B203" s="71" t="s">
        <v>172</v>
      </c>
      <c r="C203" s="71" t="b">
        <v>0</v>
      </c>
      <c r="E203" s="78"/>
      <c r="G203" s="78"/>
      <c r="H203" s="71">
        <v>118.0</v>
      </c>
      <c r="I203" s="80"/>
      <c r="J203" s="71" t="s">
        <v>11</v>
      </c>
      <c r="K203" s="59">
        <v>45758.0</v>
      </c>
      <c r="L203" s="71" t="s">
        <v>138</v>
      </c>
      <c r="M203" s="71" t="s">
        <v>19</v>
      </c>
      <c r="N203" s="71" t="str">
        <f>IFERROR(__xludf.DUMMYFUNCTION("""COMPUTED_VALUE"""),"")</f>
        <v/>
      </c>
      <c r="O203" s="71" t="str">
        <f>IFERROR(__xludf.DUMMYFUNCTION("""COMPUTED_VALUE"""),"")</f>
        <v/>
      </c>
      <c r="P203" s="71" t="str">
        <f>IFERROR(__xludf.DUMMYFUNCTION("""COMPUTED_VALUE"""),"")</f>
        <v/>
      </c>
    </row>
    <row r="204">
      <c r="A204" s="58">
        <v>45765.4372817824</v>
      </c>
      <c r="B204" s="71" t="s">
        <v>136</v>
      </c>
      <c r="C204" s="71" t="b">
        <v>0</v>
      </c>
      <c r="E204" s="78"/>
      <c r="G204" s="78"/>
      <c r="H204" s="71">
        <v>51.0</v>
      </c>
      <c r="I204" s="80"/>
      <c r="J204" s="71" t="s">
        <v>10</v>
      </c>
      <c r="K204" s="59">
        <v>45758.0</v>
      </c>
      <c r="L204" s="71" t="s">
        <v>138</v>
      </c>
      <c r="M204" s="71" t="s">
        <v>19</v>
      </c>
      <c r="N204" s="71" t="str">
        <f>IFERROR(__xludf.DUMMYFUNCTION("""COMPUTED_VALUE"""),"")</f>
        <v/>
      </c>
      <c r="O204" s="71">
        <f>IFERROR(__xludf.DUMMYFUNCTION("""COMPUTED_VALUE"""),169.0)</f>
        <v>169</v>
      </c>
      <c r="P204" s="71">
        <f>IFERROR(__xludf.DUMMYFUNCTION("""COMPUTED_VALUE"""),169.0)</f>
        <v>169</v>
      </c>
    </row>
    <row r="205">
      <c r="A205" s="58">
        <v>45761.44038703704</v>
      </c>
      <c r="B205" s="71" t="s">
        <v>170</v>
      </c>
      <c r="C205" s="71" t="b">
        <v>0</v>
      </c>
      <c r="E205" s="78"/>
      <c r="G205" s="78"/>
      <c r="H205" s="71">
        <v>72.0</v>
      </c>
      <c r="I205" s="80"/>
      <c r="J205" s="71" t="s">
        <v>10</v>
      </c>
      <c r="K205" s="59">
        <v>45761.0</v>
      </c>
      <c r="L205" s="71" t="s">
        <v>129</v>
      </c>
      <c r="M205" s="71" t="s">
        <v>19</v>
      </c>
      <c r="N205" s="71" t="str">
        <f>IFERROR(__xludf.DUMMYFUNCTION("""COMPUTED_VALUE"""),"")</f>
        <v/>
      </c>
      <c r="O205" s="71" t="str">
        <f>IFERROR(__xludf.DUMMYFUNCTION("""COMPUTED_VALUE"""),"")</f>
        <v/>
      </c>
      <c r="P205" s="71" t="str">
        <f>IFERROR(__xludf.DUMMYFUNCTION("""COMPUTED_VALUE"""),"")</f>
        <v/>
      </c>
    </row>
    <row r="206">
      <c r="A206" s="58">
        <v>45761.7082669213</v>
      </c>
      <c r="B206" s="71" t="s">
        <v>173</v>
      </c>
      <c r="C206" s="71" t="b">
        <v>0</v>
      </c>
      <c r="E206" s="78"/>
      <c r="G206" s="78"/>
      <c r="H206" s="71">
        <v>125.0</v>
      </c>
      <c r="I206" s="80"/>
      <c r="J206" s="71" t="s">
        <v>11</v>
      </c>
      <c r="K206" s="59">
        <v>45761.0</v>
      </c>
      <c r="L206" s="71" t="s">
        <v>129</v>
      </c>
      <c r="M206" s="71" t="s">
        <v>18</v>
      </c>
      <c r="N206" s="71" t="str">
        <f>IFERROR(__xludf.DUMMYFUNCTION("""COMPUTED_VALUE"""),"")</f>
        <v/>
      </c>
      <c r="O206" s="71" t="str">
        <f>IFERROR(__xludf.DUMMYFUNCTION("""COMPUTED_VALUE"""),"")</f>
        <v/>
      </c>
      <c r="P206" s="71" t="str">
        <f>IFERROR(__xludf.DUMMYFUNCTION("""COMPUTED_VALUE"""),"")</f>
        <v/>
      </c>
    </row>
    <row r="207">
      <c r="A207" s="58">
        <v>45761.86821484954</v>
      </c>
      <c r="B207" s="71" t="s">
        <v>168</v>
      </c>
      <c r="C207" s="71" t="b">
        <v>0</v>
      </c>
      <c r="E207" s="78"/>
      <c r="G207" s="78"/>
      <c r="H207" s="71">
        <v>178.0</v>
      </c>
      <c r="I207" s="80"/>
      <c r="J207" s="71" t="s">
        <v>12</v>
      </c>
      <c r="K207" s="59">
        <v>45761.0</v>
      </c>
      <c r="L207" s="71" t="s">
        <v>129</v>
      </c>
      <c r="M207" s="71" t="s">
        <v>18</v>
      </c>
      <c r="N207" s="71" t="str">
        <f>IFERROR(__xludf.DUMMYFUNCTION("""COMPUTED_VALUE"""),"")</f>
        <v/>
      </c>
      <c r="O207" s="71" t="str">
        <f>IFERROR(__xludf.DUMMYFUNCTION("""COMPUTED_VALUE"""),"")</f>
        <v/>
      </c>
      <c r="P207" s="71" t="str">
        <f>IFERROR(__xludf.DUMMYFUNCTION("""COMPUTED_VALUE"""),"")</f>
        <v/>
      </c>
    </row>
    <row r="208">
      <c r="A208" s="58">
        <v>45761.87694636574</v>
      </c>
      <c r="B208" s="71" t="s">
        <v>149</v>
      </c>
      <c r="C208" s="71" t="b">
        <v>0</v>
      </c>
      <c r="E208" s="78"/>
      <c r="G208" s="78"/>
      <c r="H208" s="71">
        <v>306.0</v>
      </c>
      <c r="I208" s="80"/>
      <c r="J208" s="71" t="s">
        <v>12</v>
      </c>
      <c r="K208" s="59">
        <v>45761.0</v>
      </c>
      <c r="L208" s="71" t="s">
        <v>129</v>
      </c>
      <c r="M208" s="71" t="s">
        <v>19</v>
      </c>
      <c r="N208" s="71">
        <f>IFERROR(__xludf.DUMMYFUNCTION("""COMPUTED_VALUE"""),303.0)</f>
        <v>303</v>
      </c>
      <c r="O208" s="71">
        <f>IFERROR(__xludf.DUMMYFUNCTION("""COMPUTED_VALUE"""),378.0)</f>
        <v>378</v>
      </c>
      <c r="P208" s="71">
        <f>IFERROR(__xludf.DUMMYFUNCTION("""COMPUTED_VALUE"""),681.0)</f>
        <v>681</v>
      </c>
    </row>
    <row r="209">
      <c r="A209" s="58">
        <v>45762.44018482639</v>
      </c>
      <c r="B209" s="71" t="s">
        <v>167</v>
      </c>
      <c r="C209" s="71" t="b">
        <v>0</v>
      </c>
      <c r="E209" s="78"/>
      <c r="G209" s="78"/>
      <c r="H209" s="71">
        <v>67.0</v>
      </c>
      <c r="I209" s="80"/>
      <c r="J209" s="71" t="s">
        <v>10</v>
      </c>
      <c r="K209" s="59">
        <v>45762.0</v>
      </c>
      <c r="L209" s="71" t="s">
        <v>132</v>
      </c>
      <c r="M209" s="71" t="s">
        <v>19</v>
      </c>
      <c r="N209" s="71" t="str">
        <f>IFERROR(__xludf.DUMMYFUNCTION("""COMPUTED_VALUE"""),"")</f>
        <v/>
      </c>
      <c r="O209" s="71" t="str">
        <f>IFERROR(__xludf.DUMMYFUNCTION("""COMPUTED_VALUE"""),"")</f>
        <v/>
      </c>
      <c r="P209" s="71" t="str">
        <f>IFERROR(__xludf.DUMMYFUNCTION("""COMPUTED_VALUE"""),"")</f>
        <v/>
      </c>
    </row>
    <row r="210">
      <c r="A210" s="58">
        <v>45762.61588063657</v>
      </c>
      <c r="B210" s="71" t="s">
        <v>148</v>
      </c>
      <c r="C210" s="71" t="b">
        <v>0</v>
      </c>
      <c r="E210" s="78"/>
      <c r="G210" s="78"/>
      <c r="H210" s="71">
        <v>112.0</v>
      </c>
      <c r="I210" s="80"/>
      <c r="J210" s="71" t="s">
        <v>11</v>
      </c>
      <c r="K210" s="59">
        <v>45762.0</v>
      </c>
      <c r="L210" s="71" t="s">
        <v>132</v>
      </c>
      <c r="M210" s="71" t="s">
        <v>19</v>
      </c>
      <c r="N210" s="71" t="str">
        <f>IFERROR(__xludf.DUMMYFUNCTION("""COMPUTED_VALUE"""),"")</f>
        <v/>
      </c>
      <c r="O210" s="71" t="str">
        <f>IFERROR(__xludf.DUMMYFUNCTION("""COMPUTED_VALUE"""),"")</f>
        <v/>
      </c>
      <c r="P210" s="71" t="str">
        <f>IFERROR(__xludf.DUMMYFUNCTION("""COMPUTED_VALUE"""),"")</f>
        <v/>
      </c>
    </row>
    <row r="211">
      <c r="A211" s="58">
        <v>45762.63977005787</v>
      </c>
      <c r="B211" s="71" t="s">
        <v>167</v>
      </c>
      <c r="C211" s="71" t="b">
        <v>0</v>
      </c>
      <c r="E211" s="78"/>
      <c r="G211" s="78"/>
      <c r="H211" s="71">
        <v>112.0</v>
      </c>
      <c r="I211" s="80"/>
      <c r="J211" s="71" t="s">
        <v>11</v>
      </c>
      <c r="K211" s="59">
        <v>45762.0</v>
      </c>
      <c r="L211" s="71" t="s">
        <v>132</v>
      </c>
      <c r="M211" s="71" t="s">
        <v>18</v>
      </c>
      <c r="N211" s="71" t="str">
        <f>IFERROR(__xludf.DUMMYFUNCTION("""COMPUTED_VALUE"""),"")</f>
        <v/>
      </c>
      <c r="O211" s="71" t="str">
        <f>IFERROR(__xludf.DUMMYFUNCTION("""COMPUTED_VALUE"""),"")</f>
        <v/>
      </c>
      <c r="P211" s="71" t="str">
        <f>IFERROR(__xludf.DUMMYFUNCTION("""COMPUTED_VALUE"""),"")</f>
        <v/>
      </c>
    </row>
    <row r="212">
      <c r="A212" s="58">
        <v>45762.88070689815</v>
      </c>
      <c r="B212" s="71" t="s">
        <v>149</v>
      </c>
      <c r="C212" s="71" t="b">
        <v>0</v>
      </c>
      <c r="E212" s="78"/>
      <c r="G212" s="78"/>
      <c r="H212" s="71">
        <v>259.0</v>
      </c>
      <c r="I212" s="80"/>
      <c r="J212" s="71" t="s">
        <v>12</v>
      </c>
      <c r="K212" s="59">
        <v>45762.0</v>
      </c>
      <c r="L212" s="71" t="s">
        <v>132</v>
      </c>
      <c r="M212" s="71" t="s">
        <v>19</v>
      </c>
      <c r="N212" s="71" t="str">
        <f>IFERROR(__xludf.DUMMYFUNCTION("""COMPUTED_VALUE"""),"")</f>
        <v/>
      </c>
      <c r="O212" s="71" t="str">
        <f>IFERROR(__xludf.DUMMYFUNCTION("""COMPUTED_VALUE"""),"")</f>
        <v/>
      </c>
      <c r="P212" s="71" t="str">
        <f>IFERROR(__xludf.DUMMYFUNCTION("""COMPUTED_VALUE"""),"")</f>
        <v/>
      </c>
    </row>
    <row r="213">
      <c r="A213" s="58">
        <v>45762.99566087963</v>
      </c>
      <c r="B213" s="71" t="s">
        <v>167</v>
      </c>
      <c r="C213" s="71" t="b">
        <v>0</v>
      </c>
      <c r="E213" s="78"/>
      <c r="G213" s="78"/>
      <c r="H213" s="71">
        <v>148.0</v>
      </c>
      <c r="I213" s="80"/>
      <c r="J213" s="71" t="s">
        <v>12</v>
      </c>
      <c r="K213" s="59">
        <v>45762.0</v>
      </c>
      <c r="L213" s="71" t="s">
        <v>132</v>
      </c>
      <c r="M213" s="71" t="s">
        <v>18</v>
      </c>
      <c r="N213" s="71">
        <f>IFERROR(__xludf.DUMMYFUNCTION("""COMPUTED_VALUE"""),260.0)</f>
        <v>260</v>
      </c>
      <c r="O213" s="71">
        <f>IFERROR(__xludf.DUMMYFUNCTION("""COMPUTED_VALUE"""),438.0)</f>
        <v>438</v>
      </c>
      <c r="P213" s="71">
        <f>IFERROR(__xludf.DUMMYFUNCTION("""COMPUTED_VALUE"""),698.0)</f>
        <v>698</v>
      </c>
    </row>
    <row r="214">
      <c r="A214" s="58">
        <v>45763.64419923611</v>
      </c>
      <c r="B214" s="71" t="s">
        <v>173</v>
      </c>
      <c r="C214" s="71" t="b">
        <v>0</v>
      </c>
      <c r="E214" s="78"/>
      <c r="G214" s="78"/>
      <c r="H214" s="71">
        <v>54.0</v>
      </c>
      <c r="I214" s="80"/>
      <c r="J214" s="71" t="s">
        <v>11</v>
      </c>
      <c r="K214" s="59">
        <v>45763.0</v>
      </c>
      <c r="L214" s="71" t="s">
        <v>135</v>
      </c>
      <c r="M214" s="71" t="s">
        <v>18</v>
      </c>
      <c r="N214" s="71" t="str">
        <f>IFERROR(__xludf.DUMMYFUNCTION("""COMPUTED_VALUE"""),"")</f>
        <v/>
      </c>
      <c r="O214" s="71" t="str">
        <f>IFERROR(__xludf.DUMMYFUNCTION("""COMPUTED_VALUE"""),"")</f>
        <v/>
      </c>
      <c r="P214" s="71" t="str">
        <f>IFERROR(__xludf.DUMMYFUNCTION("""COMPUTED_VALUE"""),"")</f>
        <v/>
      </c>
    </row>
    <row r="215">
      <c r="A215" s="58">
        <v>45763.43614578704</v>
      </c>
      <c r="B215" s="71" t="s">
        <v>170</v>
      </c>
      <c r="C215" s="71" t="b">
        <v>0</v>
      </c>
      <c r="E215" s="78"/>
      <c r="G215" s="78"/>
      <c r="H215" s="71">
        <v>98.0</v>
      </c>
      <c r="I215" s="80"/>
      <c r="J215" s="71" t="s">
        <v>10</v>
      </c>
      <c r="K215" s="59">
        <v>45763.0</v>
      </c>
      <c r="L215" s="71" t="s">
        <v>135</v>
      </c>
      <c r="M215" s="71" t="s">
        <v>19</v>
      </c>
      <c r="N215" s="71" t="str">
        <f>IFERROR(__xludf.DUMMYFUNCTION("""COMPUTED_VALUE"""),"")</f>
        <v/>
      </c>
      <c r="O215" s="71" t="str">
        <f>IFERROR(__xludf.DUMMYFUNCTION("""COMPUTED_VALUE"""),"")</f>
        <v/>
      </c>
      <c r="P215" s="71" t="str">
        <f>IFERROR(__xludf.DUMMYFUNCTION("""COMPUTED_VALUE"""),"")</f>
        <v/>
      </c>
    </row>
    <row r="216">
      <c r="A216" s="58">
        <v>45763.70995597222</v>
      </c>
      <c r="B216" s="71" t="s">
        <v>171</v>
      </c>
      <c r="C216" s="71" t="b">
        <v>0</v>
      </c>
      <c r="E216" s="78"/>
      <c r="G216" s="78"/>
      <c r="H216" s="71">
        <v>98.0</v>
      </c>
      <c r="I216" s="80"/>
      <c r="J216" s="71" t="s">
        <v>11</v>
      </c>
      <c r="K216" s="59">
        <v>45763.0</v>
      </c>
      <c r="L216" s="71" t="s">
        <v>135</v>
      </c>
      <c r="M216" s="71" t="s">
        <v>18</v>
      </c>
      <c r="N216" s="71" t="str">
        <f>IFERROR(__xludf.DUMMYFUNCTION("""COMPUTED_VALUE"""),"")</f>
        <v/>
      </c>
      <c r="O216" s="71" t="str">
        <f>IFERROR(__xludf.DUMMYFUNCTION("""COMPUTED_VALUE"""),"")</f>
        <v/>
      </c>
      <c r="P216" s="71" t="str">
        <f>IFERROR(__xludf.DUMMYFUNCTION("""COMPUTED_VALUE"""),"")</f>
        <v/>
      </c>
    </row>
    <row r="217">
      <c r="A217" s="58">
        <v>45763.86965652778</v>
      </c>
      <c r="B217" s="71" t="s">
        <v>168</v>
      </c>
      <c r="C217" s="71" t="b">
        <v>0</v>
      </c>
      <c r="E217" s="78"/>
      <c r="G217" s="78"/>
      <c r="H217" s="71">
        <v>114.0</v>
      </c>
      <c r="I217" s="80"/>
      <c r="J217" s="71" t="s">
        <v>12</v>
      </c>
      <c r="K217" s="59">
        <v>45763.0</v>
      </c>
      <c r="L217" s="71" t="s">
        <v>135</v>
      </c>
      <c r="M217" s="71" t="s">
        <v>18</v>
      </c>
      <c r="N217" s="71" t="str">
        <f>IFERROR(__xludf.DUMMYFUNCTION("""COMPUTED_VALUE"""),"")</f>
        <v/>
      </c>
      <c r="O217" s="71" t="str">
        <f>IFERROR(__xludf.DUMMYFUNCTION("""COMPUTED_VALUE"""),"")</f>
        <v/>
      </c>
      <c r="P217" s="71" t="str">
        <f>IFERROR(__xludf.DUMMYFUNCTION("""COMPUTED_VALUE"""),"")</f>
        <v/>
      </c>
    </row>
    <row r="218">
      <c r="A218" s="58">
        <v>45763.88468785879</v>
      </c>
      <c r="B218" s="71" t="s">
        <v>174</v>
      </c>
      <c r="C218" s="71" t="b">
        <v>0</v>
      </c>
      <c r="E218" s="78"/>
      <c r="G218" s="78"/>
      <c r="H218" s="71">
        <v>132.0</v>
      </c>
      <c r="I218" s="80"/>
      <c r="J218" s="71" t="s">
        <v>12</v>
      </c>
      <c r="K218" s="59">
        <v>45763.0</v>
      </c>
      <c r="L218" s="71" t="s">
        <v>135</v>
      </c>
      <c r="M218" s="71" t="s">
        <v>19</v>
      </c>
      <c r="N218" s="71">
        <f>IFERROR(__xludf.DUMMYFUNCTION("""COMPUTED_VALUE"""),266.0)</f>
        <v>266</v>
      </c>
      <c r="O218" s="71">
        <f>IFERROR(__xludf.DUMMYFUNCTION("""COMPUTED_VALUE"""),230.0)</f>
        <v>230</v>
      </c>
      <c r="P218" s="71">
        <f>IFERROR(__xludf.DUMMYFUNCTION("""COMPUTED_VALUE"""),496.0)</f>
        <v>496</v>
      </c>
    </row>
    <row r="219">
      <c r="A219" s="58">
        <v>45764.61936006945</v>
      </c>
      <c r="B219" s="71" t="s">
        <v>148</v>
      </c>
      <c r="C219" s="71" t="b">
        <v>0</v>
      </c>
      <c r="E219" s="78"/>
      <c r="G219" s="78"/>
      <c r="H219" s="71">
        <v>131.0</v>
      </c>
      <c r="I219" s="80"/>
      <c r="J219" s="71" t="s">
        <v>11</v>
      </c>
      <c r="K219" s="59">
        <v>45764.0</v>
      </c>
      <c r="L219" s="71" t="s">
        <v>137</v>
      </c>
      <c r="M219" s="71" t="s">
        <v>19</v>
      </c>
      <c r="N219" s="71" t="str">
        <f>IFERROR(__xludf.DUMMYFUNCTION("""COMPUTED_VALUE"""),"")</f>
        <v/>
      </c>
      <c r="O219" s="71" t="str">
        <f>IFERROR(__xludf.DUMMYFUNCTION("""COMPUTED_VALUE"""),"")</f>
        <v/>
      </c>
      <c r="P219" s="71" t="str">
        <f>IFERROR(__xludf.DUMMYFUNCTION("""COMPUTED_VALUE"""),"")</f>
        <v/>
      </c>
    </row>
    <row r="220">
      <c r="A220" s="58">
        <v>45764.70649788195</v>
      </c>
      <c r="B220" s="71" t="s">
        <v>172</v>
      </c>
      <c r="C220" s="71" t="b">
        <v>0</v>
      </c>
      <c r="E220" s="78"/>
      <c r="G220" s="78"/>
      <c r="H220" s="71">
        <v>101.0</v>
      </c>
      <c r="I220" s="80"/>
      <c r="J220" s="71" t="s">
        <v>11</v>
      </c>
      <c r="K220" s="59">
        <v>45764.0</v>
      </c>
      <c r="L220" s="71" t="s">
        <v>137</v>
      </c>
      <c r="M220" s="71" t="s">
        <v>18</v>
      </c>
      <c r="N220" s="71" t="str">
        <f>IFERROR(__xludf.DUMMYFUNCTION("""COMPUTED_VALUE"""),"")</f>
        <v/>
      </c>
      <c r="O220" s="71" t="str">
        <f>IFERROR(__xludf.DUMMYFUNCTION("""COMPUTED_VALUE"""),"")</f>
        <v/>
      </c>
      <c r="P220" s="71" t="str">
        <f>IFERROR(__xludf.DUMMYFUNCTION("""COMPUTED_VALUE"""),"")</f>
        <v/>
      </c>
    </row>
    <row r="221">
      <c r="A221" s="58">
        <v>45764.76117707176</v>
      </c>
      <c r="B221" s="71" t="s">
        <v>149</v>
      </c>
      <c r="C221" s="71" t="b">
        <v>0</v>
      </c>
      <c r="E221" s="78"/>
      <c r="G221" s="78"/>
      <c r="H221" s="71">
        <v>37.0</v>
      </c>
      <c r="I221" s="80"/>
      <c r="J221" s="71" t="s">
        <v>12</v>
      </c>
      <c r="K221" s="59">
        <v>45764.0</v>
      </c>
      <c r="L221" s="71" t="s">
        <v>137</v>
      </c>
      <c r="M221" s="71" t="s">
        <v>18</v>
      </c>
      <c r="N221" s="71" t="str">
        <f>IFERROR(__xludf.DUMMYFUNCTION("""COMPUTED_VALUE"""),"")</f>
        <v/>
      </c>
      <c r="O221" s="71" t="str">
        <f>IFERROR(__xludf.DUMMYFUNCTION("""COMPUTED_VALUE"""),"")</f>
        <v/>
      </c>
      <c r="P221" s="71" t="str">
        <f>IFERROR(__xludf.DUMMYFUNCTION("""COMPUTED_VALUE"""),"")</f>
        <v/>
      </c>
    </row>
    <row r="222">
      <c r="A222" s="58">
        <v>45764.89364856482</v>
      </c>
      <c r="B222" s="71" t="s">
        <v>149</v>
      </c>
      <c r="C222" s="71" t="b">
        <v>0</v>
      </c>
      <c r="E222" s="78"/>
      <c r="G222" s="78"/>
      <c r="H222" s="71">
        <v>147.0</v>
      </c>
      <c r="I222" s="80"/>
      <c r="J222" s="71" t="s">
        <v>12</v>
      </c>
      <c r="K222" s="59">
        <v>45764.0</v>
      </c>
      <c r="L222" s="71" t="s">
        <v>137</v>
      </c>
      <c r="M222" s="71" t="s">
        <v>18</v>
      </c>
      <c r="N222" s="71" t="str">
        <f>IFERROR(__xludf.DUMMYFUNCTION("""COMPUTED_VALUE"""),"")</f>
        <v/>
      </c>
      <c r="O222" s="71" t="str">
        <f>IFERROR(__xludf.DUMMYFUNCTION("""COMPUTED_VALUE"""),"")</f>
        <v/>
      </c>
      <c r="P222" s="71" t="str">
        <f>IFERROR(__xludf.DUMMYFUNCTION("""COMPUTED_VALUE"""),"")</f>
        <v/>
      </c>
    </row>
    <row r="223">
      <c r="A223" s="58">
        <v>45765.43760324074</v>
      </c>
      <c r="B223" s="71" t="s">
        <v>136</v>
      </c>
      <c r="C223" s="71" t="b">
        <v>0</v>
      </c>
      <c r="E223" s="78"/>
      <c r="G223" s="78"/>
      <c r="H223" s="71">
        <v>66.0</v>
      </c>
      <c r="I223" s="80"/>
      <c r="J223" s="71" t="s">
        <v>10</v>
      </c>
      <c r="K223" s="59">
        <v>45764.0</v>
      </c>
      <c r="L223" s="71" t="s">
        <v>137</v>
      </c>
      <c r="M223" s="71" t="s">
        <v>19</v>
      </c>
      <c r="N223" s="71">
        <f>IFERROR(__xludf.DUMMYFUNCTION("""COMPUTED_VALUE"""),285.0)</f>
        <v>285</v>
      </c>
      <c r="O223" s="71">
        <f>IFERROR(__xludf.DUMMYFUNCTION("""COMPUTED_VALUE"""),197.0)</f>
        <v>197</v>
      </c>
      <c r="P223" s="71">
        <f>IFERROR(__xludf.DUMMYFUNCTION("""COMPUTED_VALUE"""),482.0)</f>
        <v>482</v>
      </c>
    </row>
    <row r="224">
      <c r="A224" s="58">
        <v>45765.43796616898</v>
      </c>
      <c r="B224" s="71" t="s">
        <v>136</v>
      </c>
      <c r="C224" s="71" t="b">
        <v>0</v>
      </c>
      <c r="E224" s="78"/>
      <c r="G224" s="78"/>
      <c r="H224" s="71">
        <v>44.0</v>
      </c>
      <c r="I224" s="80"/>
      <c r="J224" s="71" t="s">
        <v>10</v>
      </c>
      <c r="K224" s="59">
        <v>45765.0</v>
      </c>
      <c r="L224" s="71" t="s">
        <v>138</v>
      </c>
      <c r="M224" s="71" t="s">
        <v>19</v>
      </c>
      <c r="N224" s="71" t="str">
        <f>IFERROR(__xludf.DUMMYFUNCTION("""COMPUTED_VALUE"""),"")</f>
        <v/>
      </c>
      <c r="O224" s="71" t="str">
        <f>IFERROR(__xludf.DUMMYFUNCTION("""COMPUTED_VALUE"""),"")</f>
        <v/>
      </c>
      <c r="P224" s="71" t="str">
        <f>IFERROR(__xludf.DUMMYFUNCTION("""COMPUTED_VALUE"""),"")</f>
        <v/>
      </c>
    </row>
    <row r="225">
      <c r="A225" s="58">
        <v>45765.58175890047</v>
      </c>
      <c r="B225" s="71" t="s">
        <v>172</v>
      </c>
      <c r="C225" s="71" t="b">
        <v>0</v>
      </c>
      <c r="E225" s="78"/>
      <c r="G225" s="78"/>
      <c r="H225" s="71">
        <v>82.0</v>
      </c>
      <c r="I225" s="80"/>
      <c r="J225" s="71" t="s">
        <v>11</v>
      </c>
      <c r="K225" s="59">
        <v>45765.0</v>
      </c>
      <c r="L225" s="71" t="s">
        <v>138</v>
      </c>
      <c r="M225" s="71" t="s">
        <v>19</v>
      </c>
      <c r="N225" s="71" t="str">
        <f>IFERROR(__xludf.DUMMYFUNCTION("""COMPUTED_VALUE"""),"")</f>
        <v/>
      </c>
      <c r="O225" s="71" t="str">
        <f>IFERROR(__xludf.DUMMYFUNCTION("""COMPUTED_VALUE"""),"")</f>
        <v/>
      </c>
      <c r="P225" s="71" t="str">
        <f>IFERROR(__xludf.DUMMYFUNCTION("""COMPUTED_VALUE"""),"")</f>
        <v/>
      </c>
    </row>
    <row r="226">
      <c r="A226" s="58">
        <v>45765.71055894676</v>
      </c>
      <c r="B226" s="71" t="s">
        <v>171</v>
      </c>
      <c r="C226" s="71" t="b">
        <v>0</v>
      </c>
      <c r="E226" s="78"/>
      <c r="G226" s="78"/>
      <c r="H226" s="71">
        <v>164.0</v>
      </c>
      <c r="I226" s="80"/>
      <c r="J226" s="71" t="s">
        <v>11</v>
      </c>
      <c r="K226" s="59">
        <v>45765.0</v>
      </c>
      <c r="L226" s="71" t="s">
        <v>138</v>
      </c>
      <c r="M226" s="71" t="s">
        <v>18</v>
      </c>
      <c r="N226" s="71">
        <f>IFERROR(__xludf.DUMMYFUNCTION("""COMPUTED_VALUE"""),164.0)</f>
        <v>164</v>
      </c>
      <c r="O226" s="71">
        <f>IFERROR(__xludf.DUMMYFUNCTION("""COMPUTED_VALUE"""),126.0)</f>
        <v>126</v>
      </c>
      <c r="P226" s="71">
        <f>IFERROR(__xludf.DUMMYFUNCTION("""COMPUTED_VALUE"""),290.0)</f>
        <v>290</v>
      </c>
    </row>
    <row r="227">
      <c r="A227" s="58">
        <v>45768.43715835648</v>
      </c>
      <c r="B227" s="71" t="s">
        <v>170</v>
      </c>
      <c r="C227" s="71" t="b">
        <v>0</v>
      </c>
      <c r="E227" s="78"/>
      <c r="G227" s="78"/>
      <c r="H227" s="71">
        <v>83.0</v>
      </c>
      <c r="I227" s="80"/>
      <c r="J227" s="71" t="s">
        <v>10</v>
      </c>
      <c r="K227" s="59">
        <v>45768.0</v>
      </c>
      <c r="L227" s="71" t="s">
        <v>129</v>
      </c>
      <c r="M227" s="71" t="s">
        <v>19</v>
      </c>
      <c r="N227" s="71" t="str">
        <f>IFERROR(__xludf.DUMMYFUNCTION("""COMPUTED_VALUE"""),"")</f>
        <v/>
      </c>
      <c r="O227" s="71" t="str">
        <f>IFERROR(__xludf.DUMMYFUNCTION("""COMPUTED_VALUE"""),"")</f>
        <v/>
      </c>
      <c r="P227" s="71" t="str">
        <f>IFERROR(__xludf.DUMMYFUNCTION("""COMPUTED_VALUE"""),"")</f>
        <v/>
      </c>
    </row>
    <row r="228">
      <c r="A228" s="58">
        <v>45768.70708259259</v>
      </c>
      <c r="B228" s="71" t="s">
        <v>173</v>
      </c>
      <c r="C228" s="71" t="b">
        <v>0</v>
      </c>
      <c r="E228" s="78"/>
      <c r="G228" s="78"/>
      <c r="H228" s="71">
        <v>113.0</v>
      </c>
      <c r="I228" s="80"/>
      <c r="J228" s="71" t="s">
        <v>11</v>
      </c>
      <c r="K228" s="59">
        <v>45768.0</v>
      </c>
      <c r="L228" s="71" t="s">
        <v>129</v>
      </c>
      <c r="M228" s="71" t="s">
        <v>18</v>
      </c>
      <c r="N228" s="71" t="str">
        <f>IFERROR(__xludf.DUMMYFUNCTION("""COMPUTED_VALUE"""),"")</f>
        <v/>
      </c>
      <c r="O228" s="71" t="str">
        <f>IFERROR(__xludf.DUMMYFUNCTION("""COMPUTED_VALUE"""),"")</f>
        <v/>
      </c>
      <c r="P228" s="71" t="str">
        <f>IFERROR(__xludf.DUMMYFUNCTION("""COMPUTED_VALUE"""),"")</f>
        <v/>
      </c>
    </row>
    <row r="229">
      <c r="A229" s="58">
        <v>45768.86613784722</v>
      </c>
      <c r="B229" s="71" t="s">
        <v>168</v>
      </c>
      <c r="C229" s="71" t="b">
        <v>0</v>
      </c>
      <c r="E229" s="78"/>
      <c r="G229" s="78"/>
      <c r="H229" s="71">
        <v>174.0</v>
      </c>
      <c r="I229" s="80"/>
      <c r="J229" s="71" t="s">
        <v>12</v>
      </c>
      <c r="K229" s="59">
        <v>45768.0</v>
      </c>
      <c r="L229" s="71" t="s">
        <v>129</v>
      </c>
      <c r="M229" s="71" t="s">
        <v>18</v>
      </c>
      <c r="N229" s="71" t="str">
        <f>IFERROR(__xludf.DUMMYFUNCTION("""COMPUTED_VALUE"""),"")</f>
        <v/>
      </c>
      <c r="O229" s="71" t="str">
        <f>IFERROR(__xludf.DUMMYFUNCTION("""COMPUTED_VALUE"""),"")</f>
        <v/>
      </c>
      <c r="P229" s="71" t="str">
        <f>IFERROR(__xludf.DUMMYFUNCTION("""COMPUTED_VALUE"""),"")</f>
        <v/>
      </c>
    </row>
    <row r="230">
      <c r="A230" s="58">
        <v>45770.70501042824</v>
      </c>
      <c r="B230" s="71" t="s">
        <v>176</v>
      </c>
      <c r="C230" s="71" t="b">
        <v>0</v>
      </c>
      <c r="E230" s="78"/>
      <c r="G230" s="78"/>
      <c r="H230" s="71">
        <v>132.0</v>
      </c>
      <c r="I230" s="80"/>
      <c r="J230" s="71" t="s">
        <v>11</v>
      </c>
      <c r="K230" s="59">
        <v>45768.0</v>
      </c>
      <c r="L230" s="71" t="s">
        <v>129</v>
      </c>
      <c r="M230" s="71" t="s">
        <v>19</v>
      </c>
      <c r="N230" s="71" t="str">
        <f>IFERROR(__xludf.DUMMYFUNCTION("""COMPUTED_VALUE"""),"")</f>
        <v/>
      </c>
      <c r="O230" s="71" t="str">
        <f>IFERROR(__xludf.DUMMYFUNCTION("""COMPUTED_VALUE"""),"")</f>
        <v/>
      </c>
      <c r="P230" s="71" t="str">
        <f>IFERROR(__xludf.DUMMYFUNCTION("""COMPUTED_VALUE"""),"")</f>
        <v/>
      </c>
    </row>
    <row r="231">
      <c r="A231" s="58">
        <v>45768.87438726852</v>
      </c>
      <c r="B231" s="71" t="s">
        <v>149</v>
      </c>
      <c r="C231" s="71" t="b">
        <v>0</v>
      </c>
      <c r="E231" s="78"/>
      <c r="G231" s="78"/>
      <c r="H231" s="71">
        <v>212.0</v>
      </c>
      <c r="I231" s="80"/>
      <c r="J231" s="71" t="s">
        <v>12</v>
      </c>
      <c r="K231" s="59">
        <v>45768.0</v>
      </c>
      <c r="L231" s="71" t="s">
        <v>129</v>
      </c>
      <c r="M231" s="71" t="s">
        <v>19</v>
      </c>
      <c r="N231" s="71">
        <f>IFERROR(__xludf.DUMMYFUNCTION("""COMPUTED_VALUE"""),287.0)</f>
        <v>287</v>
      </c>
      <c r="O231" s="71">
        <f>IFERROR(__xludf.DUMMYFUNCTION("""COMPUTED_VALUE"""),427.0)</f>
        <v>427</v>
      </c>
      <c r="P231" s="71">
        <f>IFERROR(__xludf.DUMMYFUNCTION("""COMPUTED_VALUE"""),714.0)</f>
        <v>714</v>
      </c>
    </row>
    <row r="232">
      <c r="A232" s="58">
        <v>45769.48525240741</v>
      </c>
      <c r="B232" s="71" t="s">
        <v>167</v>
      </c>
      <c r="C232" s="71" t="b">
        <v>0</v>
      </c>
      <c r="E232" s="78"/>
      <c r="G232" s="78"/>
      <c r="H232" s="71">
        <v>67.0</v>
      </c>
      <c r="I232" s="80"/>
      <c r="J232" s="71" t="s">
        <v>10</v>
      </c>
      <c r="K232" s="59">
        <v>45769.0</v>
      </c>
      <c r="L232" s="71" t="s">
        <v>132</v>
      </c>
      <c r="M232" s="71" t="s">
        <v>19</v>
      </c>
      <c r="N232" s="71" t="str">
        <f>IFERROR(__xludf.DUMMYFUNCTION("""COMPUTED_VALUE"""),"")</f>
        <v/>
      </c>
      <c r="O232" s="71" t="str">
        <f>IFERROR(__xludf.DUMMYFUNCTION("""COMPUTED_VALUE"""),"")</f>
        <v/>
      </c>
      <c r="P232" s="71" t="str">
        <f>IFERROR(__xludf.DUMMYFUNCTION("""COMPUTED_VALUE"""),"")</f>
        <v/>
      </c>
    </row>
    <row r="233">
      <c r="A233" s="58">
        <v>45769.87452445602</v>
      </c>
      <c r="B233" s="71" t="s">
        <v>149</v>
      </c>
      <c r="C233" s="71" t="b">
        <v>0</v>
      </c>
      <c r="E233" s="78"/>
      <c r="G233" s="78"/>
      <c r="H233" s="71">
        <v>283.0</v>
      </c>
      <c r="I233" s="80"/>
      <c r="J233" s="71" t="s">
        <v>12</v>
      </c>
      <c r="K233" s="59">
        <v>45769.0</v>
      </c>
      <c r="L233" s="71" t="s">
        <v>132</v>
      </c>
      <c r="M233" s="71" t="s">
        <v>19</v>
      </c>
      <c r="N233" s="71" t="str">
        <f>IFERROR(__xludf.DUMMYFUNCTION("""COMPUTED_VALUE"""),"")</f>
        <v/>
      </c>
      <c r="O233" s="71">
        <f>IFERROR(__xludf.DUMMYFUNCTION("""COMPUTED_VALUE"""),350.0)</f>
        <v>350</v>
      </c>
      <c r="P233" s="71">
        <f>IFERROR(__xludf.DUMMYFUNCTION("""COMPUTED_VALUE"""),350.0)</f>
        <v>350</v>
      </c>
    </row>
    <row r="234">
      <c r="A234" s="58">
        <v>45770.57189636574</v>
      </c>
      <c r="B234" s="71" t="s">
        <v>171</v>
      </c>
      <c r="C234" s="71" t="b">
        <v>0</v>
      </c>
      <c r="E234" s="78"/>
      <c r="G234" s="78"/>
      <c r="H234" s="71">
        <v>73.0</v>
      </c>
      <c r="I234" s="80"/>
      <c r="J234" s="71" t="s">
        <v>11</v>
      </c>
      <c r="K234" s="59">
        <v>45770.0</v>
      </c>
      <c r="L234" s="71" t="s">
        <v>135</v>
      </c>
      <c r="M234" s="71" t="s">
        <v>18</v>
      </c>
      <c r="N234" s="71" t="str">
        <f>IFERROR(__xludf.DUMMYFUNCTION("""COMPUTED_VALUE"""),"")</f>
        <v/>
      </c>
      <c r="O234" s="71" t="str">
        <f>IFERROR(__xludf.DUMMYFUNCTION("""COMPUTED_VALUE"""),"")</f>
        <v/>
      </c>
      <c r="P234" s="71" t="str">
        <f>IFERROR(__xludf.DUMMYFUNCTION("""COMPUTED_VALUE"""),"")</f>
        <v/>
      </c>
    </row>
    <row r="235">
      <c r="A235" s="58">
        <v>45770.64623150463</v>
      </c>
      <c r="B235" s="71" t="s">
        <v>173</v>
      </c>
      <c r="C235" s="71" t="b">
        <v>0</v>
      </c>
      <c r="E235" s="78"/>
      <c r="G235" s="78"/>
      <c r="H235" s="71">
        <v>50.0</v>
      </c>
      <c r="I235" s="80"/>
      <c r="J235" s="71" t="s">
        <v>11</v>
      </c>
      <c r="K235" s="59">
        <v>45770.0</v>
      </c>
      <c r="L235" s="71" t="s">
        <v>135</v>
      </c>
      <c r="M235" s="71" t="s">
        <v>18</v>
      </c>
      <c r="N235" s="71" t="str">
        <f>IFERROR(__xludf.DUMMYFUNCTION("""COMPUTED_VALUE"""),"")</f>
        <v/>
      </c>
      <c r="O235" s="71" t="str">
        <f>IFERROR(__xludf.DUMMYFUNCTION("""COMPUTED_VALUE"""),"")</f>
        <v/>
      </c>
      <c r="P235" s="71" t="str">
        <f>IFERROR(__xludf.DUMMYFUNCTION("""COMPUTED_VALUE"""),"")</f>
        <v/>
      </c>
    </row>
    <row r="236">
      <c r="A236" s="58">
        <v>45770.70700344908</v>
      </c>
      <c r="B236" s="71" t="s">
        <v>153</v>
      </c>
      <c r="C236" s="71" t="b">
        <v>0</v>
      </c>
      <c r="E236" s="78"/>
      <c r="G236" s="78"/>
      <c r="H236" s="71">
        <v>101.0</v>
      </c>
      <c r="I236" s="80"/>
      <c r="J236" s="71" t="s">
        <v>11</v>
      </c>
      <c r="K236" s="59">
        <v>45770.0</v>
      </c>
      <c r="L236" s="71" t="s">
        <v>135</v>
      </c>
      <c r="M236" s="71" t="s">
        <v>19</v>
      </c>
      <c r="N236" s="71" t="str">
        <f>IFERROR(__xludf.DUMMYFUNCTION("""COMPUTED_VALUE"""),"")</f>
        <v/>
      </c>
      <c r="O236" s="71" t="str">
        <f>IFERROR(__xludf.DUMMYFUNCTION("""COMPUTED_VALUE"""),"")</f>
        <v/>
      </c>
      <c r="P236" s="71" t="str">
        <f>IFERROR(__xludf.DUMMYFUNCTION("""COMPUTED_VALUE"""),"")</f>
        <v/>
      </c>
    </row>
    <row r="237">
      <c r="A237" s="58">
        <v>45770.70844024306</v>
      </c>
      <c r="B237" s="71" t="s">
        <v>170</v>
      </c>
      <c r="C237" s="71" t="b">
        <v>0</v>
      </c>
      <c r="E237" s="78"/>
      <c r="G237" s="78"/>
      <c r="H237" s="71">
        <v>106.0</v>
      </c>
      <c r="I237" s="80"/>
      <c r="J237" s="71" t="s">
        <v>10</v>
      </c>
      <c r="K237" s="59">
        <v>45770.0</v>
      </c>
      <c r="L237" s="71" t="s">
        <v>135</v>
      </c>
      <c r="M237" s="71" t="s">
        <v>19</v>
      </c>
      <c r="N237" s="71" t="str">
        <f>IFERROR(__xludf.DUMMYFUNCTION("""COMPUTED_VALUE"""),"")</f>
        <v/>
      </c>
      <c r="O237" s="71" t="str">
        <f>IFERROR(__xludf.DUMMYFUNCTION("""COMPUTED_VALUE"""),"")</f>
        <v/>
      </c>
      <c r="P237" s="71" t="str">
        <f>IFERROR(__xludf.DUMMYFUNCTION("""COMPUTED_VALUE"""),"")</f>
        <v/>
      </c>
    </row>
    <row r="238">
      <c r="A238" s="58">
        <v>45770.86667554398</v>
      </c>
      <c r="B238" s="71" t="s">
        <v>168</v>
      </c>
      <c r="C238" s="71" t="b">
        <v>0</v>
      </c>
      <c r="E238" s="78"/>
      <c r="G238" s="78"/>
      <c r="H238" s="71">
        <v>280.0</v>
      </c>
      <c r="I238" s="80"/>
      <c r="J238" s="71" t="s">
        <v>12</v>
      </c>
      <c r="K238" s="59">
        <v>45770.0</v>
      </c>
      <c r="L238" s="71" t="s">
        <v>135</v>
      </c>
      <c r="M238" s="71" t="s">
        <v>18</v>
      </c>
      <c r="N238" s="71" t="str">
        <f>IFERROR(__xludf.DUMMYFUNCTION("""COMPUTED_VALUE"""),"")</f>
        <v/>
      </c>
      <c r="O238" s="71" t="str">
        <f>IFERROR(__xludf.DUMMYFUNCTION("""COMPUTED_VALUE"""),"")</f>
        <v/>
      </c>
      <c r="P238" s="71" t="str">
        <f>IFERROR(__xludf.DUMMYFUNCTION("""COMPUTED_VALUE"""),"")</f>
        <v/>
      </c>
    </row>
    <row r="239">
      <c r="A239" s="58">
        <v>45770.95660488426</v>
      </c>
      <c r="B239" s="71" t="s">
        <v>174</v>
      </c>
      <c r="C239" s="71" t="b">
        <v>0</v>
      </c>
      <c r="E239" s="78"/>
      <c r="G239" s="78"/>
      <c r="H239" s="71">
        <v>98.0</v>
      </c>
      <c r="I239" s="80"/>
      <c r="J239" s="71" t="s">
        <v>12</v>
      </c>
      <c r="K239" s="59">
        <v>45770.0</v>
      </c>
      <c r="L239" s="71" t="s">
        <v>135</v>
      </c>
      <c r="M239" s="71" t="s">
        <v>19</v>
      </c>
      <c r="N239" s="71">
        <f>IFERROR(__xludf.DUMMYFUNCTION("""COMPUTED_VALUE"""),403.0)</f>
        <v>403</v>
      </c>
      <c r="O239" s="71">
        <f>IFERROR(__xludf.DUMMYFUNCTION("""COMPUTED_VALUE"""),305.0)</f>
        <v>305</v>
      </c>
      <c r="P239" s="71">
        <f>IFERROR(__xludf.DUMMYFUNCTION("""COMPUTED_VALUE"""),708.0)</f>
        <v>708</v>
      </c>
    </row>
    <row r="240">
      <c r="A240" s="58">
        <v>45771.54167024305</v>
      </c>
      <c r="B240" s="71" t="s">
        <v>173</v>
      </c>
      <c r="C240" s="71" t="b">
        <v>0</v>
      </c>
      <c r="E240" s="78"/>
      <c r="G240" s="78"/>
      <c r="H240" s="71">
        <v>38.0</v>
      </c>
      <c r="I240" s="80"/>
      <c r="J240" s="71" t="s">
        <v>11</v>
      </c>
      <c r="K240" s="59">
        <v>45771.0</v>
      </c>
      <c r="L240" s="71" t="s">
        <v>137</v>
      </c>
      <c r="M240" s="71" t="s">
        <v>18</v>
      </c>
      <c r="N240" s="71" t="str">
        <f>IFERROR(__xludf.DUMMYFUNCTION("""COMPUTED_VALUE"""),"")</f>
        <v/>
      </c>
      <c r="O240" s="71" t="str">
        <f>IFERROR(__xludf.DUMMYFUNCTION("""COMPUTED_VALUE"""),"")</f>
        <v/>
      </c>
      <c r="P240" s="71" t="str">
        <f>IFERROR(__xludf.DUMMYFUNCTION("""COMPUTED_VALUE"""),"")</f>
        <v/>
      </c>
    </row>
    <row r="241">
      <c r="A241" s="58">
        <v>45771.62098329861</v>
      </c>
      <c r="B241" s="71" t="s">
        <v>148</v>
      </c>
      <c r="C241" s="71" t="b">
        <v>0</v>
      </c>
      <c r="E241" s="78"/>
      <c r="G241" s="78"/>
      <c r="H241" s="71">
        <v>179.0</v>
      </c>
      <c r="I241" s="80"/>
      <c r="J241" s="71" t="s">
        <v>11</v>
      </c>
      <c r="K241" s="59">
        <v>45771.0</v>
      </c>
      <c r="L241" s="71" t="s">
        <v>137</v>
      </c>
      <c r="M241" s="71" t="s">
        <v>19</v>
      </c>
      <c r="N241" s="71" t="str">
        <f>IFERROR(__xludf.DUMMYFUNCTION("""COMPUTED_VALUE"""),"")</f>
        <v/>
      </c>
      <c r="O241" s="71" t="str">
        <f>IFERROR(__xludf.DUMMYFUNCTION("""COMPUTED_VALUE"""),"")</f>
        <v/>
      </c>
      <c r="P241" s="71" t="str">
        <f>IFERROR(__xludf.DUMMYFUNCTION("""COMPUTED_VALUE"""),"")</f>
        <v/>
      </c>
    </row>
    <row r="242">
      <c r="A242" s="58">
        <v>45771.71457825231</v>
      </c>
      <c r="B242" s="71" t="s">
        <v>172</v>
      </c>
      <c r="C242" s="71" t="b">
        <v>0</v>
      </c>
      <c r="E242" s="78"/>
      <c r="G242" s="78"/>
      <c r="H242" s="71">
        <v>107.0</v>
      </c>
      <c r="I242" s="80"/>
      <c r="J242" s="71" t="s">
        <v>11</v>
      </c>
      <c r="K242" s="59">
        <v>45771.0</v>
      </c>
      <c r="L242" s="71" t="s">
        <v>137</v>
      </c>
      <c r="M242" s="71" t="s">
        <v>18</v>
      </c>
      <c r="N242" s="71" t="str">
        <f>IFERROR(__xludf.DUMMYFUNCTION("""COMPUTED_VALUE"""),"")</f>
        <v/>
      </c>
      <c r="O242" s="71" t="str">
        <f>IFERROR(__xludf.DUMMYFUNCTION("""COMPUTED_VALUE"""),"")</f>
        <v/>
      </c>
      <c r="P242" s="71" t="str">
        <f>IFERROR(__xludf.DUMMYFUNCTION("""COMPUTED_VALUE"""),"")</f>
        <v/>
      </c>
    </row>
    <row r="243">
      <c r="A243" s="58">
        <v>45772.37545981482</v>
      </c>
      <c r="B243" s="71" t="s">
        <v>174</v>
      </c>
      <c r="C243" s="71" t="b">
        <v>0</v>
      </c>
      <c r="E243" s="78"/>
      <c r="G243" s="78"/>
      <c r="H243" s="71">
        <v>225.0</v>
      </c>
      <c r="I243" s="80"/>
      <c r="J243" s="71" t="s">
        <v>12</v>
      </c>
      <c r="K243" s="59">
        <v>45771.0</v>
      </c>
      <c r="L243" s="71" t="s">
        <v>137</v>
      </c>
      <c r="M243" s="71" t="s">
        <v>19</v>
      </c>
      <c r="N243" s="71" t="str">
        <f>IFERROR(__xludf.DUMMYFUNCTION("""COMPUTED_VALUE"""),"")</f>
        <v/>
      </c>
      <c r="O243" s="71" t="str">
        <f>IFERROR(__xludf.DUMMYFUNCTION("""COMPUTED_VALUE"""),"")</f>
        <v/>
      </c>
      <c r="P243" s="71" t="str">
        <f>IFERROR(__xludf.DUMMYFUNCTION("""COMPUTED_VALUE"""),"")</f>
        <v/>
      </c>
    </row>
    <row r="244">
      <c r="A244" s="58">
        <v>45772.42012525463</v>
      </c>
      <c r="B244" s="71" t="s">
        <v>136</v>
      </c>
      <c r="C244" s="71" t="b">
        <v>0</v>
      </c>
      <c r="E244" s="78"/>
      <c r="G244" s="78"/>
      <c r="H244" s="71">
        <v>69.0</v>
      </c>
      <c r="I244" s="80"/>
      <c r="J244" s="71" t="s">
        <v>10</v>
      </c>
      <c r="K244" s="59">
        <v>45771.0</v>
      </c>
      <c r="L244" s="71" t="s">
        <v>137</v>
      </c>
      <c r="M244" s="71" t="s">
        <v>19</v>
      </c>
      <c r="N244" s="71">
        <f>IFERROR(__xludf.DUMMYFUNCTION("""COMPUTED_VALUE"""),145.0)</f>
        <v>145</v>
      </c>
      <c r="O244" s="71">
        <f>IFERROR(__xludf.DUMMYFUNCTION("""COMPUTED_VALUE"""),473.0)</f>
        <v>473</v>
      </c>
      <c r="P244" s="71">
        <f>IFERROR(__xludf.DUMMYFUNCTION("""COMPUTED_VALUE"""),618.0)</f>
        <v>618</v>
      </c>
    </row>
    <row r="245">
      <c r="A245" s="58">
        <v>45772.42220355324</v>
      </c>
      <c r="B245" s="71" t="s">
        <v>136</v>
      </c>
      <c r="C245" s="71" t="b">
        <v>0</v>
      </c>
      <c r="E245" s="78"/>
      <c r="G245" s="78"/>
      <c r="H245" s="71">
        <v>61.0</v>
      </c>
      <c r="I245" s="80"/>
      <c r="J245" s="71" t="s">
        <v>10</v>
      </c>
      <c r="K245" s="59">
        <v>45772.0</v>
      </c>
      <c r="L245" s="71" t="s">
        <v>138</v>
      </c>
      <c r="M245" s="71" t="s">
        <v>19</v>
      </c>
      <c r="N245" s="71" t="str">
        <f>IFERROR(__xludf.DUMMYFUNCTION("""COMPUTED_VALUE"""),"")</f>
        <v/>
      </c>
      <c r="O245" s="71" t="str">
        <f>IFERROR(__xludf.DUMMYFUNCTION("""COMPUTED_VALUE"""),"")</f>
        <v/>
      </c>
      <c r="P245" s="71" t="str">
        <f>IFERROR(__xludf.DUMMYFUNCTION("""COMPUTED_VALUE"""),"")</f>
        <v/>
      </c>
    </row>
    <row r="246">
      <c r="A246" s="58">
        <v>45772.6339784838</v>
      </c>
      <c r="B246" s="71" t="s">
        <v>172</v>
      </c>
      <c r="C246" s="71" t="b">
        <v>0</v>
      </c>
      <c r="E246" s="78"/>
      <c r="G246" s="78"/>
      <c r="H246" s="71">
        <v>60.0</v>
      </c>
      <c r="I246" s="80"/>
      <c r="J246" s="71" t="s">
        <v>11</v>
      </c>
      <c r="K246" s="59">
        <v>45772.0</v>
      </c>
      <c r="L246" s="71" t="s">
        <v>138</v>
      </c>
      <c r="M246" s="71" t="s">
        <v>19</v>
      </c>
      <c r="N246" s="71" t="str">
        <f>IFERROR(__xludf.DUMMYFUNCTION("""COMPUTED_VALUE"""),"")</f>
        <v/>
      </c>
      <c r="O246" s="71" t="str">
        <f>IFERROR(__xludf.DUMMYFUNCTION("""COMPUTED_VALUE"""),"")</f>
        <v/>
      </c>
      <c r="P246" s="71" t="str">
        <f>IFERROR(__xludf.DUMMYFUNCTION("""COMPUTED_VALUE"""),"")</f>
        <v/>
      </c>
    </row>
    <row r="247">
      <c r="A247" s="58">
        <v>45772.74259675926</v>
      </c>
      <c r="B247" s="71" t="s">
        <v>171</v>
      </c>
      <c r="C247" s="71" t="b">
        <v>0</v>
      </c>
      <c r="E247" s="78"/>
      <c r="G247" s="78"/>
      <c r="H247" s="71">
        <v>189.0</v>
      </c>
      <c r="I247" s="80"/>
      <c r="J247" s="71" t="s">
        <v>11</v>
      </c>
      <c r="K247" s="59">
        <v>45772.0</v>
      </c>
      <c r="L247" s="71" t="s">
        <v>138</v>
      </c>
      <c r="M247" s="71" t="s">
        <v>18</v>
      </c>
      <c r="N247" s="71">
        <f>IFERROR(__xludf.DUMMYFUNCTION("""COMPUTED_VALUE"""),189.0)</f>
        <v>189</v>
      </c>
      <c r="O247" s="71">
        <f>IFERROR(__xludf.DUMMYFUNCTION("""COMPUTED_VALUE"""),121.0)</f>
        <v>121</v>
      </c>
      <c r="P247" s="71">
        <f>IFERROR(__xludf.DUMMYFUNCTION("""COMPUTED_VALUE"""),310.0)</f>
        <v>310</v>
      </c>
    </row>
    <row r="248">
      <c r="A248" s="58">
        <v>45775.43473560186</v>
      </c>
      <c r="B248" s="71" t="s">
        <v>170</v>
      </c>
      <c r="C248" s="71" t="b">
        <v>0</v>
      </c>
      <c r="E248" s="78"/>
      <c r="G248" s="78"/>
      <c r="H248" s="71">
        <v>90.0</v>
      </c>
      <c r="I248" s="80"/>
      <c r="J248" s="71" t="s">
        <v>10</v>
      </c>
      <c r="K248" s="59">
        <v>45775.0</v>
      </c>
      <c r="L248" s="71" t="s">
        <v>129</v>
      </c>
      <c r="M248" s="71" t="s">
        <v>19</v>
      </c>
      <c r="N248" s="71" t="str">
        <f>IFERROR(__xludf.DUMMYFUNCTION("""COMPUTED_VALUE"""),"")</f>
        <v/>
      </c>
      <c r="O248" s="71" t="str">
        <f>IFERROR(__xludf.DUMMYFUNCTION("""COMPUTED_VALUE"""),"")</f>
        <v/>
      </c>
      <c r="P248" s="71" t="str">
        <f>IFERROR(__xludf.DUMMYFUNCTION("""COMPUTED_VALUE"""),"")</f>
        <v/>
      </c>
    </row>
    <row r="249">
      <c r="A249" s="58">
        <v>45775.70768539352</v>
      </c>
      <c r="B249" s="71" t="s">
        <v>173</v>
      </c>
      <c r="C249" s="71" t="b">
        <v>0</v>
      </c>
      <c r="E249" s="78"/>
      <c r="G249" s="78"/>
      <c r="H249" s="71">
        <v>103.0</v>
      </c>
      <c r="I249" s="80"/>
      <c r="J249" s="71" t="s">
        <v>11</v>
      </c>
      <c r="K249" s="59">
        <v>45775.0</v>
      </c>
      <c r="L249" s="71" t="s">
        <v>129</v>
      </c>
      <c r="M249" s="71" t="s">
        <v>18</v>
      </c>
      <c r="N249" s="71" t="str">
        <f>IFERROR(__xludf.DUMMYFUNCTION("""COMPUTED_VALUE"""),"")</f>
        <v/>
      </c>
      <c r="O249" s="71" t="str">
        <f>IFERROR(__xludf.DUMMYFUNCTION("""COMPUTED_VALUE"""),"")</f>
        <v/>
      </c>
      <c r="P249" s="71" t="str">
        <f>IFERROR(__xludf.DUMMYFUNCTION("""COMPUTED_VALUE"""),"")</f>
        <v/>
      </c>
    </row>
    <row r="250">
      <c r="A250" s="58">
        <v>45775.7229627199</v>
      </c>
      <c r="B250" s="71" t="s">
        <v>153</v>
      </c>
      <c r="C250" s="71" t="b">
        <v>0</v>
      </c>
      <c r="E250" s="78"/>
      <c r="G250" s="78"/>
      <c r="H250" s="71">
        <v>134.0</v>
      </c>
      <c r="I250" s="80"/>
      <c r="J250" s="71" t="s">
        <v>11</v>
      </c>
      <c r="K250" s="59">
        <v>45775.0</v>
      </c>
      <c r="L250" s="71" t="s">
        <v>129</v>
      </c>
      <c r="M250" s="71" t="s">
        <v>19</v>
      </c>
      <c r="N250" s="71" t="str">
        <f>IFERROR(__xludf.DUMMYFUNCTION("""COMPUTED_VALUE"""),"")</f>
        <v/>
      </c>
      <c r="O250" s="71" t="str">
        <f>IFERROR(__xludf.DUMMYFUNCTION("""COMPUTED_VALUE"""),"")</f>
        <v/>
      </c>
      <c r="P250" s="71" t="str">
        <f>IFERROR(__xludf.DUMMYFUNCTION("""COMPUTED_VALUE"""),"")</f>
        <v/>
      </c>
    </row>
    <row r="251">
      <c r="A251" s="58">
        <v>45775.72364486111</v>
      </c>
      <c r="B251" s="71" t="s">
        <v>153</v>
      </c>
      <c r="C251" s="71" t="b">
        <v>0</v>
      </c>
      <c r="E251" s="78"/>
      <c r="G251" s="78"/>
      <c r="H251" s="71">
        <v>55.0</v>
      </c>
      <c r="I251" s="80"/>
      <c r="J251" s="71" t="s">
        <v>11</v>
      </c>
      <c r="K251" s="59">
        <v>45775.0</v>
      </c>
      <c r="L251" s="71" t="s">
        <v>129</v>
      </c>
      <c r="M251" s="71" t="s">
        <v>19</v>
      </c>
      <c r="N251" s="71" t="str">
        <f>IFERROR(__xludf.DUMMYFUNCTION("""COMPUTED_VALUE"""),"")</f>
        <v/>
      </c>
      <c r="O251" s="71" t="str">
        <f>IFERROR(__xludf.DUMMYFUNCTION("""COMPUTED_VALUE"""),"")</f>
        <v/>
      </c>
      <c r="P251" s="71" t="str">
        <f>IFERROR(__xludf.DUMMYFUNCTION("""COMPUTED_VALUE"""),"")</f>
        <v/>
      </c>
    </row>
    <row r="252">
      <c r="A252" s="58">
        <v>45775.86593645834</v>
      </c>
      <c r="B252" s="71" t="s">
        <v>168</v>
      </c>
      <c r="C252" s="71" t="b">
        <v>0</v>
      </c>
      <c r="E252" s="78"/>
      <c r="G252" s="78"/>
      <c r="H252" s="71">
        <v>169.0</v>
      </c>
      <c r="I252" s="80"/>
      <c r="J252" s="71" t="s">
        <v>12</v>
      </c>
      <c r="K252" s="59">
        <v>45775.0</v>
      </c>
      <c r="L252" s="71" t="s">
        <v>129</v>
      </c>
      <c r="M252" s="71" t="s">
        <v>18</v>
      </c>
      <c r="N252" s="71" t="str">
        <f>IFERROR(__xludf.DUMMYFUNCTION("""COMPUTED_VALUE"""),"")</f>
        <v/>
      </c>
      <c r="O252" s="71" t="str">
        <f>IFERROR(__xludf.DUMMYFUNCTION("""COMPUTED_VALUE"""),"")</f>
        <v/>
      </c>
      <c r="P252" s="71" t="str">
        <f>IFERROR(__xludf.DUMMYFUNCTION("""COMPUTED_VALUE"""),"")</f>
        <v/>
      </c>
    </row>
    <row r="253">
      <c r="A253" s="58">
        <v>45775.87831737268</v>
      </c>
      <c r="B253" s="71" t="s">
        <v>149</v>
      </c>
      <c r="C253" s="71" t="b">
        <v>0</v>
      </c>
      <c r="E253" s="78"/>
      <c r="G253" s="78"/>
      <c r="H253" s="71">
        <v>238.0</v>
      </c>
      <c r="I253" s="80"/>
      <c r="J253" s="71" t="s">
        <v>12</v>
      </c>
      <c r="K253" s="59">
        <v>45775.0</v>
      </c>
      <c r="L253" s="71" t="s">
        <v>129</v>
      </c>
      <c r="M253" s="71" t="s">
        <v>19</v>
      </c>
      <c r="N253" s="71">
        <f>IFERROR(__xludf.DUMMYFUNCTION("""COMPUTED_VALUE"""),272.0)</f>
        <v>272</v>
      </c>
      <c r="O253" s="71">
        <f>IFERROR(__xludf.DUMMYFUNCTION("""COMPUTED_VALUE"""),517.0)</f>
        <v>517</v>
      </c>
      <c r="P253" s="71">
        <f>IFERROR(__xludf.DUMMYFUNCTION("""COMPUTED_VALUE"""),789.0)</f>
        <v>789</v>
      </c>
    </row>
    <row r="254">
      <c r="A254" s="58">
        <v>45776.48576328703</v>
      </c>
      <c r="B254" s="71" t="s">
        <v>167</v>
      </c>
      <c r="C254" s="71" t="b">
        <v>0</v>
      </c>
      <c r="E254" s="78"/>
      <c r="G254" s="78"/>
      <c r="H254" s="71">
        <v>64.0</v>
      </c>
      <c r="I254" s="80"/>
      <c r="J254" s="71" t="s">
        <v>10</v>
      </c>
      <c r="K254" s="59">
        <v>45776.0</v>
      </c>
      <c r="L254" s="71" t="s">
        <v>132</v>
      </c>
      <c r="M254" s="71" t="s">
        <v>19</v>
      </c>
      <c r="N254" s="71" t="str">
        <f>IFERROR(__xludf.DUMMYFUNCTION("""COMPUTED_VALUE"""),"")</f>
        <v/>
      </c>
      <c r="O254" s="71" t="str">
        <f>IFERROR(__xludf.DUMMYFUNCTION("""COMPUTED_VALUE"""),"")</f>
        <v/>
      </c>
      <c r="P254" s="71" t="str">
        <f>IFERROR(__xludf.DUMMYFUNCTION("""COMPUTED_VALUE"""),"")</f>
        <v/>
      </c>
    </row>
    <row r="255">
      <c r="A255" s="58">
        <v>45776.62062255787</v>
      </c>
      <c r="B255" s="71" t="s">
        <v>148</v>
      </c>
      <c r="C255" s="71" t="b">
        <v>0</v>
      </c>
      <c r="E255" s="78"/>
      <c r="G255" s="78"/>
      <c r="H255" s="71">
        <v>158.0</v>
      </c>
      <c r="I255" s="80"/>
      <c r="J255" s="71" t="s">
        <v>11</v>
      </c>
      <c r="K255" s="59">
        <v>45776.0</v>
      </c>
      <c r="L255" s="71" t="s">
        <v>132</v>
      </c>
      <c r="M255" s="71" t="s">
        <v>19</v>
      </c>
      <c r="N255" s="71" t="str">
        <f>IFERROR(__xludf.DUMMYFUNCTION("""COMPUTED_VALUE"""),"")</f>
        <v/>
      </c>
      <c r="O255" s="71" t="str">
        <f>IFERROR(__xludf.DUMMYFUNCTION("""COMPUTED_VALUE"""),"")</f>
        <v/>
      </c>
      <c r="P255" s="71" t="str">
        <f>IFERROR(__xludf.DUMMYFUNCTION("""COMPUTED_VALUE"""),"")</f>
        <v/>
      </c>
    </row>
    <row r="256">
      <c r="A256" s="58">
        <v>45776.63561239583</v>
      </c>
      <c r="B256" s="71" t="s">
        <v>167</v>
      </c>
      <c r="C256" s="71" t="b">
        <v>0</v>
      </c>
      <c r="E256" s="78"/>
      <c r="G256" s="78"/>
      <c r="H256" s="71">
        <v>133.0</v>
      </c>
      <c r="I256" s="80"/>
      <c r="J256" s="71" t="s">
        <v>11</v>
      </c>
      <c r="K256" s="59">
        <v>45776.0</v>
      </c>
      <c r="L256" s="71" t="s">
        <v>132</v>
      </c>
      <c r="M256" s="71" t="s">
        <v>18</v>
      </c>
      <c r="N256" s="71">
        <f>IFERROR(__xludf.DUMMYFUNCTION("""COMPUTED_VALUE"""),133.0)</f>
        <v>133</v>
      </c>
      <c r="O256" s="71">
        <f>IFERROR(__xludf.DUMMYFUNCTION("""COMPUTED_VALUE"""),222.0)</f>
        <v>222</v>
      </c>
      <c r="P256" s="71">
        <f>IFERROR(__xludf.DUMMYFUNCTION("""COMPUTED_VALUE"""),355.0)</f>
        <v>355</v>
      </c>
    </row>
    <row r="257">
      <c r="A257" s="58">
        <v>45777.4348865162</v>
      </c>
      <c r="B257" s="71" t="s">
        <v>170</v>
      </c>
      <c r="C257" s="71" t="b">
        <v>0</v>
      </c>
      <c r="E257" s="78"/>
      <c r="G257" s="78"/>
      <c r="H257" s="71">
        <v>95.0</v>
      </c>
      <c r="I257" s="80"/>
      <c r="J257" s="71" t="s">
        <v>10</v>
      </c>
      <c r="K257" s="59">
        <v>45777.0</v>
      </c>
      <c r="L257" s="71" t="s">
        <v>135</v>
      </c>
      <c r="M257" s="71" t="s">
        <v>19</v>
      </c>
      <c r="N257" s="71" t="str">
        <f>IFERROR(__xludf.DUMMYFUNCTION("""COMPUTED_VALUE"""),"")</f>
        <v/>
      </c>
      <c r="O257" s="71" t="str">
        <f>IFERROR(__xludf.DUMMYFUNCTION("""COMPUTED_VALUE"""),"")</f>
        <v/>
      </c>
      <c r="P257" s="71" t="str">
        <f>IFERROR(__xludf.DUMMYFUNCTION("""COMPUTED_VALUE"""),"")</f>
        <v/>
      </c>
    </row>
    <row r="258">
      <c r="A258" s="58">
        <v>45777.64435258102</v>
      </c>
      <c r="B258" s="71" t="s">
        <v>173</v>
      </c>
      <c r="C258" s="71" t="b">
        <v>0</v>
      </c>
      <c r="E258" s="78"/>
      <c r="G258" s="78"/>
      <c r="H258" s="71">
        <v>48.0</v>
      </c>
      <c r="I258" s="80"/>
      <c r="J258" s="71" t="s">
        <v>11</v>
      </c>
      <c r="K258" s="59">
        <v>45777.0</v>
      </c>
      <c r="L258" s="71" t="s">
        <v>135</v>
      </c>
      <c r="M258" s="71" t="s">
        <v>18</v>
      </c>
      <c r="N258" s="71" t="str">
        <f>IFERROR(__xludf.DUMMYFUNCTION("""COMPUTED_VALUE"""),"")</f>
        <v/>
      </c>
      <c r="O258" s="71" t="str">
        <f>IFERROR(__xludf.DUMMYFUNCTION("""COMPUTED_VALUE"""),"")</f>
        <v/>
      </c>
      <c r="P258" s="71" t="str">
        <f>IFERROR(__xludf.DUMMYFUNCTION("""COMPUTED_VALUE"""),"")</f>
        <v/>
      </c>
    </row>
    <row r="259">
      <c r="A259" s="58">
        <v>45777.85106494213</v>
      </c>
      <c r="B259" s="71" t="s">
        <v>171</v>
      </c>
      <c r="C259" s="71" t="b">
        <v>0</v>
      </c>
      <c r="E259" s="78"/>
      <c r="G259" s="78"/>
      <c r="H259" s="71">
        <v>57.0</v>
      </c>
      <c r="I259" s="80"/>
      <c r="J259" s="71" t="s">
        <v>11</v>
      </c>
      <c r="K259" s="59">
        <v>45777.0</v>
      </c>
      <c r="L259" s="71" t="s">
        <v>135</v>
      </c>
      <c r="M259" s="71" t="s">
        <v>18</v>
      </c>
      <c r="N259" s="71">
        <f>IFERROR(__xludf.DUMMYFUNCTION("""COMPUTED_VALUE"""),105.0)</f>
        <v>105</v>
      </c>
      <c r="O259" s="71">
        <f>IFERROR(__xludf.DUMMYFUNCTION("""COMPUTED_VALUE"""),95.0)</f>
        <v>95</v>
      </c>
      <c r="P259" s="71">
        <f>IFERROR(__xludf.DUMMYFUNCTION("""COMPUTED_VALUE"""),200.0)</f>
        <v>200</v>
      </c>
    </row>
    <row r="260">
      <c r="A260" s="58">
        <v>45778.54069056713</v>
      </c>
      <c r="B260" s="71" t="s">
        <v>173</v>
      </c>
      <c r="C260" s="71" t="b">
        <v>0</v>
      </c>
      <c r="E260" s="78"/>
      <c r="G260" s="78"/>
      <c r="H260" s="71">
        <v>24.0</v>
      </c>
      <c r="I260" s="80"/>
      <c r="J260" s="71" t="s">
        <v>11</v>
      </c>
      <c r="K260" s="59">
        <v>45778.0</v>
      </c>
      <c r="L260" s="71" t="s">
        <v>137</v>
      </c>
      <c r="M260" s="71" t="s">
        <v>18</v>
      </c>
      <c r="N260" s="71" t="str">
        <f>IFERROR(__xludf.DUMMYFUNCTION("""COMPUTED_VALUE"""),"")</f>
        <v/>
      </c>
      <c r="O260" s="71" t="str">
        <f>IFERROR(__xludf.DUMMYFUNCTION("""COMPUTED_VALUE"""),"")</f>
        <v/>
      </c>
      <c r="P260" s="71" t="str">
        <f>IFERROR(__xludf.DUMMYFUNCTION("""COMPUTED_VALUE"""),"")</f>
        <v/>
      </c>
    </row>
    <row r="261">
      <c r="A261" s="58">
        <v>45778.62533788195</v>
      </c>
      <c r="B261" s="71" t="s">
        <v>148</v>
      </c>
      <c r="C261" s="71" t="b">
        <v>0</v>
      </c>
      <c r="E261" s="78"/>
      <c r="G261" s="78"/>
      <c r="H261" s="71">
        <v>117.0</v>
      </c>
      <c r="I261" s="80"/>
      <c r="J261" s="71" t="s">
        <v>11</v>
      </c>
      <c r="K261" s="59">
        <v>45778.0</v>
      </c>
      <c r="L261" s="71" t="s">
        <v>137</v>
      </c>
      <c r="M261" s="71" t="s">
        <v>19</v>
      </c>
      <c r="N261" s="71" t="str">
        <f>IFERROR(__xludf.DUMMYFUNCTION("""COMPUTED_VALUE"""),"")</f>
        <v/>
      </c>
      <c r="O261" s="71" t="str">
        <f>IFERROR(__xludf.DUMMYFUNCTION("""COMPUTED_VALUE"""),"")</f>
        <v/>
      </c>
      <c r="P261" s="71" t="str">
        <f>IFERROR(__xludf.DUMMYFUNCTION("""COMPUTED_VALUE"""),"")</f>
        <v/>
      </c>
    </row>
    <row r="262">
      <c r="A262" s="58">
        <v>45778.87336393518</v>
      </c>
      <c r="B262" s="71" t="s">
        <v>174</v>
      </c>
      <c r="C262" s="71" t="b">
        <v>0</v>
      </c>
      <c r="E262" s="78"/>
      <c r="G262" s="78"/>
      <c r="H262" s="71">
        <v>158.0</v>
      </c>
      <c r="I262" s="80"/>
      <c r="J262" s="71" t="s">
        <v>12</v>
      </c>
      <c r="K262" s="59">
        <v>45778.0</v>
      </c>
      <c r="L262" s="71" t="s">
        <v>137</v>
      </c>
      <c r="M262" s="71" t="s">
        <v>19</v>
      </c>
      <c r="N262" s="71" t="str">
        <f>IFERROR(__xludf.DUMMYFUNCTION("""COMPUTED_VALUE"""),"")</f>
        <v/>
      </c>
      <c r="O262" s="71" t="str">
        <f>IFERROR(__xludf.DUMMYFUNCTION("""COMPUTED_VALUE"""),"")</f>
        <v/>
      </c>
      <c r="P262" s="71" t="str">
        <f>IFERROR(__xludf.DUMMYFUNCTION("""COMPUTED_VALUE"""),"")</f>
        <v/>
      </c>
    </row>
    <row r="263">
      <c r="A263" s="58">
        <v>45779.57437292824</v>
      </c>
      <c r="B263" s="71" t="s">
        <v>172</v>
      </c>
      <c r="C263" s="71" t="b">
        <v>0</v>
      </c>
      <c r="E263" s="78"/>
      <c r="G263" s="78"/>
      <c r="H263" s="71">
        <v>68.0</v>
      </c>
      <c r="I263" s="80"/>
      <c r="J263" s="71" t="s">
        <v>11</v>
      </c>
      <c r="K263" s="59">
        <v>45778.0</v>
      </c>
      <c r="L263" s="71" t="s">
        <v>137</v>
      </c>
      <c r="M263" s="71" t="s">
        <v>18</v>
      </c>
      <c r="N263" s="71">
        <f>IFERROR(__xludf.DUMMYFUNCTION("""COMPUTED_VALUE"""),92.0)</f>
        <v>92</v>
      </c>
      <c r="O263" s="71">
        <f>IFERROR(__xludf.DUMMYFUNCTION("""COMPUTED_VALUE"""),275.0)</f>
        <v>275</v>
      </c>
      <c r="P263" s="71">
        <f>IFERROR(__xludf.DUMMYFUNCTION("""COMPUTED_VALUE"""),367.0)</f>
        <v>367</v>
      </c>
    </row>
    <row r="264">
      <c r="A264" s="58">
        <v>45779.75929599537</v>
      </c>
      <c r="B264" s="71" t="s">
        <v>171</v>
      </c>
      <c r="C264" s="71" t="b">
        <v>0</v>
      </c>
      <c r="E264" s="78"/>
      <c r="G264" s="78"/>
      <c r="H264" s="71">
        <v>142.0</v>
      </c>
      <c r="I264" s="80"/>
      <c r="J264" s="71" t="s">
        <v>11</v>
      </c>
      <c r="K264" s="59">
        <v>45779.0</v>
      </c>
      <c r="L264" s="71" t="s">
        <v>138</v>
      </c>
      <c r="M264" s="71" t="s">
        <v>18</v>
      </c>
      <c r="N264" s="71">
        <f>IFERROR(__xludf.DUMMYFUNCTION("""COMPUTED_VALUE"""),142.0)</f>
        <v>142</v>
      </c>
      <c r="O264" s="71" t="str">
        <f>IFERROR(__xludf.DUMMYFUNCTION("""COMPUTED_VALUE"""),"")</f>
        <v/>
      </c>
      <c r="P264" s="71">
        <f>IFERROR(__xludf.DUMMYFUNCTION("""COMPUTED_VALUE"""),142.0)</f>
        <v>142</v>
      </c>
    </row>
    <row r="265">
      <c r="A265" s="58"/>
      <c r="E265" s="78"/>
      <c r="G265" s="78"/>
      <c r="I265" s="80"/>
      <c r="K265" s="59"/>
      <c r="N265" s="71" t="str">
        <f>IFERROR(__xludf.DUMMYFUNCTION("""COMPUTED_VALUE"""),"")</f>
        <v/>
      </c>
      <c r="O265" s="71" t="str">
        <f>IFERROR(__xludf.DUMMYFUNCTION("""COMPUTED_VALUE"""),"")</f>
        <v/>
      </c>
      <c r="P265" s="71" t="str">
        <f>IFERROR(__xludf.DUMMYFUNCTION("""COMPUTED_VALUE"""),"")</f>
        <v/>
      </c>
    </row>
    <row r="266">
      <c r="A266" s="58"/>
      <c r="E266" s="78"/>
      <c r="G266" s="78"/>
      <c r="I266" s="80"/>
      <c r="K266" s="59"/>
      <c r="N266" s="71" t="str">
        <f>IFERROR(__xludf.DUMMYFUNCTION("""COMPUTED_VALUE"""),"")</f>
        <v/>
      </c>
      <c r="O266" s="71" t="str">
        <f>IFERROR(__xludf.DUMMYFUNCTION("""COMPUTED_VALUE"""),"")</f>
        <v/>
      </c>
      <c r="P266" s="71" t="str">
        <f>IFERROR(__xludf.DUMMYFUNCTION("""COMPUTED_VALUE"""),"")</f>
        <v/>
      </c>
    </row>
    <row r="267">
      <c r="A267" s="58"/>
      <c r="E267" s="78"/>
      <c r="G267" s="78"/>
      <c r="I267" s="80"/>
      <c r="K267" s="59"/>
      <c r="N267" s="71" t="str">
        <f>IFERROR(__xludf.DUMMYFUNCTION("""COMPUTED_VALUE"""),"")</f>
        <v/>
      </c>
      <c r="O267" s="71" t="str">
        <f>IFERROR(__xludf.DUMMYFUNCTION("""COMPUTED_VALUE"""),"")</f>
        <v/>
      </c>
      <c r="P267" s="71" t="str">
        <f>IFERROR(__xludf.DUMMYFUNCTION("""COMPUTED_VALUE"""),"")</f>
        <v/>
      </c>
    </row>
    <row r="268">
      <c r="A268" s="58"/>
      <c r="E268" s="78"/>
      <c r="G268" s="78"/>
      <c r="I268" s="80"/>
      <c r="K268" s="59"/>
      <c r="N268" s="71" t="str">
        <f>IFERROR(__xludf.DUMMYFUNCTION("""COMPUTED_VALUE"""),"")</f>
        <v/>
      </c>
      <c r="O268" s="71" t="str">
        <f>IFERROR(__xludf.DUMMYFUNCTION("""COMPUTED_VALUE"""),"")</f>
        <v/>
      </c>
      <c r="P268" s="71" t="str">
        <f>IFERROR(__xludf.DUMMYFUNCTION("""COMPUTED_VALUE"""),"")</f>
        <v/>
      </c>
    </row>
    <row r="269">
      <c r="A269" s="58"/>
      <c r="E269" s="78"/>
      <c r="G269" s="78"/>
      <c r="I269" s="80"/>
      <c r="K269" s="59"/>
      <c r="N269" s="71" t="str">
        <f>IFERROR(__xludf.DUMMYFUNCTION("""COMPUTED_VALUE"""),"")</f>
        <v/>
      </c>
      <c r="O269" s="71" t="str">
        <f>IFERROR(__xludf.DUMMYFUNCTION("""COMPUTED_VALUE"""),"")</f>
        <v/>
      </c>
      <c r="P269" s="71" t="str">
        <f>IFERROR(__xludf.DUMMYFUNCTION("""COMPUTED_VALUE"""),"")</f>
        <v/>
      </c>
    </row>
    <row r="270">
      <c r="A270" s="58"/>
      <c r="E270" s="78"/>
      <c r="G270" s="78"/>
      <c r="I270" s="80"/>
      <c r="K270" s="59"/>
      <c r="N270" s="71" t="str">
        <f>IFERROR(__xludf.DUMMYFUNCTION("""COMPUTED_VALUE"""),"")</f>
        <v/>
      </c>
      <c r="O270" s="71" t="str">
        <f>IFERROR(__xludf.DUMMYFUNCTION("""COMPUTED_VALUE"""),"")</f>
        <v/>
      </c>
      <c r="P270" s="71" t="str">
        <f>IFERROR(__xludf.DUMMYFUNCTION("""COMPUTED_VALUE"""),"")</f>
        <v/>
      </c>
    </row>
    <row r="271">
      <c r="A271" s="58"/>
      <c r="E271" s="78"/>
      <c r="G271" s="78"/>
      <c r="I271" s="80"/>
      <c r="K271" s="59"/>
      <c r="N271" s="71" t="str">
        <f>IFERROR(__xludf.DUMMYFUNCTION("""COMPUTED_VALUE"""),"")</f>
        <v/>
      </c>
      <c r="O271" s="71" t="str">
        <f>IFERROR(__xludf.DUMMYFUNCTION("""COMPUTED_VALUE"""),"")</f>
        <v/>
      </c>
      <c r="P271" s="71" t="str">
        <f>IFERROR(__xludf.DUMMYFUNCTION("""COMPUTED_VALUE"""),"")</f>
        <v/>
      </c>
    </row>
    <row r="272">
      <c r="A272" s="58"/>
      <c r="E272" s="78"/>
      <c r="G272" s="78"/>
      <c r="I272" s="80"/>
      <c r="K272" s="59"/>
      <c r="N272" s="71" t="str">
        <f>IFERROR(__xludf.DUMMYFUNCTION("""COMPUTED_VALUE"""),"")</f>
        <v/>
      </c>
      <c r="O272" s="71" t="str">
        <f>IFERROR(__xludf.DUMMYFUNCTION("""COMPUTED_VALUE"""),"")</f>
        <v/>
      </c>
      <c r="P272" s="71" t="str">
        <f>IFERROR(__xludf.DUMMYFUNCTION("""COMPUTED_VALUE"""),"")</f>
        <v/>
      </c>
    </row>
    <row r="273">
      <c r="A273" s="58"/>
      <c r="E273" s="78"/>
      <c r="G273" s="78"/>
      <c r="I273" s="80"/>
      <c r="K273" s="59"/>
      <c r="N273" s="71" t="str">
        <f>IFERROR(__xludf.DUMMYFUNCTION("""COMPUTED_VALUE"""),"")</f>
        <v/>
      </c>
      <c r="O273" s="71" t="str">
        <f>IFERROR(__xludf.DUMMYFUNCTION("""COMPUTED_VALUE"""),"")</f>
        <v/>
      </c>
      <c r="P273" s="71" t="str">
        <f>IFERROR(__xludf.DUMMYFUNCTION("""COMPUTED_VALUE"""),"")</f>
        <v/>
      </c>
    </row>
    <row r="274">
      <c r="A274" s="58"/>
      <c r="E274" s="78"/>
      <c r="G274" s="78"/>
      <c r="I274" s="80"/>
      <c r="K274" s="59"/>
      <c r="N274" s="71" t="str">
        <f>IFERROR(__xludf.DUMMYFUNCTION("""COMPUTED_VALUE"""),"")</f>
        <v/>
      </c>
      <c r="O274" s="71" t="str">
        <f>IFERROR(__xludf.DUMMYFUNCTION("""COMPUTED_VALUE"""),"")</f>
        <v/>
      </c>
      <c r="P274" s="71" t="str">
        <f>IFERROR(__xludf.DUMMYFUNCTION("""COMPUTED_VALUE"""),"")</f>
        <v/>
      </c>
    </row>
    <row r="275">
      <c r="A275" s="58"/>
      <c r="E275" s="78"/>
      <c r="G275" s="78"/>
      <c r="I275" s="80"/>
      <c r="K275" s="59"/>
      <c r="N275" s="71" t="str">
        <f>IFERROR(__xludf.DUMMYFUNCTION("""COMPUTED_VALUE"""),"")</f>
        <v/>
      </c>
      <c r="O275" s="71" t="str">
        <f>IFERROR(__xludf.DUMMYFUNCTION("""COMPUTED_VALUE"""),"")</f>
        <v/>
      </c>
      <c r="P275" s="71" t="str">
        <f>IFERROR(__xludf.DUMMYFUNCTION("""COMPUTED_VALUE"""),"")</f>
        <v/>
      </c>
    </row>
    <row r="276">
      <c r="A276" s="58"/>
      <c r="E276" s="78"/>
      <c r="G276" s="78"/>
      <c r="I276" s="80"/>
      <c r="K276" s="59"/>
      <c r="N276" s="71" t="str">
        <f>IFERROR(__xludf.DUMMYFUNCTION("""COMPUTED_VALUE"""),"")</f>
        <v/>
      </c>
      <c r="O276" s="71" t="str">
        <f>IFERROR(__xludf.DUMMYFUNCTION("""COMPUTED_VALUE"""),"")</f>
        <v/>
      </c>
      <c r="P276" s="71" t="str">
        <f>IFERROR(__xludf.DUMMYFUNCTION("""COMPUTED_VALUE"""),"")</f>
        <v/>
      </c>
    </row>
    <row r="277">
      <c r="A277" s="58"/>
      <c r="E277" s="78"/>
      <c r="G277" s="78"/>
      <c r="I277" s="80"/>
      <c r="K277" s="59"/>
      <c r="N277" s="71" t="str">
        <f>IFERROR(__xludf.DUMMYFUNCTION("""COMPUTED_VALUE"""),"")</f>
        <v/>
      </c>
      <c r="O277" s="71" t="str">
        <f>IFERROR(__xludf.DUMMYFUNCTION("""COMPUTED_VALUE"""),"")</f>
        <v/>
      </c>
      <c r="P277" s="71" t="str">
        <f>IFERROR(__xludf.DUMMYFUNCTION("""COMPUTED_VALUE"""),"")</f>
        <v/>
      </c>
    </row>
    <row r="278">
      <c r="A278" s="58"/>
      <c r="E278" s="78"/>
      <c r="G278" s="78"/>
      <c r="I278" s="80"/>
      <c r="K278" s="59"/>
      <c r="N278" s="71" t="str">
        <f>IFERROR(__xludf.DUMMYFUNCTION("""COMPUTED_VALUE"""),"")</f>
        <v/>
      </c>
      <c r="O278" s="71" t="str">
        <f>IFERROR(__xludf.DUMMYFUNCTION("""COMPUTED_VALUE"""),"")</f>
        <v/>
      </c>
      <c r="P278" s="71" t="str">
        <f>IFERROR(__xludf.DUMMYFUNCTION("""COMPUTED_VALUE"""),"")</f>
        <v/>
      </c>
    </row>
    <row r="279">
      <c r="A279" s="58"/>
      <c r="E279" s="78"/>
      <c r="G279" s="78"/>
      <c r="I279" s="80"/>
      <c r="K279" s="59"/>
      <c r="N279" s="71" t="str">
        <f>IFERROR(__xludf.DUMMYFUNCTION("""COMPUTED_VALUE"""),"")</f>
        <v/>
      </c>
      <c r="O279" s="71" t="str">
        <f>IFERROR(__xludf.DUMMYFUNCTION("""COMPUTED_VALUE"""),"")</f>
        <v/>
      </c>
      <c r="P279" s="71" t="str">
        <f>IFERROR(__xludf.DUMMYFUNCTION("""COMPUTED_VALUE"""),"")</f>
        <v/>
      </c>
    </row>
    <row r="280">
      <c r="A280" s="58"/>
      <c r="E280" s="78"/>
      <c r="G280" s="78"/>
      <c r="I280" s="80"/>
      <c r="K280" s="59"/>
      <c r="N280" s="71" t="str">
        <f>IFERROR(__xludf.DUMMYFUNCTION("""COMPUTED_VALUE"""),"")</f>
        <v/>
      </c>
      <c r="O280" s="71" t="str">
        <f>IFERROR(__xludf.DUMMYFUNCTION("""COMPUTED_VALUE"""),"")</f>
        <v/>
      </c>
      <c r="P280" s="71" t="str">
        <f>IFERROR(__xludf.DUMMYFUNCTION("""COMPUTED_VALUE"""),"")</f>
        <v/>
      </c>
    </row>
    <row r="281">
      <c r="A281" s="58"/>
      <c r="E281" s="78"/>
      <c r="G281" s="78"/>
      <c r="I281" s="80"/>
      <c r="K281" s="59"/>
      <c r="N281" s="71" t="str">
        <f>IFERROR(__xludf.DUMMYFUNCTION("""COMPUTED_VALUE"""),"")</f>
        <v/>
      </c>
      <c r="O281" s="71" t="str">
        <f>IFERROR(__xludf.DUMMYFUNCTION("""COMPUTED_VALUE"""),"")</f>
        <v/>
      </c>
      <c r="P281" s="71" t="str">
        <f>IFERROR(__xludf.DUMMYFUNCTION("""COMPUTED_VALUE"""),"")</f>
        <v/>
      </c>
    </row>
    <row r="282">
      <c r="A282" s="58"/>
      <c r="E282" s="78"/>
      <c r="G282" s="78"/>
      <c r="I282" s="80"/>
      <c r="K282" s="59"/>
      <c r="N282" s="71" t="str">
        <f>IFERROR(__xludf.DUMMYFUNCTION("""COMPUTED_VALUE"""),"")</f>
        <v/>
      </c>
      <c r="O282" s="71" t="str">
        <f>IFERROR(__xludf.DUMMYFUNCTION("""COMPUTED_VALUE"""),"")</f>
        <v/>
      </c>
      <c r="P282" s="71" t="str">
        <f>IFERROR(__xludf.DUMMYFUNCTION("""COMPUTED_VALUE"""),"")</f>
        <v/>
      </c>
    </row>
    <row r="283">
      <c r="A283" s="58"/>
      <c r="E283" s="78"/>
      <c r="G283" s="78"/>
      <c r="I283" s="80"/>
      <c r="K283" s="59"/>
      <c r="N283" s="71" t="str">
        <f>IFERROR(__xludf.DUMMYFUNCTION("""COMPUTED_VALUE"""),"")</f>
        <v/>
      </c>
      <c r="O283" s="71" t="str">
        <f>IFERROR(__xludf.DUMMYFUNCTION("""COMPUTED_VALUE"""),"")</f>
        <v/>
      </c>
      <c r="P283" s="71" t="str">
        <f>IFERROR(__xludf.DUMMYFUNCTION("""COMPUTED_VALUE"""),"")</f>
        <v/>
      </c>
    </row>
    <row r="284">
      <c r="A284" s="58"/>
      <c r="E284" s="78"/>
      <c r="G284" s="78"/>
      <c r="I284" s="80"/>
      <c r="K284" s="59"/>
      <c r="N284" s="71" t="str">
        <f>IFERROR(__xludf.DUMMYFUNCTION("""COMPUTED_VALUE"""),"")</f>
        <v/>
      </c>
      <c r="O284" s="71" t="str">
        <f>IFERROR(__xludf.DUMMYFUNCTION("""COMPUTED_VALUE"""),"")</f>
        <v/>
      </c>
      <c r="P284" s="71" t="str">
        <f>IFERROR(__xludf.DUMMYFUNCTION("""COMPUTED_VALUE"""),"")</f>
        <v/>
      </c>
    </row>
    <row r="285">
      <c r="A285" s="58"/>
      <c r="E285" s="78"/>
      <c r="G285" s="78"/>
      <c r="I285" s="80"/>
      <c r="K285" s="59"/>
      <c r="N285" s="71" t="str">
        <f>IFERROR(__xludf.DUMMYFUNCTION("""COMPUTED_VALUE"""),"")</f>
        <v/>
      </c>
      <c r="O285" s="71" t="str">
        <f>IFERROR(__xludf.DUMMYFUNCTION("""COMPUTED_VALUE"""),"")</f>
        <v/>
      </c>
      <c r="P285" s="71" t="str">
        <f>IFERROR(__xludf.DUMMYFUNCTION("""COMPUTED_VALUE"""),"")</f>
        <v/>
      </c>
    </row>
    <row r="286">
      <c r="A286" s="58"/>
      <c r="E286" s="78"/>
      <c r="G286" s="78"/>
      <c r="I286" s="80"/>
      <c r="K286" s="59"/>
      <c r="N286" s="71" t="str">
        <f>IFERROR(__xludf.DUMMYFUNCTION("""COMPUTED_VALUE"""),"")</f>
        <v/>
      </c>
      <c r="O286" s="71" t="str">
        <f>IFERROR(__xludf.DUMMYFUNCTION("""COMPUTED_VALUE"""),"")</f>
        <v/>
      </c>
      <c r="P286" s="71" t="str">
        <f>IFERROR(__xludf.DUMMYFUNCTION("""COMPUTED_VALUE"""),"")</f>
        <v/>
      </c>
    </row>
    <row r="287">
      <c r="A287" s="58"/>
      <c r="E287" s="78"/>
      <c r="G287" s="78"/>
      <c r="I287" s="80"/>
      <c r="K287" s="59"/>
      <c r="N287" s="71" t="str">
        <f>IFERROR(__xludf.DUMMYFUNCTION("""COMPUTED_VALUE"""),"")</f>
        <v/>
      </c>
      <c r="O287" s="71" t="str">
        <f>IFERROR(__xludf.DUMMYFUNCTION("""COMPUTED_VALUE"""),"")</f>
        <v/>
      </c>
      <c r="P287" s="71" t="str">
        <f>IFERROR(__xludf.DUMMYFUNCTION("""COMPUTED_VALUE"""),"")</f>
        <v/>
      </c>
    </row>
    <row r="288">
      <c r="A288" s="58"/>
      <c r="E288" s="78"/>
      <c r="G288" s="78"/>
      <c r="I288" s="80"/>
      <c r="K288" s="59"/>
      <c r="N288" s="71" t="str">
        <f>IFERROR(__xludf.DUMMYFUNCTION("""COMPUTED_VALUE"""),"")</f>
        <v/>
      </c>
      <c r="O288" s="71" t="str">
        <f>IFERROR(__xludf.DUMMYFUNCTION("""COMPUTED_VALUE"""),"")</f>
        <v/>
      </c>
      <c r="P288" s="71" t="str">
        <f>IFERROR(__xludf.DUMMYFUNCTION("""COMPUTED_VALUE"""),"")</f>
        <v/>
      </c>
    </row>
    <row r="289">
      <c r="A289" s="58"/>
      <c r="E289" s="78"/>
      <c r="G289" s="78"/>
      <c r="I289" s="80"/>
      <c r="K289" s="59"/>
      <c r="N289" s="71" t="str">
        <f>IFERROR(__xludf.DUMMYFUNCTION("""COMPUTED_VALUE"""),"")</f>
        <v/>
      </c>
      <c r="O289" s="71" t="str">
        <f>IFERROR(__xludf.DUMMYFUNCTION("""COMPUTED_VALUE"""),"")</f>
        <v/>
      </c>
      <c r="P289" s="71" t="str">
        <f>IFERROR(__xludf.DUMMYFUNCTION("""COMPUTED_VALUE"""),"")</f>
        <v/>
      </c>
    </row>
    <row r="290">
      <c r="A290" s="58"/>
      <c r="E290" s="78"/>
      <c r="G290" s="78"/>
      <c r="I290" s="80"/>
      <c r="K290" s="59"/>
      <c r="N290" s="71" t="str">
        <f>IFERROR(__xludf.DUMMYFUNCTION("""COMPUTED_VALUE"""),"")</f>
        <v/>
      </c>
      <c r="O290" s="71" t="str">
        <f>IFERROR(__xludf.DUMMYFUNCTION("""COMPUTED_VALUE"""),"")</f>
        <v/>
      </c>
      <c r="P290" s="71" t="str">
        <f>IFERROR(__xludf.DUMMYFUNCTION("""COMPUTED_VALUE"""),"")</f>
        <v/>
      </c>
    </row>
    <row r="291">
      <c r="A291" s="58"/>
      <c r="E291" s="78"/>
      <c r="G291" s="78"/>
      <c r="I291" s="80"/>
      <c r="K291" s="59"/>
      <c r="N291" s="71" t="str">
        <f>IFERROR(__xludf.DUMMYFUNCTION("""COMPUTED_VALUE"""),"")</f>
        <v/>
      </c>
      <c r="O291" s="71" t="str">
        <f>IFERROR(__xludf.DUMMYFUNCTION("""COMPUTED_VALUE"""),"")</f>
        <v/>
      </c>
      <c r="P291" s="71" t="str">
        <f>IFERROR(__xludf.DUMMYFUNCTION("""COMPUTED_VALUE"""),"")</f>
        <v/>
      </c>
    </row>
    <row r="292">
      <c r="A292" s="58"/>
      <c r="E292" s="78"/>
      <c r="G292" s="78"/>
      <c r="I292" s="80"/>
      <c r="K292" s="59"/>
      <c r="N292" s="71" t="str">
        <f>IFERROR(__xludf.DUMMYFUNCTION("""COMPUTED_VALUE"""),"")</f>
        <v/>
      </c>
      <c r="O292" s="71" t="str">
        <f>IFERROR(__xludf.DUMMYFUNCTION("""COMPUTED_VALUE"""),"")</f>
        <v/>
      </c>
      <c r="P292" s="71" t="str">
        <f>IFERROR(__xludf.DUMMYFUNCTION("""COMPUTED_VALUE"""),"")</f>
        <v/>
      </c>
    </row>
    <row r="293">
      <c r="A293" s="58"/>
      <c r="E293" s="78"/>
      <c r="G293" s="78"/>
      <c r="I293" s="80"/>
      <c r="K293" s="59"/>
      <c r="N293" s="71" t="str">
        <f>IFERROR(__xludf.DUMMYFUNCTION("""COMPUTED_VALUE"""),"")</f>
        <v/>
      </c>
      <c r="O293" s="71" t="str">
        <f>IFERROR(__xludf.DUMMYFUNCTION("""COMPUTED_VALUE"""),"")</f>
        <v/>
      </c>
      <c r="P293" s="71" t="str">
        <f>IFERROR(__xludf.DUMMYFUNCTION("""COMPUTED_VALUE"""),"")</f>
        <v/>
      </c>
    </row>
    <row r="294">
      <c r="A294" s="58"/>
      <c r="E294" s="78"/>
      <c r="G294" s="78"/>
      <c r="I294" s="80"/>
      <c r="K294" s="59"/>
      <c r="N294" s="71" t="str">
        <f>IFERROR(__xludf.DUMMYFUNCTION("""COMPUTED_VALUE"""),"")</f>
        <v/>
      </c>
      <c r="O294" s="71" t="str">
        <f>IFERROR(__xludf.DUMMYFUNCTION("""COMPUTED_VALUE"""),"")</f>
        <v/>
      </c>
      <c r="P294" s="71" t="str">
        <f>IFERROR(__xludf.DUMMYFUNCTION("""COMPUTED_VALUE"""),"")</f>
        <v/>
      </c>
    </row>
    <row r="295">
      <c r="A295" s="58"/>
      <c r="E295" s="78"/>
      <c r="G295" s="78"/>
      <c r="I295" s="80"/>
      <c r="K295" s="59"/>
      <c r="N295" s="71" t="str">
        <f>IFERROR(__xludf.DUMMYFUNCTION("""COMPUTED_VALUE"""),"")</f>
        <v/>
      </c>
      <c r="O295" s="71" t="str">
        <f>IFERROR(__xludf.DUMMYFUNCTION("""COMPUTED_VALUE"""),"")</f>
        <v/>
      </c>
      <c r="P295" s="71" t="str">
        <f>IFERROR(__xludf.DUMMYFUNCTION("""COMPUTED_VALUE"""),"")</f>
        <v/>
      </c>
    </row>
    <row r="296">
      <c r="A296" s="58"/>
      <c r="E296" s="78"/>
      <c r="G296" s="78"/>
      <c r="I296" s="80"/>
      <c r="K296" s="59"/>
      <c r="N296" s="71" t="str">
        <f>IFERROR(__xludf.DUMMYFUNCTION("""COMPUTED_VALUE"""),"")</f>
        <v/>
      </c>
      <c r="O296" s="71" t="str">
        <f>IFERROR(__xludf.DUMMYFUNCTION("""COMPUTED_VALUE"""),"")</f>
        <v/>
      </c>
      <c r="P296" s="71" t="str">
        <f>IFERROR(__xludf.DUMMYFUNCTION("""COMPUTED_VALUE"""),"")</f>
        <v/>
      </c>
    </row>
    <row r="297">
      <c r="A297" s="58"/>
      <c r="E297" s="78"/>
      <c r="G297" s="78"/>
      <c r="I297" s="80"/>
      <c r="K297" s="59"/>
      <c r="N297" s="71" t="str">
        <f>IFERROR(__xludf.DUMMYFUNCTION("""COMPUTED_VALUE"""),"")</f>
        <v/>
      </c>
      <c r="O297" s="71" t="str">
        <f>IFERROR(__xludf.DUMMYFUNCTION("""COMPUTED_VALUE"""),"")</f>
        <v/>
      </c>
      <c r="P297" s="71" t="str">
        <f>IFERROR(__xludf.DUMMYFUNCTION("""COMPUTED_VALUE"""),"")</f>
        <v/>
      </c>
    </row>
    <row r="298">
      <c r="A298" s="58"/>
      <c r="E298" s="78"/>
      <c r="G298" s="78"/>
      <c r="I298" s="80"/>
      <c r="K298" s="59"/>
      <c r="N298" s="71" t="str">
        <f>IFERROR(__xludf.DUMMYFUNCTION("""COMPUTED_VALUE"""),"")</f>
        <v/>
      </c>
      <c r="O298" s="71" t="str">
        <f>IFERROR(__xludf.DUMMYFUNCTION("""COMPUTED_VALUE"""),"")</f>
        <v/>
      </c>
      <c r="P298" s="71" t="str">
        <f>IFERROR(__xludf.DUMMYFUNCTION("""COMPUTED_VALUE"""),"")</f>
        <v/>
      </c>
    </row>
    <row r="299">
      <c r="A299" s="58"/>
      <c r="E299" s="78"/>
      <c r="G299" s="78"/>
      <c r="I299" s="80"/>
      <c r="K299" s="59"/>
      <c r="N299" s="71" t="str">
        <f>IFERROR(__xludf.DUMMYFUNCTION("""COMPUTED_VALUE"""),"")</f>
        <v/>
      </c>
      <c r="O299" s="71" t="str">
        <f>IFERROR(__xludf.DUMMYFUNCTION("""COMPUTED_VALUE"""),"")</f>
        <v/>
      </c>
      <c r="P299" s="71" t="str">
        <f>IFERROR(__xludf.DUMMYFUNCTION("""COMPUTED_VALUE"""),"")</f>
        <v/>
      </c>
    </row>
    <row r="300">
      <c r="A300" s="58"/>
      <c r="E300" s="78"/>
      <c r="G300" s="78"/>
      <c r="I300" s="80"/>
      <c r="K300" s="59"/>
      <c r="N300" s="71" t="str">
        <f>IFERROR(__xludf.DUMMYFUNCTION("""COMPUTED_VALUE"""),"")</f>
        <v/>
      </c>
      <c r="O300" s="71" t="str">
        <f>IFERROR(__xludf.DUMMYFUNCTION("""COMPUTED_VALUE"""),"")</f>
        <v/>
      </c>
      <c r="P300" s="71" t="str">
        <f>IFERROR(__xludf.DUMMYFUNCTION("""COMPUTED_VALUE"""),"")</f>
        <v/>
      </c>
    </row>
    <row r="301">
      <c r="A301" s="58"/>
      <c r="E301" s="78"/>
      <c r="G301" s="78"/>
      <c r="I301" s="80"/>
      <c r="K301" s="59"/>
      <c r="N301" s="71" t="str">
        <f>IFERROR(__xludf.DUMMYFUNCTION("""COMPUTED_VALUE"""),"")</f>
        <v/>
      </c>
      <c r="O301" s="71" t="str">
        <f>IFERROR(__xludf.DUMMYFUNCTION("""COMPUTED_VALUE"""),"")</f>
        <v/>
      </c>
      <c r="P301" s="71" t="str">
        <f>IFERROR(__xludf.DUMMYFUNCTION("""COMPUTED_VALUE"""),"")</f>
        <v/>
      </c>
    </row>
    <row r="302">
      <c r="A302" s="58"/>
      <c r="E302" s="78"/>
      <c r="G302" s="78"/>
      <c r="I302" s="80"/>
      <c r="K302" s="59"/>
      <c r="N302" s="71" t="str">
        <f>IFERROR(__xludf.DUMMYFUNCTION("""COMPUTED_VALUE"""),"")</f>
        <v/>
      </c>
      <c r="O302" s="71" t="str">
        <f>IFERROR(__xludf.DUMMYFUNCTION("""COMPUTED_VALUE"""),"")</f>
        <v/>
      </c>
      <c r="P302" s="71" t="str">
        <f>IFERROR(__xludf.DUMMYFUNCTION("""COMPUTED_VALUE"""),"")</f>
        <v/>
      </c>
    </row>
    <row r="303">
      <c r="A303" s="58"/>
      <c r="E303" s="78"/>
      <c r="G303" s="78"/>
      <c r="I303" s="80"/>
      <c r="K303" s="59"/>
      <c r="N303" s="71" t="str">
        <f>IFERROR(__xludf.DUMMYFUNCTION("""COMPUTED_VALUE"""),"")</f>
        <v/>
      </c>
      <c r="O303" s="71" t="str">
        <f>IFERROR(__xludf.DUMMYFUNCTION("""COMPUTED_VALUE"""),"")</f>
        <v/>
      </c>
      <c r="P303" s="71" t="str">
        <f>IFERROR(__xludf.DUMMYFUNCTION("""COMPUTED_VALUE"""),"")</f>
        <v/>
      </c>
    </row>
    <row r="304">
      <c r="A304" s="58"/>
      <c r="E304" s="78"/>
      <c r="G304" s="78"/>
      <c r="I304" s="80"/>
      <c r="K304" s="59"/>
      <c r="N304" s="71" t="str">
        <f>IFERROR(__xludf.DUMMYFUNCTION("""COMPUTED_VALUE"""),"")</f>
        <v/>
      </c>
      <c r="O304" s="71" t="str">
        <f>IFERROR(__xludf.DUMMYFUNCTION("""COMPUTED_VALUE"""),"")</f>
        <v/>
      </c>
      <c r="P304" s="71" t="str">
        <f>IFERROR(__xludf.DUMMYFUNCTION("""COMPUTED_VALUE"""),"")</f>
        <v/>
      </c>
    </row>
    <row r="305">
      <c r="A305" s="58"/>
      <c r="E305" s="78"/>
      <c r="G305" s="78"/>
      <c r="I305" s="80"/>
      <c r="K305" s="59"/>
      <c r="N305" s="71" t="str">
        <f>IFERROR(__xludf.DUMMYFUNCTION("""COMPUTED_VALUE"""),"")</f>
        <v/>
      </c>
      <c r="O305" s="71" t="str">
        <f>IFERROR(__xludf.DUMMYFUNCTION("""COMPUTED_VALUE"""),"")</f>
        <v/>
      </c>
      <c r="P305" s="71" t="str">
        <f>IFERROR(__xludf.DUMMYFUNCTION("""COMPUTED_VALUE"""),"")</f>
        <v/>
      </c>
    </row>
    <row r="306">
      <c r="A306" s="58"/>
      <c r="E306" s="78"/>
      <c r="G306" s="78"/>
      <c r="I306" s="80"/>
      <c r="K306" s="59"/>
      <c r="N306" s="71" t="str">
        <f>IFERROR(__xludf.DUMMYFUNCTION("""COMPUTED_VALUE"""),"")</f>
        <v/>
      </c>
      <c r="O306" s="71" t="str">
        <f>IFERROR(__xludf.DUMMYFUNCTION("""COMPUTED_VALUE"""),"")</f>
        <v/>
      </c>
      <c r="P306" s="71" t="str">
        <f>IFERROR(__xludf.DUMMYFUNCTION("""COMPUTED_VALUE"""),"")</f>
        <v/>
      </c>
    </row>
    <row r="307">
      <c r="A307" s="58"/>
      <c r="E307" s="78"/>
      <c r="G307" s="78"/>
      <c r="I307" s="80"/>
      <c r="K307" s="59"/>
      <c r="N307" s="71" t="str">
        <f>IFERROR(__xludf.DUMMYFUNCTION("""COMPUTED_VALUE"""),"")</f>
        <v/>
      </c>
      <c r="O307" s="71" t="str">
        <f>IFERROR(__xludf.DUMMYFUNCTION("""COMPUTED_VALUE"""),"")</f>
        <v/>
      </c>
      <c r="P307" s="71" t="str">
        <f>IFERROR(__xludf.DUMMYFUNCTION("""COMPUTED_VALUE"""),"")</f>
        <v/>
      </c>
    </row>
    <row r="308">
      <c r="A308" s="58"/>
      <c r="E308" s="78"/>
      <c r="G308" s="78"/>
      <c r="I308" s="80"/>
      <c r="K308" s="59"/>
      <c r="N308" s="71" t="str">
        <f>IFERROR(__xludf.DUMMYFUNCTION("""COMPUTED_VALUE"""),"")</f>
        <v/>
      </c>
      <c r="O308" s="71" t="str">
        <f>IFERROR(__xludf.DUMMYFUNCTION("""COMPUTED_VALUE"""),"")</f>
        <v/>
      </c>
      <c r="P308" s="71" t="str">
        <f>IFERROR(__xludf.DUMMYFUNCTION("""COMPUTED_VALUE"""),"")</f>
        <v/>
      </c>
    </row>
    <row r="309">
      <c r="A309" s="58"/>
      <c r="E309" s="78"/>
      <c r="G309" s="78"/>
      <c r="I309" s="80"/>
      <c r="K309" s="59"/>
      <c r="N309" s="71" t="str">
        <f>IFERROR(__xludf.DUMMYFUNCTION("""COMPUTED_VALUE"""),"")</f>
        <v/>
      </c>
      <c r="O309" s="71" t="str">
        <f>IFERROR(__xludf.DUMMYFUNCTION("""COMPUTED_VALUE"""),"")</f>
        <v/>
      </c>
      <c r="P309" s="71" t="str">
        <f>IFERROR(__xludf.DUMMYFUNCTION("""COMPUTED_VALUE"""),"")</f>
        <v/>
      </c>
    </row>
    <row r="310">
      <c r="A310" s="58"/>
      <c r="E310" s="78"/>
      <c r="G310" s="78"/>
      <c r="I310" s="80"/>
      <c r="K310" s="59"/>
      <c r="N310" s="71" t="str">
        <f>IFERROR(__xludf.DUMMYFUNCTION("""COMPUTED_VALUE"""),"")</f>
        <v/>
      </c>
      <c r="O310" s="71" t="str">
        <f>IFERROR(__xludf.DUMMYFUNCTION("""COMPUTED_VALUE"""),"")</f>
        <v/>
      </c>
      <c r="P310" s="71" t="str">
        <f>IFERROR(__xludf.DUMMYFUNCTION("""COMPUTED_VALUE"""),"")</f>
        <v/>
      </c>
    </row>
    <row r="311">
      <c r="A311" s="58"/>
      <c r="E311" s="78"/>
      <c r="G311" s="78"/>
      <c r="I311" s="80"/>
      <c r="K311" s="59"/>
      <c r="N311" s="71" t="str">
        <f>IFERROR(__xludf.DUMMYFUNCTION("""COMPUTED_VALUE"""),"")</f>
        <v/>
      </c>
      <c r="O311" s="71" t="str">
        <f>IFERROR(__xludf.DUMMYFUNCTION("""COMPUTED_VALUE"""),"")</f>
        <v/>
      </c>
      <c r="P311" s="71" t="str">
        <f>IFERROR(__xludf.DUMMYFUNCTION("""COMPUTED_VALUE"""),"")</f>
        <v/>
      </c>
    </row>
    <row r="312">
      <c r="A312" s="58"/>
      <c r="E312" s="78"/>
      <c r="G312" s="78"/>
      <c r="I312" s="80"/>
      <c r="K312" s="59"/>
      <c r="N312" s="71" t="str">
        <f>IFERROR(__xludf.DUMMYFUNCTION("""COMPUTED_VALUE"""),"")</f>
        <v/>
      </c>
      <c r="O312" s="71" t="str">
        <f>IFERROR(__xludf.DUMMYFUNCTION("""COMPUTED_VALUE"""),"")</f>
        <v/>
      </c>
      <c r="P312" s="71" t="str">
        <f>IFERROR(__xludf.DUMMYFUNCTION("""COMPUTED_VALUE"""),"")</f>
        <v/>
      </c>
    </row>
    <row r="313">
      <c r="A313" s="58"/>
      <c r="E313" s="78"/>
      <c r="G313" s="78"/>
      <c r="I313" s="80"/>
      <c r="K313" s="59"/>
      <c r="N313" s="71" t="str">
        <f>IFERROR(__xludf.DUMMYFUNCTION("""COMPUTED_VALUE"""),"")</f>
        <v/>
      </c>
      <c r="O313" s="71" t="str">
        <f>IFERROR(__xludf.DUMMYFUNCTION("""COMPUTED_VALUE"""),"")</f>
        <v/>
      </c>
      <c r="P313" s="71" t="str">
        <f>IFERROR(__xludf.DUMMYFUNCTION("""COMPUTED_VALUE"""),"")</f>
        <v/>
      </c>
    </row>
    <row r="314">
      <c r="A314" s="58"/>
      <c r="E314" s="78"/>
      <c r="G314" s="78"/>
      <c r="I314" s="80"/>
      <c r="K314" s="59"/>
      <c r="N314" s="71" t="str">
        <f>IFERROR(__xludf.DUMMYFUNCTION("""COMPUTED_VALUE"""),"")</f>
        <v/>
      </c>
      <c r="O314" s="71" t="str">
        <f>IFERROR(__xludf.DUMMYFUNCTION("""COMPUTED_VALUE"""),"")</f>
        <v/>
      </c>
      <c r="P314" s="71" t="str">
        <f>IFERROR(__xludf.DUMMYFUNCTION("""COMPUTED_VALUE"""),"")</f>
        <v/>
      </c>
    </row>
    <row r="315">
      <c r="A315" s="58"/>
      <c r="E315" s="78"/>
      <c r="G315" s="78"/>
      <c r="I315" s="80"/>
      <c r="K315" s="59"/>
      <c r="N315" s="71" t="str">
        <f>IFERROR(__xludf.DUMMYFUNCTION("""COMPUTED_VALUE"""),"")</f>
        <v/>
      </c>
      <c r="O315" s="71" t="str">
        <f>IFERROR(__xludf.DUMMYFUNCTION("""COMPUTED_VALUE"""),"")</f>
        <v/>
      </c>
      <c r="P315" s="71" t="str">
        <f>IFERROR(__xludf.DUMMYFUNCTION("""COMPUTED_VALUE"""),"")</f>
        <v/>
      </c>
    </row>
    <row r="316">
      <c r="A316" s="58"/>
      <c r="E316" s="78"/>
      <c r="G316" s="78"/>
      <c r="I316" s="80"/>
      <c r="K316" s="59"/>
      <c r="N316" s="71" t="str">
        <f>IFERROR(__xludf.DUMMYFUNCTION("""COMPUTED_VALUE"""),"")</f>
        <v/>
      </c>
      <c r="O316" s="71" t="str">
        <f>IFERROR(__xludf.DUMMYFUNCTION("""COMPUTED_VALUE"""),"")</f>
        <v/>
      </c>
      <c r="P316" s="71" t="str">
        <f>IFERROR(__xludf.DUMMYFUNCTION("""COMPUTED_VALUE"""),"")</f>
        <v/>
      </c>
    </row>
    <row r="317">
      <c r="A317" s="58"/>
      <c r="E317" s="78"/>
      <c r="G317" s="78"/>
      <c r="I317" s="80"/>
      <c r="K317" s="59"/>
      <c r="N317" s="71" t="str">
        <f>IFERROR(__xludf.DUMMYFUNCTION("""COMPUTED_VALUE"""),"")</f>
        <v/>
      </c>
      <c r="O317" s="71" t="str">
        <f>IFERROR(__xludf.DUMMYFUNCTION("""COMPUTED_VALUE"""),"")</f>
        <v/>
      </c>
      <c r="P317" s="71" t="str">
        <f>IFERROR(__xludf.DUMMYFUNCTION("""COMPUTED_VALUE"""),"")</f>
        <v/>
      </c>
    </row>
    <row r="318">
      <c r="A318" s="58"/>
      <c r="E318" s="78"/>
      <c r="G318" s="78"/>
      <c r="I318" s="80"/>
      <c r="K318" s="59"/>
      <c r="N318" s="71" t="str">
        <f>IFERROR(__xludf.DUMMYFUNCTION("""COMPUTED_VALUE"""),"")</f>
        <v/>
      </c>
      <c r="O318" s="71" t="str">
        <f>IFERROR(__xludf.DUMMYFUNCTION("""COMPUTED_VALUE"""),"")</f>
        <v/>
      </c>
      <c r="P318" s="71" t="str">
        <f>IFERROR(__xludf.DUMMYFUNCTION("""COMPUTED_VALUE"""),"")</f>
        <v/>
      </c>
    </row>
    <row r="319">
      <c r="A319" s="58"/>
      <c r="E319" s="78"/>
      <c r="G319" s="78"/>
      <c r="I319" s="80"/>
      <c r="K319" s="59"/>
      <c r="N319" s="71" t="str">
        <f>IFERROR(__xludf.DUMMYFUNCTION("""COMPUTED_VALUE"""),"")</f>
        <v/>
      </c>
      <c r="O319" s="71" t="str">
        <f>IFERROR(__xludf.DUMMYFUNCTION("""COMPUTED_VALUE"""),"")</f>
        <v/>
      </c>
      <c r="P319" s="71" t="str">
        <f>IFERROR(__xludf.DUMMYFUNCTION("""COMPUTED_VALUE"""),"")</f>
        <v/>
      </c>
    </row>
    <row r="320">
      <c r="A320" s="58"/>
      <c r="E320" s="78"/>
      <c r="G320" s="78"/>
      <c r="I320" s="80"/>
      <c r="K320" s="59"/>
      <c r="N320" s="71" t="str">
        <f>IFERROR(__xludf.DUMMYFUNCTION("""COMPUTED_VALUE"""),"")</f>
        <v/>
      </c>
      <c r="O320" s="71" t="str">
        <f>IFERROR(__xludf.DUMMYFUNCTION("""COMPUTED_VALUE"""),"")</f>
        <v/>
      </c>
      <c r="P320" s="71" t="str">
        <f>IFERROR(__xludf.DUMMYFUNCTION("""COMPUTED_VALUE"""),"")</f>
        <v/>
      </c>
    </row>
    <row r="321">
      <c r="A321" s="58"/>
      <c r="E321" s="78"/>
      <c r="G321" s="78"/>
      <c r="I321" s="80"/>
      <c r="K321" s="59"/>
      <c r="N321" s="71" t="str">
        <f>IFERROR(__xludf.DUMMYFUNCTION("""COMPUTED_VALUE"""),"")</f>
        <v/>
      </c>
      <c r="O321" s="71" t="str">
        <f>IFERROR(__xludf.DUMMYFUNCTION("""COMPUTED_VALUE"""),"")</f>
        <v/>
      </c>
      <c r="P321" s="71" t="str">
        <f>IFERROR(__xludf.DUMMYFUNCTION("""COMPUTED_VALUE"""),"")</f>
        <v/>
      </c>
    </row>
    <row r="322">
      <c r="A322" s="58"/>
      <c r="E322" s="78"/>
      <c r="G322" s="78"/>
      <c r="I322" s="80"/>
      <c r="K322" s="59"/>
      <c r="N322" s="71" t="str">
        <f>IFERROR(__xludf.DUMMYFUNCTION("""COMPUTED_VALUE"""),"")</f>
        <v/>
      </c>
      <c r="O322" s="71" t="str">
        <f>IFERROR(__xludf.DUMMYFUNCTION("""COMPUTED_VALUE"""),"")</f>
        <v/>
      </c>
      <c r="P322" s="71" t="str">
        <f>IFERROR(__xludf.DUMMYFUNCTION("""COMPUTED_VALUE"""),"")</f>
        <v/>
      </c>
    </row>
    <row r="323">
      <c r="A323" s="58"/>
      <c r="E323" s="78"/>
      <c r="G323" s="78"/>
      <c r="I323" s="80"/>
      <c r="K323" s="59"/>
      <c r="N323" s="71" t="str">
        <f>IFERROR(__xludf.DUMMYFUNCTION("""COMPUTED_VALUE"""),"")</f>
        <v/>
      </c>
      <c r="O323" s="71" t="str">
        <f>IFERROR(__xludf.DUMMYFUNCTION("""COMPUTED_VALUE"""),"")</f>
        <v/>
      </c>
      <c r="P323" s="71" t="str">
        <f>IFERROR(__xludf.DUMMYFUNCTION("""COMPUTED_VALUE"""),"")</f>
        <v/>
      </c>
    </row>
    <row r="324">
      <c r="A324" s="58"/>
      <c r="E324" s="78"/>
      <c r="G324" s="78"/>
      <c r="I324" s="80"/>
      <c r="K324" s="59"/>
      <c r="N324" s="71" t="str">
        <f>IFERROR(__xludf.DUMMYFUNCTION("""COMPUTED_VALUE"""),"")</f>
        <v/>
      </c>
      <c r="O324" s="71" t="str">
        <f>IFERROR(__xludf.DUMMYFUNCTION("""COMPUTED_VALUE"""),"")</f>
        <v/>
      </c>
      <c r="P324" s="71" t="str">
        <f>IFERROR(__xludf.DUMMYFUNCTION("""COMPUTED_VALUE"""),"")</f>
        <v/>
      </c>
    </row>
    <row r="325">
      <c r="A325" s="58"/>
      <c r="E325" s="78"/>
      <c r="G325" s="78"/>
      <c r="I325" s="80"/>
      <c r="K325" s="59"/>
      <c r="N325" s="71" t="str">
        <f>IFERROR(__xludf.DUMMYFUNCTION("""COMPUTED_VALUE"""),"")</f>
        <v/>
      </c>
      <c r="O325" s="71" t="str">
        <f>IFERROR(__xludf.DUMMYFUNCTION("""COMPUTED_VALUE"""),"")</f>
        <v/>
      </c>
      <c r="P325" s="71" t="str">
        <f>IFERROR(__xludf.DUMMYFUNCTION("""COMPUTED_VALUE"""),"")</f>
        <v/>
      </c>
    </row>
    <row r="326">
      <c r="A326" s="58"/>
      <c r="E326" s="78"/>
      <c r="G326" s="78"/>
      <c r="I326" s="80"/>
      <c r="K326" s="59"/>
      <c r="N326" s="71" t="str">
        <f>IFERROR(__xludf.DUMMYFUNCTION("""COMPUTED_VALUE"""),"")</f>
        <v/>
      </c>
      <c r="O326" s="71" t="str">
        <f>IFERROR(__xludf.DUMMYFUNCTION("""COMPUTED_VALUE"""),"")</f>
        <v/>
      </c>
      <c r="P326" s="71" t="str">
        <f>IFERROR(__xludf.DUMMYFUNCTION("""COMPUTED_VALUE"""),"")</f>
        <v/>
      </c>
    </row>
    <row r="327">
      <c r="A327" s="58"/>
      <c r="E327" s="78"/>
      <c r="G327" s="78"/>
      <c r="I327" s="80"/>
      <c r="K327" s="59"/>
      <c r="N327" s="71" t="str">
        <f>IFERROR(__xludf.DUMMYFUNCTION("""COMPUTED_VALUE"""),"")</f>
        <v/>
      </c>
      <c r="O327" s="71" t="str">
        <f>IFERROR(__xludf.DUMMYFUNCTION("""COMPUTED_VALUE"""),"")</f>
        <v/>
      </c>
      <c r="P327" s="71" t="str">
        <f>IFERROR(__xludf.DUMMYFUNCTION("""COMPUTED_VALUE"""),"")</f>
        <v/>
      </c>
    </row>
    <row r="328">
      <c r="A328" s="58"/>
      <c r="E328" s="78"/>
      <c r="G328" s="78"/>
      <c r="I328" s="80"/>
      <c r="K328" s="59"/>
      <c r="N328" s="71" t="str">
        <f>IFERROR(__xludf.DUMMYFUNCTION("""COMPUTED_VALUE"""),"")</f>
        <v/>
      </c>
      <c r="O328" s="71" t="str">
        <f>IFERROR(__xludf.DUMMYFUNCTION("""COMPUTED_VALUE"""),"")</f>
        <v/>
      </c>
      <c r="P328" s="71" t="str">
        <f>IFERROR(__xludf.DUMMYFUNCTION("""COMPUTED_VALUE"""),"")</f>
        <v/>
      </c>
    </row>
    <row r="329">
      <c r="A329" s="58"/>
      <c r="E329" s="78"/>
      <c r="G329" s="78"/>
      <c r="I329" s="80"/>
      <c r="K329" s="59"/>
      <c r="N329" s="71" t="str">
        <f>IFERROR(__xludf.DUMMYFUNCTION("""COMPUTED_VALUE"""),"")</f>
        <v/>
      </c>
      <c r="O329" s="71" t="str">
        <f>IFERROR(__xludf.DUMMYFUNCTION("""COMPUTED_VALUE"""),"")</f>
        <v/>
      </c>
      <c r="P329" s="71" t="str">
        <f>IFERROR(__xludf.DUMMYFUNCTION("""COMPUTED_VALUE"""),"")</f>
        <v/>
      </c>
    </row>
    <row r="330">
      <c r="A330" s="58"/>
      <c r="E330" s="78"/>
      <c r="G330" s="78"/>
      <c r="I330" s="80"/>
      <c r="K330" s="59"/>
      <c r="N330" s="71" t="str">
        <f>IFERROR(__xludf.DUMMYFUNCTION("""COMPUTED_VALUE"""),"")</f>
        <v/>
      </c>
      <c r="O330" s="71" t="str">
        <f>IFERROR(__xludf.DUMMYFUNCTION("""COMPUTED_VALUE"""),"")</f>
        <v/>
      </c>
      <c r="P330" s="71" t="str">
        <f>IFERROR(__xludf.DUMMYFUNCTION("""COMPUTED_VALUE"""),"")</f>
        <v/>
      </c>
    </row>
    <row r="331">
      <c r="A331" s="58"/>
      <c r="E331" s="78"/>
      <c r="G331" s="78"/>
      <c r="I331" s="80"/>
      <c r="K331" s="59"/>
      <c r="N331" s="71" t="str">
        <f>IFERROR(__xludf.DUMMYFUNCTION("""COMPUTED_VALUE"""),"")</f>
        <v/>
      </c>
      <c r="O331" s="71" t="str">
        <f>IFERROR(__xludf.DUMMYFUNCTION("""COMPUTED_VALUE"""),"")</f>
        <v/>
      </c>
      <c r="P331" s="71" t="str">
        <f>IFERROR(__xludf.DUMMYFUNCTION("""COMPUTED_VALUE"""),"")</f>
        <v/>
      </c>
    </row>
    <row r="332">
      <c r="A332" s="58"/>
      <c r="E332" s="78"/>
      <c r="G332" s="78"/>
      <c r="I332" s="80"/>
      <c r="K332" s="59"/>
      <c r="N332" s="71" t="str">
        <f>IFERROR(__xludf.DUMMYFUNCTION("""COMPUTED_VALUE"""),"")</f>
        <v/>
      </c>
      <c r="O332" s="71" t="str">
        <f>IFERROR(__xludf.DUMMYFUNCTION("""COMPUTED_VALUE"""),"")</f>
        <v/>
      </c>
      <c r="P332" s="71" t="str">
        <f>IFERROR(__xludf.DUMMYFUNCTION("""COMPUTED_VALUE"""),"")</f>
        <v/>
      </c>
    </row>
    <row r="333">
      <c r="A333" s="58"/>
      <c r="E333" s="78"/>
      <c r="G333" s="78"/>
      <c r="I333" s="80"/>
      <c r="K333" s="59"/>
      <c r="N333" s="71" t="str">
        <f>IFERROR(__xludf.DUMMYFUNCTION("""COMPUTED_VALUE"""),"")</f>
        <v/>
      </c>
      <c r="O333" s="71" t="str">
        <f>IFERROR(__xludf.DUMMYFUNCTION("""COMPUTED_VALUE"""),"")</f>
        <v/>
      </c>
      <c r="P333" s="71" t="str">
        <f>IFERROR(__xludf.DUMMYFUNCTION("""COMPUTED_VALUE"""),"")</f>
        <v/>
      </c>
    </row>
    <row r="334">
      <c r="A334" s="58"/>
      <c r="E334" s="78"/>
      <c r="G334" s="78"/>
      <c r="I334" s="80"/>
      <c r="K334" s="59"/>
      <c r="N334" s="71" t="str">
        <f>IFERROR(__xludf.DUMMYFUNCTION("""COMPUTED_VALUE"""),"")</f>
        <v/>
      </c>
      <c r="O334" s="71" t="str">
        <f>IFERROR(__xludf.DUMMYFUNCTION("""COMPUTED_VALUE"""),"")</f>
        <v/>
      </c>
      <c r="P334" s="71" t="str">
        <f>IFERROR(__xludf.DUMMYFUNCTION("""COMPUTED_VALUE"""),"")</f>
        <v/>
      </c>
    </row>
    <row r="335">
      <c r="A335" s="58"/>
      <c r="E335" s="78"/>
      <c r="G335" s="78"/>
      <c r="I335" s="80"/>
      <c r="K335" s="59"/>
      <c r="N335" s="71" t="str">
        <f>IFERROR(__xludf.DUMMYFUNCTION("""COMPUTED_VALUE"""),"")</f>
        <v/>
      </c>
      <c r="O335" s="71" t="str">
        <f>IFERROR(__xludf.DUMMYFUNCTION("""COMPUTED_VALUE"""),"")</f>
        <v/>
      </c>
      <c r="P335" s="71" t="str">
        <f>IFERROR(__xludf.DUMMYFUNCTION("""COMPUTED_VALUE"""),"")</f>
        <v/>
      </c>
    </row>
    <row r="336">
      <c r="A336" s="58"/>
      <c r="E336" s="78"/>
      <c r="G336" s="78"/>
      <c r="I336" s="80"/>
      <c r="K336" s="59"/>
      <c r="N336" s="71" t="str">
        <f>IFERROR(__xludf.DUMMYFUNCTION("""COMPUTED_VALUE"""),"")</f>
        <v/>
      </c>
      <c r="O336" s="71" t="str">
        <f>IFERROR(__xludf.DUMMYFUNCTION("""COMPUTED_VALUE"""),"")</f>
        <v/>
      </c>
      <c r="P336" s="71" t="str">
        <f>IFERROR(__xludf.DUMMYFUNCTION("""COMPUTED_VALUE"""),"")</f>
        <v/>
      </c>
    </row>
    <row r="337">
      <c r="A337" s="58"/>
      <c r="E337" s="78"/>
      <c r="G337" s="78"/>
      <c r="I337" s="80"/>
      <c r="K337" s="59"/>
      <c r="N337" s="71" t="str">
        <f>IFERROR(__xludf.DUMMYFUNCTION("""COMPUTED_VALUE"""),"")</f>
        <v/>
      </c>
      <c r="O337" s="71" t="str">
        <f>IFERROR(__xludf.DUMMYFUNCTION("""COMPUTED_VALUE"""),"")</f>
        <v/>
      </c>
      <c r="P337" s="71" t="str">
        <f>IFERROR(__xludf.DUMMYFUNCTION("""COMPUTED_VALUE"""),"")</f>
        <v/>
      </c>
    </row>
    <row r="338">
      <c r="A338" s="58"/>
      <c r="E338" s="78"/>
      <c r="G338" s="78"/>
      <c r="I338" s="80"/>
      <c r="K338" s="59"/>
      <c r="N338" s="71" t="str">
        <f>IFERROR(__xludf.DUMMYFUNCTION("""COMPUTED_VALUE"""),"")</f>
        <v/>
      </c>
      <c r="O338" s="71" t="str">
        <f>IFERROR(__xludf.DUMMYFUNCTION("""COMPUTED_VALUE"""),"")</f>
        <v/>
      </c>
      <c r="P338" s="71" t="str">
        <f>IFERROR(__xludf.DUMMYFUNCTION("""COMPUTED_VALUE"""),"")</f>
        <v/>
      </c>
    </row>
    <row r="339">
      <c r="A339" s="58"/>
      <c r="E339" s="78"/>
      <c r="G339" s="78"/>
      <c r="I339" s="80"/>
      <c r="K339" s="59"/>
      <c r="N339" s="71" t="str">
        <f>IFERROR(__xludf.DUMMYFUNCTION("""COMPUTED_VALUE"""),"")</f>
        <v/>
      </c>
      <c r="O339" s="71" t="str">
        <f>IFERROR(__xludf.DUMMYFUNCTION("""COMPUTED_VALUE"""),"")</f>
        <v/>
      </c>
      <c r="P339" s="71" t="str">
        <f>IFERROR(__xludf.DUMMYFUNCTION("""COMPUTED_VALUE"""),"")</f>
        <v/>
      </c>
    </row>
    <row r="340">
      <c r="A340" s="58"/>
      <c r="E340" s="78"/>
      <c r="G340" s="78"/>
      <c r="I340" s="80"/>
      <c r="K340" s="59"/>
      <c r="N340" s="71" t="str">
        <f>IFERROR(__xludf.DUMMYFUNCTION("""COMPUTED_VALUE"""),"")</f>
        <v/>
      </c>
      <c r="O340" s="71" t="str">
        <f>IFERROR(__xludf.DUMMYFUNCTION("""COMPUTED_VALUE"""),"")</f>
        <v/>
      </c>
      <c r="P340" s="71" t="str">
        <f>IFERROR(__xludf.DUMMYFUNCTION("""COMPUTED_VALUE"""),"")</f>
        <v/>
      </c>
    </row>
    <row r="341">
      <c r="A341" s="58"/>
      <c r="E341" s="78"/>
      <c r="G341" s="78"/>
      <c r="I341" s="80"/>
      <c r="K341" s="59"/>
      <c r="N341" s="71" t="str">
        <f>IFERROR(__xludf.DUMMYFUNCTION("""COMPUTED_VALUE"""),"")</f>
        <v/>
      </c>
      <c r="O341" s="71" t="str">
        <f>IFERROR(__xludf.DUMMYFUNCTION("""COMPUTED_VALUE"""),"")</f>
        <v/>
      </c>
      <c r="P341" s="71" t="str">
        <f>IFERROR(__xludf.DUMMYFUNCTION("""COMPUTED_VALUE"""),"")</f>
        <v/>
      </c>
    </row>
    <row r="342">
      <c r="A342" s="58"/>
      <c r="E342" s="78"/>
      <c r="G342" s="78"/>
      <c r="I342" s="80"/>
      <c r="K342" s="59"/>
      <c r="N342" s="71" t="str">
        <f>IFERROR(__xludf.DUMMYFUNCTION("""COMPUTED_VALUE"""),"")</f>
        <v/>
      </c>
      <c r="O342" s="71" t="str">
        <f>IFERROR(__xludf.DUMMYFUNCTION("""COMPUTED_VALUE"""),"")</f>
        <v/>
      </c>
      <c r="P342" s="71" t="str">
        <f>IFERROR(__xludf.DUMMYFUNCTION("""COMPUTED_VALUE"""),"")</f>
        <v/>
      </c>
    </row>
    <row r="343">
      <c r="A343" s="58"/>
      <c r="E343" s="78"/>
      <c r="G343" s="78"/>
      <c r="I343" s="80"/>
      <c r="K343" s="59"/>
      <c r="N343" s="71" t="str">
        <f>IFERROR(__xludf.DUMMYFUNCTION("""COMPUTED_VALUE"""),"")</f>
        <v/>
      </c>
      <c r="O343" s="71" t="str">
        <f>IFERROR(__xludf.DUMMYFUNCTION("""COMPUTED_VALUE"""),"")</f>
        <v/>
      </c>
      <c r="P343" s="71" t="str">
        <f>IFERROR(__xludf.DUMMYFUNCTION("""COMPUTED_VALUE"""),"")</f>
        <v/>
      </c>
    </row>
    <row r="344">
      <c r="A344" s="58"/>
      <c r="E344" s="78"/>
      <c r="G344" s="78"/>
      <c r="I344" s="80"/>
      <c r="K344" s="59"/>
      <c r="N344" s="71" t="str">
        <f>IFERROR(__xludf.DUMMYFUNCTION("""COMPUTED_VALUE"""),"")</f>
        <v/>
      </c>
      <c r="O344" s="71" t="str">
        <f>IFERROR(__xludf.DUMMYFUNCTION("""COMPUTED_VALUE"""),"")</f>
        <v/>
      </c>
      <c r="P344" s="71" t="str">
        <f>IFERROR(__xludf.DUMMYFUNCTION("""COMPUTED_VALUE"""),"")</f>
        <v/>
      </c>
    </row>
    <row r="345">
      <c r="A345" s="58"/>
      <c r="E345" s="78"/>
      <c r="G345" s="78"/>
      <c r="I345" s="80"/>
      <c r="K345" s="59"/>
      <c r="N345" s="71" t="str">
        <f>IFERROR(__xludf.DUMMYFUNCTION("""COMPUTED_VALUE"""),"")</f>
        <v/>
      </c>
      <c r="O345" s="71" t="str">
        <f>IFERROR(__xludf.DUMMYFUNCTION("""COMPUTED_VALUE"""),"")</f>
        <v/>
      </c>
      <c r="P345" s="71" t="str">
        <f>IFERROR(__xludf.DUMMYFUNCTION("""COMPUTED_VALUE"""),"")</f>
        <v/>
      </c>
    </row>
    <row r="346">
      <c r="A346" s="58"/>
      <c r="E346" s="78"/>
      <c r="G346" s="78"/>
      <c r="I346" s="80"/>
      <c r="K346" s="59"/>
      <c r="N346" s="71" t="str">
        <f>IFERROR(__xludf.DUMMYFUNCTION("""COMPUTED_VALUE"""),"")</f>
        <v/>
      </c>
      <c r="O346" s="71" t="str">
        <f>IFERROR(__xludf.DUMMYFUNCTION("""COMPUTED_VALUE"""),"")</f>
        <v/>
      </c>
      <c r="P346" s="71" t="str">
        <f>IFERROR(__xludf.DUMMYFUNCTION("""COMPUTED_VALUE"""),"")</f>
        <v/>
      </c>
    </row>
    <row r="347">
      <c r="A347" s="58"/>
      <c r="E347" s="78"/>
      <c r="G347" s="78"/>
      <c r="I347" s="80"/>
      <c r="K347" s="59"/>
      <c r="N347" s="71" t="str">
        <f>IFERROR(__xludf.DUMMYFUNCTION("""COMPUTED_VALUE"""),"")</f>
        <v/>
      </c>
      <c r="O347" s="71" t="str">
        <f>IFERROR(__xludf.DUMMYFUNCTION("""COMPUTED_VALUE"""),"")</f>
        <v/>
      </c>
      <c r="P347" s="71" t="str">
        <f>IFERROR(__xludf.DUMMYFUNCTION("""COMPUTED_VALUE"""),"")</f>
        <v/>
      </c>
    </row>
    <row r="348">
      <c r="A348" s="58"/>
      <c r="E348" s="78"/>
      <c r="G348" s="78"/>
      <c r="I348" s="80"/>
      <c r="K348" s="59"/>
      <c r="N348" s="71" t="str">
        <f>IFERROR(__xludf.DUMMYFUNCTION("""COMPUTED_VALUE"""),"")</f>
        <v/>
      </c>
      <c r="O348" s="71" t="str">
        <f>IFERROR(__xludf.DUMMYFUNCTION("""COMPUTED_VALUE"""),"")</f>
        <v/>
      </c>
      <c r="P348" s="71" t="str">
        <f>IFERROR(__xludf.DUMMYFUNCTION("""COMPUTED_VALUE"""),"")</f>
        <v/>
      </c>
    </row>
    <row r="349">
      <c r="A349" s="58"/>
      <c r="E349" s="78"/>
      <c r="G349" s="78"/>
      <c r="I349" s="80"/>
      <c r="K349" s="59"/>
      <c r="N349" s="71" t="str">
        <f>IFERROR(__xludf.DUMMYFUNCTION("""COMPUTED_VALUE"""),"")</f>
        <v/>
      </c>
      <c r="O349" s="71" t="str">
        <f>IFERROR(__xludf.DUMMYFUNCTION("""COMPUTED_VALUE"""),"")</f>
        <v/>
      </c>
      <c r="P349" s="71" t="str">
        <f>IFERROR(__xludf.DUMMYFUNCTION("""COMPUTED_VALUE"""),"")</f>
        <v/>
      </c>
    </row>
    <row r="350">
      <c r="A350" s="58"/>
      <c r="E350" s="78"/>
      <c r="G350" s="78"/>
      <c r="I350" s="80"/>
      <c r="K350" s="59"/>
      <c r="N350" s="71" t="str">
        <f>IFERROR(__xludf.DUMMYFUNCTION("""COMPUTED_VALUE"""),"")</f>
        <v/>
      </c>
      <c r="O350" s="71" t="str">
        <f>IFERROR(__xludf.DUMMYFUNCTION("""COMPUTED_VALUE"""),"")</f>
        <v/>
      </c>
      <c r="P350" s="71" t="str">
        <f>IFERROR(__xludf.DUMMYFUNCTION("""COMPUTED_VALUE"""),"")</f>
        <v/>
      </c>
    </row>
    <row r="351">
      <c r="A351" s="58"/>
      <c r="E351" s="78"/>
      <c r="G351" s="78"/>
      <c r="I351" s="80"/>
      <c r="K351" s="59"/>
      <c r="N351" s="71" t="str">
        <f>IFERROR(__xludf.DUMMYFUNCTION("""COMPUTED_VALUE"""),"")</f>
        <v/>
      </c>
      <c r="O351" s="71" t="str">
        <f>IFERROR(__xludf.DUMMYFUNCTION("""COMPUTED_VALUE"""),"")</f>
        <v/>
      </c>
      <c r="P351" s="71" t="str">
        <f>IFERROR(__xludf.DUMMYFUNCTION("""COMPUTED_VALUE"""),"")</f>
        <v/>
      </c>
    </row>
    <row r="352">
      <c r="A352" s="58"/>
      <c r="E352" s="78"/>
      <c r="G352" s="78"/>
      <c r="I352" s="80"/>
      <c r="K352" s="59"/>
      <c r="N352" s="71" t="str">
        <f>IFERROR(__xludf.DUMMYFUNCTION("""COMPUTED_VALUE"""),"")</f>
        <v/>
      </c>
      <c r="O352" s="71" t="str">
        <f>IFERROR(__xludf.DUMMYFUNCTION("""COMPUTED_VALUE"""),"")</f>
        <v/>
      </c>
      <c r="P352" s="71" t="str">
        <f>IFERROR(__xludf.DUMMYFUNCTION("""COMPUTED_VALUE"""),"")</f>
        <v/>
      </c>
    </row>
    <row r="353">
      <c r="A353" s="58"/>
      <c r="E353" s="78"/>
      <c r="G353" s="78"/>
      <c r="I353" s="80"/>
      <c r="K353" s="59"/>
      <c r="N353" s="71" t="str">
        <f>IFERROR(__xludf.DUMMYFUNCTION("""COMPUTED_VALUE"""),"")</f>
        <v/>
      </c>
      <c r="O353" s="71" t="str">
        <f>IFERROR(__xludf.DUMMYFUNCTION("""COMPUTED_VALUE"""),"")</f>
        <v/>
      </c>
      <c r="P353" s="71" t="str">
        <f>IFERROR(__xludf.DUMMYFUNCTION("""COMPUTED_VALUE"""),"")</f>
        <v/>
      </c>
    </row>
    <row r="354">
      <c r="A354" s="58"/>
      <c r="E354" s="78"/>
      <c r="G354" s="78"/>
      <c r="I354" s="80"/>
      <c r="K354" s="59"/>
      <c r="N354" s="71" t="str">
        <f>IFERROR(__xludf.DUMMYFUNCTION("""COMPUTED_VALUE"""),"")</f>
        <v/>
      </c>
      <c r="O354" s="71" t="str">
        <f>IFERROR(__xludf.DUMMYFUNCTION("""COMPUTED_VALUE"""),"")</f>
        <v/>
      </c>
      <c r="P354" s="71" t="str">
        <f>IFERROR(__xludf.DUMMYFUNCTION("""COMPUTED_VALUE"""),"")</f>
        <v/>
      </c>
    </row>
    <row r="355">
      <c r="A355" s="58"/>
      <c r="E355" s="78"/>
      <c r="G355" s="78"/>
      <c r="I355" s="80"/>
      <c r="K355" s="59"/>
      <c r="N355" s="71" t="str">
        <f>IFERROR(__xludf.DUMMYFUNCTION("""COMPUTED_VALUE"""),"")</f>
        <v/>
      </c>
      <c r="O355" s="71" t="str">
        <f>IFERROR(__xludf.DUMMYFUNCTION("""COMPUTED_VALUE"""),"")</f>
        <v/>
      </c>
      <c r="P355" s="71" t="str">
        <f>IFERROR(__xludf.DUMMYFUNCTION("""COMPUTED_VALUE"""),"")</f>
        <v/>
      </c>
    </row>
    <row r="356">
      <c r="A356" s="58"/>
      <c r="E356" s="78"/>
      <c r="G356" s="78"/>
      <c r="I356" s="80"/>
      <c r="K356" s="59"/>
      <c r="N356" s="71" t="str">
        <f>IFERROR(__xludf.DUMMYFUNCTION("""COMPUTED_VALUE"""),"")</f>
        <v/>
      </c>
      <c r="O356" s="71" t="str">
        <f>IFERROR(__xludf.DUMMYFUNCTION("""COMPUTED_VALUE"""),"")</f>
        <v/>
      </c>
      <c r="P356" s="71" t="str">
        <f>IFERROR(__xludf.DUMMYFUNCTION("""COMPUTED_VALUE"""),"")</f>
        <v/>
      </c>
    </row>
    <row r="357">
      <c r="A357" s="58"/>
      <c r="E357" s="78"/>
      <c r="G357" s="78"/>
      <c r="I357" s="80"/>
      <c r="K357" s="59"/>
      <c r="N357" s="71" t="str">
        <f>IFERROR(__xludf.DUMMYFUNCTION("""COMPUTED_VALUE"""),"")</f>
        <v/>
      </c>
      <c r="O357" s="71" t="str">
        <f>IFERROR(__xludf.DUMMYFUNCTION("""COMPUTED_VALUE"""),"")</f>
        <v/>
      </c>
      <c r="P357" s="71" t="str">
        <f>IFERROR(__xludf.DUMMYFUNCTION("""COMPUTED_VALUE"""),"")</f>
        <v/>
      </c>
    </row>
    <row r="358">
      <c r="A358" s="58"/>
      <c r="E358" s="78"/>
      <c r="G358" s="78"/>
      <c r="I358" s="80"/>
      <c r="K358" s="59"/>
      <c r="N358" s="71" t="str">
        <f>IFERROR(__xludf.DUMMYFUNCTION("""COMPUTED_VALUE"""),"")</f>
        <v/>
      </c>
      <c r="O358" s="71" t="str">
        <f>IFERROR(__xludf.DUMMYFUNCTION("""COMPUTED_VALUE"""),"")</f>
        <v/>
      </c>
      <c r="P358" s="71" t="str">
        <f>IFERROR(__xludf.DUMMYFUNCTION("""COMPUTED_VALUE"""),"")</f>
        <v/>
      </c>
    </row>
    <row r="359">
      <c r="A359" s="58"/>
      <c r="E359" s="78"/>
      <c r="G359" s="78"/>
      <c r="I359" s="80"/>
      <c r="K359" s="59"/>
      <c r="N359" s="71" t="str">
        <f>IFERROR(__xludf.DUMMYFUNCTION("""COMPUTED_VALUE"""),"")</f>
        <v/>
      </c>
      <c r="O359" s="71" t="str">
        <f>IFERROR(__xludf.DUMMYFUNCTION("""COMPUTED_VALUE"""),"")</f>
        <v/>
      </c>
      <c r="P359" s="71" t="str">
        <f>IFERROR(__xludf.DUMMYFUNCTION("""COMPUTED_VALUE"""),"")</f>
        <v/>
      </c>
    </row>
    <row r="360">
      <c r="A360" s="58"/>
      <c r="E360" s="78"/>
      <c r="G360" s="78"/>
      <c r="I360" s="80"/>
      <c r="K360" s="59"/>
      <c r="N360" s="71" t="str">
        <f>IFERROR(__xludf.DUMMYFUNCTION("""COMPUTED_VALUE"""),"")</f>
        <v/>
      </c>
      <c r="O360" s="71" t="str">
        <f>IFERROR(__xludf.DUMMYFUNCTION("""COMPUTED_VALUE"""),"")</f>
        <v/>
      </c>
      <c r="P360" s="71" t="str">
        <f>IFERROR(__xludf.DUMMYFUNCTION("""COMPUTED_VALUE"""),"")</f>
        <v/>
      </c>
    </row>
    <row r="361">
      <c r="A361" s="58"/>
      <c r="E361" s="78"/>
      <c r="G361" s="78"/>
      <c r="I361" s="80"/>
      <c r="K361" s="59"/>
      <c r="N361" s="71" t="str">
        <f>IFERROR(__xludf.DUMMYFUNCTION("""COMPUTED_VALUE"""),"")</f>
        <v/>
      </c>
      <c r="O361" s="71" t="str">
        <f>IFERROR(__xludf.DUMMYFUNCTION("""COMPUTED_VALUE"""),"")</f>
        <v/>
      </c>
      <c r="P361" s="71" t="str">
        <f>IFERROR(__xludf.DUMMYFUNCTION("""COMPUTED_VALUE"""),"")</f>
        <v/>
      </c>
    </row>
    <row r="362">
      <c r="A362" s="58"/>
      <c r="E362" s="78"/>
      <c r="G362" s="78"/>
      <c r="I362" s="80"/>
      <c r="K362" s="59"/>
      <c r="N362" s="71" t="str">
        <f>IFERROR(__xludf.DUMMYFUNCTION("""COMPUTED_VALUE"""),"")</f>
        <v/>
      </c>
      <c r="O362" s="71" t="str">
        <f>IFERROR(__xludf.DUMMYFUNCTION("""COMPUTED_VALUE"""),"")</f>
        <v/>
      </c>
      <c r="P362" s="71" t="str">
        <f>IFERROR(__xludf.DUMMYFUNCTION("""COMPUTED_VALUE"""),"")</f>
        <v/>
      </c>
    </row>
    <row r="363">
      <c r="A363" s="58"/>
      <c r="E363" s="78"/>
      <c r="G363" s="78"/>
      <c r="I363" s="80"/>
      <c r="K363" s="59"/>
      <c r="N363" s="71" t="str">
        <f>IFERROR(__xludf.DUMMYFUNCTION("""COMPUTED_VALUE"""),"")</f>
        <v/>
      </c>
      <c r="O363" s="71" t="str">
        <f>IFERROR(__xludf.DUMMYFUNCTION("""COMPUTED_VALUE"""),"")</f>
        <v/>
      </c>
      <c r="P363" s="71" t="str">
        <f>IFERROR(__xludf.DUMMYFUNCTION("""COMPUTED_VALUE"""),"")</f>
        <v/>
      </c>
    </row>
    <row r="364">
      <c r="A364" s="58"/>
      <c r="E364" s="78"/>
      <c r="G364" s="78"/>
      <c r="I364" s="80"/>
      <c r="K364" s="59"/>
      <c r="N364" s="71" t="str">
        <f>IFERROR(__xludf.DUMMYFUNCTION("""COMPUTED_VALUE"""),"")</f>
        <v/>
      </c>
      <c r="O364" s="71" t="str">
        <f>IFERROR(__xludf.DUMMYFUNCTION("""COMPUTED_VALUE"""),"")</f>
        <v/>
      </c>
      <c r="P364" s="71" t="str">
        <f>IFERROR(__xludf.DUMMYFUNCTION("""COMPUTED_VALUE"""),"")</f>
        <v/>
      </c>
    </row>
    <row r="365">
      <c r="A365" s="58"/>
      <c r="E365" s="78"/>
      <c r="G365" s="78"/>
      <c r="I365" s="80"/>
      <c r="K365" s="59"/>
      <c r="N365" s="71" t="str">
        <f>IFERROR(__xludf.DUMMYFUNCTION("""COMPUTED_VALUE"""),"")</f>
        <v/>
      </c>
      <c r="O365" s="71" t="str">
        <f>IFERROR(__xludf.DUMMYFUNCTION("""COMPUTED_VALUE"""),"")</f>
        <v/>
      </c>
      <c r="P365" s="71" t="str">
        <f>IFERROR(__xludf.DUMMYFUNCTION("""COMPUTED_VALUE"""),"")</f>
        <v/>
      </c>
    </row>
    <row r="366">
      <c r="A366" s="58"/>
      <c r="E366" s="78"/>
      <c r="G366" s="78"/>
      <c r="I366" s="80"/>
      <c r="K366" s="59"/>
      <c r="N366" s="71" t="str">
        <f>IFERROR(__xludf.DUMMYFUNCTION("""COMPUTED_VALUE"""),"")</f>
        <v/>
      </c>
      <c r="O366" s="71" t="str">
        <f>IFERROR(__xludf.DUMMYFUNCTION("""COMPUTED_VALUE"""),"")</f>
        <v/>
      </c>
      <c r="P366" s="71" t="str">
        <f>IFERROR(__xludf.DUMMYFUNCTION("""COMPUTED_VALUE"""),"")</f>
        <v/>
      </c>
    </row>
    <row r="367">
      <c r="A367" s="58"/>
      <c r="E367" s="78"/>
      <c r="G367" s="78"/>
      <c r="I367" s="80"/>
      <c r="K367" s="59"/>
      <c r="N367" s="71" t="str">
        <f>IFERROR(__xludf.DUMMYFUNCTION("""COMPUTED_VALUE"""),"")</f>
        <v/>
      </c>
      <c r="O367" s="71" t="str">
        <f>IFERROR(__xludf.DUMMYFUNCTION("""COMPUTED_VALUE"""),"")</f>
        <v/>
      </c>
      <c r="P367" s="71" t="str">
        <f>IFERROR(__xludf.DUMMYFUNCTION("""COMPUTED_VALUE"""),"")</f>
        <v/>
      </c>
    </row>
    <row r="368">
      <c r="A368" s="58"/>
      <c r="E368" s="78"/>
      <c r="G368" s="78"/>
      <c r="I368" s="80"/>
      <c r="K368" s="59"/>
      <c r="N368" s="71" t="str">
        <f>IFERROR(__xludf.DUMMYFUNCTION("""COMPUTED_VALUE"""),"")</f>
        <v/>
      </c>
      <c r="O368" s="71" t="str">
        <f>IFERROR(__xludf.DUMMYFUNCTION("""COMPUTED_VALUE"""),"")</f>
        <v/>
      </c>
      <c r="P368" s="71" t="str">
        <f>IFERROR(__xludf.DUMMYFUNCTION("""COMPUTED_VALUE"""),"")</f>
        <v/>
      </c>
    </row>
    <row r="369">
      <c r="A369" s="58"/>
      <c r="E369" s="78"/>
      <c r="G369" s="78"/>
      <c r="I369" s="80"/>
      <c r="K369" s="59"/>
      <c r="N369" s="71" t="str">
        <f>IFERROR(__xludf.DUMMYFUNCTION("""COMPUTED_VALUE"""),"")</f>
        <v/>
      </c>
      <c r="O369" s="71" t="str">
        <f>IFERROR(__xludf.DUMMYFUNCTION("""COMPUTED_VALUE"""),"")</f>
        <v/>
      </c>
      <c r="P369" s="71" t="str">
        <f>IFERROR(__xludf.DUMMYFUNCTION("""COMPUTED_VALUE"""),"")</f>
        <v/>
      </c>
    </row>
    <row r="370">
      <c r="A370" s="58"/>
      <c r="E370" s="78"/>
      <c r="G370" s="78"/>
      <c r="I370" s="80"/>
      <c r="K370" s="59"/>
      <c r="N370" s="71" t="str">
        <f>IFERROR(__xludf.DUMMYFUNCTION("""COMPUTED_VALUE"""),"")</f>
        <v/>
      </c>
      <c r="O370" s="71" t="str">
        <f>IFERROR(__xludf.DUMMYFUNCTION("""COMPUTED_VALUE"""),"")</f>
        <v/>
      </c>
      <c r="P370" s="71" t="str">
        <f>IFERROR(__xludf.DUMMYFUNCTION("""COMPUTED_VALUE"""),"")</f>
        <v/>
      </c>
    </row>
    <row r="371">
      <c r="A371" s="58"/>
      <c r="E371" s="78"/>
      <c r="G371" s="78"/>
      <c r="I371" s="80"/>
      <c r="K371" s="59"/>
      <c r="N371" s="71" t="str">
        <f>IFERROR(__xludf.DUMMYFUNCTION("""COMPUTED_VALUE"""),"")</f>
        <v/>
      </c>
      <c r="O371" s="71" t="str">
        <f>IFERROR(__xludf.DUMMYFUNCTION("""COMPUTED_VALUE"""),"")</f>
        <v/>
      </c>
      <c r="P371" s="71" t="str">
        <f>IFERROR(__xludf.DUMMYFUNCTION("""COMPUTED_VALUE"""),"")</f>
        <v/>
      </c>
    </row>
    <row r="372">
      <c r="A372" s="58"/>
      <c r="E372" s="78"/>
      <c r="G372" s="78"/>
      <c r="I372" s="80"/>
      <c r="K372" s="59"/>
      <c r="N372" s="71" t="str">
        <f>IFERROR(__xludf.DUMMYFUNCTION("""COMPUTED_VALUE"""),"")</f>
        <v/>
      </c>
      <c r="O372" s="71" t="str">
        <f>IFERROR(__xludf.DUMMYFUNCTION("""COMPUTED_VALUE"""),"")</f>
        <v/>
      </c>
      <c r="P372" s="71" t="str">
        <f>IFERROR(__xludf.DUMMYFUNCTION("""COMPUTED_VALUE"""),"")</f>
        <v/>
      </c>
    </row>
    <row r="373">
      <c r="A373" s="58"/>
      <c r="E373" s="78"/>
      <c r="G373" s="78"/>
      <c r="I373" s="80"/>
      <c r="K373" s="59"/>
      <c r="N373" s="71" t="str">
        <f>IFERROR(__xludf.DUMMYFUNCTION("""COMPUTED_VALUE"""),"")</f>
        <v/>
      </c>
      <c r="O373" s="71" t="str">
        <f>IFERROR(__xludf.DUMMYFUNCTION("""COMPUTED_VALUE"""),"")</f>
        <v/>
      </c>
      <c r="P373" s="71" t="str">
        <f>IFERROR(__xludf.DUMMYFUNCTION("""COMPUTED_VALUE"""),"")</f>
        <v/>
      </c>
    </row>
    <row r="374">
      <c r="A374" s="58"/>
      <c r="E374" s="78"/>
      <c r="G374" s="78"/>
      <c r="I374" s="80"/>
      <c r="K374" s="59"/>
      <c r="N374" s="71" t="str">
        <f>IFERROR(__xludf.DUMMYFUNCTION("""COMPUTED_VALUE"""),"")</f>
        <v/>
      </c>
      <c r="O374" s="71" t="str">
        <f>IFERROR(__xludf.DUMMYFUNCTION("""COMPUTED_VALUE"""),"")</f>
        <v/>
      </c>
      <c r="P374" s="71" t="str">
        <f>IFERROR(__xludf.DUMMYFUNCTION("""COMPUTED_VALUE"""),"")</f>
        <v/>
      </c>
    </row>
    <row r="375">
      <c r="A375" s="58"/>
      <c r="E375" s="78"/>
      <c r="G375" s="78"/>
      <c r="I375" s="80"/>
      <c r="K375" s="59"/>
      <c r="N375" s="71" t="str">
        <f>IFERROR(__xludf.DUMMYFUNCTION("""COMPUTED_VALUE"""),"")</f>
        <v/>
      </c>
      <c r="O375" s="71" t="str">
        <f>IFERROR(__xludf.DUMMYFUNCTION("""COMPUTED_VALUE"""),"")</f>
        <v/>
      </c>
      <c r="P375" s="71" t="str">
        <f>IFERROR(__xludf.DUMMYFUNCTION("""COMPUTED_VALUE"""),"")</f>
        <v/>
      </c>
    </row>
    <row r="376">
      <c r="A376" s="58"/>
      <c r="E376" s="78"/>
      <c r="G376" s="78"/>
      <c r="I376" s="80"/>
      <c r="K376" s="59"/>
      <c r="N376" s="71" t="str">
        <f>IFERROR(__xludf.DUMMYFUNCTION("""COMPUTED_VALUE"""),"")</f>
        <v/>
      </c>
      <c r="O376" s="71" t="str">
        <f>IFERROR(__xludf.DUMMYFUNCTION("""COMPUTED_VALUE"""),"")</f>
        <v/>
      </c>
      <c r="P376" s="71" t="str">
        <f>IFERROR(__xludf.DUMMYFUNCTION("""COMPUTED_VALUE"""),"")</f>
        <v/>
      </c>
    </row>
    <row r="377">
      <c r="A377" s="58"/>
      <c r="E377" s="78"/>
      <c r="G377" s="78"/>
      <c r="I377" s="80"/>
      <c r="K377" s="59"/>
      <c r="N377" s="71" t="str">
        <f>IFERROR(__xludf.DUMMYFUNCTION("""COMPUTED_VALUE"""),"")</f>
        <v/>
      </c>
      <c r="O377" s="71" t="str">
        <f>IFERROR(__xludf.DUMMYFUNCTION("""COMPUTED_VALUE"""),"")</f>
        <v/>
      </c>
      <c r="P377" s="71" t="str">
        <f>IFERROR(__xludf.DUMMYFUNCTION("""COMPUTED_VALUE"""),"")</f>
        <v/>
      </c>
    </row>
    <row r="378">
      <c r="A378" s="58"/>
      <c r="E378" s="78"/>
      <c r="G378" s="78"/>
      <c r="I378" s="80"/>
      <c r="K378" s="59"/>
      <c r="N378" s="71" t="str">
        <f>IFERROR(__xludf.DUMMYFUNCTION("""COMPUTED_VALUE"""),"")</f>
        <v/>
      </c>
      <c r="O378" s="71" t="str">
        <f>IFERROR(__xludf.DUMMYFUNCTION("""COMPUTED_VALUE"""),"")</f>
        <v/>
      </c>
      <c r="P378" s="71" t="str">
        <f>IFERROR(__xludf.DUMMYFUNCTION("""COMPUTED_VALUE"""),"")</f>
        <v/>
      </c>
    </row>
    <row r="379">
      <c r="A379" s="58"/>
      <c r="E379" s="78"/>
      <c r="G379" s="78"/>
      <c r="I379" s="80"/>
      <c r="K379" s="59"/>
      <c r="N379" s="71" t="str">
        <f>IFERROR(__xludf.DUMMYFUNCTION("""COMPUTED_VALUE"""),"")</f>
        <v/>
      </c>
      <c r="O379" s="71" t="str">
        <f>IFERROR(__xludf.DUMMYFUNCTION("""COMPUTED_VALUE"""),"")</f>
        <v/>
      </c>
      <c r="P379" s="71" t="str">
        <f>IFERROR(__xludf.DUMMYFUNCTION("""COMPUTED_VALUE"""),"")</f>
        <v/>
      </c>
    </row>
    <row r="380">
      <c r="A380" s="58"/>
      <c r="E380" s="78"/>
      <c r="G380" s="78"/>
      <c r="I380" s="80"/>
      <c r="K380" s="59"/>
      <c r="N380" s="71" t="str">
        <f>IFERROR(__xludf.DUMMYFUNCTION("""COMPUTED_VALUE"""),"")</f>
        <v/>
      </c>
      <c r="O380" s="71" t="str">
        <f>IFERROR(__xludf.DUMMYFUNCTION("""COMPUTED_VALUE"""),"")</f>
        <v/>
      </c>
      <c r="P380" s="71" t="str">
        <f>IFERROR(__xludf.DUMMYFUNCTION("""COMPUTED_VALUE"""),"")</f>
        <v/>
      </c>
    </row>
    <row r="381">
      <c r="A381" s="58"/>
      <c r="E381" s="78"/>
      <c r="G381" s="78"/>
      <c r="I381" s="80"/>
      <c r="K381" s="59"/>
      <c r="N381" s="71" t="str">
        <f>IFERROR(__xludf.DUMMYFUNCTION("""COMPUTED_VALUE"""),"")</f>
        <v/>
      </c>
      <c r="O381" s="71" t="str">
        <f>IFERROR(__xludf.DUMMYFUNCTION("""COMPUTED_VALUE"""),"")</f>
        <v/>
      </c>
      <c r="P381" s="71" t="str">
        <f>IFERROR(__xludf.DUMMYFUNCTION("""COMPUTED_VALUE"""),"")</f>
        <v/>
      </c>
    </row>
    <row r="382">
      <c r="A382" s="58"/>
      <c r="E382" s="78"/>
      <c r="G382" s="78"/>
      <c r="I382" s="80"/>
      <c r="K382" s="59"/>
      <c r="N382" s="71" t="str">
        <f>IFERROR(__xludf.DUMMYFUNCTION("""COMPUTED_VALUE"""),"")</f>
        <v/>
      </c>
      <c r="O382" s="71" t="str">
        <f>IFERROR(__xludf.DUMMYFUNCTION("""COMPUTED_VALUE"""),"")</f>
        <v/>
      </c>
      <c r="P382" s="71" t="str">
        <f>IFERROR(__xludf.DUMMYFUNCTION("""COMPUTED_VALUE"""),"")</f>
        <v/>
      </c>
    </row>
    <row r="383">
      <c r="A383" s="58"/>
      <c r="E383" s="78"/>
      <c r="G383" s="78"/>
      <c r="I383" s="80"/>
      <c r="K383" s="59"/>
      <c r="N383" s="71" t="str">
        <f>IFERROR(__xludf.DUMMYFUNCTION("""COMPUTED_VALUE"""),"")</f>
        <v/>
      </c>
      <c r="O383" s="71" t="str">
        <f>IFERROR(__xludf.DUMMYFUNCTION("""COMPUTED_VALUE"""),"")</f>
        <v/>
      </c>
      <c r="P383" s="71" t="str">
        <f>IFERROR(__xludf.DUMMYFUNCTION("""COMPUTED_VALUE"""),"")</f>
        <v/>
      </c>
    </row>
    <row r="384">
      <c r="A384" s="58"/>
      <c r="E384" s="78"/>
      <c r="G384" s="78"/>
      <c r="I384" s="80"/>
      <c r="K384" s="59"/>
      <c r="N384" s="71" t="str">
        <f>IFERROR(__xludf.DUMMYFUNCTION("""COMPUTED_VALUE"""),"")</f>
        <v/>
      </c>
      <c r="O384" s="71" t="str">
        <f>IFERROR(__xludf.DUMMYFUNCTION("""COMPUTED_VALUE"""),"")</f>
        <v/>
      </c>
      <c r="P384" s="71" t="str">
        <f>IFERROR(__xludf.DUMMYFUNCTION("""COMPUTED_VALUE"""),"")</f>
        <v/>
      </c>
    </row>
    <row r="385">
      <c r="A385" s="58"/>
      <c r="E385" s="78"/>
      <c r="G385" s="78"/>
      <c r="I385" s="80"/>
      <c r="K385" s="59"/>
      <c r="N385" s="71" t="str">
        <f>IFERROR(__xludf.DUMMYFUNCTION("""COMPUTED_VALUE"""),"")</f>
        <v/>
      </c>
      <c r="O385" s="71" t="str">
        <f>IFERROR(__xludf.DUMMYFUNCTION("""COMPUTED_VALUE"""),"")</f>
        <v/>
      </c>
      <c r="P385" s="71" t="str">
        <f>IFERROR(__xludf.DUMMYFUNCTION("""COMPUTED_VALUE"""),"")</f>
        <v/>
      </c>
    </row>
    <row r="386">
      <c r="A386" s="58"/>
      <c r="E386" s="78"/>
      <c r="G386" s="78"/>
      <c r="I386" s="80"/>
      <c r="K386" s="59"/>
      <c r="N386" s="71" t="str">
        <f>IFERROR(__xludf.DUMMYFUNCTION("""COMPUTED_VALUE"""),"")</f>
        <v/>
      </c>
      <c r="O386" s="71" t="str">
        <f>IFERROR(__xludf.DUMMYFUNCTION("""COMPUTED_VALUE"""),"")</f>
        <v/>
      </c>
      <c r="P386" s="71" t="str">
        <f>IFERROR(__xludf.DUMMYFUNCTION("""COMPUTED_VALUE"""),"")</f>
        <v/>
      </c>
    </row>
    <row r="387">
      <c r="A387" s="58"/>
      <c r="E387" s="78"/>
      <c r="G387" s="78"/>
      <c r="I387" s="80"/>
      <c r="K387" s="59"/>
      <c r="N387" s="71" t="str">
        <f>IFERROR(__xludf.DUMMYFUNCTION("""COMPUTED_VALUE"""),"")</f>
        <v/>
      </c>
      <c r="O387" s="71" t="str">
        <f>IFERROR(__xludf.DUMMYFUNCTION("""COMPUTED_VALUE"""),"")</f>
        <v/>
      </c>
      <c r="P387" s="71" t="str">
        <f>IFERROR(__xludf.DUMMYFUNCTION("""COMPUTED_VALUE"""),"")</f>
        <v/>
      </c>
    </row>
    <row r="388">
      <c r="A388" s="58"/>
      <c r="E388" s="78"/>
      <c r="G388" s="78"/>
      <c r="I388" s="80"/>
      <c r="K388" s="59"/>
      <c r="N388" s="71" t="str">
        <f>IFERROR(__xludf.DUMMYFUNCTION("""COMPUTED_VALUE"""),"")</f>
        <v/>
      </c>
      <c r="O388" s="71" t="str">
        <f>IFERROR(__xludf.DUMMYFUNCTION("""COMPUTED_VALUE"""),"")</f>
        <v/>
      </c>
      <c r="P388" s="71" t="str">
        <f>IFERROR(__xludf.DUMMYFUNCTION("""COMPUTED_VALUE"""),"")</f>
        <v/>
      </c>
    </row>
    <row r="389">
      <c r="A389" s="58"/>
      <c r="E389" s="78"/>
      <c r="G389" s="78"/>
      <c r="I389" s="80"/>
      <c r="K389" s="59"/>
      <c r="N389" s="71" t="str">
        <f>IFERROR(__xludf.DUMMYFUNCTION("""COMPUTED_VALUE"""),"")</f>
        <v/>
      </c>
      <c r="O389" s="71" t="str">
        <f>IFERROR(__xludf.DUMMYFUNCTION("""COMPUTED_VALUE"""),"")</f>
        <v/>
      </c>
      <c r="P389" s="71" t="str">
        <f>IFERROR(__xludf.DUMMYFUNCTION("""COMPUTED_VALUE"""),"")</f>
        <v/>
      </c>
    </row>
    <row r="390">
      <c r="A390" s="58"/>
      <c r="E390" s="78"/>
      <c r="G390" s="78"/>
      <c r="I390" s="80"/>
      <c r="K390" s="59"/>
      <c r="N390" s="71" t="str">
        <f>IFERROR(__xludf.DUMMYFUNCTION("""COMPUTED_VALUE"""),"")</f>
        <v/>
      </c>
      <c r="O390" s="71" t="str">
        <f>IFERROR(__xludf.DUMMYFUNCTION("""COMPUTED_VALUE"""),"")</f>
        <v/>
      </c>
      <c r="P390" s="71" t="str">
        <f>IFERROR(__xludf.DUMMYFUNCTION("""COMPUTED_VALUE"""),"")</f>
        <v/>
      </c>
    </row>
    <row r="391">
      <c r="A391" s="58"/>
      <c r="E391" s="78"/>
      <c r="G391" s="78"/>
      <c r="I391" s="80"/>
      <c r="K391" s="59"/>
      <c r="N391" s="71" t="str">
        <f>IFERROR(__xludf.DUMMYFUNCTION("""COMPUTED_VALUE"""),"")</f>
        <v/>
      </c>
      <c r="O391" s="71" t="str">
        <f>IFERROR(__xludf.DUMMYFUNCTION("""COMPUTED_VALUE"""),"")</f>
        <v/>
      </c>
      <c r="P391" s="71" t="str">
        <f>IFERROR(__xludf.DUMMYFUNCTION("""COMPUTED_VALUE"""),"")</f>
        <v/>
      </c>
    </row>
    <row r="392">
      <c r="A392" s="58"/>
      <c r="E392" s="78"/>
      <c r="G392" s="78"/>
      <c r="I392" s="80"/>
      <c r="K392" s="59"/>
      <c r="N392" s="71" t="str">
        <f>IFERROR(__xludf.DUMMYFUNCTION("""COMPUTED_VALUE"""),"")</f>
        <v/>
      </c>
      <c r="O392" s="71" t="str">
        <f>IFERROR(__xludf.DUMMYFUNCTION("""COMPUTED_VALUE"""),"")</f>
        <v/>
      </c>
      <c r="P392" s="71" t="str">
        <f>IFERROR(__xludf.DUMMYFUNCTION("""COMPUTED_VALUE"""),"")</f>
        <v/>
      </c>
    </row>
    <row r="393">
      <c r="A393" s="58"/>
      <c r="E393" s="78"/>
      <c r="G393" s="78"/>
      <c r="I393" s="80"/>
      <c r="K393" s="59"/>
      <c r="N393" s="71" t="str">
        <f>IFERROR(__xludf.DUMMYFUNCTION("""COMPUTED_VALUE"""),"")</f>
        <v/>
      </c>
      <c r="O393" s="71" t="str">
        <f>IFERROR(__xludf.DUMMYFUNCTION("""COMPUTED_VALUE"""),"")</f>
        <v/>
      </c>
      <c r="P393" s="71" t="str">
        <f>IFERROR(__xludf.DUMMYFUNCTION("""COMPUTED_VALUE"""),"")</f>
        <v/>
      </c>
    </row>
    <row r="394">
      <c r="A394" s="58"/>
      <c r="E394" s="78"/>
      <c r="G394" s="78"/>
      <c r="I394" s="80"/>
      <c r="K394" s="59"/>
      <c r="N394" s="71" t="str">
        <f>IFERROR(__xludf.DUMMYFUNCTION("""COMPUTED_VALUE"""),"")</f>
        <v/>
      </c>
      <c r="O394" s="71" t="str">
        <f>IFERROR(__xludf.DUMMYFUNCTION("""COMPUTED_VALUE"""),"")</f>
        <v/>
      </c>
      <c r="P394" s="71" t="str">
        <f>IFERROR(__xludf.DUMMYFUNCTION("""COMPUTED_VALUE"""),"")</f>
        <v/>
      </c>
    </row>
    <row r="395">
      <c r="A395" s="58"/>
      <c r="E395" s="78"/>
      <c r="G395" s="78"/>
      <c r="I395" s="80"/>
      <c r="K395" s="59"/>
      <c r="N395" s="71" t="str">
        <f>IFERROR(__xludf.DUMMYFUNCTION("""COMPUTED_VALUE"""),"")</f>
        <v/>
      </c>
      <c r="O395" s="71" t="str">
        <f>IFERROR(__xludf.DUMMYFUNCTION("""COMPUTED_VALUE"""),"")</f>
        <v/>
      </c>
      <c r="P395" s="71" t="str">
        <f>IFERROR(__xludf.DUMMYFUNCTION("""COMPUTED_VALUE"""),"")</f>
        <v/>
      </c>
    </row>
    <row r="396">
      <c r="A396" s="58"/>
      <c r="E396" s="78"/>
      <c r="G396" s="78"/>
      <c r="I396" s="80"/>
      <c r="K396" s="59"/>
      <c r="N396" s="71" t="str">
        <f>IFERROR(__xludf.DUMMYFUNCTION("""COMPUTED_VALUE"""),"")</f>
        <v/>
      </c>
      <c r="O396" s="71" t="str">
        <f>IFERROR(__xludf.DUMMYFUNCTION("""COMPUTED_VALUE"""),"")</f>
        <v/>
      </c>
      <c r="P396" s="71" t="str">
        <f>IFERROR(__xludf.DUMMYFUNCTION("""COMPUTED_VALUE"""),"")</f>
        <v/>
      </c>
    </row>
    <row r="397">
      <c r="A397" s="58"/>
      <c r="E397" s="78"/>
      <c r="G397" s="78"/>
      <c r="I397" s="80"/>
      <c r="K397" s="59"/>
      <c r="N397" s="71" t="str">
        <f>IFERROR(__xludf.DUMMYFUNCTION("""COMPUTED_VALUE"""),"")</f>
        <v/>
      </c>
      <c r="O397" s="71" t="str">
        <f>IFERROR(__xludf.DUMMYFUNCTION("""COMPUTED_VALUE"""),"")</f>
        <v/>
      </c>
      <c r="P397" s="71" t="str">
        <f>IFERROR(__xludf.DUMMYFUNCTION("""COMPUTED_VALUE"""),"")</f>
        <v/>
      </c>
    </row>
    <row r="398">
      <c r="A398" s="58"/>
      <c r="E398" s="78"/>
      <c r="G398" s="78"/>
      <c r="I398" s="80"/>
      <c r="K398" s="59"/>
      <c r="N398" s="71" t="str">
        <f>IFERROR(__xludf.DUMMYFUNCTION("""COMPUTED_VALUE"""),"")</f>
        <v/>
      </c>
      <c r="O398" s="71" t="str">
        <f>IFERROR(__xludf.DUMMYFUNCTION("""COMPUTED_VALUE"""),"")</f>
        <v/>
      </c>
      <c r="P398" s="71" t="str">
        <f>IFERROR(__xludf.DUMMYFUNCTION("""COMPUTED_VALUE"""),"")</f>
        <v/>
      </c>
    </row>
    <row r="399">
      <c r="A399" s="58"/>
      <c r="E399" s="78"/>
      <c r="G399" s="78"/>
      <c r="I399" s="80"/>
      <c r="K399" s="59"/>
      <c r="N399" s="71" t="str">
        <f>IFERROR(__xludf.DUMMYFUNCTION("""COMPUTED_VALUE"""),"")</f>
        <v/>
      </c>
      <c r="O399" s="71" t="str">
        <f>IFERROR(__xludf.DUMMYFUNCTION("""COMPUTED_VALUE"""),"")</f>
        <v/>
      </c>
      <c r="P399" s="71" t="str">
        <f>IFERROR(__xludf.DUMMYFUNCTION("""COMPUTED_VALUE"""),"")</f>
        <v/>
      </c>
    </row>
    <row r="400">
      <c r="A400" s="58"/>
      <c r="E400" s="78"/>
      <c r="G400" s="78"/>
      <c r="I400" s="80"/>
      <c r="K400" s="59"/>
      <c r="N400" s="71" t="str">
        <f>IFERROR(__xludf.DUMMYFUNCTION("""COMPUTED_VALUE"""),"")</f>
        <v/>
      </c>
      <c r="O400" s="71" t="str">
        <f>IFERROR(__xludf.DUMMYFUNCTION("""COMPUTED_VALUE"""),"")</f>
        <v/>
      </c>
      <c r="P400" s="71" t="str">
        <f>IFERROR(__xludf.DUMMYFUNCTION("""COMPUTED_VALUE"""),"")</f>
        <v/>
      </c>
    </row>
    <row r="401">
      <c r="A401" s="58"/>
      <c r="E401" s="78"/>
      <c r="G401" s="78"/>
      <c r="I401" s="80"/>
      <c r="K401" s="59"/>
      <c r="N401" s="71" t="str">
        <f>IFERROR(__xludf.DUMMYFUNCTION("""COMPUTED_VALUE"""),"")</f>
        <v/>
      </c>
      <c r="O401" s="71" t="str">
        <f>IFERROR(__xludf.DUMMYFUNCTION("""COMPUTED_VALUE"""),"")</f>
        <v/>
      </c>
      <c r="P401" s="71" t="str">
        <f>IFERROR(__xludf.DUMMYFUNCTION("""COMPUTED_VALUE"""),"")</f>
        <v/>
      </c>
    </row>
    <row r="402">
      <c r="A402" s="58"/>
      <c r="E402" s="78"/>
      <c r="G402" s="78"/>
      <c r="I402" s="80"/>
      <c r="K402" s="59"/>
      <c r="N402" s="71" t="str">
        <f>IFERROR(__xludf.DUMMYFUNCTION("""COMPUTED_VALUE"""),"")</f>
        <v/>
      </c>
      <c r="O402" s="71" t="str">
        <f>IFERROR(__xludf.DUMMYFUNCTION("""COMPUTED_VALUE"""),"")</f>
        <v/>
      </c>
      <c r="P402" s="71" t="str">
        <f>IFERROR(__xludf.DUMMYFUNCTION("""COMPUTED_VALUE"""),"")</f>
        <v/>
      </c>
    </row>
    <row r="403">
      <c r="A403" s="58"/>
      <c r="E403" s="78"/>
      <c r="G403" s="78"/>
      <c r="I403" s="80"/>
      <c r="K403" s="59"/>
      <c r="N403" s="71" t="str">
        <f>IFERROR(__xludf.DUMMYFUNCTION("""COMPUTED_VALUE"""),"")</f>
        <v/>
      </c>
      <c r="O403" s="71" t="str">
        <f>IFERROR(__xludf.DUMMYFUNCTION("""COMPUTED_VALUE"""),"")</f>
        <v/>
      </c>
      <c r="P403" s="71" t="str">
        <f>IFERROR(__xludf.DUMMYFUNCTION("""COMPUTED_VALUE"""),"")</f>
        <v/>
      </c>
    </row>
    <row r="404">
      <c r="A404" s="58"/>
      <c r="E404" s="78"/>
      <c r="G404" s="78"/>
      <c r="I404" s="80"/>
      <c r="K404" s="59"/>
      <c r="N404" s="71" t="str">
        <f>IFERROR(__xludf.DUMMYFUNCTION("""COMPUTED_VALUE"""),"")</f>
        <v/>
      </c>
      <c r="O404" s="71" t="str">
        <f>IFERROR(__xludf.DUMMYFUNCTION("""COMPUTED_VALUE"""),"")</f>
        <v/>
      </c>
      <c r="P404" s="71" t="str">
        <f>IFERROR(__xludf.DUMMYFUNCTION("""COMPUTED_VALUE"""),"")</f>
        <v/>
      </c>
    </row>
    <row r="405">
      <c r="A405" s="58"/>
      <c r="E405" s="78"/>
      <c r="G405" s="78"/>
      <c r="I405" s="80"/>
      <c r="K405" s="59"/>
      <c r="N405" s="71" t="str">
        <f>IFERROR(__xludf.DUMMYFUNCTION("""COMPUTED_VALUE"""),"")</f>
        <v/>
      </c>
      <c r="O405" s="71" t="str">
        <f>IFERROR(__xludf.DUMMYFUNCTION("""COMPUTED_VALUE"""),"")</f>
        <v/>
      </c>
      <c r="P405" s="71" t="str">
        <f>IFERROR(__xludf.DUMMYFUNCTION("""COMPUTED_VALUE"""),"")</f>
        <v/>
      </c>
    </row>
    <row r="406">
      <c r="A406" s="58"/>
      <c r="E406" s="78"/>
      <c r="G406" s="78"/>
      <c r="I406" s="80"/>
      <c r="K406" s="59"/>
      <c r="N406" s="71" t="str">
        <f>IFERROR(__xludf.DUMMYFUNCTION("""COMPUTED_VALUE"""),"")</f>
        <v/>
      </c>
      <c r="O406" s="71" t="str">
        <f>IFERROR(__xludf.DUMMYFUNCTION("""COMPUTED_VALUE"""),"")</f>
        <v/>
      </c>
      <c r="P406" s="71" t="str">
        <f>IFERROR(__xludf.DUMMYFUNCTION("""COMPUTED_VALUE"""),"")</f>
        <v/>
      </c>
    </row>
    <row r="407">
      <c r="A407" s="58"/>
      <c r="E407" s="78"/>
      <c r="G407" s="78"/>
      <c r="I407" s="80"/>
      <c r="K407" s="59"/>
      <c r="N407" s="71" t="str">
        <f>IFERROR(__xludf.DUMMYFUNCTION("""COMPUTED_VALUE"""),"")</f>
        <v/>
      </c>
      <c r="O407" s="71" t="str">
        <f>IFERROR(__xludf.DUMMYFUNCTION("""COMPUTED_VALUE"""),"")</f>
        <v/>
      </c>
      <c r="P407" s="71" t="str">
        <f>IFERROR(__xludf.DUMMYFUNCTION("""COMPUTED_VALUE"""),"")</f>
        <v/>
      </c>
    </row>
    <row r="408">
      <c r="A408" s="58"/>
      <c r="E408" s="78"/>
      <c r="G408" s="78"/>
      <c r="I408" s="80"/>
      <c r="K408" s="59"/>
      <c r="N408" s="71" t="str">
        <f>IFERROR(__xludf.DUMMYFUNCTION("""COMPUTED_VALUE"""),"")</f>
        <v/>
      </c>
      <c r="O408" s="71" t="str">
        <f>IFERROR(__xludf.DUMMYFUNCTION("""COMPUTED_VALUE"""),"")</f>
        <v/>
      </c>
      <c r="P408" s="71" t="str">
        <f>IFERROR(__xludf.DUMMYFUNCTION("""COMPUTED_VALUE"""),"")</f>
        <v/>
      </c>
    </row>
    <row r="409">
      <c r="A409" s="58"/>
      <c r="E409" s="78"/>
      <c r="G409" s="78"/>
      <c r="I409" s="80"/>
      <c r="K409" s="59"/>
      <c r="N409" s="71" t="str">
        <f>IFERROR(__xludf.DUMMYFUNCTION("""COMPUTED_VALUE"""),"")</f>
        <v/>
      </c>
      <c r="O409" s="71" t="str">
        <f>IFERROR(__xludf.DUMMYFUNCTION("""COMPUTED_VALUE"""),"")</f>
        <v/>
      </c>
      <c r="P409" s="71" t="str">
        <f>IFERROR(__xludf.DUMMYFUNCTION("""COMPUTED_VALUE"""),"")</f>
        <v/>
      </c>
    </row>
    <row r="410">
      <c r="A410" s="58"/>
      <c r="E410" s="78"/>
      <c r="G410" s="78"/>
      <c r="I410" s="80"/>
      <c r="K410" s="59"/>
      <c r="N410" s="71" t="str">
        <f>IFERROR(__xludf.DUMMYFUNCTION("""COMPUTED_VALUE"""),"")</f>
        <v/>
      </c>
      <c r="O410" s="71" t="str">
        <f>IFERROR(__xludf.DUMMYFUNCTION("""COMPUTED_VALUE"""),"")</f>
        <v/>
      </c>
      <c r="P410" s="71" t="str">
        <f>IFERROR(__xludf.DUMMYFUNCTION("""COMPUTED_VALUE"""),"")</f>
        <v/>
      </c>
    </row>
    <row r="411">
      <c r="A411" s="58"/>
      <c r="E411" s="78"/>
      <c r="G411" s="78"/>
      <c r="I411" s="80"/>
      <c r="K411" s="59"/>
      <c r="N411" s="71" t="str">
        <f>IFERROR(__xludf.DUMMYFUNCTION("""COMPUTED_VALUE"""),"")</f>
        <v/>
      </c>
      <c r="O411" s="71" t="str">
        <f>IFERROR(__xludf.DUMMYFUNCTION("""COMPUTED_VALUE"""),"")</f>
        <v/>
      </c>
      <c r="P411" s="71" t="str">
        <f>IFERROR(__xludf.DUMMYFUNCTION("""COMPUTED_VALUE"""),"")</f>
        <v/>
      </c>
    </row>
    <row r="412">
      <c r="A412" s="58"/>
      <c r="E412" s="78"/>
      <c r="G412" s="78"/>
      <c r="I412" s="80"/>
      <c r="K412" s="59"/>
      <c r="N412" s="71" t="str">
        <f>IFERROR(__xludf.DUMMYFUNCTION("""COMPUTED_VALUE"""),"")</f>
        <v/>
      </c>
      <c r="O412" s="71" t="str">
        <f>IFERROR(__xludf.DUMMYFUNCTION("""COMPUTED_VALUE"""),"")</f>
        <v/>
      </c>
      <c r="P412" s="71" t="str">
        <f>IFERROR(__xludf.DUMMYFUNCTION("""COMPUTED_VALUE"""),"")</f>
        <v/>
      </c>
    </row>
    <row r="413">
      <c r="A413" s="58"/>
      <c r="E413" s="78"/>
      <c r="G413" s="78"/>
      <c r="I413" s="80"/>
      <c r="K413" s="59"/>
      <c r="N413" s="71" t="str">
        <f>IFERROR(__xludf.DUMMYFUNCTION("""COMPUTED_VALUE"""),"")</f>
        <v/>
      </c>
      <c r="O413" s="71" t="str">
        <f>IFERROR(__xludf.DUMMYFUNCTION("""COMPUTED_VALUE"""),"")</f>
        <v/>
      </c>
      <c r="P413" s="71" t="str">
        <f>IFERROR(__xludf.DUMMYFUNCTION("""COMPUTED_VALUE"""),"")</f>
        <v/>
      </c>
    </row>
    <row r="414">
      <c r="A414" s="58"/>
      <c r="E414" s="78"/>
      <c r="G414" s="78"/>
      <c r="I414" s="80"/>
      <c r="K414" s="59"/>
      <c r="N414" s="71" t="str">
        <f>IFERROR(__xludf.DUMMYFUNCTION("""COMPUTED_VALUE"""),"")</f>
        <v/>
      </c>
      <c r="O414" s="71" t="str">
        <f>IFERROR(__xludf.DUMMYFUNCTION("""COMPUTED_VALUE"""),"")</f>
        <v/>
      </c>
      <c r="P414" s="71" t="str">
        <f>IFERROR(__xludf.DUMMYFUNCTION("""COMPUTED_VALUE"""),"")</f>
        <v/>
      </c>
    </row>
    <row r="415">
      <c r="A415" s="58"/>
      <c r="E415" s="78"/>
      <c r="G415" s="78"/>
      <c r="I415" s="80"/>
      <c r="K415" s="59"/>
      <c r="N415" s="71" t="str">
        <f>IFERROR(__xludf.DUMMYFUNCTION("""COMPUTED_VALUE"""),"")</f>
        <v/>
      </c>
      <c r="O415" s="71" t="str">
        <f>IFERROR(__xludf.DUMMYFUNCTION("""COMPUTED_VALUE"""),"")</f>
        <v/>
      </c>
      <c r="P415" s="71" t="str">
        <f>IFERROR(__xludf.DUMMYFUNCTION("""COMPUTED_VALUE"""),"")</f>
        <v/>
      </c>
    </row>
    <row r="416">
      <c r="A416" s="58"/>
      <c r="E416" s="78"/>
      <c r="G416" s="78"/>
      <c r="I416" s="80"/>
      <c r="K416" s="59"/>
      <c r="N416" s="71" t="str">
        <f>IFERROR(__xludf.DUMMYFUNCTION("""COMPUTED_VALUE"""),"")</f>
        <v/>
      </c>
      <c r="O416" s="71" t="str">
        <f>IFERROR(__xludf.DUMMYFUNCTION("""COMPUTED_VALUE"""),"")</f>
        <v/>
      </c>
      <c r="P416" s="71" t="str">
        <f>IFERROR(__xludf.DUMMYFUNCTION("""COMPUTED_VALUE"""),"")</f>
        <v/>
      </c>
    </row>
    <row r="417">
      <c r="A417" s="58"/>
      <c r="E417" s="78"/>
      <c r="G417" s="78"/>
      <c r="I417" s="80"/>
      <c r="K417" s="59"/>
      <c r="N417" s="71" t="str">
        <f>IFERROR(__xludf.DUMMYFUNCTION("""COMPUTED_VALUE"""),"")</f>
        <v/>
      </c>
      <c r="O417" s="71" t="str">
        <f>IFERROR(__xludf.DUMMYFUNCTION("""COMPUTED_VALUE"""),"")</f>
        <v/>
      </c>
      <c r="P417" s="71" t="str">
        <f>IFERROR(__xludf.DUMMYFUNCTION("""COMPUTED_VALUE"""),"")</f>
        <v/>
      </c>
    </row>
    <row r="418">
      <c r="A418" s="58"/>
      <c r="E418" s="78"/>
      <c r="G418" s="78"/>
      <c r="I418" s="80"/>
      <c r="K418" s="59"/>
      <c r="N418" s="71" t="str">
        <f>IFERROR(__xludf.DUMMYFUNCTION("""COMPUTED_VALUE"""),"")</f>
        <v/>
      </c>
      <c r="O418" s="71" t="str">
        <f>IFERROR(__xludf.DUMMYFUNCTION("""COMPUTED_VALUE"""),"")</f>
        <v/>
      </c>
      <c r="P418" s="71" t="str">
        <f>IFERROR(__xludf.DUMMYFUNCTION("""COMPUTED_VALUE"""),"")</f>
        <v/>
      </c>
    </row>
    <row r="419">
      <c r="A419" s="58"/>
      <c r="E419" s="78"/>
      <c r="G419" s="78"/>
      <c r="I419" s="80"/>
      <c r="K419" s="59"/>
      <c r="N419" s="71" t="str">
        <f>IFERROR(__xludf.DUMMYFUNCTION("""COMPUTED_VALUE"""),"")</f>
        <v/>
      </c>
      <c r="O419" s="71" t="str">
        <f>IFERROR(__xludf.DUMMYFUNCTION("""COMPUTED_VALUE"""),"")</f>
        <v/>
      </c>
      <c r="P419" s="71" t="str">
        <f>IFERROR(__xludf.DUMMYFUNCTION("""COMPUTED_VALUE"""),"")</f>
        <v/>
      </c>
    </row>
    <row r="420">
      <c r="A420" s="58"/>
      <c r="E420" s="78"/>
      <c r="G420" s="78"/>
      <c r="I420" s="80"/>
      <c r="K420" s="59"/>
      <c r="N420" s="71" t="str">
        <f>IFERROR(__xludf.DUMMYFUNCTION("""COMPUTED_VALUE"""),"")</f>
        <v/>
      </c>
      <c r="O420" s="71" t="str">
        <f>IFERROR(__xludf.DUMMYFUNCTION("""COMPUTED_VALUE"""),"")</f>
        <v/>
      </c>
      <c r="P420" s="71" t="str">
        <f>IFERROR(__xludf.DUMMYFUNCTION("""COMPUTED_VALUE"""),"")</f>
        <v/>
      </c>
    </row>
    <row r="421">
      <c r="A421" s="58"/>
      <c r="E421" s="78"/>
      <c r="G421" s="78"/>
      <c r="I421" s="80"/>
      <c r="K421" s="59"/>
      <c r="N421" s="71" t="str">
        <f>IFERROR(__xludf.DUMMYFUNCTION("""COMPUTED_VALUE"""),"")</f>
        <v/>
      </c>
      <c r="O421" s="71" t="str">
        <f>IFERROR(__xludf.DUMMYFUNCTION("""COMPUTED_VALUE"""),"")</f>
        <v/>
      </c>
      <c r="P421" s="71" t="str">
        <f>IFERROR(__xludf.DUMMYFUNCTION("""COMPUTED_VALUE"""),"")</f>
        <v/>
      </c>
    </row>
    <row r="422">
      <c r="A422" s="58"/>
      <c r="E422" s="78"/>
      <c r="G422" s="78"/>
      <c r="I422" s="80"/>
      <c r="K422" s="59"/>
      <c r="N422" s="71" t="str">
        <f>IFERROR(__xludf.DUMMYFUNCTION("""COMPUTED_VALUE"""),"")</f>
        <v/>
      </c>
      <c r="O422" s="71" t="str">
        <f>IFERROR(__xludf.DUMMYFUNCTION("""COMPUTED_VALUE"""),"")</f>
        <v/>
      </c>
      <c r="P422" s="71" t="str">
        <f>IFERROR(__xludf.DUMMYFUNCTION("""COMPUTED_VALUE"""),"")</f>
        <v/>
      </c>
    </row>
    <row r="423">
      <c r="A423" s="58"/>
      <c r="E423" s="78"/>
      <c r="G423" s="78"/>
      <c r="I423" s="80"/>
      <c r="K423" s="59"/>
      <c r="N423" s="71" t="str">
        <f>IFERROR(__xludf.DUMMYFUNCTION("""COMPUTED_VALUE"""),"")</f>
        <v/>
      </c>
      <c r="O423" s="71" t="str">
        <f>IFERROR(__xludf.DUMMYFUNCTION("""COMPUTED_VALUE"""),"")</f>
        <v/>
      </c>
      <c r="P423" s="71" t="str">
        <f>IFERROR(__xludf.DUMMYFUNCTION("""COMPUTED_VALUE"""),"")</f>
        <v/>
      </c>
    </row>
    <row r="424">
      <c r="A424" s="58"/>
      <c r="E424" s="78"/>
      <c r="G424" s="78"/>
      <c r="I424" s="80"/>
      <c r="K424" s="59"/>
      <c r="N424" s="71" t="str">
        <f>IFERROR(__xludf.DUMMYFUNCTION("""COMPUTED_VALUE"""),"")</f>
        <v/>
      </c>
      <c r="O424" s="71" t="str">
        <f>IFERROR(__xludf.DUMMYFUNCTION("""COMPUTED_VALUE"""),"")</f>
        <v/>
      </c>
      <c r="P424" s="71" t="str">
        <f>IFERROR(__xludf.DUMMYFUNCTION("""COMPUTED_VALUE"""),"")</f>
        <v/>
      </c>
    </row>
    <row r="425">
      <c r="A425" s="58"/>
      <c r="E425" s="78"/>
      <c r="G425" s="78"/>
      <c r="I425" s="80"/>
      <c r="K425" s="59"/>
      <c r="N425" s="71" t="str">
        <f>IFERROR(__xludf.DUMMYFUNCTION("""COMPUTED_VALUE"""),"")</f>
        <v/>
      </c>
      <c r="O425" s="71" t="str">
        <f>IFERROR(__xludf.DUMMYFUNCTION("""COMPUTED_VALUE"""),"")</f>
        <v/>
      </c>
      <c r="P425" s="71" t="str">
        <f>IFERROR(__xludf.DUMMYFUNCTION("""COMPUTED_VALUE"""),"")</f>
        <v/>
      </c>
    </row>
    <row r="426">
      <c r="A426" s="58"/>
      <c r="E426" s="78"/>
      <c r="G426" s="78"/>
      <c r="I426" s="80"/>
      <c r="K426" s="59"/>
      <c r="N426" s="71" t="str">
        <f>IFERROR(__xludf.DUMMYFUNCTION("""COMPUTED_VALUE"""),"")</f>
        <v/>
      </c>
      <c r="O426" s="71" t="str">
        <f>IFERROR(__xludf.DUMMYFUNCTION("""COMPUTED_VALUE"""),"")</f>
        <v/>
      </c>
      <c r="P426" s="71" t="str">
        <f>IFERROR(__xludf.DUMMYFUNCTION("""COMPUTED_VALUE"""),"")</f>
        <v/>
      </c>
    </row>
    <row r="427">
      <c r="A427" s="58"/>
      <c r="E427" s="78"/>
      <c r="G427" s="78"/>
      <c r="I427" s="80"/>
      <c r="K427" s="59"/>
      <c r="N427" s="71" t="str">
        <f>IFERROR(__xludf.DUMMYFUNCTION("""COMPUTED_VALUE"""),"")</f>
        <v/>
      </c>
      <c r="O427" s="71" t="str">
        <f>IFERROR(__xludf.DUMMYFUNCTION("""COMPUTED_VALUE"""),"")</f>
        <v/>
      </c>
      <c r="P427" s="71" t="str">
        <f>IFERROR(__xludf.DUMMYFUNCTION("""COMPUTED_VALUE"""),"")</f>
        <v/>
      </c>
    </row>
    <row r="428">
      <c r="A428" s="58"/>
      <c r="E428" s="78"/>
      <c r="G428" s="78"/>
      <c r="I428" s="80"/>
      <c r="K428" s="59"/>
      <c r="N428" s="71" t="str">
        <f>IFERROR(__xludf.DUMMYFUNCTION("""COMPUTED_VALUE"""),"")</f>
        <v/>
      </c>
      <c r="O428" s="71" t="str">
        <f>IFERROR(__xludf.DUMMYFUNCTION("""COMPUTED_VALUE"""),"")</f>
        <v/>
      </c>
      <c r="P428" s="71" t="str">
        <f>IFERROR(__xludf.DUMMYFUNCTION("""COMPUTED_VALUE"""),"")</f>
        <v/>
      </c>
    </row>
    <row r="429">
      <c r="A429" s="58"/>
      <c r="E429" s="78"/>
      <c r="G429" s="78"/>
      <c r="I429" s="80"/>
      <c r="K429" s="59"/>
      <c r="N429" s="71" t="str">
        <f>IFERROR(__xludf.DUMMYFUNCTION("""COMPUTED_VALUE"""),"")</f>
        <v/>
      </c>
      <c r="O429" s="71" t="str">
        <f>IFERROR(__xludf.DUMMYFUNCTION("""COMPUTED_VALUE"""),"")</f>
        <v/>
      </c>
      <c r="P429" s="71" t="str">
        <f>IFERROR(__xludf.DUMMYFUNCTION("""COMPUTED_VALUE"""),"")</f>
        <v/>
      </c>
    </row>
    <row r="430">
      <c r="A430" s="58"/>
      <c r="E430" s="78"/>
      <c r="G430" s="78"/>
      <c r="I430" s="80"/>
      <c r="K430" s="59"/>
      <c r="N430" s="71" t="str">
        <f>IFERROR(__xludf.DUMMYFUNCTION("""COMPUTED_VALUE"""),"")</f>
        <v/>
      </c>
      <c r="O430" s="71" t="str">
        <f>IFERROR(__xludf.DUMMYFUNCTION("""COMPUTED_VALUE"""),"")</f>
        <v/>
      </c>
      <c r="P430" s="71" t="str">
        <f>IFERROR(__xludf.DUMMYFUNCTION("""COMPUTED_VALUE"""),"")</f>
        <v/>
      </c>
    </row>
    <row r="431">
      <c r="A431" s="58"/>
      <c r="E431" s="78"/>
      <c r="G431" s="78"/>
      <c r="I431" s="80"/>
      <c r="K431" s="59"/>
      <c r="N431" s="71" t="str">
        <f>IFERROR(__xludf.DUMMYFUNCTION("""COMPUTED_VALUE"""),"")</f>
        <v/>
      </c>
      <c r="O431" s="71" t="str">
        <f>IFERROR(__xludf.DUMMYFUNCTION("""COMPUTED_VALUE"""),"")</f>
        <v/>
      </c>
      <c r="P431" s="71" t="str">
        <f>IFERROR(__xludf.DUMMYFUNCTION("""COMPUTED_VALUE"""),"")</f>
        <v/>
      </c>
    </row>
    <row r="432">
      <c r="A432" s="58"/>
      <c r="E432" s="78"/>
      <c r="G432" s="78"/>
      <c r="I432" s="80"/>
      <c r="K432" s="59"/>
      <c r="N432" s="71" t="str">
        <f>IFERROR(__xludf.DUMMYFUNCTION("""COMPUTED_VALUE"""),"")</f>
        <v/>
      </c>
      <c r="O432" s="71" t="str">
        <f>IFERROR(__xludf.DUMMYFUNCTION("""COMPUTED_VALUE"""),"")</f>
        <v/>
      </c>
      <c r="P432" s="71" t="str">
        <f>IFERROR(__xludf.DUMMYFUNCTION("""COMPUTED_VALUE"""),"")</f>
        <v/>
      </c>
    </row>
    <row r="433">
      <c r="A433" s="58"/>
      <c r="E433" s="78"/>
      <c r="G433" s="78"/>
      <c r="I433" s="80"/>
      <c r="K433" s="59"/>
      <c r="N433" s="71" t="str">
        <f>IFERROR(__xludf.DUMMYFUNCTION("""COMPUTED_VALUE"""),"")</f>
        <v/>
      </c>
      <c r="O433" s="71" t="str">
        <f>IFERROR(__xludf.DUMMYFUNCTION("""COMPUTED_VALUE"""),"")</f>
        <v/>
      </c>
      <c r="P433" s="71" t="str">
        <f>IFERROR(__xludf.DUMMYFUNCTION("""COMPUTED_VALUE"""),"")</f>
        <v/>
      </c>
    </row>
    <row r="434">
      <c r="A434" s="58"/>
      <c r="E434" s="78"/>
      <c r="G434" s="78"/>
      <c r="I434" s="80"/>
      <c r="K434" s="59"/>
      <c r="N434" s="71" t="str">
        <f>IFERROR(__xludf.DUMMYFUNCTION("""COMPUTED_VALUE"""),"")</f>
        <v/>
      </c>
      <c r="O434" s="71" t="str">
        <f>IFERROR(__xludf.DUMMYFUNCTION("""COMPUTED_VALUE"""),"")</f>
        <v/>
      </c>
      <c r="P434" s="71" t="str">
        <f>IFERROR(__xludf.DUMMYFUNCTION("""COMPUTED_VALUE"""),"")</f>
        <v/>
      </c>
    </row>
    <row r="435">
      <c r="A435" s="58"/>
      <c r="E435" s="78"/>
      <c r="G435" s="78"/>
      <c r="I435" s="80"/>
      <c r="K435" s="59"/>
      <c r="N435" s="71" t="str">
        <f>IFERROR(__xludf.DUMMYFUNCTION("""COMPUTED_VALUE"""),"")</f>
        <v/>
      </c>
      <c r="O435" s="71" t="str">
        <f>IFERROR(__xludf.DUMMYFUNCTION("""COMPUTED_VALUE"""),"")</f>
        <v/>
      </c>
      <c r="P435" s="71" t="str">
        <f>IFERROR(__xludf.DUMMYFUNCTION("""COMPUTED_VALUE"""),"")</f>
        <v/>
      </c>
    </row>
    <row r="436">
      <c r="A436" s="58"/>
      <c r="E436" s="78"/>
      <c r="G436" s="78"/>
      <c r="I436" s="80"/>
      <c r="K436" s="59"/>
      <c r="N436" s="71" t="str">
        <f>IFERROR(__xludf.DUMMYFUNCTION("""COMPUTED_VALUE"""),"")</f>
        <v/>
      </c>
      <c r="O436" s="71" t="str">
        <f>IFERROR(__xludf.DUMMYFUNCTION("""COMPUTED_VALUE"""),"")</f>
        <v/>
      </c>
      <c r="P436" s="71" t="str">
        <f>IFERROR(__xludf.DUMMYFUNCTION("""COMPUTED_VALUE"""),"")</f>
        <v/>
      </c>
    </row>
    <row r="437">
      <c r="A437" s="58"/>
      <c r="E437" s="78"/>
      <c r="G437" s="78"/>
      <c r="I437" s="80"/>
      <c r="K437" s="59"/>
      <c r="N437" s="71" t="str">
        <f>IFERROR(__xludf.DUMMYFUNCTION("""COMPUTED_VALUE"""),"")</f>
        <v/>
      </c>
      <c r="O437" s="71" t="str">
        <f>IFERROR(__xludf.DUMMYFUNCTION("""COMPUTED_VALUE"""),"")</f>
        <v/>
      </c>
      <c r="P437" s="71" t="str">
        <f>IFERROR(__xludf.DUMMYFUNCTION("""COMPUTED_VALUE"""),"")</f>
        <v/>
      </c>
    </row>
    <row r="438">
      <c r="A438" s="58"/>
      <c r="E438" s="78"/>
      <c r="G438" s="78"/>
      <c r="I438" s="80"/>
      <c r="K438" s="59"/>
      <c r="N438" s="71" t="str">
        <f>IFERROR(__xludf.DUMMYFUNCTION("""COMPUTED_VALUE"""),"")</f>
        <v/>
      </c>
      <c r="O438" s="71" t="str">
        <f>IFERROR(__xludf.DUMMYFUNCTION("""COMPUTED_VALUE"""),"")</f>
        <v/>
      </c>
      <c r="P438" s="71" t="str">
        <f>IFERROR(__xludf.DUMMYFUNCTION("""COMPUTED_VALUE"""),"")</f>
        <v/>
      </c>
    </row>
    <row r="439">
      <c r="A439" s="58"/>
      <c r="E439" s="78"/>
      <c r="G439" s="78"/>
      <c r="I439" s="80"/>
      <c r="K439" s="59"/>
      <c r="N439" s="71" t="str">
        <f>IFERROR(__xludf.DUMMYFUNCTION("""COMPUTED_VALUE"""),"")</f>
        <v/>
      </c>
      <c r="O439" s="71" t="str">
        <f>IFERROR(__xludf.DUMMYFUNCTION("""COMPUTED_VALUE"""),"")</f>
        <v/>
      </c>
      <c r="P439" s="71" t="str">
        <f>IFERROR(__xludf.DUMMYFUNCTION("""COMPUTED_VALUE"""),"")</f>
        <v/>
      </c>
    </row>
    <row r="440">
      <c r="A440" s="58"/>
      <c r="E440" s="78"/>
      <c r="G440" s="78"/>
      <c r="I440" s="80"/>
      <c r="K440" s="59"/>
      <c r="N440" s="71" t="str">
        <f>IFERROR(__xludf.DUMMYFUNCTION("""COMPUTED_VALUE"""),"")</f>
        <v/>
      </c>
      <c r="O440" s="71" t="str">
        <f>IFERROR(__xludf.DUMMYFUNCTION("""COMPUTED_VALUE"""),"")</f>
        <v/>
      </c>
      <c r="P440" s="71" t="str">
        <f>IFERROR(__xludf.DUMMYFUNCTION("""COMPUTED_VALUE"""),"")</f>
        <v/>
      </c>
    </row>
    <row r="441">
      <c r="A441" s="58"/>
      <c r="E441" s="78"/>
      <c r="G441" s="78"/>
      <c r="I441" s="80"/>
      <c r="K441" s="59"/>
      <c r="N441" s="71" t="str">
        <f>IFERROR(__xludf.DUMMYFUNCTION("""COMPUTED_VALUE"""),"")</f>
        <v/>
      </c>
      <c r="O441" s="71" t="str">
        <f>IFERROR(__xludf.DUMMYFUNCTION("""COMPUTED_VALUE"""),"")</f>
        <v/>
      </c>
      <c r="P441" s="71" t="str">
        <f>IFERROR(__xludf.DUMMYFUNCTION("""COMPUTED_VALUE"""),"")</f>
        <v/>
      </c>
    </row>
    <row r="442">
      <c r="A442" s="58"/>
      <c r="E442" s="78"/>
      <c r="G442" s="78"/>
      <c r="I442" s="80"/>
      <c r="K442" s="59"/>
      <c r="N442" s="71" t="str">
        <f>IFERROR(__xludf.DUMMYFUNCTION("""COMPUTED_VALUE"""),"")</f>
        <v/>
      </c>
      <c r="O442" s="71" t="str">
        <f>IFERROR(__xludf.DUMMYFUNCTION("""COMPUTED_VALUE"""),"")</f>
        <v/>
      </c>
      <c r="P442" s="71" t="str">
        <f>IFERROR(__xludf.DUMMYFUNCTION("""COMPUTED_VALUE"""),"")</f>
        <v/>
      </c>
    </row>
    <row r="443">
      <c r="A443" s="58"/>
      <c r="E443" s="78"/>
      <c r="G443" s="78"/>
      <c r="I443" s="80"/>
      <c r="K443" s="59"/>
      <c r="N443" s="71" t="str">
        <f>IFERROR(__xludf.DUMMYFUNCTION("""COMPUTED_VALUE"""),"")</f>
        <v/>
      </c>
      <c r="O443" s="71" t="str">
        <f>IFERROR(__xludf.DUMMYFUNCTION("""COMPUTED_VALUE"""),"")</f>
        <v/>
      </c>
      <c r="P443" s="71" t="str">
        <f>IFERROR(__xludf.DUMMYFUNCTION("""COMPUTED_VALUE"""),"")</f>
        <v/>
      </c>
    </row>
    <row r="444">
      <c r="A444" s="58"/>
      <c r="E444" s="78"/>
      <c r="G444" s="78"/>
      <c r="I444" s="80"/>
      <c r="K444" s="59"/>
      <c r="N444" s="71" t="str">
        <f>IFERROR(__xludf.DUMMYFUNCTION("""COMPUTED_VALUE"""),"")</f>
        <v/>
      </c>
      <c r="O444" s="71" t="str">
        <f>IFERROR(__xludf.DUMMYFUNCTION("""COMPUTED_VALUE"""),"")</f>
        <v/>
      </c>
      <c r="P444" s="71" t="str">
        <f>IFERROR(__xludf.DUMMYFUNCTION("""COMPUTED_VALUE"""),"")</f>
        <v/>
      </c>
    </row>
    <row r="445">
      <c r="A445" s="58"/>
      <c r="E445" s="78"/>
      <c r="G445" s="78"/>
      <c r="I445" s="80"/>
      <c r="K445" s="59"/>
      <c r="N445" s="71" t="str">
        <f>IFERROR(__xludf.DUMMYFUNCTION("""COMPUTED_VALUE"""),"")</f>
        <v/>
      </c>
      <c r="O445" s="71" t="str">
        <f>IFERROR(__xludf.DUMMYFUNCTION("""COMPUTED_VALUE"""),"")</f>
        <v/>
      </c>
      <c r="P445" s="71" t="str">
        <f>IFERROR(__xludf.DUMMYFUNCTION("""COMPUTED_VALUE"""),"")</f>
        <v/>
      </c>
    </row>
    <row r="446">
      <c r="A446" s="58"/>
      <c r="E446" s="78"/>
      <c r="G446" s="78"/>
      <c r="I446" s="80"/>
      <c r="K446" s="59"/>
      <c r="N446" s="71" t="str">
        <f>IFERROR(__xludf.DUMMYFUNCTION("""COMPUTED_VALUE"""),"")</f>
        <v/>
      </c>
      <c r="O446" s="71" t="str">
        <f>IFERROR(__xludf.DUMMYFUNCTION("""COMPUTED_VALUE"""),"")</f>
        <v/>
      </c>
      <c r="P446" s="71" t="str">
        <f>IFERROR(__xludf.DUMMYFUNCTION("""COMPUTED_VALUE"""),"")</f>
        <v/>
      </c>
    </row>
    <row r="447">
      <c r="A447" s="58"/>
      <c r="E447" s="78"/>
      <c r="G447" s="78"/>
      <c r="I447" s="80"/>
      <c r="K447" s="59"/>
      <c r="N447" s="71" t="str">
        <f>IFERROR(__xludf.DUMMYFUNCTION("""COMPUTED_VALUE"""),"")</f>
        <v/>
      </c>
      <c r="O447" s="71" t="str">
        <f>IFERROR(__xludf.DUMMYFUNCTION("""COMPUTED_VALUE"""),"")</f>
        <v/>
      </c>
      <c r="P447" s="71" t="str">
        <f>IFERROR(__xludf.DUMMYFUNCTION("""COMPUTED_VALUE"""),"")</f>
        <v/>
      </c>
    </row>
    <row r="448">
      <c r="A448" s="58"/>
      <c r="E448" s="78"/>
      <c r="G448" s="78"/>
      <c r="I448" s="80"/>
      <c r="K448" s="59"/>
      <c r="N448" s="71" t="str">
        <f>IFERROR(__xludf.DUMMYFUNCTION("""COMPUTED_VALUE"""),"")</f>
        <v/>
      </c>
      <c r="O448" s="71" t="str">
        <f>IFERROR(__xludf.DUMMYFUNCTION("""COMPUTED_VALUE"""),"")</f>
        <v/>
      </c>
      <c r="P448" s="71" t="str">
        <f>IFERROR(__xludf.DUMMYFUNCTION("""COMPUTED_VALUE"""),"")</f>
        <v/>
      </c>
    </row>
    <row r="449">
      <c r="A449" s="58"/>
      <c r="E449" s="78"/>
      <c r="G449" s="78"/>
      <c r="I449" s="80"/>
      <c r="K449" s="59"/>
      <c r="N449" s="71" t="str">
        <f>IFERROR(__xludf.DUMMYFUNCTION("""COMPUTED_VALUE"""),"")</f>
        <v/>
      </c>
      <c r="O449" s="71" t="str">
        <f>IFERROR(__xludf.DUMMYFUNCTION("""COMPUTED_VALUE"""),"")</f>
        <v/>
      </c>
      <c r="P449" s="71" t="str">
        <f>IFERROR(__xludf.DUMMYFUNCTION("""COMPUTED_VALUE"""),"")</f>
        <v/>
      </c>
    </row>
    <row r="450">
      <c r="A450" s="58"/>
      <c r="E450" s="78"/>
      <c r="G450" s="78"/>
      <c r="I450" s="80"/>
      <c r="K450" s="59"/>
      <c r="N450" s="71" t="str">
        <f>IFERROR(__xludf.DUMMYFUNCTION("""COMPUTED_VALUE"""),"")</f>
        <v/>
      </c>
      <c r="O450" s="71" t="str">
        <f>IFERROR(__xludf.DUMMYFUNCTION("""COMPUTED_VALUE"""),"")</f>
        <v/>
      </c>
      <c r="P450" s="71" t="str">
        <f>IFERROR(__xludf.DUMMYFUNCTION("""COMPUTED_VALUE"""),"")</f>
        <v/>
      </c>
    </row>
    <row r="451">
      <c r="A451" s="58"/>
      <c r="E451" s="78"/>
      <c r="G451" s="78"/>
      <c r="I451" s="80"/>
      <c r="K451" s="59"/>
      <c r="N451" s="71" t="str">
        <f>IFERROR(__xludf.DUMMYFUNCTION("""COMPUTED_VALUE"""),"")</f>
        <v/>
      </c>
      <c r="O451" s="71" t="str">
        <f>IFERROR(__xludf.DUMMYFUNCTION("""COMPUTED_VALUE"""),"")</f>
        <v/>
      </c>
      <c r="P451" s="71" t="str">
        <f>IFERROR(__xludf.DUMMYFUNCTION("""COMPUTED_VALUE"""),"")</f>
        <v/>
      </c>
    </row>
    <row r="452">
      <c r="A452" s="58"/>
      <c r="E452" s="78"/>
      <c r="G452" s="78"/>
      <c r="I452" s="80"/>
      <c r="K452" s="59"/>
      <c r="N452" s="71" t="str">
        <f>IFERROR(__xludf.DUMMYFUNCTION("""COMPUTED_VALUE"""),"")</f>
        <v/>
      </c>
      <c r="O452" s="71" t="str">
        <f>IFERROR(__xludf.DUMMYFUNCTION("""COMPUTED_VALUE"""),"")</f>
        <v/>
      </c>
      <c r="P452" s="71" t="str">
        <f>IFERROR(__xludf.DUMMYFUNCTION("""COMPUTED_VALUE"""),"")</f>
        <v/>
      </c>
    </row>
    <row r="453">
      <c r="A453" s="58"/>
      <c r="E453" s="78"/>
      <c r="G453" s="78"/>
      <c r="I453" s="80"/>
      <c r="K453" s="59"/>
      <c r="N453" s="71" t="str">
        <f>IFERROR(__xludf.DUMMYFUNCTION("""COMPUTED_VALUE"""),"")</f>
        <v/>
      </c>
      <c r="O453" s="71" t="str">
        <f>IFERROR(__xludf.DUMMYFUNCTION("""COMPUTED_VALUE"""),"")</f>
        <v/>
      </c>
      <c r="P453" s="71" t="str">
        <f>IFERROR(__xludf.DUMMYFUNCTION("""COMPUTED_VALUE"""),"")</f>
        <v/>
      </c>
    </row>
    <row r="454">
      <c r="A454" s="58"/>
      <c r="E454" s="78"/>
      <c r="G454" s="78"/>
      <c r="I454" s="80"/>
      <c r="K454" s="59"/>
      <c r="N454" s="71" t="str">
        <f>IFERROR(__xludf.DUMMYFUNCTION("""COMPUTED_VALUE"""),"")</f>
        <v/>
      </c>
      <c r="O454" s="71" t="str">
        <f>IFERROR(__xludf.DUMMYFUNCTION("""COMPUTED_VALUE"""),"")</f>
        <v/>
      </c>
      <c r="P454" s="71" t="str">
        <f>IFERROR(__xludf.DUMMYFUNCTION("""COMPUTED_VALUE"""),"")</f>
        <v/>
      </c>
    </row>
    <row r="455">
      <c r="A455" s="58"/>
      <c r="E455" s="78"/>
      <c r="G455" s="78"/>
      <c r="I455" s="80"/>
      <c r="K455" s="59"/>
      <c r="N455" s="71" t="str">
        <f>IFERROR(__xludf.DUMMYFUNCTION("""COMPUTED_VALUE"""),"")</f>
        <v/>
      </c>
      <c r="O455" s="71" t="str">
        <f>IFERROR(__xludf.DUMMYFUNCTION("""COMPUTED_VALUE"""),"")</f>
        <v/>
      </c>
      <c r="P455" s="71" t="str">
        <f>IFERROR(__xludf.DUMMYFUNCTION("""COMPUTED_VALUE"""),"")</f>
        <v/>
      </c>
    </row>
    <row r="456">
      <c r="A456" s="58"/>
      <c r="E456" s="78"/>
      <c r="G456" s="78"/>
      <c r="I456" s="80"/>
      <c r="K456" s="59"/>
      <c r="N456" s="71" t="str">
        <f>IFERROR(__xludf.DUMMYFUNCTION("""COMPUTED_VALUE"""),"")</f>
        <v/>
      </c>
      <c r="O456" s="71" t="str">
        <f>IFERROR(__xludf.DUMMYFUNCTION("""COMPUTED_VALUE"""),"")</f>
        <v/>
      </c>
      <c r="P456" s="71" t="str">
        <f>IFERROR(__xludf.DUMMYFUNCTION("""COMPUTED_VALUE"""),"")</f>
        <v/>
      </c>
    </row>
    <row r="457">
      <c r="A457" s="58"/>
      <c r="E457" s="78"/>
      <c r="G457" s="78"/>
      <c r="I457" s="80"/>
      <c r="K457" s="59"/>
      <c r="N457" s="71" t="str">
        <f>IFERROR(__xludf.DUMMYFUNCTION("""COMPUTED_VALUE"""),"")</f>
        <v/>
      </c>
      <c r="O457" s="71" t="str">
        <f>IFERROR(__xludf.DUMMYFUNCTION("""COMPUTED_VALUE"""),"")</f>
        <v/>
      </c>
      <c r="P457" s="71" t="str">
        <f>IFERROR(__xludf.DUMMYFUNCTION("""COMPUTED_VALUE"""),"")</f>
        <v/>
      </c>
    </row>
    <row r="458">
      <c r="A458" s="58"/>
      <c r="E458" s="78"/>
      <c r="G458" s="78"/>
      <c r="I458" s="80"/>
      <c r="K458" s="59"/>
      <c r="N458" s="71" t="str">
        <f>IFERROR(__xludf.DUMMYFUNCTION("""COMPUTED_VALUE"""),"")</f>
        <v/>
      </c>
      <c r="O458" s="71" t="str">
        <f>IFERROR(__xludf.DUMMYFUNCTION("""COMPUTED_VALUE"""),"")</f>
        <v/>
      </c>
      <c r="P458" s="71" t="str">
        <f>IFERROR(__xludf.DUMMYFUNCTION("""COMPUTED_VALUE"""),"")</f>
        <v/>
      </c>
    </row>
    <row r="459">
      <c r="A459" s="58"/>
      <c r="E459" s="78"/>
      <c r="G459" s="78"/>
      <c r="I459" s="80"/>
      <c r="K459" s="59"/>
      <c r="N459" s="71" t="str">
        <f>IFERROR(__xludf.DUMMYFUNCTION("""COMPUTED_VALUE"""),"")</f>
        <v/>
      </c>
      <c r="O459" s="71" t="str">
        <f>IFERROR(__xludf.DUMMYFUNCTION("""COMPUTED_VALUE"""),"")</f>
        <v/>
      </c>
      <c r="P459" s="71" t="str">
        <f>IFERROR(__xludf.DUMMYFUNCTION("""COMPUTED_VALUE"""),"")</f>
        <v/>
      </c>
    </row>
    <row r="460">
      <c r="A460" s="58"/>
      <c r="E460" s="78"/>
      <c r="G460" s="78"/>
      <c r="I460" s="80"/>
      <c r="K460" s="59"/>
      <c r="N460" s="71" t="str">
        <f>IFERROR(__xludf.DUMMYFUNCTION("""COMPUTED_VALUE"""),"")</f>
        <v/>
      </c>
      <c r="O460" s="71" t="str">
        <f>IFERROR(__xludf.DUMMYFUNCTION("""COMPUTED_VALUE"""),"")</f>
        <v/>
      </c>
      <c r="P460" s="71" t="str">
        <f>IFERROR(__xludf.DUMMYFUNCTION("""COMPUTED_VALUE"""),"")</f>
        <v/>
      </c>
    </row>
    <row r="461">
      <c r="A461" s="58"/>
      <c r="E461" s="78"/>
      <c r="G461" s="78"/>
      <c r="I461" s="80"/>
      <c r="K461" s="59"/>
      <c r="N461" s="71" t="str">
        <f>IFERROR(__xludf.DUMMYFUNCTION("""COMPUTED_VALUE"""),"")</f>
        <v/>
      </c>
      <c r="O461" s="71" t="str">
        <f>IFERROR(__xludf.DUMMYFUNCTION("""COMPUTED_VALUE"""),"")</f>
        <v/>
      </c>
      <c r="P461" s="71" t="str">
        <f>IFERROR(__xludf.DUMMYFUNCTION("""COMPUTED_VALUE"""),"")</f>
        <v/>
      </c>
    </row>
    <row r="462">
      <c r="A462" s="58"/>
      <c r="E462" s="78"/>
      <c r="G462" s="78"/>
      <c r="I462" s="80"/>
      <c r="K462" s="59"/>
      <c r="N462" s="71" t="str">
        <f>IFERROR(__xludf.DUMMYFUNCTION("""COMPUTED_VALUE"""),"")</f>
        <v/>
      </c>
      <c r="O462" s="71" t="str">
        <f>IFERROR(__xludf.DUMMYFUNCTION("""COMPUTED_VALUE"""),"")</f>
        <v/>
      </c>
      <c r="P462" s="71" t="str">
        <f>IFERROR(__xludf.DUMMYFUNCTION("""COMPUTED_VALUE"""),"")</f>
        <v/>
      </c>
    </row>
    <row r="463">
      <c r="A463" s="58"/>
      <c r="E463" s="78"/>
      <c r="G463" s="78"/>
      <c r="I463" s="80"/>
      <c r="K463" s="59"/>
      <c r="N463" s="71" t="str">
        <f>IFERROR(__xludf.DUMMYFUNCTION("""COMPUTED_VALUE"""),"")</f>
        <v/>
      </c>
      <c r="O463" s="71" t="str">
        <f>IFERROR(__xludf.DUMMYFUNCTION("""COMPUTED_VALUE"""),"")</f>
        <v/>
      </c>
      <c r="P463" s="71" t="str">
        <f>IFERROR(__xludf.DUMMYFUNCTION("""COMPUTED_VALUE"""),"")</f>
        <v/>
      </c>
    </row>
    <row r="464">
      <c r="A464" s="58"/>
      <c r="E464" s="78"/>
      <c r="G464" s="78"/>
      <c r="I464" s="80"/>
      <c r="K464" s="59"/>
      <c r="N464" s="71" t="str">
        <f>IFERROR(__xludf.DUMMYFUNCTION("""COMPUTED_VALUE"""),"")</f>
        <v/>
      </c>
      <c r="O464" s="71" t="str">
        <f>IFERROR(__xludf.DUMMYFUNCTION("""COMPUTED_VALUE"""),"")</f>
        <v/>
      </c>
      <c r="P464" s="71" t="str">
        <f>IFERROR(__xludf.DUMMYFUNCTION("""COMPUTED_VALUE"""),"")</f>
        <v/>
      </c>
    </row>
    <row r="465">
      <c r="A465" s="58"/>
      <c r="E465" s="78"/>
      <c r="G465" s="78"/>
      <c r="I465" s="80"/>
      <c r="K465" s="59"/>
      <c r="N465" s="71" t="str">
        <f>IFERROR(__xludf.DUMMYFUNCTION("""COMPUTED_VALUE"""),"")</f>
        <v/>
      </c>
      <c r="O465" s="71" t="str">
        <f>IFERROR(__xludf.DUMMYFUNCTION("""COMPUTED_VALUE"""),"")</f>
        <v/>
      </c>
      <c r="P465" s="71" t="str">
        <f>IFERROR(__xludf.DUMMYFUNCTION("""COMPUTED_VALUE"""),"")</f>
        <v/>
      </c>
    </row>
    <row r="466">
      <c r="A466" s="58"/>
      <c r="E466" s="78"/>
      <c r="G466" s="78"/>
      <c r="I466" s="80"/>
      <c r="K466" s="59"/>
      <c r="N466" s="71" t="str">
        <f>IFERROR(__xludf.DUMMYFUNCTION("""COMPUTED_VALUE"""),"")</f>
        <v/>
      </c>
      <c r="O466" s="71" t="str">
        <f>IFERROR(__xludf.DUMMYFUNCTION("""COMPUTED_VALUE"""),"")</f>
        <v/>
      </c>
      <c r="P466" s="71" t="str">
        <f>IFERROR(__xludf.DUMMYFUNCTION("""COMPUTED_VALUE"""),"")</f>
        <v/>
      </c>
    </row>
    <row r="467">
      <c r="A467" s="58"/>
      <c r="E467" s="78"/>
      <c r="G467" s="78"/>
      <c r="I467" s="80"/>
      <c r="K467" s="59"/>
      <c r="N467" s="71" t="str">
        <f>IFERROR(__xludf.DUMMYFUNCTION("""COMPUTED_VALUE"""),"")</f>
        <v/>
      </c>
      <c r="O467" s="71" t="str">
        <f>IFERROR(__xludf.DUMMYFUNCTION("""COMPUTED_VALUE"""),"")</f>
        <v/>
      </c>
      <c r="P467" s="71" t="str">
        <f>IFERROR(__xludf.DUMMYFUNCTION("""COMPUTED_VALUE"""),"")</f>
        <v/>
      </c>
    </row>
    <row r="468">
      <c r="A468" s="58"/>
      <c r="E468" s="78"/>
      <c r="G468" s="78"/>
      <c r="I468" s="80"/>
      <c r="K468" s="59"/>
      <c r="N468" s="71" t="str">
        <f>IFERROR(__xludf.DUMMYFUNCTION("""COMPUTED_VALUE"""),"")</f>
        <v/>
      </c>
      <c r="O468" s="71" t="str">
        <f>IFERROR(__xludf.DUMMYFUNCTION("""COMPUTED_VALUE"""),"")</f>
        <v/>
      </c>
      <c r="P468" s="71" t="str">
        <f>IFERROR(__xludf.DUMMYFUNCTION("""COMPUTED_VALUE"""),"")</f>
        <v/>
      </c>
    </row>
    <row r="469">
      <c r="A469" s="58"/>
      <c r="E469" s="78"/>
      <c r="G469" s="78"/>
      <c r="I469" s="80"/>
      <c r="K469" s="59"/>
      <c r="N469" s="71" t="str">
        <f>IFERROR(__xludf.DUMMYFUNCTION("""COMPUTED_VALUE"""),"")</f>
        <v/>
      </c>
      <c r="O469" s="71" t="str">
        <f>IFERROR(__xludf.DUMMYFUNCTION("""COMPUTED_VALUE"""),"")</f>
        <v/>
      </c>
      <c r="P469" s="71" t="str">
        <f>IFERROR(__xludf.DUMMYFUNCTION("""COMPUTED_VALUE"""),"")</f>
        <v/>
      </c>
    </row>
    <row r="470">
      <c r="A470" s="58"/>
      <c r="E470" s="78"/>
      <c r="G470" s="78"/>
      <c r="I470" s="80"/>
      <c r="K470" s="59"/>
      <c r="N470" s="71" t="str">
        <f>IFERROR(__xludf.DUMMYFUNCTION("""COMPUTED_VALUE"""),"")</f>
        <v/>
      </c>
      <c r="O470" s="71" t="str">
        <f>IFERROR(__xludf.DUMMYFUNCTION("""COMPUTED_VALUE"""),"")</f>
        <v/>
      </c>
      <c r="P470" s="71" t="str">
        <f>IFERROR(__xludf.DUMMYFUNCTION("""COMPUTED_VALUE"""),"")</f>
        <v/>
      </c>
    </row>
    <row r="471">
      <c r="A471" s="58"/>
      <c r="E471" s="78"/>
      <c r="G471" s="78"/>
      <c r="I471" s="80"/>
      <c r="K471" s="59"/>
      <c r="N471" s="71" t="str">
        <f>IFERROR(__xludf.DUMMYFUNCTION("""COMPUTED_VALUE"""),"")</f>
        <v/>
      </c>
      <c r="O471" s="71" t="str">
        <f>IFERROR(__xludf.DUMMYFUNCTION("""COMPUTED_VALUE"""),"")</f>
        <v/>
      </c>
      <c r="P471" s="71" t="str">
        <f>IFERROR(__xludf.DUMMYFUNCTION("""COMPUTED_VALUE"""),"")</f>
        <v/>
      </c>
    </row>
    <row r="472">
      <c r="A472" s="58"/>
      <c r="E472" s="78"/>
      <c r="G472" s="78"/>
      <c r="I472" s="80"/>
      <c r="K472" s="59"/>
      <c r="N472" s="71" t="str">
        <f>IFERROR(__xludf.DUMMYFUNCTION("""COMPUTED_VALUE"""),"")</f>
        <v/>
      </c>
      <c r="O472" s="71" t="str">
        <f>IFERROR(__xludf.DUMMYFUNCTION("""COMPUTED_VALUE"""),"")</f>
        <v/>
      </c>
      <c r="P472" s="71" t="str">
        <f>IFERROR(__xludf.DUMMYFUNCTION("""COMPUTED_VALUE"""),"")</f>
        <v/>
      </c>
    </row>
    <row r="473">
      <c r="A473" s="58"/>
      <c r="E473" s="78"/>
      <c r="G473" s="78"/>
      <c r="I473" s="80"/>
      <c r="K473" s="59"/>
      <c r="N473" s="71" t="str">
        <f>IFERROR(__xludf.DUMMYFUNCTION("""COMPUTED_VALUE"""),"")</f>
        <v/>
      </c>
      <c r="O473" s="71" t="str">
        <f>IFERROR(__xludf.DUMMYFUNCTION("""COMPUTED_VALUE"""),"")</f>
        <v/>
      </c>
      <c r="P473" s="71" t="str">
        <f>IFERROR(__xludf.DUMMYFUNCTION("""COMPUTED_VALUE"""),"")</f>
        <v/>
      </c>
    </row>
    <row r="474">
      <c r="A474" s="58"/>
      <c r="E474" s="78"/>
      <c r="G474" s="78"/>
      <c r="I474" s="80"/>
      <c r="K474" s="59"/>
      <c r="N474" s="71" t="str">
        <f>IFERROR(__xludf.DUMMYFUNCTION("""COMPUTED_VALUE"""),"")</f>
        <v/>
      </c>
      <c r="O474" s="71" t="str">
        <f>IFERROR(__xludf.DUMMYFUNCTION("""COMPUTED_VALUE"""),"")</f>
        <v/>
      </c>
      <c r="P474" s="71" t="str">
        <f>IFERROR(__xludf.DUMMYFUNCTION("""COMPUTED_VALUE"""),"")</f>
        <v/>
      </c>
    </row>
    <row r="475">
      <c r="A475" s="58"/>
      <c r="E475" s="78"/>
      <c r="G475" s="78"/>
      <c r="I475" s="80"/>
      <c r="K475" s="59"/>
      <c r="N475" s="71" t="str">
        <f>IFERROR(__xludf.DUMMYFUNCTION("""COMPUTED_VALUE"""),"")</f>
        <v/>
      </c>
      <c r="O475" s="71" t="str">
        <f>IFERROR(__xludf.DUMMYFUNCTION("""COMPUTED_VALUE"""),"")</f>
        <v/>
      </c>
      <c r="P475" s="71" t="str">
        <f>IFERROR(__xludf.DUMMYFUNCTION("""COMPUTED_VALUE"""),"")</f>
        <v/>
      </c>
    </row>
    <row r="476">
      <c r="A476" s="58"/>
      <c r="E476" s="78"/>
      <c r="G476" s="78"/>
      <c r="I476" s="80"/>
      <c r="K476" s="59"/>
      <c r="N476" s="71" t="str">
        <f>IFERROR(__xludf.DUMMYFUNCTION("""COMPUTED_VALUE"""),"")</f>
        <v/>
      </c>
      <c r="O476" s="71" t="str">
        <f>IFERROR(__xludf.DUMMYFUNCTION("""COMPUTED_VALUE"""),"")</f>
        <v/>
      </c>
      <c r="P476" s="71" t="str">
        <f>IFERROR(__xludf.DUMMYFUNCTION("""COMPUTED_VALUE"""),"")</f>
        <v/>
      </c>
    </row>
    <row r="477">
      <c r="A477" s="58"/>
      <c r="E477" s="78"/>
      <c r="G477" s="78"/>
      <c r="I477" s="80"/>
      <c r="K477" s="59"/>
      <c r="N477" s="71" t="str">
        <f>IFERROR(__xludf.DUMMYFUNCTION("""COMPUTED_VALUE"""),"")</f>
        <v/>
      </c>
      <c r="O477" s="71" t="str">
        <f>IFERROR(__xludf.DUMMYFUNCTION("""COMPUTED_VALUE"""),"")</f>
        <v/>
      </c>
      <c r="P477" s="71" t="str">
        <f>IFERROR(__xludf.DUMMYFUNCTION("""COMPUTED_VALUE"""),"")</f>
        <v/>
      </c>
    </row>
    <row r="478">
      <c r="A478" s="58"/>
      <c r="E478" s="78"/>
      <c r="G478" s="78"/>
      <c r="I478" s="80"/>
      <c r="K478" s="59"/>
      <c r="N478" s="71" t="str">
        <f>IFERROR(__xludf.DUMMYFUNCTION("""COMPUTED_VALUE"""),"")</f>
        <v/>
      </c>
      <c r="O478" s="71" t="str">
        <f>IFERROR(__xludf.DUMMYFUNCTION("""COMPUTED_VALUE"""),"")</f>
        <v/>
      </c>
      <c r="P478" s="71" t="str">
        <f>IFERROR(__xludf.DUMMYFUNCTION("""COMPUTED_VALUE"""),"")</f>
        <v/>
      </c>
    </row>
    <row r="479">
      <c r="A479" s="58"/>
      <c r="E479" s="78"/>
      <c r="G479" s="78"/>
      <c r="I479" s="80"/>
      <c r="K479" s="59"/>
      <c r="N479" s="71" t="str">
        <f>IFERROR(__xludf.DUMMYFUNCTION("""COMPUTED_VALUE"""),"")</f>
        <v/>
      </c>
      <c r="O479" s="71" t="str">
        <f>IFERROR(__xludf.DUMMYFUNCTION("""COMPUTED_VALUE"""),"")</f>
        <v/>
      </c>
      <c r="P479" s="71" t="str">
        <f>IFERROR(__xludf.DUMMYFUNCTION("""COMPUTED_VALUE"""),"")</f>
        <v/>
      </c>
    </row>
    <row r="480">
      <c r="A480" s="58"/>
      <c r="E480" s="78"/>
      <c r="G480" s="78"/>
      <c r="I480" s="80"/>
      <c r="K480" s="59"/>
      <c r="N480" s="71" t="str">
        <f>IFERROR(__xludf.DUMMYFUNCTION("""COMPUTED_VALUE"""),"")</f>
        <v/>
      </c>
      <c r="O480" s="71" t="str">
        <f>IFERROR(__xludf.DUMMYFUNCTION("""COMPUTED_VALUE"""),"")</f>
        <v/>
      </c>
      <c r="P480" s="71" t="str">
        <f>IFERROR(__xludf.DUMMYFUNCTION("""COMPUTED_VALUE"""),"")</f>
        <v/>
      </c>
    </row>
    <row r="481">
      <c r="A481" s="58"/>
      <c r="E481" s="78"/>
      <c r="G481" s="78"/>
      <c r="I481" s="80"/>
      <c r="K481" s="59"/>
      <c r="N481" s="71" t="str">
        <f>IFERROR(__xludf.DUMMYFUNCTION("""COMPUTED_VALUE"""),"")</f>
        <v/>
      </c>
      <c r="O481" s="71" t="str">
        <f>IFERROR(__xludf.DUMMYFUNCTION("""COMPUTED_VALUE"""),"")</f>
        <v/>
      </c>
      <c r="P481" s="71" t="str">
        <f>IFERROR(__xludf.DUMMYFUNCTION("""COMPUTED_VALUE"""),"")</f>
        <v/>
      </c>
    </row>
    <row r="482">
      <c r="A482" s="58"/>
      <c r="E482" s="78"/>
      <c r="G482" s="78"/>
      <c r="I482" s="80"/>
      <c r="K482" s="59"/>
      <c r="N482" s="71" t="str">
        <f>IFERROR(__xludf.DUMMYFUNCTION("""COMPUTED_VALUE"""),"")</f>
        <v/>
      </c>
      <c r="O482" s="71" t="str">
        <f>IFERROR(__xludf.DUMMYFUNCTION("""COMPUTED_VALUE"""),"")</f>
        <v/>
      </c>
      <c r="P482" s="71" t="str">
        <f>IFERROR(__xludf.DUMMYFUNCTION("""COMPUTED_VALUE"""),"")</f>
        <v/>
      </c>
    </row>
    <row r="483">
      <c r="A483" s="58"/>
      <c r="E483" s="78"/>
      <c r="G483" s="78"/>
      <c r="I483" s="80"/>
      <c r="K483" s="59"/>
      <c r="N483" s="71" t="str">
        <f>IFERROR(__xludf.DUMMYFUNCTION("""COMPUTED_VALUE"""),"")</f>
        <v/>
      </c>
      <c r="O483" s="71" t="str">
        <f>IFERROR(__xludf.DUMMYFUNCTION("""COMPUTED_VALUE"""),"")</f>
        <v/>
      </c>
      <c r="P483" s="71" t="str">
        <f>IFERROR(__xludf.DUMMYFUNCTION("""COMPUTED_VALUE"""),"")</f>
        <v/>
      </c>
    </row>
    <row r="484">
      <c r="A484" s="58"/>
      <c r="E484" s="78"/>
      <c r="G484" s="78"/>
      <c r="I484" s="80"/>
      <c r="K484" s="59"/>
      <c r="N484" s="71" t="str">
        <f>IFERROR(__xludf.DUMMYFUNCTION("""COMPUTED_VALUE"""),"")</f>
        <v/>
      </c>
      <c r="O484" s="71" t="str">
        <f>IFERROR(__xludf.DUMMYFUNCTION("""COMPUTED_VALUE"""),"")</f>
        <v/>
      </c>
      <c r="P484" s="71" t="str">
        <f>IFERROR(__xludf.DUMMYFUNCTION("""COMPUTED_VALUE"""),"")</f>
        <v/>
      </c>
    </row>
    <row r="485">
      <c r="A485" s="58"/>
      <c r="E485" s="78"/>
      <c r="G485" s="78"/>
      <c r="I485" s="80"/>
      <c r="K485" s="59"/>
      <c r="N485" s="71" t="str">
        <f>IFERROR(__xludf.DUMMYFUNCTION("""COMPUTED_VALUE"""),"")</f>
        <v/>
      </c>
      <c r="O485" s="71" t="str">
        <f>IFERROR(__xludf.DUMMYFUNCTION("""COMPUTED_VALUE"""),"")</f>
        <v/>
      </c>
      <c r="P485" s="71" t="str">
        <f>IFERROR(__xludf.DUMMYFUNCTION("""COMPUTED_VALUE"""),"")</f>
        <v/>
      </c>
    </row>
    <row r="486">
      <c r="A486" s="58"/>
      <c r="E486" s="78"/>
      <c r="G486" s="78"/>
      <c r="I486" s="80"/>
      <c r="K486" s="59"/>
      <c r="N486" s="71" t="str">
        <f>IFERROR(__xludf.DUMMYFUNCTION("""COMPUTED_VALUE"""),"")</f>
        <v/>
      </c>
      <c r="O486" s="71" t="str">
        <f>IFERROR(__xludf.DUMMYFUNCTION("""COMPUTED_VALUE"""),"")</f>
        <v/>
      </c>
      <c r="P486" s="71" t="str">
        <f>IFERROR(__xludf.DUMMYFUNCTION("""COMPUTED_VALUE"""),"")</f>
        <v/>
      </c>
    </row>
    <row r="487">
      <c r="A487" s="58"/>
      <c r="E487" s="78"/>
      <c r="G487" s="78"/>
      <c r="I487" s="80"/>
      <c r="K487" s="59"/>
      <c r="N487" s="71" t="str">
        <f>IFERROR(__xludf.DUMMYFUNCTION("""COMPUTED_VALUE"""),"")</f>
        <v/>
      </c>
      <c r="O487" s="71" t="str">
        <f>IFERROR(__xludf.DUMMYFUNCTION("""COMPUTED_VALUE"""),"")</f>
        <v/>
      </c>
      <c r="P487" s="71" t="str">
        <f>IFERROR(__xludf.DUMMYFUNCTION("""COMPUTED_VALUE"""),"")</f>
        <v/>
      </c>
    </row>
    <row r="488">
      <c r="A488" s="58"/>
      <c r="E488" s="78"/>
      <c r="G488" s="78"/>
      <c r="I488" s="80"/>
      <c r="K488" s="59"/>
      <c r="N488" s="71" t="str">
        <f>IFERROR(__xludf.DUMMYFUNCTION("""COMPUTED_VALUE"""),"")</f>
        <v/>
      </c>
      <c r="O488" s="71" t="str">
        <f>IFERROR(__xludf.DUMMYFUNCTION("""COMPUTED_VALUE"""),"")</f>
        <v/>
      </c>
      <c r="P488" s="71" t="str">
        <f>IFERROR(__xludf.DUMMYFUNCTION("""COMPUTED_VALUE"""),"")</f>
        <v/>
      </c>
    </row>
    <row r="489">
      <c r="A489" s="58"/>
      <c r="E489" s="78"/>
      <c r="G489" s="78"/>
      <c r="I489" s="80"/>
      <c r="K489" s="59"/>
      <c r="N489" s="71" t="str">
        <f>IFERROR(__xludf.DUMMYFUNCTION("""COMPUTED_VALUE"""),"")</f>
        <v/>
      </c>
      <c r="O489" s="71" t="str">
        <f>IFERROR(__xludf.DUMMYFUNCTION("""COMPUTED_VALUE"""),"")</f>
        <v/>
      </c>
      <c r="P489" s="71" t="str">
        <f>IFERROR(__xludf.DUMMYFUNCTION("""COMPUTED_VALUE"""),"")</f>
        <v/>
      </c>
    </row>
    <row r="490">
      <c r="A490" s="58"/>
      <c r="E490" s="78"/>
      <c r="G490" s="78"/>
      <c r="I490" s="80"/>
      <c r="K490" s="59"/>
      <c r="N490" s="71" t="str">
        <f>IFERROR(__xludf.DUMMYFUNCTION("""COMPUTED_VALUE"""),"")</f>
        <v/>
      </c>
      <c r="O490" s="71" t="str">
        <f>IFERROR(__xludf.DUMMYFUNCTION("""COMPUTED_VALUE"""),"")</f>
        <v/>
      </c>
      <c r="P490" s="71" t="str">
        <f>IFERROR(__xludf.DUMMYFUNCTION("""COMPUTED_VALUE"""),"")</f>
        <v/>
      </c>
    </row>
    <row r="491">
      <c r="A491" s="58"/>
      <c r="E491" s="78"/>
      <c r="G491" s="78"/>
      <c r="I491" s="80"/>
      <c r="K491" s="59"/>
      <c r="N491" s="71" t="str">
        <f>IFERROR(__xludf.DUMMYFUNCTION("""COMPUTED_VALUE"""),"")</f>
        <v/>
      </c>
      <c r="O491" s="71" t="str">
        <f>IFERROR(__xludf.DUMMYFUNCTION("""COMPUTED_VALUE"""),"")</f>
        <v/>
      </c>
      <c r="P491" s="71" t="str">
        <f>IFERROR(__xludf.DUMMYFUNCTION("""COMPUTED_VALUE"""),"")</f>
        <v/>
      </c>
    </row>
    <row r="492">
      <c r="A492" s="58"/>
      <c r="E492" s="78"/>
      <c r="G492" s="78"/>
      <c r="I492" s="80"/>
      <c r="K492" s="59"/>
      <c r="N492" s="71" t="str">
        <f>IFERROR(__xludf.DUMMYFUNCTION("""COMPUTED_VALUE"""),"")</f>
        <v/>
      </c>
      <c r="O492" s="71" t="str">
        <f>IFERROR(__xludf.DUMMYFUNCTION("""COMPUTED_VALUE"""),"")</f>
        <v/>
      </c>
      <c r="P492" s="71" t="str">
        <f>IFERROR(__xludf.DUMMYFUNCTION("""COMPUTED_VALUE"""),"")</f>
        <v/>
      </c>
    </row>
    <row r="493">
      <c r="A493" s="58"/>
      <c r="E493" s="78"/>
      <c r="G493" s="78"/>
      <c r="I493" s="80"/>
      <c r="K493" s="59"/>
      <c r="N493" s="71" t="str">
        <f>IFERROR(__xludf.DUMMYFUNCTION("""COMPUTED_VALUE"""),"")</f>
        <v/>
      </c>
      <c r="O493" s="71" t="str">
        <f>IFERROR(__xludf.DUMMYFUNCTION("""COMPUTED_VALUE"""),"")</f>
        <v/>
      </c>
      <c r="P493" s="71" t="str">
        <f>IFERROR(__xludf.DUMMYFUNCTION("""COMPUTED_VALUE"""),"")</f>
        <v/>
      </c>
    </row>
    <row r="494">
      <c r="A494" s="58"/>
      <c r="E494" s="78"/>
      <c r="G494" s="78"/>
      <c r="I494" s="80"/>
      <c r="K494" s="59"/>
      <c r="N494" s="71" t="str">
        <f>IFERROR(__xludf.DUMMYFUNCTION("""COMPUTED_VALUE"""),"")</f>
        <v/>
      </c>
      <c r="O494" s="71" t="str">
        <f>IFERROR(__xludf.DUMMYFUNCTION("""COMPUTED_VALUE"""),"")</f>
        <v/>
      </c>
      <c r="P494" s="71" t="str">
        <f>IFERROR(__xludf.DUMMYFUNCTION("""COMPUTED_VALUE"""),"")</f>
        <v/>
      </c>
    </row>
    <row r="495">
      <c r="A495" s="58"/>
      <c r="E495" s="78"/>
      <c r="G495" s="78"/>
      <c r="I495" s="80"/>
      <c r="K495" s="59"/>
      <c r="N495" s="71" t="str">
        <f>IFERROR(__xludf.DUMMYFUNCTION("""COMPUTED_VALUE"""),"")</f>
        <v/>
      </c>
      <c r="O495" s="71" t="str">
        <f>IFERROR(__xludf.DUMMYFUNCTION("""COMPUTED_VALUE"""),"")</f>
        <v/>
      </c>
      <c r="P495" s="71" t="str">
        <f>IFERROR(__xludf.DUMMYFUNCTION("""COMPUTED_VALUE"""),"")</f>
        <v/>
      </c>
    </row>
    <row r="496">
      <c r="A496" s="58"/>
      <c r="E496" s="78"/>
      <c r="G496" s="78"/>
      <c r="I496" s="80"/>
      <c r="K496" s="59"/>
      <c r="N496" s="71" t="str">
        <f>IFERROR(__xludf.DUMMYFUNCTION("""COMPUTED_VALUE"""),"")</f>
        <v/>
      </c>
      <c r="O496" s="71" t="str">
        <f>IFERROR(__xludf.DUMMYFUNCTION("""COMPUTED_VALUE"""),"")</f>
        <v/>
      </c>
      <c r="P496" s="71" t="str">
        <f>IFERROR(__xludf.DUMMYFUNCTION("""COMPUTED_VALUE"""),"")</f>
        <v/>
      </c>
    </row>
    <row r="497">
      <c r="A497" s="58"/>
      <c r="E497" s="78"/>
      <c r="G497" s="78"/>
      <c r="I497" s="80"/>
      <c r="K497" s="59"/>
      <c r="N497" s="71" t="str">
        <f>IFERROR(__xludf.DUMMYFUNCTION("""COMPUTED_VALUE"""),"")</f>
        <v/>
      </c>
      <c r="O497" s="71" t="str">
        <f>IFERROR(__xludf.DUMMYFUNCTION("""COMPUTED_VALUE"""),"")</f>
        <v/>
      </c>
      <c r="P497" s="71" t="str">
        <f>IFERROR(__xludf.DUMMYFUNCTION("""COMPUTED_VALUE"""),"")</f>
        <v/>
      </c>
    </row>
    <row r="498">
      <c r="A498" s="58"/>
      <c r="E498" s="78"/>
      <c r="G498" s="78"/>
      <c r="I498" s="80"/>
      <c r="K498" s="59"/>
      <c r="N498" s="71" t="str">
        <f>IFERROR(__xludf.DUMMYFUNCTION("""COMPUTED_VALUE"""),"")</f>
        <v/>
      </c>
      <c r="O498" s="71" t="str">
        <f>IFERROR(__xludf.DUMMYFUNCTION("""COMPUTED_VALUE"""),"")</f>
        <v/>
      </c>
      <c r="P498" s="71" t="str">
        <f>IFERROR(__xludf.DUMMYFUNCTION("""COMPUTED_VALUE"""),"")</f>
        <v/>
      </c>
    </row>
    <row r="499">
      <c r="A499" s="58"/>
      <c r="E499" s="78"/>
      <c r="G499" s="78"/>
      <c r="I499" s="80"/>
      <c r="K499" s="59"/>
      <c r="N499" s="71" t="str">
        <f>IFERROR(__xludf.DUMMYFUNCTION("""COMPUTED_VALUE"""),"")</f>
        <v/>
      </c>
      <c r="O499" s="71" t="str">
        <f>IFERROR(__xludf.DUMMYFUNCTION("""COMPUTED_VALUE"""),"")</f>
        <v/>
      </c>
      <c r="P499" s="71" t="str">
        <f>IFERROR(__xludf.DUMMYFUNCTION("""COMPUTED_VALUE"""),"")</f>
        <v/>
      </c>
    </row>
    <row r="500">
      <c r="A500" s="58"/>
      <c r="E500" s="78"/>
      <c r="G500" s="78"/>
      <c r="I500" s="80"/>
      <c r="K500" s="59"/>
      <c r="N500" s="71" t="str">
        <f>IFERROR(__xludf.DUMMYFUNCTION("""COMPUTED_VALUE"""),"")</f>
        <v/>
      </c>
      <c r="O500" s="71" t="str">
        <f>IFERROR(__xludf.DUMMYFUNCTION("""COMPUTED_VALUE"""),"")</f>
        <v/>
      </c>
      <c r="P500" s="71" t="str">
        <f>IFERROR(__xludf.DUMMYFUNCTION("""COMPUTED_VALUE"""),"")</f>
        <v/>
      </c>
    </row>
    <row r="501">
      <c r="A501" s="58"/>
      <c r="E501" s="78"/>
      <c r="G501" s="78"/>
      <c r="I501" s="80"/>
      <c r="K501" s="59"/>
      <c r="N501" s="71" t="str">
        <f>IFERROR(__xludf.DUMMYFUNCTION("""COMPUTED_VALUE"""),"")</f>
        <v/>
      </c>
      <c r="O501" s="71" t="str">
        <f>IFERROR(__xludf.DUMMYFUNCTION("""COMPUTED_VALUE"""),"")</f>
        <v/>
      </c>
      <c r="P501" s="71" t="str">
        <f>IFERROR(__xludf.DUMMYFUNCTION("""COMPUTED_VALUE"""),"")</f>
        <v/>
      </c>
    </row>
    <row r="502">
      <c r="A502" s="58"/>
      <c r="E502" s="78"/>
      <c r="G502" s="78"/>
      <c r="I502" s="80"/>
      <c r="K502" s="59"/>
      <c r="N502" s="71" t="str">
        <f>IFERROR(__xludf.DUMMYFUNCTION("""COMPUTED_VALUE"""),"")</f>
        <v/>
      </c>
      <c r="O502" s="71" t="str">
        <f>IFERROR(__xludf.DUMMYFUNCTION("""COMPUTED_VALUE"""),"")</f>
        <v/>
      </c>
      <c r="P502" s="71" t="str">
        <f>IFERROR(__xludf.DUMMYFUNCTION("""COMPUTED_VALUE"""),"")</f>
        <v/>
      </c>
    </row>
    <row r="503">
      <c r="A503" s="58"/>
      <c r="E503" s="78"/>
      <c r="G503" s="78"/>
      <c r="I503" s="80"/>
      <c r="K503" s="59"/>
      <c r="N503" s="71" t="str">
        <f>IFERROR(__xludf.DUMMYFUNCTION("""COMPUTED_VALUE"""),"")</f>
        <v/>
      </c>
      <c r="O503" s="71" t="str">
        <f>IFERROR(__xludf.DUMMYFUNCTION("""COMPUTED_VALUE"""),"")</f>
        <v/>
      </c>
      <c r="P503" s="71" t="str">
        <f>IFERROR(__xludf.DUMMYFUNCTION("""COMPUTED_VALUE"""),"")</f>
        <v/>
      </c>
    </row>
    <row r="504">
      <c r="A504" s="58"/>
      <c r="E504" s="78"/>
      <c r="G504" s="78"/>
      <c r="I504" s="80"/>
      <c r="K504" s="59"/>
      <c r="N504" s="71" t="str">
        <f>IFERROR(__xludf.DUMMYFUNCTION("""COMPUTED_VALUE"""),"")</f>
        <v/>
      </c>
      <c r="O504" s="71" t="str">
        <f>IFERROR(__xludf.DUMMYFUNCTION("""COMPUTED_VALUE"""),"")</f>
        <v/>
      </c>
      <c r="P504" s="71" t="str">
        <f>IFERROR(__xludf.DUMMYFUNCTION("""COMPUTED_VALUE"""),"")</f>
        <v/>
      </c>
    </row>
    <row r="505">
      <c r="A505" s="58"/>
      <c r="E505" s="78"/>
      <c r="G505" s="78"/>
      <c r="I505" s="80"/>
      <c r="K505" s="59"/>
      <c r="N505" s="71" t="str">
        <f>IFERROR(__xludf.DUMMYFUNCTION("""COMPUTED_VALUE"""),"")</f>
        <v/>
      </c>
      <c r="O505" s="71" t="str">
        <f>IFERROR(__xludf.DUMMYFUNCTION("""COMPUTED_VALUE"""),"")</f>
        <v/>
      </c>
      <c r="P505" s="71" t="str">
        <f>IFERROR(__xludf.DUMMYFUNCTION("""COMPUTED_VALUE"""),"")</f>
        <v/>
      </c>
    </row>
    <row r="506">
      <c r="A506" s="58"/>
      <c r="E506" s="78"/>
      <c r="G506" s="78"/>
      <c r="I506" s="80"/>
      <c r="K506" s="59"/>
      <c r="N506" s="71" t="str">
        <f>IFERROR(__xludf.DUMMYFUNCTION("""COMPUTED_VALUE"""),"")</f>
        <v/>
      </c>
      <c r="O506" s="71" t="str">
        <f>IFERROR(__xludf.DUMMYFUNCTION("""COMPUTED_VALUE"""),"")</f>
        <v/>
      </c>
      <c r="P506" s="71" t="str">
        <f>IFERROR(__xludf.DUMMYFUNCTION("""COMPUTED_VALUE"""),"")</f>
        <v/>
      </c>
    </row>
    <row r="507">
      <c r="A507" s="58"/>
      <c r="E507" s="78"/>
      <c r="G507" s="78"/>
      <c r="I507" s="80"/>
      <c r="K507" s="59"/>
      <c r="N507" s="71" t="str">
        <f>IFERROR(__xludf.DUMMYFUNCTION("""COMPUTED_VALUE"""),"")</f>
        <v/>
      </c>
      <c r="O507" s="71" t="str">
        <f>IFERROR(__xludf.DUMMYFUNCTION("""COMPUTED_VALUE"""),"")</f>
        <v/>
      </c>
      <c r="P507" s="71" t="str">
        <f>IFERROR(__xludf.DUMMYFUNCTION("""COMPUTED_VALUE"""),"")</f>
        <v/>
      </c>
    </row>
    <row r="508">
      <c r="A508" s="58"/>
      <c r="E508" s="78"/>
      <c r="G508" s="78"/>
      <c r="I508" s="80"/>
      <c r="K508" s="59"/>
      <c r="N508" s="71" t="str">
        <f>IFERROR(__xludf.DUMMYFUNCTION("""COMPUTED_VALUE"""),"")</f>
        <v/>
      </c>
      <c r="O508" s="71" t="str">
        <f>IFERROR(__xludf.DUMMYFUNCTION("""COMPUTED_VALUE"""),"")</f>
        <v/>
      </c>
      <c r="P508" s="71" t="str">
        <f>IFERROR(__xludf.DUMMYFUNCTION("""COMPUTED_VALUE"""),"")</f>
        <v/>
      </c>
    </row>
    <row r="509">
      <c r="A509" s="58"/>
      <c r="E509" s="78"/>
      <c r="G509" s="78"/>
      <c r="I509" s="80"/>
      <c r="K509" s="59"/>
      <c r="N509" s="71" t="str">
        <f>IFERROR(__xludf.DUMMYFUNCTION("""COMPUTED_VALUE"""),"")</f>
        <v/>
      </c>
      <c r="O509" s="71" t="str">
        <f>IFERROR(__xludf.DUMMYFUNCTION("""COMPUTED_VALUE"""),"")</f>
        <v/>
      </c>
      <c r="P509" s="71" t="str">
        <f>IFERROR(__xludf.DUMMYFUNCTION("""COMPUTED_VALUE"""),"")</f>
        <v/>
      </c>
    </row>
    <row r="510">
      <c r="A510" s="58"/>
      <c r="E510" s="78"/>
      <c r="G510" s="78"/>
      <c r="I510" s="80"/>
      <c r="K510" s="59"/>
      <c r="N510" s="71" t="str">
        <f>IFERROR(__xludf.DUMMYFUNCTION("""COMPUTED_VALUE"""),"")</f>
        <v/>
      </c>
      <c r="O510" s="71" t="str">
        <f>IFERROR(__xludf.DUMMYFUNCTION("""COMPUTED_VALUE"""),"")</f>
        <v/>
      </c>
      <c r="P510" s="71" t="str">
        <f>IFERROR(__xludf.DUMMYFUNCTION("""COMPUTED_VALUE"""),"")</f>
        <v/>
      </c>
    </row>
    <row r="511">
      <c r="A511" s="58"/>
      <c r="E511" s="78"/>
      <c r="G511" s="78"/>
      <c r="I511" s="80"/>
      <c r="K511" s="59"/>
      <c r="N511" s="71" t="str">
        <f>IFERROR(__xludf.DUMMYFUNCTION("""COMPUTED_VALUE"""),"")</f>
        <v/>
      </c>
      <c r="O511" s="71" t="str">
        <f>IFERROR(__xludf.DUMMYFUNCTION("""COMPUTED_VALUE"""),"")</f>
        <v/>
      </c>
      <c r="P511" s="71" t="str">
        <f>IFERROR(__xludf.DUMMYFUNCTION("""COMPUTED_VALUE"""),"")</f>
        <v/>
      </c>
    </row>
    <row r="512">
      <c r="A512" s="58"/>
      <c r="E512" s="78"/>
      <c r="G512" s="78"/>
      <c r="I512" s="80"/>
      <c r="K512" s="59"/>
      <c r="N512" s="71" t="str">
        <f>IFERROR(__xludf.DUMMYFUNCTION("""COMPUTED_VALUE"""),"")</f>
        <v/>
      </c>
      <c r="O512" s="71" t="str">
        <f>IFERROR(__xludf.DUMMYFUNCTION("""COMPUTED_VALUE"""),"")</f>
        <v/>
      </c>
      <c r="P512" s="71" t="str">
        <f>IFERROR(__xludf.DUMMYFUNCTION("""COMPUTED_VALUE"""),"")</f>
        <v/>
      </c>
    </row>
    <row r="513">
      <c r="A513" s="58"/>
      <c r="E513" s="78"/>
      <c r="G513" s="78"/>
      <c r="I513" s="80"/>
      <c r="K513" s="59"/>
      <c r="N513" s="71" t="str">
        <f>IFERROR(__xludf.DUMMYFUNCTION("""COMPUTED_VALUE"""),"")</f>
        <v/>
      </c>
      <c r="O513" s="71" t="str">
        <f>IFERROR(__xludf.DUMMYFUNCTION("""COMPUTED_VALUE"""),"")</f>
        <v/>
      </c>
      <c r="P513" s="71" t="str">
        <f>IFERROR(__xludf.DUMMYFUNCTION("""COMPUTED_VALUE"""),"")</f>
        <v/>
      </c>
    </row>
    <row r="514">
      <c r="A514" s="58"/>
      <c r="E514" s="78"/>
      <c r="G514" s="78"/>
      <c r="I514" s="80"/>
      <c r="K514" s="59"/>
      <c r="N514" s="71" t="str">
        <f>IFERROR(__xludf.DUMMYFUNCTION("""COMPUTED_VALUE"""),"")</f>
        <v/>
      </c>
      <c r="O514" s="71" t="str">
        <f>IFERROR(__xludf.DUMMYFUNCTION("""COMPUTED_VALUE"""),"")</f>
        <v/>
      </c>
      <c r="P514" s="71" t="str">
        <f>IFERROR(__xludf.DUMMYFUNCTION("""COMPUTED_VALUE"""),"")</f>
        <v/>
      </c>
    </row>
    <row r="515">
      <c r="A515" s="58"/>
      <c r="E515" s="78"/>
      <c r="G515" s="78"/>
      <c r="I515" s="80"/>
      <c r="K515" s="59"/>
      <c r="N515" s="71" t="str">
        <f>IFERROR(__xludf.DUMMYFUNCTION("""COMPUTED_VALUE"""),"")</f>
        <v/>
      </c>
      <c r="O515" s="71" t="str">
        <f>IFERROR(__xludf.DUMMYFUNCTION("""COMPUTED_VALUE"""),"")</f>
        <v/>
      </c>
      <c r="P515" s="71" t="str">
        <f>IFERROR(__xludf.DUMMYFUNCTION("""COMPUTED_VALUE"""),"")</f>
        <v/>
      </c>
    </row>
    <row r="516">
      <c r="A516" s="58"/>
      <c r="E516" s="78"/>
      <c r="G516" s="78"/>
      <c r="I516" s="80"/>
      <c r="K516" s="59"/>
      <c r="N516" s="71" t="str">
        <f>IFERROR(__xludf.DUMMYFUNCTION("""COMPUTED_VALUE"""),"")</f>
        <v/>
      </c>
      <c r="O516" s="71" t="str">
        <f>IFERROR(__xludf.DUMMYFUNCTION("""COMPUTED_VALUE"""),"")</f>
        <v/>
      </c>
      <c r="P516" s="71" t="str">
        <f>IFERROR(__xludf.DUMMYFUNCTION("""COMPUTED_VALUE"""),"")</f>
        <v/>
      </c>
    </row>
    <row r="517">
      <c r="A517" s="58"/>
      <c r="E517" s="78"/>
      <c r="G517" s="78"/>
      <c r="I517" s="80"/>
      <c r="K517" s="59"/>
      <c r="N517" s="71" t="str">
        <f>IFERROR(__xludf.DUMMYFUNCTION("""COMPUTED_VALUE"""),"")</f>
        <v/>
      </c>
      <c r="O517" s="71" t="str">
        <f>IFERROR(__xludf.DUMMYFUNCTION("""COMPUTED_VALUE"""),"")</f>
        <v/>
      </c>
      <c r="P517" s="71" t="str">
        <f>IFERROR(__xludf.DUMMYFUNCTION("""COMPUTED_VALUE"""),"")</f>
        <v/>
      </c>
    </row>
    <row r="518">
      <c r="A518" s="58"/>
      <c r="E518" s="78"/>
      <c r="G518" s="78"/>
      <c r="I518" s="80"/>
      <c r="K518" s="59"/>
      <c r="N518" s="71" t="str">
        <f>IFERROR(__xludf.DUMMYFUNCTION("""COMPUTED_VALUE"""),"")</f>
        <v/>
      </c>
      <c r="O518" s="71" t="str">
        <f>IFERROR(__xludf.DUMMYFUNCTION("""COMPUTED_VALUE"""),"")</f>
        <v/>
      </c>
      <c r="P518" s="71" t="str">
        <f>IFERROR(__xludf.DUMMYFUNCTION("""COMPUTED_VALUE"""),"")</f>
        <v/>
      </c>
    </row>
    <row r="519">
      <c r="A519" s="58"/>
      <c r="E519" s="78"/>
      <c r="G519" s="78"/>
      <c r="I519" s="80"/>
      <c r="K519" s="59"/>
      <c r="N519" s="71" t="str">
        <f>IFERROR(__xludf.DUMMYFUNCTION("""COMPUTED_VALUE"""),"")</f>
        <v/>
      </c>
      <c r="O519" s="71" t="str">
        <f>IFERROR(__xludf.DUMMYFUNCTION("""COMPUTED_VALUE"""),"")</f>
        <v/>
      </c>
      <c r="P519" s="71" t="str">
        <f>IFERROR(__xludf.DUMMYFUNCTION("""COMPUTED_VALUE"""),"")</f>
        <v/>
      </c>
    </row>
    <row r="520">
      <c r="A520" s="58"/>
      <c r="E520" s="78"/>
      <c r="G520" s="78"/>
      <c r="I520" s="80"/>
      <c r="K520" s="59"/>
      <c r="N520" s="71" t="str">
        <f>IFERROR(__xludf.DUMMYFUNCTION("""COMPUTED_VALUE"""),"")</f>
        <v/>
      </c>
      <c r="O520" s="71" t="str">
        <f>IFERROR(__xludf.DUMMYFUNCTION("""COMPUTED_VALUE"""),"")</f>
        <v/>
      </c>
      <c r="P520" s="71" t="str">
        <f>IFERROR(__xludf.DUMMYFUNCTION("""COMPUTED_VALUE"""),"")</f>
        <v/>
      </c>
    </row>
    <row r="521">
      <c r="A521" s="58"/>
      <c r="E521" s="78"/>
      <c r="G521" s="78"/>
      <c r="I521" s="80"/>
      <c r="K521" s="59"/>
      <c r="N521" s="71" t="str">
        <f>IFERROR(__xludf.DUMMYFUNCTION("""COMPUTED_VALUE"""),"")</f>
        <v/>
      </c>
      <c r="O521" s="71" t="str">
        <f>IFERROR(__xludf.DUMMYFUNCTION("""COMPUTED_VALUE"""),"")</f>
        <v/>
      </c>
      <c r="P521" s="71" t="str">
        <f>IFERROR(__xludf.DUMMYFUNCTION("""COMPUTED_VALUE"""),"")</f>
        <v/>
      </c>
    </row>
    <row r="522">
      <c r="A522" s="58"/>
      <c r="E522" s="78"/>
      <c r="G522" s="78"/>
      <c r="I522" s="80"/>
      <c r="K522" s="59"/>
      <c r="N522" s="71" t="str">
        <f>IFERROR(__xludf.DUMMYFUNCTION("""COMPUTED_VALUE"""),"")</f>
        <v/>
      </c>
      <c r="O522" s="71" t="str">
        <f>IFERROR(__xludf.DUMMYFUNCTION("""COMPUTED_VALUE"""),"")</f>
        <v/>
      </c>
      <c r="P522" s="71" t="str">
        <f>IFERROR(__xludf.DUMMYFUNCTION("""COMPUTED_VALUE"""),"")</f>
        <v/>
      </c>
    </row>
    <row r="523">
      <c r="A523" s="58"/>
      <c r="E523" s="78"/>
      <c r="G523" s="78"/>
      <c r="I523" s="80"/>
      <c r="K523" s="59"/>
      <c r="N523" s="71" t="str">
        <f>IFERROR(__xludf.DUMMYFUNCTION("""COMPUTED_VALUE"""),"")</f>
        <v/>
      </c>
      <c r="O523" s="71" t="str">
        <f>IFERROR(__xludf.DUMMYFUNCTION("""COMPUTED_VALUE"""),"")</f>
        <v/>
      </c>
      <c r="P523" s="71" t="str">
        <f>IFERROR(__xludf.DUMMYFUNCTION("""COMPUTED_VALUE"""),"")</f>
        <v/>
      </c>
    </row>
    <row r="524">
      <c r="A524" s="58"/>
      <c r="E524" s="78"/>
      <c r="G524" s="78"/>
      <c r="I524" s="80"/>
      <c r="K524" s="59"/>
      <c r="N524" s="71" t="str">
        <f>IFERROR(__xludf.DUMMYFUNCTION("""COMPUTED_VALUE"""),"")</f>
        <v/>
      </c>
      <c r="O524" s="71" t="str">
        <f>IFERROR(__xludf.DUMMYFUNCTION("""COMPUTED_VALUE"""),"")</f>
        <v/>
      </c>
      <c r="P524" s="71" t="str">
        <f>IFERROR(__xludf.DUMMYFUNCTION("""COMPUTED_VALUE"""),"")</f>
        <v/>
      </c>
    </row>
    <row r="525">
      <c r="A525" s="58"/>
      <c r="E525" s="78"/>
      <c r="G525" s="78"/>
      <c r="I525" s="80"/>
      <c r="K525" s="59"/>
      <c r="N525" s="71" t="str">
        <f>IFERROR(__xludf.DUMMYFUNCTION("""COMPUTED_VALUE"""),"")</f>
        <v/>
      </c>
      <c r="O525" s="71" t="str">
        <f>IFERROR(__xludf.DUMMYFUNCTION("""COMPUTED_VALUE"""),"")</f>
        <v/>
      </c>
      <c r="P525" s="71" t="str">
        <f>IFERROR(__xludf.DUMMYFUNCTION("""COMPUTED_VALUE"""),"")</f>
        <v/>
      </c>
    </row>
    <row r="526">
      <c r="A526" s="58"/>
      <c r="E526" s="78"/>
      <c r="G526" s="78"/>
      <c r="I526" s="80"/>
      <c r="K526" s="59"/>
      <c r="N526" s="71" t="str">
        <f>IFERROR(__xludf.DUMMYFUNCTION("""COMPUTED_VALUE"""),"")</f>
        <v/>
      </c>
      <c r="O526" s="71" t="str">
        <f>IFERROR(__xludf.DUMMYFUNCTION("""COMPUTED_VALUE"""),"")</f>
        <v/>
      </c>
      <c r="P526" s="71" t="str">
        <f>IFERROR(__xludf.DUMMYFUNCTION("""COMPUTED_VALUE"""),"")</f>
        <v/>
      </c>
    </row>
    <row r="527">
      <c r="A527" s="58"/>
      <c r="E527" s="78"/>
      <c r="G527" s="78"/>
      <c r="I527" s="80"/>
      <c r="K527" s="59"/>
      <c r="N527" s="71" t="str">
        <f>IFERROR(__xludf.DUMMYFUNCTION("""COMPUTED_VALUE"""),"")</f>
        <v/>
      </c>
      <c r="O527" s="71" t="str">
        <f>IFERROR(__xludf.DUMMYFUNCTION("""COMPUTED_VALUE"""),"")</f>
        <v/>
      </c>
      <c r="P527" s="71" t="str">
        <f>IFERROR(__xludf.DUMMYFUNCTION("""COMPUTED_VALUE"""),"")</f>
        <v/>
      </c>
    </row>
    <row r="528">
      <c r="A528" s="58"/>
      <c r="E528" s="78"/>
      <c r="G528" s="78"/>
      <c r="I528" s="80"/>
      <c r="K528" s="59"/>
      <c r="N528" s="71" t="str">
        <f>IFERROR(__xludf.DUMMYFUNCTION("""COMPUTED_VALUE"""),"")</f>
        <v/>
      </c>
      <c r="O528" s="71" t="str">
        <f>IFERROR(__xludf.DUMMYFUNCTION("""COMPUTED_VALUE"""),"")</f>
        <v/>
      </c>
      <c r="P528" s="71" t="str">
        <f>IFERROR(__xludf.DUMMYFUNCTION("""COMPUTED_VALUE"""),"")</f>
        <v/>
      </c>
    </row>
    <row r="529">
      <c r="A529" s="58"/>
      <c r="E529" s="78"/>
      <c r="G529" s="78"/>
      <c r="I529" s="80"/>
      <c r="K529" s="59"/>
      <c r="N529" s="71" t="str">
        <f>IFERROR(__xludf.DUMMYFUNCTION("""COMPUTED_VALUE"""),"")</f>
        <v/>
      </c>
      <c r="O529" s="71" t="str">
        <f>IFERROR(__xludf.DUMMYFUNCTION("""COMPUTED_VALUE"""),"")</f>
        <v/>
      </c>
      <c r="P529" s="71" t="str">
        <f>IFERROR(__xludf.DUMMYFUNCTION("""COMPUTED_VALUE"""),"")</f>
        <v/>
      </c>
    </row>
    <row r="530">
      <c r="A530" s="58"/>
      <c r="E530" s="78"/>
      <c r="G530" s="78"/>
      <c r="I530" s="80"/>
      <c r="K530" s="59"/>
      <c r="N530" s="71" t="str">
        <f>IFERROR(__xludf.DUMMYFUNCTION("""COMPUTED_VALUE"""),"")</f>
        <v/>
      </c>
      <c r="O530" s="71" t="str">
        <f>IFERROR(__xludf.DUMMYFUNCTION("""COMPUTED_VALUE"""),"")</f>
        <v/>
      </c>
      <c r="P530" s="71" t="str">
        <f>IFERROR(__xludf.DUMMYFUNCTION("""COMPUTED_VALUE"""),"")</f>
        <v/>
      </c>
    </row>
    <row r="531">
      <c r="A531" s="58"/>
      <c r="E531" s="78"/>
      <c r="G531" s="78"/>
      <c r="I531" s="80"/>
      <c r="K531" s="59"/>
      <c r="N531" s="71" t="str">
        <f>IFERROR(__xludf.DUMMYFUNCTION("""COMPUTED_VALUE"""),"")</f>
        <v/>
      </c>
      <c r="O531" s="71" t="str">
        <f>IFERROR(__xludf.DUMMYFUNCTION("""COMPUTED_VALUE"""),"")</f>
        <v/>
      </c>
      <c r="P531" s="71" t="str">
        <f>IFERROR(__xludf.DUMMYFUNCTION("""COMPUTED_VALUE"""),"")</f>
        <v/>
      </c>
    </row>
    <row r="532">
      <c r="A532" s="58"/>
      <c r="E532" s="78"/>
      <c r="G532" s="78"/>
      <c r="I532" s="80"/>
      <c r="K532" s="59"/>
      <c r="N532" s="71" t="str">
        <f>IFERROR(__xludf.DUMMYFUNCTION("""COMPUTED_VALUE"""),"")</f>
        <v/>
      </c>
      <c r="O532" s="71" t="str">
        <f>IFERROR(__xludf.DUMMYFUNCTION("""COMPUTED_VALUE"""),"")</f>
        <v/>
      </c>
      <c r="P532" s="71" t="str">
        <f>IFERROR(__xludf.DUMMYFUNCTION("""COMPUTED_VALUE"""),"")</f>
        <v/>
      </c>
    </row>
    <row r="533">
      <c r="A533" s="58"/>
      <c r="E533" s="78"/>
      <c r="G533" s="78"/>
      <c r="I533" s="80"/>
      <c r="K533" s="59"/>
      <c r="N533" s="71" t="str">
        <f>IFERROR(__xludf.DUMMYFUNCTION("""COMPUTED_VALUE"""),"")</f>
        <v/>
      </c>
      <c r="O533" s="71" t="str">
        <f>IFERROR(__xludf.DUMMYFUNCTION("""COMPUTED_VALUE"""),"")</f>
        <v/>
      </c>
      <c r="P533" s="71" t="str">
        <f>IFERROR(__xludf.DUMMYFUNCTION("""COMPUTED_VALUE"""),"")</f>
        <v/>
      </c>
    </row>
    <row r="534">
      <c r="A534" s="58"/>
      <c r="E534" s="78"/>
      <c r="G534" s="78"/>
      <c r="I534" s="80"/>
      <c r="K534" s="59"/>
      <c r="N534" s="71" t="str">
        <f>IFERROR(__xludf.DUMMYFUNCTION("""COMPUTED_VALUE"""),"")</f>
        <v/>
      </c>
      <c r="O534" s="71" t="str">
        <f>IFERROR(__xludf.DUMMYFUNCTION("""COMPUTED_VALUE"""),"")</f>
        <v/>
      </c>
      <c r="P534" s="71" t="str">
        <f>IFERROR(__xludf.DUMMYFUNCTION("""COMPUTED_VALUE"""),"")</f>
        <v/>
      </c>
    </row>
    <row r="535">
      <c r="A535" s="58"/>
      <c r="E535" s="78"/>
      <c r="G535" s="78"/>
      <c r="I535" s="80"/>
      <c r="K535" s="59"/>
      <c r="N535" s="71" t="str">
        <f>IFERROR(__xludf.DUMMYFUNCTION("""COMPUTED_VALUE"""),"")</f>
        <v/>
      </c>
      <c r="O535" s="71" t="str">
        <f>IFERROR(__xludf.DUMMYFUNCTION("""COMPUTED_VALUE"""),"")</f>
        <v/>
      </c>
      <c r="P535" s="71" t="str">
        <f>IFERROR(__xludf.DUMMYFUNCTION("""COMPUTED_VALUE"""),"")</f>
        <v/>
      </c>
    </row>
    <row r="536">
      <c r="A536" s="58"/>
      <c r="E536" s="78"/>
      <c r="G536" s="78"/>
      <c r="I536" s="80"/>
      <c r="K536" s="59"/>
      <c r="N536" s="71" t="str">
        <f>IFERROR(__xludf.DUMMYFUNCTION("""COMPUTED_VALUE"""),"")</f>
        <v/>
      </c>
      <c r="O536" s="71" t="str">
        <f>IFERROR(__xludf.DUMMYFUNCTION("""COMPUTED_VALUE"""),"")</f>
        <v/>
      </c>
      <c r="P536" s="71" t="str">
        <f>IFERROR(__xludf.DUMMYFUNCTION("""COMPUTED_VALUE"""),"")</f>
        <v/>
      </c>
    </row>
    <row r="537">
      <c r="A537" s="58"/>
      <c r="E537" s="78"/>
      <c r="G537" s="78"/>
      <c r="I537" s="80"/>
      <c r="K537" s="59"/>
      <c r="N537" s="71" t="str">
        <f>IFERROR(__xludf.DUMMYFUNCTION("""COMPUTED_VALUE"""),"")</f>
        <v/>
      </c>
      <c r="O537" s="71" t="str">
        <f>IFERROR(__xludf.DUMMYFUNCTION("""COMPUTED_VALUE"""),"")</f>
        <v/>
      </c>
      <c r="P537" s="71" t="str">
        <f>IFERROR(__xludf.DUMMYFUNCTION("""COMPUTED_VALUE"""),"")</f>
        <v/>
      </c>
    </row>
    <row r="538">
      <c r="A538" s="58"/>
      <c r="E538" s="78"/>
      <c r="G538" s="78"/>
      <c r="I538" s="80"/>
      <c r="K538" s="59"/>
      <c r="N538" s="71" t="str">
        <f>IFERROR(__xludf.DUMMYFUNCTION("""COMPUTED_VALUE"""),"")</f>
        <v/>
      </c>
      <c r="O538" s="71" t="str">
        <f>IFERROR(__xludf.DUMMYFUNCTION("""COMPUTED_VALUE"""),"")</f>
        <v/>
      </c>
      <c r="P538" s="71" t="str">
        <f>IFERROR(__xludf.DUMMYFUNCTION("""COMPUTED_VALUE"""),"")</f>
        <v/>
      </c>
    </row>
    <row r="539">
      <c r="A539" s="58"/>
      <c r="E539" s="78"/>
      <c r="G539" s="78"/>
      <c r="I539" s="80"/>
      <c r="K539" s="59"/>
      <c r="N539" s="71" t="str">
        <f>IFERROR(__xludf.DUMMYFUNCTION("""COMPUTED_VALUE"""),"")</f>
        <v/>
      </c>
      <c r="O539" s="71" t="str">
        <f>IFERROR(__xludf.DUMMYFUNCTION("""COMPUTED_VALUE"""),"")</f>
        <v/>
      </c>
      <c r="P539" s="71" t="str">
        <f>IFERROR(__xludf.DUMMYFUNCTION("""COMPUTED_VALUE"""),"")</f>
        <v/>
      </c>
    </row>
    <row r="540">
      <c r="A540" s="58"/>
      <c r="E540" s="78"/>
      <c r="G540" s="78"/>
      <c r="I540" s="80"/>
      <c r="K540" s="59"/>
      <c r="N540" s="71" t="str">
        <f>IFERROR(__xludf.DUMMYFUNCTION("""COMPUTED_VALUE"""),"")</f>
        <v/>
      </c>
      <c r="O540" s="71" t="str">
        <f>IFERROR(__xludf.DUMMYFUNCTION("""COMPUTED_VALUE"""),"")</f>
        <v/>
      </c>
      <c r="P540" s="71" t="str">
        <f>IFERROR(__xludf.DUMMYFUNCTION("""COMPUTED_VALUE"""),"")</f>
        <v/>
      </c>
    </row>
    <row r="541">
      <c r="A541" s="58"/>
      <c r="E541" s="78"/>
      <c r="G541" s="78"/>
      <c r="I541" s="80"/>
      <c r="K541" s="59"/>
      <c r="N541" s="71" t="str">
        <f>IFERROR(__xludf.DUMMYFUNCTION("""COMPUTED_VALUE"""),"")</f>
        <v/>
      </c>
      <c r="O541" s="71" t="str">
        <f>IFERROR(__xludf.DUMMYFUNCTION("""COMPUTED_VALUE"""),"")</f>
        <v/>
      </c>
      <c r="P541" s="71" t="str">
        <f>IFERROR(__xludf.DUMMYFUNCTION("""COMPUTED_VALUE"""),"")</f>
        <v/>
      </c>
    </row>
    <row r="542">
      <c r="A542" s="58"/>
      <c r="E542" s="78"/>
      <c r="G542" s="78"/>
      <c r="I542" s="80"/>
      <c r="K542" s="59"/>
      <c r="N542" s="71" t="str">
        <f>IFERROR(__xludf.DUMMYFUNCTION("""COMPUTED_VALUE"""),"")</f>
        <v/>
      </c>
      <c r="O542" s="71" t="str">
        <f>IFERROR(__xludf.DUMMYFUNCTION("""COMPUTED_VALUE"""),"")</f>
        <v/>
      </c>
      <c r="P542" s="71" t="str">
        <f>IFERROR(__xludf.DUMMYFUNCTION("""COMPUTED_VALUE"""),"")</f>
        <v/>
      </c>
    </row>
    <row r="543">
      <c r="A543" s="58"/>
      <c r="E543" s="78"/>
      <c r="G543" s="78"/>
      <c r="I543" s="80"/>
      <c r="K543" s="59"/>
      <c r="N543" s="71" t="str">
        <f>IFERROR(__xludf.DUMMYFUNCTION("""COMPUTED_VALUE"""),"")</f>
        <v/>
      </c>
      <c r="O543" s="71" t="str">
        <f>IFERROR(__xludf.DUMMYFUNCTION("""COMPUTED_VALUE"""),"")</f>
        <v/>
      </c>
      <c r="P543" s="71" t="str">
        <f>IFERROR(__xludf.DUMMYFUNCTION("""COMPUTED_VALUE"""),"")</f>
        <v/>
      </c>
    </row>
    <row r="544">
      <c r="A544" s="58"/>
      <c r="E544" s="78"/>
      <c r="G544" s="78"/>
      <c r="I544" s="80"/>
      <c r="K544" s="59"/>
      <c r="N544" s="71" t="str">
        <f>IFERROR(__xludf.DUMMYFUNCTION("""COMPUTED_VALUE"""),"")</f>
        <v/>
      </c>
      <c r="O544" s="71" t="str">
        <f>IFERROR(__xludf.DUMMYFUNCTION("""COMPUTED_VALUE"""),"")</f>
        <v/>
      </c>
      <c r="P544" s="71" t="str">
        <f>IFERROR(__xludf.DUMMYFUNCTION("""COMPUTED_VALUE"""),"")</f>
        <v/>
      </c>
    </row>
    <row r="545">
      <c r="A545" s="58"/>
      <c r="E545" s="78"/>
      <c r="G545" s="78"/>
      <c r="I545" s="80"/>
      <c r="K545" s="59"/>
      <c r="N545" s="71" t="str">
        <f>IFERROR(__xludf.DUMMYFUNCTION("""COMPUTED_VALUE"""),"")</f>
        <v/>
      </c>
      <c r="O545" s="71" t="str">
        <f>IFERROR(__xludf.DUMMYFUNCTION("""COMPUTED_VALUE"""),"")</f>
        <v/>
      </c>
      <c r="P545" s="71" t="str">
        <f>IFERROR(__xludf.DUMMYFUNCTION("""COMPUTED_VALUE"""),"")</f>
        <v/>
      </c>
    </row>
    <row r="546">
      <c r="A546" s="58"/>
      <c r="E546" s="78"/>
      <c r="G546" s="78"/>
      <c r="I546" s="80"/>
      <c r="K546" s="59"/>
      <c r="N546" s="71" t="str">
        <f>IFERROR(__xludf.DUMMYFUNCTION("""COMPUTED_VALUE"""),"")</f>
        <v/>
      </c>
      <c r="O546" s="71" t="str">
        <f>IFERROR(__xludf.DUMMYFUNCTION("""COMPUTED_VALUE"""),"")</f>
        <v/>
      </c>
      <c r="P546" s="71" t="str">
        <f>IFERROR(__xludf.DUMMYFUNCTION("""COMPUTED_VALUE"""),"")</f>
        <v/>
      </c>
    </row>
    <row r="547">
      <c r="A547" s="58"/>
      <c r="E547" s="78"/>
      <c r="G547" s="78"/>
      <c r="I547" s="80"/>
      <c r="K547" s="59"/>
      <c r="N547" s="71" t="str">
        <f>IFERROR(__xludf.DUMMYFUNCTION("""COMPUTED_VALUE"""),"")</f>
        <v/>
      </c>
      <c r="O547" s="71" t="str">
        <f>IFERROR(__xludf.DUMMYFUNCTION("""COMPUTED_VALUE"""),"")</f>
        <v/>
      </c>
      <c r="P547" s="71" t="str">
        <f>IFERROR(__xludf.DUMMYFUNCTION("""COMPUTED_VALUE"""),"")</f>
        <v/>
      </c>
    </row>
    <row r="548">
      <c r="A548" s="58"/>
      <c r="E548" s="78"/>
      <c r="G548" s="78"/>
      <c r="I548" s="80"/>
      <c r="K548" s="59"/>
      <c r="N548" s="71" t="str">
        <f>IFERROR(__xludf.DUMMYFUNCTION("""COMPUTED_VALUE"""),"")</f>
        <v/>
      </c>
      <c r="O548" s="71" t="str">
        <f>IFERROR(__xludf.DUMMYFUNCTION("""COMPUTED_VALUE"""),"")</f>
        <v/>
      </c>
      <c r="P548" s="71" t="str">
        <f>IFERROR(__xludf.DUMMYFUNCTION("""COMPUTED_VALUE"""),"")</f>
        <v/>
      </c>
    </row>
    <row r="549">
      <c r="A549" s="58"/>
      <c r="E549" s="78"/>
      <c r="G549" s="78"/>
      <c r="I549" s="80"/>
      <c r="K549" s="59"/>
      <c r="N549" s="71" t="str">
        <f>IFERROR(__xludf.DUMMYFUNCTION("""COMPUTED_VALUE"""),"")</f>
        <v/>
      </c>
      <c r="O549" s="71" t="str">
        <f>IFERROR(__xludf.DUMMYFUNCTION("""COMPUTED_VALUE"""),"")</f>
        <v/>
      </c>
      <c r="P549" s="71" t="str">
        <f>IFERROR(__xludf.DUMMYFUNCTION("""COMPUTED_VALUE"""),"")</f>
        <v/>
      </c>
    </row>
    <row r="550">
      <c r="A550" s="58"/>
      <c r="E550" s="78"/>
      <c r="G550" s="78"/>
      <c r="I550" s="80"/>
      <c r="K550" s="59"/>
      <c r="N550" s="71" t="str">
        <f>IFERROR(__xludf.DUMMYFUNCTION("""COMPUTED_VALUE"""),"")</f>
        <v/>
      </c>
      <c r="O550" s="71" t="str">
        <f>IFERROR(__xludf.DUMMYFUNCTION("""COMPUTED_VALUE"""),"")</f>
        <v/>
      </c>
      <c r="P550" s="71" t="str">
        <f>IFERROR(__xludf.DUMMYFUNCTION("""COMPUTED_VALUE"""),"")</f>
        <v/>
      </c>
    </row>
    <row r="551">
      <c r="A551" s="58"/>
      <c r="E551" s="78"/>
      <c r="G551" s="78"/>
      <c r="I551" s="80"/>
      <c r="K551" s="59"/>
      <c r="N551" s="71" t="str">
        <f>IFERROR(__xludf.DUMMYFUNCTION("""COMPUTED_VALUE"""),"")</f>
        <v/>
      </c>
      <c r="O551" s="71" t="str">
        <f>IFERROR(__xludf.DUMMYFUNCTION("""COMPUTED_VALUE"""),"")</f>
        <v/>
      </c>
      <c r="P551" s="71" t="str">
        <f>IFERROR(__xludf.DUMMYFUNCTION("""COMPUTED_VALUE"""),"")</f>
        <v/>
      </c>
    </row>
    <row r="552">
      <c r="A552" s="58"/>
      <c r="E552" s="78"/>
      <c r="G552" s="78"/>
      <c r="I552" s="80"/>
      <c r="K552" s="59"/>
      <c r="N552" s="71" t="str">
        <f>IFERROR(__xludf.DUMMYFUNCTION("""COMPUTED_VALUE"""),"")</f>
        <v/>
      </c>
      <c r="O552" s="71" t="str">
        <f>IFERROR(__xludf.DUMMYFUNCTION("""COMPUTED_VALUE"""),"")</f>
        <v/>
      </c>
      <c r="P552" s="71" t="str">
        <f>IFERROR(__xludf.DUMMYFUNCTION("""COMPUTED_VALUE"""),"")</f>
        <v/>
      </c>
    </row>
    <row r="553">
      <c r="A553" s="58"/>
      <c r="E553" s="78"/>
      <c r="G553" s="78"/>
      <c r="I553" s="80"/>
      <c r="K553" s="59"/>
      <c r="N553" s="71" t="str">
        <f>IFERROR(__xludf.DUMMYFUNCTION("""COMPUTED_VALUE"""),"")</f>
        <v/>
      </c>
      <c r="O553" s="71" t="str">
        <f>IFERROR(__xludf.DUMMYFUNCTION("""COMPUTED_VALUE"""),"")</f>
        <v/>
      </c>
      <c r="P553" s="71" t="str">
        <f>IFERROR(__xludf.DUMMYFUNCTION("""COMPUTED_VALUE"""),"")</f>
        <v/>
      </c>
    </row>
    <row r="554">
      <c r="A554" s="58"/>
      <c r="E554" s="78"/>
      <c r="G554" s="78"/>
      <c r="I554" s="80"/>
      <c r="K554" s="59"/>
      <c r="N554" s="71" t="str">
        <f>IFERROR(__xludf.DUMMYFUNCTION("""COMPUTED_VALUE"""),"")</f>
        <v/>
      </c>
      <c r="O554" s="71" t="str">
        <f>IFERROR(__xludf.DUMMYFUNCTION("""COMPUTED_VALUE"""),"")</f>
        <v/>
      </c>
      <c r="P554" s="71" t="str">
        <f>IFERROR(__xludf.DUMMYFUNCTION("""COMPUTED_VALUE"""),"")</f>
        <v/>
      </c>
    </row>
    <row r="555">
      <c r="A555" s="58"/>
      <c r="E555" s="78"/>
      <c r="G555" s="78"/>
      <c r="I555" s="80"/>
      <c r="K555" s="59"/>
      <c r="N555" s="71" t="str">
        <f>IFERROR(__xludf.DUMMYFUNCTION("""COMPUTED_VALUE"""),"")</f>
        <v/>
      </c>
      <c r="O555" s="71" t="str">
        <f>IFERROR(__xludf.DUMMYFUNCTION("""COMPUTED_VALUE"""),"")</f>
        <v/>
      </c>
      <c r="P555" s="71" t="str">
        <f>IFERROR(__xludf.DUMMYFUNCTION("""COMPUTED_VALUE"""),"")</f>
        <v/>
      </c>
    </row>
    <row r="556">
      <c r="A556" s="58"/>
      <c r="E556" s="78"/>
      <c r="G556" s="78"/>
      <c r="I556" s="80"/>
      <c r="K556" s="59"/>
      <c r="N556" s="71" t="str">
        <f>IFERROR(__xludf.DUMMYFUNCTION("""COMPUTED_VALUE"""),"")</f>
        <v/>
      </c>
      <c r="O556" s="71" t="str">
        <f>IFERROR(__xludf.DUMMYFUNCTION("""COMPUTED_VALUE"""),"")</f>
        <v/>
      </c>
      <c r="P556" s="71" t="str">
        <f>IFERROR(__xludf.DUMMYFUNCTION("""COMPUTED_VALUE"""),"")</f>
        <v/>
      </c>
    </row>
    <row r="557">
      <c r="A557" s="58"/>
      <c r="E557" s="78"/>
      <c r="G557" s="78"/>
      <c r="I557" s="80"/>
      <c r="K557" s="59"/>
      <c r="N557" s="71" t="str">
        <f>IFERROR(__xludf.DUMMYFUNCTION("""COMPUTED_VALUE"""),"")</f>
        <v/>
      </c>
      <c r="O557" s="71" t="str">
        <f>IFERROR(__xludf.DUMMYFUNCTION("""COMPUTED_VALUE"""),"")</f>
        <v/>
      </c>
      <c r="P557" s="71" t="str">
        <f>IFERROR(__xludf.DUMMYFUNCTION("""COMPUTED_VALUE"""),"")</f>
        <v/>
      </c>
    </row>
    <row r="558">
      <c r="A558" s="58"/>
      <c r="E558" s="78"/>
      <c r="G558" s="78"/>
      <c r="I558" s="80"/>
      <c r="K558" s="59"/>
      <c r="N558" s="71" t="str">
        <f>IFERROR(__xludf.DUMMYFUNCTION("""COMPUTED_VALUE"""),"")</f>
        <v/>
      </c>
      <c r="O558" s="71" t="str">
        <f>IFERROR(__xludf.DUMMYFUNCTION("""COMPUTED_VALUE"""),"")</f>
        <v/>
      </c>
      <c r="P558" s="71" t="str">
        <f>IFERROR(__xludf.DUMMYFUNCTION("""COMPUTED_VALUE"""),"")</f>
        <v/>
      </c>
    </row>
    <row r="559">
      <c r="A559" s="58"/>
      <c r="E559" s="78"/>
      <c r="G559" s="78"/>
      <c r="I559" s="80"/>
      <c r="K559" s="59"/>
      <c r="N559" s="71" t="str">
        <f>IFERROR(__xludf.DUMMYFUNCTION("""COMPUTED_VALUE"""),"")</f>
        <v/>
      </c>
      <c r="O559" s="71" t="str">
        <f>IFERROR(__xludf.DUMMYFUNCTION("""COMPUTED_VALUE"""),"")</f>
        <v/>
      </c>
      <c r="P559" s="71" t="str">
        <f>IFERROR(__xludf.DUMMYFUNCTION("""COMPUTED_VALUE"""),"")</f>
        <v/>
      </c>
    </row>
    <row r="560">
      <c r="A560" s="58"/>
      <c r="E560" s="78"/>
      <c r="G560" s="78"/>
      <c r="I560" s="80"/>
      <c r="K560" s="59"/>
      <c r="N560" s="71" t="str">
        <f>IFERROR(__xludf.DUMMYFUNCTION("""COMPUTED_VALUE"""),"")</f>
        <v/>
      </c>
      <c r="O560" s="71" t="str">
        <f>IFERROR(__xludf.DUMMYFUNCTION("""COMPUTED_VALUE"""),"")</f>
        <v/>
      </c>
      <c r="P560" s="71" t="str">
        <f>IFERROR(__xludf.DUMMYFUNCTION("""COMPUTED_VALUE"""),"")</f>
        <v/>
      </c>
    </row>
    <row r="561">
      <c r="A561" s="58"/>
      <c r="E561" s="78"/>
      <c r="G561" s="78"/>
      <c r="I561" s="80"/>
      <c r="K561" s="59"/>
      <c r="N561" s="71" t="str">
        <f>IFERROR(__xludf.DUMMYFUNCTION("""COMPUTED_VALUE"""),"")</f>
        <v/>
      </c>
      <c r="O561" s="71" t="str">
        <f>IFERROR(__xludf.DUMMYFUNCTION("""COMPUTED_VALUE"""),"")</f>
        <v/>
      </c>
      <c r="P561" s="71" t="str">
        <f>IFERROR(__xludf.DUMMYFUNCTION("""COMPUTED_VALUE"""),"")</f>
        <v/>
      </c>
    </row>
    <row r="562">
      <c r="A562" s="58"/>
      <c r="E562" s="78"/>
      <c r="G562" s="78"/>
      <c r="I562" s="80"/>
      <c r="K562" s="59"/>
      <c r="N562" s="71" t="str">
        <f>IFERROR(__xludf.DUMMYFUNCTION("""COMPUTED_VALUE"""),"")</f>
        <v/>
      </c>
      <c r="O562" s="71" t="str">
        <f>IFERROR(__xludf.DUMMYFUNCTION("""COMPUTED_VALUE"""),"")</f>
        <v/>
      </c>
      <c r="P562" s="71" t="str">
        <f>IFERROR(__xludf.DUMMYFUNCTION("""COMPUTED_VALUE"""),"")</f>
        <v/>
      </c>
    </row>
    <row r="563">
      <c r="A563" s="58"/>
      <c r="E563" s="78"/>
      <c r="G563" s="78"/>
      <c r="I563" s="80"/>
      <c r="K563" s="59"/>
      <c r="N563" s="71" t="str">
        <f>IFERROR(__xludf.DUMMYFUNCTION("""COMPUTED_VALUE"""),"")</f>
        <v/>
      </c>
      <c r="O563" s="71" t="str">
        <f>IFERROR(__xludf.DUMMYFUNCTION("""COMPUTED_VALUE"""),"")</f>
        <v/>
      </c>
      <c r="P563" s="71" t="str">
        <f>IFERROR(__xludf.DUMMYFUNCTION("""COMPUTED_VALUE"""),"")</f>
        <v/>
      </c>
    </row>
    <row r="564">
      <c r="A564" s="58"/>
      <c r="E564" s="78"/>
      <c r="G564" s="78"/>
      <c r="I564" s="80"/>
      <c r="K564" s="59"/>
      <c r="N564" s="71" t="str">
        <f>IFERROR(__xludf.DUMMYFUNCTION("""COMPUTED_VALUE"""),"")</f>
        <v/>
      </c>
      <c r="O564" s="71" t="str">
        <f>IFERROR(__xludf.DUMMYFUNCTION("""COMPUTED_VALUE"""),"")</f>
        <v/>
      </c>
      <c r="P564" s="71" t="str">
        <f>IFERROR(__xludf.DUMMYFUNCTION("""COMPUTED_VALUE"""),"")</f>
        <v/>
      </c>
    </row>
    <row r="565">
      <c r="A565" s="58"/>
      <c r="E565" s="78"/>
      <c r="G565" s="78"/>
      <c r="I565" s="80"/>
      <c r="K565" s="59"/>
      <c r="N565" s="71" t="str">
        <f>IFERROR(__xludf.DUMMYFUNCTION("""COMPUTED_VALUE"""),"")</f>
        <v/>
      </c>
      <c r="O565" s="71" t="str">
        <f>IFERROR(__xludf.DUMMYFUNCTION("""COMPUTED_VALUE"""),"")</f>
        <v/>
      </c>
      <c r="P565" s="71" t="str">
        <f>IFERROR(__xludf.DUMMYFUNCTION("""COMPUTED_VALUE"""),"")</f>
        <v/>
      </c>
    </row>
    <row r="566">
      <c r="A566" s="58"/>
      <c r="E566" s="78"/>
      <c r="G566" s="78"/>
      <c r="I566" s="80"/>
      <c r="K566" s="59"/>
      <c r="N566" s="71" t="str">
        <f>IFERROR(__xludf.DUMMYFUNCTION("""COMPUTED_VALUE"""),"")</f>
        <v/>
      </c>
      <c r="O566" s="71" t="str">
        <f>IFERROR(__xludf.DUMMYFUNCTION("""COMPUTED_VALUE"""),"")</f>
        <v/>
      </c>
      <c r="P566" s="71" t="str">
        <f>IFERROR(__xludf.DUMMYFUNCTION("""COMPUTED_VALUE"""),"")</f>
        <v/>
      </c>
    </row>
    <row r="567">
      <c r="A567" s="58"/>
      <c r="E567" s="78"/>
      <c r="G567" s="78"/>
      <c r="I567" s="80"/>
      <c r="K567" s="59"/>
      <c r="N567" s="71" t="str">
        <f>IFERROR(__xludf.DUMMYFUNCTION("""COMPUTED_VALUE"""),"")</f>
        <v/>
      </c>
      <c r="O567" s="71" t="str">
        <f>IFERROR(__xludf.DUMMYFUNCTION("""COMPUTED_VALUE"""),"")</f>
        <v/>
      </c>
      <c r="P567" s="71" t="str">
        <f>IFERROR(__xludf.DUMMYFUNCTION("""COMPUTED_VALUE"""),"")</f>
        <v/>
      </c>
    </row>
    <row r="568">
      <c r="A568" s="58"/>
      <c r="E568" s="78"/>
      <c r="G568" s="78"/>
      <c r="I568" s="80"/>
      <c r="K568" s="59"/>
      <c r="N568" s="71" t="str">
        <f>IFERROR(__xludf.DUMMYFUNCTION("""COMPUTED_VALUE"""),"")</f>
        <v/>
      </c>
      <c r="O568" s="71" t="str">
        <f>IFERROR(__xludf.DUMMYFUNCTION("""COMPUTED_VALUE"""),"")</f>
        <v/>
      </c>
      <c r="P568" s="71" t="str">
        <f>IFERROR(__xludf.DUMMYFUNCTION("""COMPUTED_VALUE"""),"")</f>
        <v/>
      </c>
    </row>
    <row r="569">
      <c r="A569" s="58"/>
      <c r="E569" s="78"/>
      <c r="G569" s="78"/>
      <c r="I569" s="80"/>
      <c r="K569" s="59"/>
      <c r="N569" s="71" t="str">
        <f>IFERROR(__xludf.DUMMYFUNCTION("""COMPUTED_VALUE"""),"")</f>
        <v/>
      </c>
      <c r="O569" s="71" t="str">
        <f>IFERROR(__xludf.DUMMYFUNCTION("""COMPUTED_VALUE"""),"")</f>
        <v/>
      </c>
      <c r="P569" s="71" t="str">
        <f>IFERROR(__xludf.DUMMYFUNCTION("""COMPUTED_VALUE"""),"")</f>
        <v/>
      </c>
    </row>
    <row r="570">
      <c r="A570" s="58"/>
      <c r="E570" s="78"/>
      <c r="G570" s="78"/>
      <c r="I570" s="80"/>
      <c r="K570" s="59"/>
      <c r="N570" s="71" t="str">
        <f>IFERROR(__xludf.DUMMYFUNCTION("""COMPUTED_VALUE"""),"")</f>
        <v/>
      </c>
      <c r="O570" s="71" t="str">
        <f>IFERROR(__xludf.DUMMYFUNCTION("""COMPUTED_VALUE"""),"")</f>
        <v/>
      </c>
      <c r="P570" s="71" t="str">
        <f>IFERROR(__xludf.DUMMYFUNCTION("""COMPUTED_VALUE"""),"")</f>
        <v/>
      </c>
    </row>
    <row r="571">
      <c r="A571" s="58"/>
      <c r="E571" s="78"/>
      <c r="G571" s="78"/>
      <c r="I571" s="80"/>
      <c r="K571" s="59"/>
      <c r="N571" s="71" t="str">
        <f>IFERROR(__xludf.DUMMYFUNCTION("""COMPUTED_VALUE"""),"")</f>
        <v/>
      </c>
      <c r="O571" s="71" t="str">
        <f>IFERROR(__xludf.DUMMYFUNCTION("""COMPUTED_VALUE"""),"")</f>
        <v/>
      </c>
      <c r="P571" s="71" t="str">
        <f>IFERROR(__xludf.DUMMYFUNCTION("""COMPUTED_VALUE"""),"")</f>
        <v/>
      </c>
    </row>
    <row r="572">
      <c r="A572" s="58"/>
      <c r="E572" s="78"/>
      <c r="G572" s="78"/>
      <c r="I572" s="80"/>
      <c r="K572" s="59"/>
      <c r="N572" s="71" t="str">
        <f>IFERROR(__xludf.DUMMYFUNCTION("""COMPUTED_VALUE"""),"")</f>
        <v/>
      </c>
      <c r="O572" s="71" t="str">
        <f>IFERROR(__xludf.DUMMYFUNCTION("""COMPUTED_VALUE"""),"")</f>
        <v/>
      </c>
      <c r="P572" s="71" t="str">
        <f>IFERROR(__xludf.DUMMYFUNCTION("""COMPUTED_VALUE"""),"")</f>
        <v/>
      </c>
    </row>
    <row r="573">
      <c r="A573" s="58"/>
      <c r="E573" s="78"/>
      <c r="G573" s="78"/>
      <c r="I573" s="80"/>
      <c r="K573" s="59"/>
      <c r="N573" s="71" t="str">
        <f>IFERROR(__xludf.DUMMYFUNCTION("""COMPUTED_VALUE"""),"")</f>
        <v/>
      </c>
      <c r="O573" s="71" t="str">
        <f>IFERROR(__xludf.DUMMYFUNCTION("""COMPUTED_VALUE"""),"")</f>
        <v/>
      </c>
      <c r="P573" s="71" t="str">
        <f>IFERROR(__xludf.DUMMYFUNCTION("""COMPUTED_VALUE"""),"")</f>
        <v/>
      </c>
    </row>
    <row r="574">
      <c r="A574" s="58"/>
      <c r="E574" s="78"/>
      <c r="G574" s="78"/>
      <c r="I574" s="80"/>
      <c r="K574" s="59"/>
      <c r="N574" s="71" t="str">
        <f>IFERROR(__xludf.DUMMYFUNCTION("""COMPUTED_VALUE"""),"")</f>
        <v/>
      </c>
      <c r="O574" s="71" t="str">
        <f>IFERROR(__xludf.DUMMYFUNCTION("""COMPUTED_VALUE"""),"")</f>
        <v/>
      </c>
      <c r="P574" s="71" t="str">
        <f>IFERROR(__xludf.DUMMYFUNCTION("""COMPUTED_VALUE"""),"")</f>
        <v/>
      </c>
    </row>
    <row r="575">
      <c r="A575" s="58"/>
      <c r="E575" s="78"/>
      <c r="G575" s="78"/>
      <c r="I575" s="80"/>
      <c r="K575" s="59"/>
      <c r="N575" s="71" t="str">
        <f>IFERROR(__xludf.DUMMYFUNCTION("""COMPUTED_VALUE"""),"")</f>
        <v/>
      </c>
      <c r="O575" s="71" t="str">
        <f>IFERROR(__xludf.DUMMYFUNCTION("""COMPUTED_VALUE"""),"")</f>
        <v/>
      </c>
      <c r="P575" s="71" t="str">
        <f>IFERROR(__xludf.DUMMYFUNCTION("""COMPUTED_VALUE"""),"")</f>
        <v/>
      </c>
    </row>
    <row r="576">
      <c r="A576" s="58"/>
      <c r="E576" s="78"/>
      <c r="G576" s="78"/>
      <c r="I576" s="80"/>
      <c r="K576" s="59"/>
      <c r="N576" s="71" t="str">
        <f>IFERROR(__xludf.DUMMYFUNCTION("""COMPUTED_VALUE"""),"")</f>
        <v/>
      </c>
      <c r="O576" s="71" t="str">
        <f>IFERROR(__xludf.DUMMYFUNCTION("""COMPUTED_VALUE"""),"")</f>
        <v/>
      </c>
      <c r="P576" s="71" t="str">
        <f>IFERROR(__xludf.DUMMYFUNCTION("""COMPUTED_VALUE"""),"")</f>
        <v/>
      </c>
    </row>
    <row r="577">
      <c r="A577" s="58"/>
      <c r="E577" s="78"/>
      <c r="G577" s="78"/>
      <c r="I577" s="80"/>
      <c r="K577" s="59"/>
      <c r="N577" s="71" t="str">
        <f>IFERROR(__xludf.DUMMYFUNCTION("""COMPUTED_VALUE"""),"")</f>
        <v/>
      </c>
      <c r="O577" s="71" t="str">
        <f>IFERROR(__xludf.DUMMYFUNCTION("""COMPUTED_VALUE"""),"")</f>
        <v/>
      </c>
      <c r="P577" s="71" t="str">
        <f>IFERROR(__xludf.DUMMYFUNCTION("""COMPUTED_VALUE"""),"")</f>
        <v/>
      </c>
    </row>
    <row r="578">
      <c r="A578" s="58"/>
      <c r="E578" s="78"/>
      <c r="G578" s="78"/>
      <c r="I578" s="80"/>
      <c r="K578" s="59"/>
      <c r="N578" s="71" t="str">
        <f>IFERROR(__xludf.DUMMYFUNCTION("""COMPUTED_VALUE"""),"")</f>
        <v/>
      </c>
      <c r="O578" s="71" t="str">
        <f>IFERROR(__xludf.DUMMYFUNCTION("""COMPUTED_VALUE"""),"")</f>
        <v/>
      </c>
      <c r="P578" s="71" t="str">
        <f>IFERROR(__xludf.DUMMYFUNCTION("""COMPUTED_VALUE"""),"")</f>
        <v/>
      </c>
    </row>
    <row r="579">
      <c r="A579" s="58"/>
      <c r="E579" s="78"/>
      <c r="G579" s="78"/>
      <c r="I579" s="80"/>
      <c r="K579" s="59"/>
      <c r="N579" s="71" t="str">
        <f>IFERROR(__xludf.DUMMYFUNCTION("""COMPUTED_VALUE"""),"")</f>
        <v/>
      </c>
      <c r="O579" s="71" t="str">
        <f>IFERROR(__xludf.DUMMYFUNCTION("""COMPUTED_VALUE"""),"")</f>
        <v/>
      </c>
      <c r="P579" s="71" t="str">
        <f>IFERROR(__xludf.DUMMYFUNCTION("""COMPUTED_VALUE"""),"")</f>
        <v/>
      </c>
    </row>
    <row r="580">
      <c r="A580" s="58"/>
      <c r="E580" s="78"/>
      <c r="G580" s="78"/>
      <c r="I580" s="80"/>
      <c r="K580" s="59"/>
      <c r="N580" s="71" t="str">
        <f>IFERROR(__xludf.DUMMYFUNCTION("""COMPUTED_VALUE"""),"")</f>
        <v/>
      </c>
      <c r="O580" s="71" t="str">
        <f>IFERROR(__xludf.DUMMYFUNCTION("""COMPUTED_VALUE"""),"")</f>
        <v/>
      </c>
      <c r="P580" s="71" t="str">
        <f>IFERROR(__xludf.DUMMYFUNCTION("""COMPUTED_VALUE"""),"")</f>
        <v/>
      </c>
    </row>
    <row r="581">
      <c r="A581" s="58"/>
      <c r="E581" s="78"/>
      <c r="G581" s="78"/>
      <c r="I581" s="80"/>
      <c r="K581" s="59"/>
      <c r="N581" s="71" t="str">
        <f>IFERROR(__xludf.DUMMYFUNCTION("""COMPUTED_VALUE"""),"")</f>
        <v/>
      </c>
      <c r="O581" s="71" t="str">
        <f>IFERROR(__xludf.DUMMYFUNCTION("""COMPUTED_VALUE"""),"")</f>
        <v/>
      </c>
      <c r="P581" s="71" t="str">
        <f>IFERROR(__xludf.DUMMYFUNCTION("""COMPUTED_VALUE"""),"")</f>
        <v/>
      </c>
    </row>
    <row r="582">
      <c r="A582" s="58"/>
      <c r="E582" s="78"/>
      <c r="G582" s="78"/>
      <c r="I582" s="80"/>
      <c r="K582" s="59"/>
      <c r="N582" s="71" t="str">
        <f>IFERROR(__xludf.DUMMYFUNCTION("""COMPUTED_VALUE"""),"")</f>
        <v/>
      </c>
      <c r="O582" s="71" t="str">
        <f>IFERROR(__xludf.DUMMYFUNCTION("""COMPUTED_VALUE"""),"")</f>
        <v/>
      </c>
      <c r="P582" s="71" t="str">
        <f>IFERROR(__xludf.DUMMYFUNCTION("""COMPUTED_VALUE"""),"")</f>
        <v/>
      </c>
    </row>
    <row r="583">
      <c r="A583" s="58"/>
      <c r="E583" s="78"/>
      <c r="G583" s="78"/>
      <c r="I583" s="80"/>
      <c r="K583" s="59"/>
      <c r="N583" s="71" t="str">
        <f>IFERROR(__xludf.DUMMYFUNCTION("""COMPUTED_VALUE"""),"")</f>
        <v/>
      </c>
      <c r="O583" s="71" t="str">
        <f>IFERROR(__xludf.DUMMYFUNCTION("""COMPUTED_VALUE"""),"")</f>
        <v/>
      </c>
      <c r="P583" s="71" t="str">
        <f>IFERROR(__xludf.DUMMYFUNCTION("""COMPUTED_VALUE"""),"")</f>
        <v/>
      </c>
    </row>
    <row r="584">
      <c r="A584" s="58"/>
      <c r="E584" s="78"/>
      <c r="G584" s="78"/>
      <c r="I584" s="80"/>
      <c r="K584" s="59"/>
      <c r="N584" s="71" t="str">
        <f>IFERROR(__xludf.DUMMYFUNCTION("""COMPUTED_VALUE"""),"")</f>
        <v/>
      </c>
      <c r="O584" s="71" t="str">
        <f>IFERROR(__xludf.DUMMYFUNCTION("""COMPUTED_VALUE"""),"")</f>
        <v/>
      </c>
      <c r="P584" s="71" t="str">
        <f>IFERROR(__xludf.DUMMYFUNCTION("""COMPUTED_VALUE"""),"")</f>
        <v/>
      </c>
    </row>
    <row r="585">
      <c r="A585" s="58"/>
      <c r="E585" s="78"/>
      <c r="G585" s="78"/>
      <c r="I585" s="80"/>
      <c r="K585" s="59"/>
      <c r="N585" s="71" t="str">
        <f>IFERROR(__xludf.DUMMYFUNCTION("""COMPUTED_VALUE"""),"")</f>
        <v/>
      </c>
      <c r="O585" s="71" t="str">
        <f>IFERROR(__xludf.DUMMYFUNCTION("""COMPUTED_VALUE"""),"")</f>
        <v/>
      </c>
      <c r="P585" s="71" t="str">
        <f>IFERROR(__xludf.DUMMYFUNCTION("""COMPUTED_VALUE"""),"")</f>
        <v/>
      </c>
    </row>
    <row r="586">
      <c r="A586" s="58"/>
      <c r="E586" s="78"/>
      <c r="G586" s="78"/>
      <c r="I586" s="80"/>
      <c r="K586" s="59"/>
      <c r="N586" s="71" t="str">
        <f>IFERROR(__xludf.DUMMYFUNCTION("""COMPUTED_VALUE"""),"")</f>
        <v/>
      </c>
      <c r="O586" s="71" t="str">
        <f>IFERROR(__xludf.DUMMYFUNCTION("""COMPUTED_VALUE"""),"")</f>
        <v/>
      </c>
      <c r="P586" s="71" t="str">
        <f>IFERROR(__xludf.DUMMYFUNCTION("""COMPUTED_VALUE"""),"")</f>
        <v/>
      </c>
    </row>
    <row r="587">
      <c r="A587" s="58"/>
      <c r="E587" s="78"/>
      <c r="G587" s="78"/>
      <c r="I587" s="80"/>
      <c r="K587" s="59"/>
      <c r="N587" s="71" t="str">
        <f>IFERROR(__xludf.DUMMYFUNCTION("""COMPUTED_VALUE"""),"")</f>
        <v/>
      </c>
      <c r="O587" s="71" t="str">
        <f>IFERROR(__xludf.DUMMYFUNCTION("""COMPUTED_VALUE"""),"")</f>
        <v/>
      </c>
      <c r="P587" s="71" t="str">
        <f>IFERROR(__xludf.DUMMYFUNCTION("""COMPUTED_VALUE"""),"")</f>
        <v/>
      </c>
    </row>
    <row r="588">
      <c r="A588" s="58"/>
      <c r="E588" s="78"/>
      <c r="G588" s="78"/>
      <c r="I588" s="80"/>
      <c r="K588" s="59"/>
      <c r="N588" s="71" t="str">
        <f>IFERROR(__xludf.DUMMYFUNCTION("""COMPUTED_VALUE"""),"")</f>
        <v/>
      </c>
      <c r="O588" s="71" t="str">
        <f>IFERROR(__xludf.DUMMYFUNCTION("""COMPUTED_VALUE"""),"")</f>
        <v/>
      </c>
      <c r="P588" s="71" t="str">
        <f>IFERROR(__xludf.DUMMYFUNCTION("""COMPUTED_VALUE"""),"")</f>
        <v/>
      </c>
    </row>
    <row r="589">
      <c r="A589" s="58"/>
      <c r="E589" s="78"/>
      <c r="G589" s="78"/>
      <c r="I589" s="80"/>
      <c r="K589" s="59"/>
      <c r="N589" s="71" t="str">
        <f>IFERROR(__xludf.DUMMYFUNCTION("""COMPUTED_VALUE"""),"")</f>
        <v/>
      </c>
      <c r="O589" s="71" t="str">
        <f>IFERROR(__xludf.DUMMYFUNCTION("""COMPUTED_VALUE"""),"")</f>
        <v/>
      </c>
      <c r="P589" s="71" t="str">
        <f>IFERROR(__xludf.DUMMYFUNCTION("""COMPUTED_VALUE"""),"")</f>
        <v/>
      </c>
    </row>
    <row r="590">
      <c r="A590" s="58"/>
      <c r="E590" s="78"/>
      <c r="G590" s="78"/>
      <c r="I590" s="80"/>
      <c r="K590" s="59"/>
      <c r="N590" s="71" t="str">
        <f>IFERROR(__xludf.DUMMYFUNCTION("""COMPUTED_VALUE"""),"")</f>
        <v/>
      </c>
      <c r="O590" s="71" t="str">
        <f>IFERROR(__xludf.DUMMYFUNCTION("""COMPUTED_VALUE"""),"")</f>
        <v/>
      </c>
      <c r="P590" s="71" t="str">
        <f>IFERROR(__xludf.DUMMYFUNCTION("""COMPUTED_VALUE"""),"")</f>
        <v/>
      </c>
    </row>
    <row r="591">
      <c r="A591" s="58"/>
      <c r="E591" s="78"/>
      <c r="G591" s="78"/>
      <c r="I591" s="80"/>
      <c r="K591" s="59"/>
      <c r="N591" s="71" t="str">
        <f>IFERROR(__xludf.DUMMYFUNCTION("""COMPUTED_VALUE"""),"")</f>
        <v/>
      </c>
      <c r="O591" s="71" t="str">
        <f>IFERROR(__xludf.DUMMYFUNCTION("""COMPUTED_VALUE"""),"")</f>
        <v/>
      </c>
      <c r="P591" s="71" t="str">
        <f>IFERROR(__xludf.DUMMYFUNCTION("""COMPUTED_VALUE"""),"")</f>
        <v/>
      </c>
    </row>
    <row r="592">
      <c r="A592" s="58"/>
      <c r="E592" s="78"/>
      <c r="G592" s="78"/>
      <c r="I592" s="80"/>
      <c r="K592" s="59"/>
      <c r="N592" s="71" t="str">
        <f>IFERROR(__xludf.DUMMYFUNCTION("""COMPUTED_VALUE"""),"")</f>
        <v/>
      </c>
      <c r="O592" s="71" t="str">
        <f>IFERROR(__xludf.DUMMYFUNCTION("""COMPUTED_VALUE"""),"")</f>
        <v/>
      </c>
      <c r="P592" s="71" t="str">
        <f>IFERROR(__xludf.DUMMYFUNCTION("""COMPUTED_VALUE"""),"")</f>
        <v/>
      </c>
    </row>
    <row r="593">
      <c r="A593" s="58"/>
      <c r="E593" s="78"/>
      <c r="G593" s="78"/>
      <c r="I593" s="80"/>
      <c r="K593" s="59"/>
      <c r="N593" s="71" t="str">
        <f>IFERROR(__xludf.DUMMYFUNCTION("""COMPUTED_VALUE"""),"")</f>
        <v/>
      </c>
      <c r="O593" s="71" t="str">
        <f>IFERROR(__xludf.DUMMYFUNCTION("""COMPUTED_VALUE"""),"")</f>
        <v/>
      </c>
      <c r="P593" s="71" t="str">
        <f>IFERROR(__xludf.DUMMYFUNCTION("""COMPUTED_VALUE"""),"")</f>
        <v/>
      </c>
    </row>
    <row r="594">
      <c r="A594" s="58"/>
      <c r="E594" s="78"/>
      <c r="G594" s="78"/>
      <c r="I594" s="80"/>
      <c r="K594" s="59"/>
      <c r="N594" s="71" t="str">
        <f>IFERROR(__xludf.DUMMYFUNCTION("""COMPUTED_VALUE"""),"")</f>
        <v/>
      </c>
      <c r="O594" s="71" t="str">
        <f>IFERROR(__xludf.DUMMYFUNCTION("""COMPUTED_VALUE"""),"")</f>
        <v/>
      </c>
      <c r="P594" s="71" t="str">
        <f>IFERROR(__xludf.DUMMYFUNCTION("""COMPUTED_VALUE"""),"")</f>
        <v/>
      </c>
    </row>
    <row r="595">
      <c r="A595" s="58"/>
      <c r="E595" s="78"/>
      <c r="G595" s="78"/>
      <c r="I595" s="80"/>
      <c r="K595" s="59"/>
      <c r="N595" s="71" t="str">
        <f>IFERROR(__xludf.DUMMYFUNCTION("""COMPUTED_VALUE"""),"")</f>
        <v/>
      </c>
      <c r="O595" s="71" t="str">
        <f>IFERROR(__xludf.DUMMYFUNCTION("""COMPUTED_VALUE"""),"")</f>
        <v/>
      </c>
      <c r="P595" s="71" t="str">
        <f>IFERROR(__xludf.DUMMYFUNCTION("""COMPUTED_VALUE"""),"")</f>
        <v/>
      </c>
    </row>
    <row r="596">
      <c r="A596" s="58"/>
      <c r="E596" s="78"/>
      <c r="G596" s="78"/>
      <c r="I596" s="80"/>
      <c r="K596" s="59"/>
      <c r="N596" s="71" t="str">
        <f>IFERROR(__xludf.DUMMYFUNCTION("""COMPUTED_VALUE"""),"")</f>
        <v/>
      </c>
      <c r="O596" s="71" t="str">
        <f>IFERROR(__xludf.DUMMYFUNCTION("""COMPUTED_VALUE"""),"")</f>
        <v/>
      </c>
      <c r="P596" s="71" t="str">
        <f>IFERROR(__xludf.DUMMYFUNCTION("""COMPUTED_VALUE"""),"")</f>
        <v/>
      </c>
    </row>
    <row r="597">
      <c r="A597" s="58"/>
      <c r="E597" s="78"/>
      <c r="G597" s="78"/>
      <c r="I597" s="80"/>
      <c r="K597" s="59"/>
      <c r="N597" s="71" t="str">
        <f>IFERROR(__xludf.DUMMYFUNCTION("""COMPUTED_VALUE"""),"")</f>
        <v/>
      </c>
      <c r="O597" s="71" t="str">
        <f>IFERROR(__xludf.DUMMYFUNCTION("""COMPUTED_VALUE"""),"")</f>
        <v/>
      </c>
      <c r="P597" s="71" t="str">
        <f>IFERROR(__xludf.DUMMYFUNCTION("""COMPUTED_VALUE"""),"")</f>
        <v/>
      </c>
    </row>
    <row r="598">
      <c r="A598" s="58"/>
      <c r="E598" s="78"/>
      <c r="G598" s="78"/>
      <c r="I598" s="80"/>
      <c r="K598" s="59"/>
      <c r="N598" s="71" t="str">
        <f>IFERROR(__xludf.DUMMYFUNCTION("""COMPUTED_VALUE"""),"")</f>
        <v/>
      </c>
      <c r="O598" s="71" t="str">
        <f>IFERROR(__xludf.DUMMYFUNCTION("""COMPUTED_VALUE"""),"")</f>
        <v/>
      </c>
      <c r="P598" s="71" t="str">
        <f>IFERROR(__xludf.DUMMYFUNCTION("""COMPUTED_VALUE"""),"")</f>
        <v/>
      </c>
    </row>
    <row r="599">
      <c r="A599" s="58"/>
      <c r="E599" s="78"/>
      <c r="G599" s="78"/>
      <c r="I599" s="80"/>
      <c r="K599" s="59"/>
      <c r="N599" s="71" t="str">
        <f>IFERROR(__xludf.DUMMYFUNCTION("""COMPUTED_VALUE"""),"")</f>
        <v/>
      </c>
      <c r="O599" s="71" t="str">
        <f>IFERROR(__xludf.DUMMYFUNCTION("""COMPUTED_VALUE"""),"")</f>
        <v/>
      </c>
      <c r="P599" s="71" t="str">
        <f>IFERROR(__xludf.DUMMYFUNCTION("""COMPUTED_VALUE"""),"")</f>
        <v/>
      </c>
    </row>
    <row r="600">
      <c r="A600" s="58"/>
      <c r="E600" s="78"/>
      <c r="G600" s="78"/>
      <c r="I600" s="80"/>
      <c r="K600" s="59"/>
      <c r="N600" s="71" t="str">
        <f>IFERROR(__xludf.DUMMYFUNCTION("""COMPUTED_VALUE"""),"")</f>
        <v/>
      </c>
      <c r="O600" s="71" t="str">
        <f>IFERROR(__xludf.DUMMYFUNCTION("""COMPUTED_VALUE"""),"")</f>
        <v/>
      </c>
      <c r="P600" s="71" t="str">
        <f>IFERROR(__xludf.DUMMYFUNCTION("""COMPUTED_VALUE"""),"")</f>
        <v/>
      </c>
    </row>
    <row r="601">
      <c r="A601" s="58"/>
      <c r="E601" s="78"/>
      <c r="G601" s="78"/>
      <c r="I601" s="80"/>
      <c r="K601" s="59"/>
      <c r="N601" s="71" t="str">
        <f>IFERROR(__xludf.DUMMYFUNCTION("""COMPUTED_VALUE"""),"")</f>
        <v/>
      </c>
      <c r="O601" s="71" t="str">
        <f>IFERROR(__xludf.DUMMYFUNCTION("""COMPUTED_VALUE"""),"")</f>
        <v/>
      </c>
      <c r="P601" s="71" t="str">
        <f>IFERROR(__xludf.DUMMYFUNCTION("""COMPUTED_VALUE"""),"")</f>
        <v/>
      </c>
    </row>
    <row r="602">
      <c r="A602" s="58"/>
      <c r="E602" s="78"/>
      <c r="G602" s="78"/>
      <c r="I602" s="80"/>
      <c r="K602" s="59"/>
      <c r="N602" s="71" t="str">
        <f>IFERROR(__xludf.DUMMYFUNCTION("""COMPUTED_VALUE"""),"")</f>
        <v/>
      </c>
      <c r="O602" s="71" t="str">
        <f>IFERROR(__xludf.DUMMYFUNCTION("""COMPUTED_VALUE"""),"")</f>
        <v/>
      </c>
      <c r="P602" s="71" t="str">
        <f>IFERROR(__xludf.DUMMYFUNCTION("""COMPUTED_VALUE"""),"")</f>
        <v/>
      </c>
    </row>
    <row r="603">
      <c r="A603" s="58"/>
      <c r="E603" s="78"/>
      <c r="G603" s="78"/>
      <c r="I603" s="80"/>
      <c r="K603" s="59"/>
      <c r="N603" s="71" t="str">
        <f>IFERROR(__xludf.DUMMYFUNCTION("""COMPUTED_VALUE"""),"")</f>
        <v/>
      </c>
      <c r="O603" s="71" t="str">
        <f>IFERROR(__xludf.DUMMYFUNCTION("""COMPUTED_VALUE"""),"")</f>
        <v/>
      </c>
      <c r="P603" s="71" t="str">
        <f>IFERROR(__xludf.DUMMYFUNCTION("""COMPUTED_VALUE"""),"")</f>
        <v/>
      </c>
    </row>
    <row r="604">
      <c r="A604" s="58"/>
      <c r="E604" s="78"/>
      <c r="G604" s="78"/>
      <c r="I604" s="80"/>
      <c r="K604" s="59"/>
      <c r="N604" s="71" t="str">
        <f>IFERROR(__xludf.DUMMYFUNCTION("""COMPUTED_VALUE"""),"")</f>
        <v/>
      </c>
      <c r="O604" s="71" t="str">
        <f>IFERROR(__xludf.DUMMYFUNCTION("""COMPUTED_VALUE"""),"")</f>
        <v/>
      </c>
      <c r="P604" s="71" t="str">
        <f>IFERROR(__xludf.DUMMYFUNCTION("""COMPUTED_VALUE"""),"")</f>
        <v/>
      </c>
    </row>
    <row r="605">
      <c r="A605" s="58"/>
      <c r="E605" s="78"/>
      <c r="G605" s="78"/>
      <c r="I605" s="80"/>
      <c r="K605" s="59"/>
      <c r="N605" s="71" t="str">
        <f>IFERROR(__xludf.DUMMYFUNCTION("""COMPUTED_VALUE"""),"")</f>
        <v/>
      </c>
      <c r="O605" s="71" t="str">
        <f>IFERROR(__xludf.DUMMYFUNCTION("""COMPUTED_VALUE"""),"")</f>
        <v/>
      </c>
      <c r="P605" s="71" t="str">
        <f>IFERROR(__xludf.DUMMYFUNCTION("""COMPUTED_VALUE"""),"")</f>
        <v/>
      </c>
    </row>
    <row r="606">
      <c r="A606" s="58"/>
      <c r="E606" s="78"/>
      <c r="G606" s="78"/>
      <c r="I606" s="80"/>
      <c r="K606" s="59"/>
      <c r="N606" s="71" t="str">
        <f>IFERROR(__xludf.DUMMYFUNCTION("""COMPUTED_VALUE"""),"")</f>
        <v/>
      </c>
      <c r="O606" s="71" t="str">
        <f>IFERROR(__xludf.DUMMYFUNCTION("""COMPUTED_VALUE"""),"")</f>
        <v/>
      </c>
      <c r="P606" s="71" t="str">
        <f>IFERROR(__xludf.DUMMYFUNCTION("""COMPUTED_VALUE"""),"")</f>
        <v/>
      </c>
    </row>
    <row r="607">
      <c r="A607" s="58"/>
      <c r="E607" s="78"/>
      <c r="G607" s="78"/>
      <c r="I607" s="80"/>
      <c r="K607" s="59"/>
      <c r="N607" s="71" t="str">
        <f>IFERROR(__xludf.DUMMYFUNCTION("""COMPUTED_VALUE"""),"")</f>
        <v/>
      </c>
      <c r="O607" s="71" t="str">
        <f>IFERROR(__xludf.DUMMYFUNCTION("""COMPUTED_VALUE"""),"")</f>
        <v/>
      </c>
      <c r="P607" s="71" t="str">
        <f>IFERROR(__xludf.DUMMYFUNCTION("""COMPUTED_VALUE"""),"")</f>
        <v/>
      </c>
    </row>
    <row r="608">
      <c r="A608" s="58"/>
      <c r="E608" s="78"/>
      <c r="G608" s="78"/>
      <c r="I608" s="80"/>
      <c r="K608" s="59"/>
      <c r="N608" s="71" t="str">
        <f>IFERROR(__xludf.DUMMYFUNCTION("""COMPUTED_VALUE"""),"")</f>
        <v/>
      </c>
      <c r="O608" s="71" t="str">
        <f>IFERROR(__xludf.DUMMYFUNCTION("""COMPUTED_VALUE"""),"")</f>
        <v/>
      </c>
      <c r="P608" s="71" t="str">
        <f>IFERROR(__xludf.DUMMYFUNCTION("""COMPUTED_VALUE"""),"")</f>
        <v/>
      </c>
    </row>
    <row r="609">
      <c r="A609" s="58"/>
      <c r="E609" s="78"/>
      <c r="G609" s="78"/>
      <c r="I609" s="80"/>
      <c r="K609" s="59"/>
      <c r="N609" s="71" t="str">
        <f>IFERROR(__xludf.DUMMYFUNCTION("""COMPUTED_VALUE"""),"")</f>
        <v/>
      </c>
      <c r="O609" s="71" t="str">
        <f>IFERROR(__xludf.DUMMYFUNCTION("""COMPUTED_VALUE"""),"")</f>
        <v/>
      </c>
      <c r="P609" s="71" t="str">
        <f>IFERROR(__xludf.DUMMYFUNCTION("""COMPUTED_VALUE"""),"")</f>
        <v/>
      </c>
    </row>
    <row r="610">
      <c r="A610" s="58"/>
      <c r="E610" s="78"/>
      <c r="G610" s="78"/>
      <c r="I610" s="80"/>
      <c r="K610" s="59"/>
      <c r="N610" s="71" t="str">
        <f>IFERROR(__xludf.DUMMYFUNCTION("""COMPUTED_VALUE"""),"")</f>
        <v/>
      </c>
      <c r="O610" s="71" t="str">
        <f>IFERROR(__xludf.DUMMYFUNCTION("""COMPUTED_VALUE"""),"")</f>
        <v/>
      </c>
      <c r="P610" s="71" t="str">
        <f>IFERROR(__xludf.DUMMYFUNCTION("""COMPUTED_VALUE"""),"")</f>
        <v/>
      </c>
    </row>
    <row r="611">
      <c r="A611" s="58"/>
      <c r="E611" s="78"/>
      <c r="G611" s="78"/>
      <c r="I611" s="80"/>
      <c r="K611" s="59"/>
      <c r="N611" s="71" t="str">
        <f>IFERROR(__xludf.DUMMYFUNCTION("""COMPUTED_VALUE"""),"")</f>
        <v/>
      </c>
      <c r="O611" s="71" t="str">
        <f>IFERROR(__xludf.DUMMYFUNCTION("""COMPUTED_VALUE"""),"")</f>
        <v/>
      </c>
      <c r="P611" s="71" t="str">
        <f>IFERROR(__xludf.DUMMYFUNCTION("""COMPUTED_VALUE"""),"")</f>
        <v/>
      </c>
    </row>
    <row r="612">
      <c r="A612" s="58"/>
      <c r="E612" s="78"/>
      <c r="G612" s="78"/>
      <c r="I612" s="80"/>
      <c r="K612" s="59"/>
      <c r="N612" s="71" t="str">
        <f>IFERROR(__xludf.DUMMYFUNCTION("""COMPUTED_VALUE"""),"")</f>
        <v/>
      </c>
      <c r="O612" s="71" t="str">
        <f>IFERROR(__xludf.DUMMYFUNCTION("""COMPUTED_VALUE"""),"")</f>
        <v/>
      </c>
      <c r="P612" s="71" t="str">
        <f>IFERROR(__xludf.DUMMYFUNCTION("""COMPUTED_VALUE"""),"")</f>
        <v/>
      </c>
    </row>
    <row r="613">
      <c r="A613" s="58"/>
      <c r="E613" s="78"/>
      <c r="G613" s="78"/>
      <c r="I613" s="80"/>
      <c r="K613" s="59"/>
      <c r="N613" s="71" t="str">
        <f>IFERROR(__xludf.DUMMYFUNCTION("""COMPUTED_VALUE"""),"")</f>
        <v/>
      </c>
      <c r="O613" s="71" t="str">
        <f>IFERROR(__xludf.DUMMYFUNCTION("""COMPUTED_VALUE"""),"")</f>
        <v/>
      </c>
      <c r="P613" s="71" t="str">
        <f>IFERROR(__xludf.DUMMYFUNCTION("""COMPUTED_VALUE"""),"")</f>
        <v/>
      </c>
    </row>
    <row r="614">
      <c r="A614" s="58"/>
      <c r="E614" s="78"/>
      <c r="G614" s="78"/>
      <c r="I614" s="80"/>
      <c r="K614" s="59"/>
      <c r="N614" s="71" t="str">
        <f>IFERROR(__xludf.DUMMYFUNCTION("""COMPUTED_VALUE"""),"")</f>
        <v/>
      </c>
      <c r="O614" s="71" t="str">
        <f>IFERROR(__xludf.DUMMYFUNCTION("""COMPUTED_VALUE"""),"")</f>
        <v/>
      </c>
      <c r="P614" s="71" t="str">
        <f>IFERROR(__xludf.DUMMYFUNCTION("""COMPUTED_VALUE"""),"")</f>
        <v/>
      </c>
    </row>
    <row r="615">
      <c r="A615" s="58"/>
      <c r="E615" s="78"/>
      <c r="G615" s="78"/>
      <c r="I615" s="80"/>
      <c r="K615" s="59"/>
      <c r="N615" s="71" t="str">
        <f>IFERROR(__xludf.DUMMYFUNCTION("""COMPUTED_VALUE"""),"")</f>
        <v/>
      </c>
      <c r="O615" s="71" t="str">
        <f>IFERROR(__xludf.DUMMYFUNCTION("""COMPUTED_VALUE"""),"")</f>
        <v/>
      </c>
      <c r="P615" s="71" t="str">
        <f>IFERROR(__xludf.DUMMYFUNCTION("""COMPUTED_VALUE"""),"")</f>
        <v/>
      </c>
    </row>
    <row r="616">
      <c r="A616" s="58"/>
      <c r="E616" s="78"/>
      <c r="G616" s="78"/>
      <c r="I616" s="80"/>
      <c r="K616" s="59"/>
      <c r="N616" s="71" t="str">
        <f>IFERROR(__xludf.DUMMYFUNCTION("""COMPUTED_VALUE"""),"")</f>
        <v/>
      </c>
      <c r="O616" s="71" t="str">
        <f>IFERROR(__xludf.DUMMYFUNCTION("""COMPUTED_VALUE"""),"")</f>
        <v/>
      </c>
      <c r="P616" s="71" t="str">
        <f>IFERROR(__xludf.DUMMYFUNCTION("""COMPUTED_VALUE"""),"")</f>
        <v/>
      </c>
    </row>
    <row r="617">
      <c r="A617" s="58"/>
      <c r="E617" s="78"/>
      <c r="G617" s="78"/>
      <c r="I617" s="80"/>
      <c r="K617" s="59"/>
      <c r="N617" s="71" t="str">
        <f>IFERROR(__xludf.DUMMYFUNCTION("""COMPUTED_VALUE"""),"")</f>
        <v/>
      </c>
      <c r="O617" s="71" t="str">
        <f>IFERROR(__xludf.DUMMYFUNCTION("""COMPUTED_VALUE"""),"")</f>
        <v/>
      </c>
      <c r="P617" s="71" t="str">
        <f>IFERROR(__xludf.DUMMYFUNCTION("""COMPUTED_VALUE"""),"")</f>
        <v/>
      </c>
    </row>
    <row r="618">
      <c r="A618" s="58"/>
      <c r="E618" s="78"/>
      <c r="G618" s="78"/>
      <c r="I618" s="80"/>
      <c r="K618" s="59"/>
      <c r="N618" s="71" t="str">
        <f>IFERROR(__xludf.DUMMYFUNCTION("""COMPUTED_VALUE"""),"")</f>
        <v/>
      </c>
      <c r="O618" s="71" t="str">
        <f>IFERROR(__xludf.DUMMYFUNCTION("""COMPUTED_VALUE"""),"")</f>
        <v/>
      </c>
      <c r="P618" s="71" t="str">
        <f>IFERROR(__xludf.DUMMYFUNCTION("""COMPUTED_VALUE"""),"")</f>
        <v/>
      </c>
    </row>
    <row r="619">
      <c r="A619" s="58"/>
      <c r="E619" s="78"/>
      <c r="G619" s="78"/>
      <c r="I619" s="80"/>
      <c r="K619" s="59"/>
      <c r="N619" s="71" t="str">
        <f>IFERROR(__xludf.DUMMYFUNCTION("""COMPUTED_VALUE"""),"")</f>
        <v/>
      </c>
      <c r="O619" s="71" t="str">
        <f>IFERROR(__xludf.DUMMYFUNCTION("""COMPUTED_VALUE"""),"")</f>
        <v/>
      </c>
      <c r="P619" s="71" t="str">
        <f>IFERROR(__xludf.DUMMYFUNCTION("""COMPUTED_VALUE"""),"")</f>
        <v/>
      </c>
    </row>
    <row r="620">
      <c r="A620" s="58"/>
      <c r="E620" s="78"/>
      <c r="G620" s="78"/>
      <c r="I620" s="80"/>
      <c r="K620" s="59"/>
      <c r="N620" s="71" t="str">
        <f>IFERROR(__xludf.DUMMYFUNCTION("""COMPUTED_VALUE"""),"")</f>
        <v/>
      </c>
      <c r="O620" s="71" t="str">
        <f>IFERROR(__xludf.DUMMYFUNCTION("""COMPUTED_VALUE"""),"")</f>
        <v/>
      </c>
      <c r="P620" s="71" t="str">
        <f>IFERROR(__xludf.DUMMYFUNCTION("""COMPUTED_VALUE"""),"")</f>
        <v/>
      </c>
    </row>
    <row r="621">
      <c r="A621" s="58"/>
      <c r="E621" s="78"/>
      <c r="G621" s="78"/>
      <c r="I621" s="80"/>
      <c r="K621" s="59"/>
      <c r="N621" s="71" t="str">
        <f>IFERROR(__xludf.DUMMYFUNCTION("""COMPUTED_VALUE"""),"")</f>
        <v/>
      </c>
      <c r="O621" s="71" t="str">
        <f>IFERROR(__xludf.DUMMYFUNCTION("""COMPUTED_VALUE"""),"")</f>
        <v/>
      </c>
      <c r="P621" s="71" t="str">
        <f>IFERROR(__xludf.DUMMYFUNCTION("""COMPUTED_VALUE"""),"")</f>
        <v/>
      </c>
    </row>
    <row r="622">
      <c r="A622" s="58"/>
      <c r="E622" s="78"/>
      <c r="G622" s="78"/>
      <c r="I622" s="80"/>
      <c r="K622" s="59"/>
      <c r="N622" s="71" t="str">
        <f>IFERROR(__xludf.DUMMYFUNCTION("""COMPUTED_VALUE"""),"")</f>
        <v/>
      </c>
      <c r="O622" s="71" t="str">
        <f>IFERROR(__xludf.DUMMYFUNCTION("""COMPUTED_VALUE"""),"")</f>
        <v/>
      </c>
      <c r="P622" s="71" t="str">
        <f>IFERROR(__xludf.DUMMYFUNCTION("""COMPUTED_VALUE"""),"")</f>
        <v/>
      </c>
    </row>
    <row r="623">
      <c r="A623" s="58"/>
      <c r="E623" s="78"/>
      <c r="G623" s="78"/>
      <c r="I623" s="80"/>
      <c r="K623" s="59"/>
      <c r="N623" s="71" t="str">
        <f>IFERROR(__xludf.DUMMYFUNCTION("""COMPUTED_VALUE"""),"")</f>
        <v/>
      </c>
      <c r="O623" s="71" t="str">
        <f>IFERROR(__xludf.DUMMYFUNCTION("""COMPUTED_VALUE"""),"")</f>
        <v/>
      </c>
      <c r="P623" s="71" t="str">
        <f>IFERROR(__xludf.DUMMYFUNCTION("""COMPUTED_VALUE"""),"")</f>
        <v/>
      </c>
    </row>
    <row r="624">
      <c r="A624" s="58"/>
      <c r="E624" s="78"/>
      <c r="G624" s="78"/>
      <c r="I624" s="80"/>
      <c r="K624" s="59"/>
      <c r="N624" s="71" t="str">
        <f>IFERROR(__xludf.DUMMYFUNCTION("""COMPUTED_VALUE"""),"")</f>
        <v/>
      </c>
      <c r="O624" s="71" t="str">
        <f>IFERROR(__xludf.DUMMYFUNCTION("""COMPUTED_VALUE"""),"")</f>
        <v/>
      </c>
      <c r="P624" s="71" t="str">
        <f>IFERROR(__xludf.DUMMYFUNCTION("""COMPUTED_VALUE"""),"")</f>
        <v/>
      </c>
    </row>
    <row r="625">
      <c r="A625" s="58"/>
      <c r="E625" s="78"/>
      <c r="G625" s="78"/>
      <c r="I625" s="80"/>
      <c r="K625" s="59"/>
      <c r="N625" s="71" t="str">
        <f>IFERROR(__xludf.DUMMYFUNCTION("""COMPUTED_VALUE"""),"")</f>
        <v/>
      </c>
      <c r="O625" s="71" t="str">
        <f>IFERROR(__xludf.DUMMYFUNCTION("""COMPUTED_VALUE"""),"")</f>
        <v/>
      </c>
      <c r="P625" s="71" t="str">
        <f>IFERROR(__xludf.DUMMYFUNCTION("""COMPUTED_VALUE"""),"")</f>
        <v/>
      </c>
    </row>
    <row r="626">
      <c r="A626" s="58"/>
      <c r="E626" s="78"/>
      <c r="G626" s="78"/>
      <c r="I626" s="80"/>
      <c r="K626" s="59"/>
      <c r="N626" s="71" t="str">
        <f>IFERROR(__xludf.DUMMYFUNCTION("""COMPUTED_VALUE"""),"")</f>
        <v/>
      </c>
      <c r="O626" s="71" t="str">
        <f>IFERROR(__xludf.DUMMYFUNCTION("""COMPUTED_VALUE"""),"")</f>
        <v/>
      </c>
      <c r="P626" s="71" t="str">
        <f>IFERROR(__xludf.DUMMYFUNCTION("""COMPUTED_VALUE"""),"")</f>
        <v/>
      </c>
    </row>
    <row r="627">
      <c r="A627" s="58"/>
      <c r="E627" s="78"/>
      <c r="G627" s="78"/>
      <c r="I627" s="80"/>
      <c r="K627" s="59"/>
      <c r="N627" s="71" t="str">
        <f>IFERROR(__xludf.DUMMYFUNCTION("""COMPUTED_VALUE"""),"")</f>
        <v/>
      </c>
      <c r="O627" s="71" t="str">
        <f>IFERROR(__xludf.DUMMYFUNCTION("""COMPUTED_VALUE"""),"")</f>
        <v/>
      </c>
      <c r="P627" s="71" t="str">
        <f>IFERROR(__xludf.DUMMYFUNCTION("""COMPUTED_VALUE"""),"")</f>
        <v/>
      </c>
    </row>
    <row r="628">
      <c r="A628" s="58"/>
      <c r="E628" s="78"/>
      <c r="G628" s="78"/>
      <c r="I628" s="80"/>
      <c r="K628" s="59"/>
      <c r="N628" s="71" t="str">
        <f>IFERROR(__xludf.DUMMYFUNCTION("""COMPUTED_VALUE"""),"")</f>
        <v/>
      </c>
      <c r="O628" s="71" t="str">
        <f>IFERROR(__xludf.DUMMYFUNCTION("""COMPUTED_VALUE"""),"")</f>
        <v/>
      </c>
      <c r="P628" s="71" t="str">
        <f>IFERROR(__xludf.DUMMYFUNCTION("""COMPUTED_VALUE"""),"")</f>
        <v/>
      </c>
    </row>
    <row r="629">
      <c r="A629" s="58"/>
      <c r="E629" s="78"/>
      <c r="G629" s="78"/>
      <c r="I629" s="80"/>
      <c r="K629" s="59"/>
      <c r="N629" s="71" t="str">
        <f>IFERROR(__xludf.DUMMYFUNCTION("""COMPUTED_VALUE"""),"")</f>
        <v/>
      </c>
      <c r="O629" s="71" t="str">
        <f>IFERROR(__xludf.DUMMYFUNCTION("""COMPUTED_VALUE"""),"")</f>
        <v/>
      </c>
      <c r="P629" s="71" t="str">
        <f>IFERROR(__xludf.DUMMYFUNCTION("""COMPUTED_VALUE"""),"")</f>
        <v/>
      </c>
    </row>
    <row r="630">
      <c r="A630" s="58"/>
      <c r="E630" s="78"/>
      <c r="G630" s="78"/>
      <c r="I630" s="80"/>
      <c r="K630" s="59"/>
      <c r="N630" s="71" t="str">
        <f>IFERROR(__xludf.DUMMYFUNCTION("""COMPUTED_VALUE"""),"")</f>
        <v/>
      </c>
      <c r="O630" s="71" t="str">
        <f>IFERROR(__xludf.DUMMYFUNCTION("""COMPUTED_VALUE"""),"")</f>
        <v/>
      </c>
      <c r="P630" s="71" t="str">
        <f>IFERROR(__xludf.DUMMYFUNCTION("""COMPUTED_VALUE"""),"")</f>
        <v/>
      </c>
    </row>
    <row r="631">
      <c r="A631" s="58"/>
      <c r="E631" s="78"/>
      <c r="G631" s="78"/>
      <c r="I631" s="80"/>
      <c r="K631" s="59"/>
      <c r="N631" s="71" t="str">
        <f>IFERROR(__xludf.DUMMYFUNCTION("""COMPUTED_VALUE"""),"")</f>
        <v/>
      </c>
      <c r="O631" s="71" t="str">
        <f>IFERROR(__xludf.DUMMYFUNCTION("""COMPUTED_VALUE"""),"")</f>
        <v/>
      </c>
      <c r="P631" s="71" t="str">
        <f>IFERROR(__xludf.DUMMYFUNCTION("""COMPUTED_VALUE"""),"")</f>
        <v/>
      </c>
    </row>
    <row r="632">
      <c r="A632" s="58"/>
      <c r="E632" s="78"/>
      <c r="G632" s="78"/>
      <c r="I632" s="80"/>
      <c r="K632" s="59"/>
      <c r="N632" s="71" t="str">
        <f>IFERROR(__xludf.DUMMYFUNCTION("""COMPUTED_VALUE"""),"")</f>
        <v/>
      </c>
      <c r="O632" s="71" t="str">
        <f>IFERROR(__xludf.DUMMYFUNCTION("""COMPUTED_VALUE"""),"")</f>
        <v/>
      </c>
      <c r="P632" s="71" t="str">
        <f>IFERROR(__xludf.DUMMYFUNCTION("""COMPUTED_VALUE"""),"")</f>
        <v/>
      </c>
    </row>
    <row r="633">
      <c r="A633" s="58"/>
      <c r="E633" s="78"/>
      <c r="G633" s="78"/>
      <c r="I633" s="80"/>
      <c r="K633" s="59"/>
      <c r="N633" s="71" t="str">
        <f>IFERROR(__xludf.DUMMYFUNCTION("""COMPUTED_VALUE"""),"")</f>
        <v/>
      </c>
      <c r="O633" s="71" t="str">
        <f>IFERROR(__xludf.DUMMYFUNCTION("""COMPUTED_VALUE"""),"")</f>
        <v/>
      </c>
      <c r="P633" s="71" t="str">
        <f>IFERROR(__xludf.DUMMYFUNCTION("""COMPUTED_VALUE"""),"")</f>
        <v/>
      </c>
    </row>
    <row r="634">
      <c r="A634" s="58"/>
      <c r="E634" s="78"/>
      <c r="G634" s="78"/>
      <c r="I634" s="80"/>
      <c r="K634" s="59"/>
      <c r="N634" s="71" t="str">
        <f>IFERROR(__xludf.DUMMYFUNCTION("""COMPUTED_VALUE"""),"")</f>
        <v/>
      </c>
      <c r="O634" s="71" t="str">
        <f>IFERROR(__xludf.DUMMYFUNCTION("""COMPUTED_VALUE"""),"")</f>
        <v/>
      </c>
      <c r="P634" s="71" t="str">
        <f>IFERROR(__xludf.DUMMYFUNCTION("""COMPUTED_VALUE"""),"")</f>
        <v/>
      </c>
    </row>
    <row r="635">
      <c r="A635" s="58"/>
      <c r="E635" s="78"/>
      <c r="G635" s="78"/>
      <c r="I635" s="80"/>
      <c r="K635" s="59"/>
      <c r="N635" s="71" t="str">
        <f>IFERROR(__xludf.DUMMYFUNCTION("""COMPUTED_VALUE"""),"")</f>
        <v/>
      </c>
      <c r="O635" s="71" t="str">
        <f>IFERROR(__xludf.DUMMYFUNCTION("""COMPUTED_VALUE"""),"")</f>
        <v/>
      </c>
      <c r="P635" s="71" t="str">
        <f>IFERROR(__xludf.DUMMYFUNCTION("""COMPUTED_VALUE"""),"")</f>
        <v/>
      </c>
    </row>
    <row r="636">
      <c r="A636" s="58"/>
      <c r="E636" s="78"/>
      <c r="G636" s="78"/>
      <c r="I636" s="80"/>
      <c r="K636" s="59"/>
      <c r="N636" s="71" t="str">
        <f>IFERROR(__xludf.DUMMYFUNCTION("""COMPUTED_VALUE"""),"")</f>
        <v/>
      </c>
      <c r="O636" s="71" t="str">
        <f>IFERROR(__xludf.DUMMYFUNCTION("""COMPUTED_VALUE"""),"")</f>
        <v/>
      </c>
      <c r="P636" s="71" t="str">
        <f>IFERROR(__xludf.DUMMYFUNCTION("""COMPUTED_VALUE"""),"")</f>
        <v/>
      </c>
    </row>
    <row r="637">
      <c r="A637" s="58"/>
      <c r="E637" s="78"/>
      <c r="G637" s="78"/>
      <c r="I637" s="80"/>
      <c r="K637" s="59"/>
      <c r="N637" s="71" t="str">
        <f>IFERROR(__xludf.DUMMYFUNCTION("""COMPUTED_VALUE"""),"")</f>
        <v/>
      </c>
      <c r="O637" s="71" t="str">
        <f>IFERROR(__xludf.DUMMYFUNCTION("""COMPUTED_VALUE"""),"")</f>
        <v/>
      </c>
      <c r="P637" s="71" t="str">
        <f>IFERROR(__xludf.DUMMYFUNCTION("""COMPUTED_VALUE"""),"")</f>
        <v/>
      </c>
    </row>
    <row r="638">
      <c r="A638" s="58"/>
      <c r="E638" s="78"/>
      <c r="G638" s="78"/>
      <c r="I638" s="80"/>
      <c r="K638" s="59"/>
      <c r="N638" s="71" t="str">
        <f>IFERROR(__xludf.DUMMYFUNCTION("""COMPUTED_VALUE"""),"")</f>
        <v/>
      </c>
      <c r="O638" s="71" t="str">
        <f>IFERROR(__xludf.DUMMYFUNCTION("""COMPUTED_VALUE"""),"")</f>
        <v/>
      </c>
      <c r="P638" s="71" t="str">
        <f>IFERROR(__xludf.DUMMYFUNCTION("""COMPUTED_VALUE"""),"")</f>
        <v/>
      </c>
    </row>
    <row r="639">
      <c r="A639" s="58"/>
      <c r="E639" s="78"/>
      <c r="G639" s="78"/>
      <c r="I639" s="80"/>
      <c r="K639" s="59"/>
      <c r="N639" s="71" t="str">
        <f>IFERROR(__xludf.DUMMYFUNCTION("""COMPUTED_VALUE"""),"")</f>
        <v/>
      </c>
      <c r="O639" s="71" t="str">
        <f>IFERROR(__xludf.DUMMYFUNCTION("""COMPUTED_VALUE"""),"")</f>
        <v/>
      </c>
      <c r="P639" s="71" t="str">
        <f>IFERROR(__xludf.DUMMYFUNCTION("""COMPUTED_VALUE"""),"")</f>
        <v/>
      </c>
    </row>
    <row r="640">
      <c r="A640" s="58"/>
      <c r="E640" s="78"/>
      <c r="G640" s="78"/>
      <c r="I640" s="80"/>
      <c r="K640" s="59"/>
      <c r="N640" s="71" t="str">
        <f>IFERROR(__xludf.DUMMYFUNCTION("""COMPUTED_VALUE"""),"")</f>
        <v/>
      </c>
      <c r="O640" s="71" t="str">
        <f>IFERROR(__xludf.DUMMYFUNCTION("""COMPUTED_VALUE"""),"")</f>
        <v/>
      </c>
      <c r="P640" s="71" t="str">
        <f>IFERROR(__xludf.DUMMYFUNCTION("""COMPUTED_VALUE"""),"")</f>
        <v/>
      </c>
    </row>
    <row r="641">
      <c r="A641" s="58"/>
      <c r="E641" s="78"/>
      <c r="G641" s="78"/>
      <c r="I641" s="80"/>
      <c r="K641" s="59"/>
      <c r="N641" s="71" t="str">
        <f>IFERROR(__xludf.DUMMYFUNCTION("""COMPUTED_VALUE"""),"")</f>
        <v/>
      </c>
      <c r="O641" s="71" t="str">
        <f>IFERROR(__xludf.DUMMYFUNCTION("""COMPUTED_VALUE"""),"")</f>
        <v/>
      </c>
      <c r="P641" s="71" t="str">
        <f>IFERROR(__xludf.DUMMYFUNCTION("""COMPUTED_VALUE"""),"")</f>
        <v/>
      </c>
    </row>
    <row r="642">
      <c r="A642" s="58"/>
      <c r="E642" s="78"/>
      <c r="G642" s="78"/>
      <c r="I642" s="80"/>
      <c r="K642" s="59"/>
      <c r="N642" s="71" t="str">
        <f>IFERROR(__xludf.DUMMYFUNCTION("""COMPUTED_VALUE"""),"")</f>
        <v/>
      </c>
      <c r="O642" s="71" t="str">
        <f>IFERROR(__xludf.DUMMYFUNCTION("""COMPUTED_VALUE"""),"")</f>
        <v/>
      </c>
      <c r="P642" s="71" t="str">
        <f>IFERROR(__xludf.DUMMYFUNCTION("""COMPUTED_VALUE"""),"")</f>
        <v/>
      </c>
    </row>
    <row r="643">
      <c r="A643" s="58"/>
      <c r="E643" s="78"/>
      <c r="G643" s="78"/>
      <c r="I643" s="80"/>
      <c r="K643" s="59"/>
      <c r="N643" s="71" t="str">
        <f>IFERROR(__xludf.DUMMYFUNCTION("""COMPUTED_VALUE"""),"")</f>
        <v/>
      </c>
      <c r="O643" s="71" t="str">
        <f>IFERROR(__xludf.DUMMYFUNCTION("""COMPUTED_VALUE"""),"")</f>
        <v/>
      </c>
      <c r="P643" s="71" t="str">
        <f>IFERROR(__xludf.DUMMYFUNCTION("""COMPUTED_VALUE"""),"")</f>
        <v/>
      </c>
    </row>
    <row r="644">
      <c r="A644" s="58"/>
      <c r="E644" s="78"/>
      <c r="G644" s="78"/>
      <c r="I644" s="80"/>
      <c r="K644" s="59"/>
      <c r="N644" s="71" t="str">
        <f>IFERROR(__xludf.DUMMYFUNCTION("""COMPUTED_VALUE"""),"")</f>
        <v/>
      </c>
      <c r="O644" s="71" t="str">
        <f>IFERROR(__xludf.DUMMYFUNCTION("""COMPUTED_VALUE"""),"")</f>
        <v/>
      </c>
      <c r="P644" s="71" t="str">
        <f>IFERROR(__xludf.DUMMYFUNCTION("""COMPUTED_VALUE"""),"")</f>
        <v/>
      </c>
    </row>
    <row r="645">
      <c r="A645" s="58"/>
      <c r="E645" s="78"/>
      <c r="G645" s="78"/>
      <c r="I645" s="80"/>
      <c r="K645" s="59"/>
      <c r="N645" s="71" t="str">
        <f>IFERROR(__xludf.DUMMYFUNCTION("""COMPUTED_VALUE"""),"")</f>
        <v/>
      </c>
      <c r="O645" s="71" t="str">
        <f>IFERROR(__xludf.DUMMYFUNCTION("""COMPUTED_VALUE"""),"")</f>
        <v/>
      </c>
      <c r="P645" s="71" t="str">
        <f>IFERROR(__xludf.DUMMYFUNCTION("""COMPUTED_VALUE"""),"")</f>
        <v/>
      </c>
    </row>
    <row r="646">
      <c r="A646" s="58"/>
      <c r="E646" s="78"/>
      <c r="G646" s="78"/>
      <c r="I646" s="80"/>
      <c r="K646" s="59"/>
      <c r="N646" s="71" t="str">
        <f>IFERROR(__xludf.DUMMYFUNCTION("""COMPUTED_VALUE"""),"")</f>
        <v/>
      </c>
      <c r="O646" s="71" t="str">
        <f>IFERROR(__xludf.DUMMYFUNCTION("""COMPUTED_VALUE"""),"")</f>
        <v/>
      </c>
      <c r="P646" s="71" t="str">
        <f>IFERROR(__xludf.DUMMYFUNCTION("""COMPUTED_VALUE"""),"")</f>
        <v/>
      </c>
    </row>
    <row r="647">
      <c r="A647" s="58"/>
      <c r="E647" s="78"/>
      <c r="G647" s="78"/>
      <c r="I647" s="80"/>
      <c r="K647" s="59"/>
      <c r="N647" s="71" t="str">
        <f>IFERROR(__xludf.DUMMYFUNCTION("""COMPUTED_VALUE"""),"")</f>
        <v/>
      </c>
      <c r="O647" s="71" t="str">
        <f>IFERROR(__xludf.DUMMYFUNCTION("""COMPUTED_VALUE"""),"")</f>
        <v/>
      </c>
      <c r="P647" s="71" t="str">
        <f>IFERROR(__xludf.DUMMYFUNCTION("""COMPUTED_VALUE"""),"")</f>
        <v/>
      </c>
    </row>
    <row r="648">
      <c r="A648" s="58"/>
      <c r="E648" s="78"/>
      <c r="G648" s="78"/>
      <c r="I648" s="80"/>
      <c r="K648" s="59"/>
      <c r="N648" s="71" t="str">
        <f>IFERROR(__xludf.DUMMYFUNCTION("""COMPUTED_VALUE"""),"")</f>
        <v/>
      </c>
      <c r="O648" s="71" t="str">
        <f>IFERROR(__xludf.DUMMYFUNCTION("""COMPUTED_VALUE"""),"")</f>
        <v/>
      </c>
      <c r="P648" s="71" t="str">
        <f>IFERROR(__xludf.DUMMYFUNCTION("""COMPUTED_VALUE"""),"")</f>
        <v/>
      </c>
    </row>
    <row r="649">
      <c r="A649" s="58"/>
      <c r="E649" s="78"/>
      <c r="G649" s="78"/>
      <c r="I649" s="80"/>
      <c r="K649" s="59"/>
      <c r="N649" s="71" t="str">
        <f>IFERROR(__xludf.DUMMYFUNCTION("""COMPUTED_VALUE"""),"")</f>
        <v/>
      </c>
      <c r="O649" s="71" t="str">
        <f>IFERROR(__xludf.DUMMYFUNCTION("""COMPUTED_VALUE"""),"")</f>
        <v/>
      </c>
      <c r="P649" s="71" t="str">
        <f>IFERROR(__xludf.DUMMYFUNCTION("""COMPUTED_VALUE"""),"")</f>
        <v/>
      </c>
    </row>
    <row r="650">
      <c r="A650" s="58"/>
      <c r="E650" s="78"/>
      <c r="G650" s="78"/>
      <c r="I650" s="80"/>
      <c r="K650" s="59"/>
      <c r="N650" s="71" t="str">
        <f>IFERROR(__xludf.DUMMYFUNCTION("""COMPUTED_VALUE"""),"")</f>
        <v/>
      </c>
      <c r="O650" s="71" t="str">
        <f>IFERROR(__xludf.DUMMYFUNCTION("""COMPUTED_VALUE"""),"")</f>
        <v/>
      </c>
      <c r="P650" s="71" t="str">
        <f>IFERROR(__xludf.DUMMYFUNCTION("""COMPUTED_VALUE"""),"")</f>
        <v/>
      </c>
    </row>
    <row r="651">
      <c r="A651" s="58"/>
      <c r="E651" s="78"/>
      <c r="G651" s="78"/>
      <c r="I651" s="80"/>
      <c r="K651" s="59"/>
      <c r="N651" s="71" t="str">
        <f>IFERROR(__xludf.DUMMYFUNCTION("""COMPUTED_VALUE"""),"")</f>
        <v/>
      </c>
      <c r="O651" s="71" t="str">
        <f>IFERROR(__xludf.DUMMYFUNCTION("""COMPUTED_VALUE"""),"")</f>
        <v/>
      </c>
      <c r="P651" s="71" t="str">
        <f>IFERROR(__xludf.DUMMYFUNCTION("""COMPUTED_VALUE"""),"")</f>
        <v/>
      </c>
    </row>
    <row r="652">
      <c r="A652" s="58"/>
      <c r="E652" s="78"/>
      <c r="G652" s="78"/>
      <c r="I652" s="80"/>
      <c r="K652" s="59"/>
      <c r="N652" s="71" t="str">
        <f>IFERROR(__xludf.DUMMYFUNCTION("""COMPUTED_VALUE"""),"")</f>
        <v/>
      </c>
      <c r="O652" s="71" t="str">
        <f>IFERROR(__xludf.DUMMYFUNCTION("""COMPUTED_VALUE"""),"")</f>
        <v/>
      </c>
      <c r="P652" s="71" t="str">
        <f>IFERROR(__xludf.DUMMYFUNCTION("""COMPUTED_VALUE"""),"")</f>
        <v/>
      </c>
    </row>
    <row r="653">
      <c r="A653" s="58"/>
      <c r="E653" s="78"/>
      <c r="G653" s="78"/>
      <c r="I653" s="80"/>
      <c r="K653" s="59"/>
      <c r="N653" s="71" t="str">
        <f>IFERROR(__xludf.DUMMYFUNCTION("""COMPUTED_VALUE"""),"")</f>
        <v/>
      </c>
      <c r="O653" s="71" t="str">
        <f>IFERROR(__xludf.DUMMYFUNCTION("""COMPUTED_VALUE"""),"")</f>
        <v/>
      </c>
      <c r="P653" s="71" t="str">
        <f>IFERROR(__xludf.DUMMYFUNCTION("""COMPUTED_VALUE"""),"")</f>
        <v/>
      </c>
    </row>
    <row r="654">
      <c r="A654" s="58"/>
      <c r="E654" s="78"/>
      <c r="G654" s="78"/>
      <c r="I654" s="80"/>
      <c r="K654" s="59"/>
      <c r="N654" s="71" t="str">
        <f>IFERROR(__xludf.DUMMYFUNCTION("""COMPUTED_VALUE"""),"")</f>
        <v/>
      </c>
      <c r="O654" s="71" t="str">
        <f>IFERROR(__xludf.DUMMYFUNCTION("""COMPUTED_VALUE"""),"")</f>
        <v/>
      </c>
      <c r="P654" s="71" t="str">
        <f>IFERROR(__xludf.DUMMYFUNCTION("""COMPUTED_VALUE"""),"")</f>
        <v/>
      </c>
    </row>
    <row r="655">
      <c r="A655" s="58"/>
      <c r="E655" s="78"/>
      <c r="G655" s="78"/>
      <c r="I655" s="80"/>
      <c r="K655" s="59"/>
      <c r="N655" s="71" t="str">
        <f>IFERROR(__xludf.DUMMYFUNCTION("""COMPUTED_VALUE"""),"")</f>
        <v/>
      </c>
      <c r="O655" s="71" t="str">
        <f>IFERROR(__xludf.DUMMYFUNCTION("""COMPUTED_VALUE"""),"")</f>
        <v/>
      </c>
      <c r="P655" s="71" t="str">
        <f>IFERROR(__xludf.DUMMYFUNCTION("""COMPUTED_VALUE"""),"")</f>
        <v/>
      </c>
    </row>
    <row r="656">
      <c r="A656" s="58"/>
      <c r="E656" s="78"/>
      <c r="G656" s="78"/>
      <c r="I656" s="80"/>
      <c r="K656" s="59"/>
      <c r="N656" s="71" t="str">
        <f>IFERROR(__xludf.DUMMYFUNCTION("""COMPUTED_VALUE"""),"")</f>
        <v/>
      </c>
      <c r="O656" s="71" t="str">
        <f>IFERROR(__xludf.DUMMYFUNCTION("""COMPUTED_VALUE"""),"")</f>
        <v/>
      </c>
      <c r="P656" s="71" t="str">
        <f>IFERROR(__xludf.DUMMYFUNCTION("""COMPUTED_VALUE"""),"")</f>
        <v/>
      </c>
    </row>
    <row r="657">
      <c r="A657" s="58"/>
      <c r="E657" s="78"/>
      <c r="G657" s="78"/>
      <c r="I657" s="80"/>
      <c r="K657" s="59"/>
      <c r="N657" s="71" t="str">
        <f>IFERROR(__xludf.DUMMYFUNCTION("""COMPUTED_VALUE"""),"")</f>
        <v/>
      </c>
      <c r="O657" s="71" t="str">
        <f>IFERROR(__xludf.DUMMYFUNCTION("""COMPUTED_VALUE"""),"")</f>
        <v/>
      </c>
      <c r="P657" s="71" t="str">
        <f>IFERROR(__xludf.DUMMYFUNCTION("""COMPUTED_VALUE"""),"")</f>
        <v/>
      </c>
    </row>
    <row r="658">
      <c r="A658" s="58"/>
      <c r="E658" s="78"/>
      <c r="G658" s="78"/>
      <c r="I658" s="80"/>
      <c r="K658" s="59"/>
      <c r="N658" s="71" t="str">
        <f>IFERROR(__xludf.DUMMYFUNCTION("""COMPUTED_VALUE"""),"")</f>
        <v/>
      </c>
      <c r="O658" s="71" t="str">
        <f>IFERROR(__xludf.DUMMYFUNCTION("""COMPUTED_VALUE"""),"")</f>
        <v/>
      </c>
      <c r="P658" s="71" t="str">
        <f>IFERROR(__xludf.DUMMYFUNCTION("""COMPUTED_VALUE"""),"")</f>
        <v/>
      </c>
    </row>
    <row r="659">
      <c r="A659" s="58"/>
      <c r="E659" s="78"/>
      <c r="G659" s="78"/>
      <c r="I659" s="80"/>
      <c r="K659" s="59"/>
      <c r="N659" s="71" t="str">
        <f>IFERROR(__xludf.DUMMYFUNCTION("""COMPUTED_VALUE"""),"")</f>
        <v/>
      </c>
      <c r="O659" s="71" t="str">
        <f>IFERROR(__xludf.DUMMYFUNCTION("""COMPUTED_VALUE"""),"")</f>
        <v/>
      </c>
      <c r="P659" s="71" t="str">
        <f>IFERROR(__xludf.DUMMYFUNCTION("""COMPUTED_VALUE"""),"")</f>
        <v/>
      </c>
    </row>
    <row r="660">
      <c r="A660" s="58"/>
      <c r="E660" s="78"/>
      <c r="G660" s="78"/>
      <c r="I660" s="80"/>
      <c r="K660" s="59"/>
      <c r="N660" s="71" t="str">
        <f>IFERROR(__xludf.DUMMYFUNCTION("""COMPUTED_VALUE"""),"")</f>
        <v/>
      </c>
      <c r="O660" s="71" t="str">
        <f>IFERROR(__xludf.DUMMYFUNCTION("""COMPUTED_VALUE"""),"")</f>
        <v/>
      </c>
      <c r="P660" s="71" t="str">
        <f>IFERROR(__xludf.DUMMYFUNCTION("""COMPUTED_VALUE"""),"")</f>
        <v/>
      </c>
    </row>
    <row r="661">
      <c r="A661" s="58"/>
      <c r="E661" s="78"/>
      <c r="G661" s="78"/>
      <c r="I661" s="80"/>
      <c r="K661" s="59"/>
      <c r="N661" s="71" t="str">
        <f>IFERROR(__xludf.DUMMYFUNCTION("""COMPUTED_VALUE"""),"")</f>
        <v/>
      </c>
      <c r="O661" s="71" t="str">
        <f>IFERROR(__xludf.DUMMYFUNCTION("""COMPUTED_VALUE"""),"")</f>
        <v/>
      </c>
      <c r="P661" s="71" t="str">
        <f>IFERROR(__xludf.DUMMYFUNCTION("""COMPUTED_VALUE"""),"")</f>
        <v/>
      </c>
    </row>
    <row r="662">
      <c r="A662" s="58"/>
      <c r="E662" s="78"/>
      <c r="G662" s="78"/>
      <c r="I662" s="80"/>
      <c r="K662" s="59"/>
      <c r="N662" s="71" t="str">
        <f>IFERROR(__xludf.DUMMYFUNCTION("""COMPUTED_VALUE"""),"")</f>
        <v/>
      </c>
      <c r="O662" s="71" t="str">
        <f>IFERROR(__xludf.DUMMYFUNCTION("""COMPUTED_VALUE"""),"")</f>
        <v/>
      </c>
      <c r="P662" s="71" t="str">
        <f>IFERROR(__xludf.DUMMYFUNCTION("""COMPUTED_VALUE"""),"")</f>
        <v/>
      </c>
    </row>
    <row r="663">
      <c r="A663" s="58"/>
      <c r="E663" s="78"/>
      <c r="G663" s="78"/>
      <c r="I663" s="80"/>
      <c r="K663" s="59"/>
      <c r="N663" s="71" t="str">
        <f>IFERROR(__xludf.DUMMYFUNCTION("""COMPUTED_VALUE"""),"")</f>
        <v/>
      </c>
      <c r="O663" s="71" t="str">
        <f>IFERROR(__xludf.DUMMYFUNCTION("""COMPUTED_VALUE"""),"")</f>
        <v/>
      </c>
      <c r="P663" s="71" t="str">
        <f>IFERROR(__xludf.DUMMYFUNCTION("""COMPUTED_VALUE"""),"")</f>
        <v/>
      </c>
    </row>
    <row r="664">
      <c r="A664" s="58"/>
      <c r="E664" s="78"/>
      <c r="G664" s="78"/>
      <c r="I664" s="80"/>
      <c r="K664" s="59"/>
      <c r="N664" s="71" t="str">
        <f>IFERROR(__xludf.DUMMYFUNCTION("""COMPUTED_VALUE"""),"")</f>
        <v/>
      </c>
      <c r="O664" s="71" t="str">
        <f>IFERROR(__xludf.DUMMYFUNCTION("""COMPUTED_VALUE"""),"")</f>
        <v/>
      </c>
      <c r="P664" s="71" t="str">
        <f>IFERROR(__xludf.DUMMYFUNCTION("""COMPUTED_VALUE"""),"")</f>
        <v/>
      </c>
    </row>
    <row r="665">
      <c r="A665" s="58"/>
      <c r="E665" s="78"/>
      <c r="G665" s="78"/>
      <c r="I665" s="80"/>
      <c r="K665" s="59"/>
      <c r="N665" s="71" t="str">
        <f>IFERROR(__xludf.DUMMYFUNCTION("""COMPUTED_VALUE"""),"")</f>
        <v/>
      </c>
      <c r="O665" s="71" t="str">
        <f>IFERROR(__xludf.DUMMYFUNCTION("""COMPUTED_VALUE"""),"")</f>
        <v/>
      </c>
      <c r="P665" s="71" t="str">
        <f>IFERROR(__xludf.DUMMYFUNCTION("""COMPUTED_VALUE"""),"")</f>
        <v/>
      </c>
    </row>
    <row r="666">
      <c r="A666" s="58"/>
      <c r="E666" s="78"/>
      <c r="G666" s="78"/>
      <c r="I666" s="80"/>
      <c r="K666" s="59"/>
      <c r="N666" s="71" t="str">
        <f>IFERROR(__xludf.DUMMYFUNCTION("""COMPUTED_VALUE"""),"")</f>
        <v/>
      </c>
      <c r="O666" s="71" t="str">
        <f>IFERROR(__xludf.DUMMYFUNCTION("""COMPUTED_VALUE"""),"")</f>
        <v/>
      </c>
      <c r="P666" s="71" t="str">
        <f>IFERROR(__xludf.DUMMYFUNCTION("""COMPUTED_VALUE"""),"")</f>
        <v/>
      </c>
    </row>
    <row r="667">
      <c r="A667" s="58"/>
      <c r="E667" s="78"/>
      <c r="G667" s="78"/>
      <c r="I667" s="80"/>
      <c r="K667" s="59"/>
      <c r="N667" s="71" t="str">
        <f>IFERROR(__xludf.DUMMYFUNCTION("""COMPUTED_VALUE"""),"")</f>
        <v/>
      </c>
      <c r="O667" s="71" t="str">
        <f>IFERROR(__xludf.DUMMYFUNCTION("""COMPUTED_VALUE"""),"")</f>
        <v/>
      </c>
      <c r="P667" s="71" t="str">
        <f>IFERROR(__xludf.DUMMYFUNCTION("""COMPUTED_VALUE"""),"")</f>
        <v/>
      </c>
    </row>
    <row r="668">
      <c r="A668" s="58"/>
      <c r="E668" s="78"/>
      <c r="G668" s="78"/>
      <c r="I668" s="80"/>
      <c r="K668" s="59"/>
      <c r="N668" s="71" t="str">
        <f>IFERROR(__xludf.DUMMYFUNCTION("""COMPUTED_VALUE"""),"")</f>
        <v/>
      </c>
      <c r="O668" s="71" t="str">
        <f>IFERROR(__xludf.DUMMYFUNCTION("""COMPUTED_VALUE"""),"")</f>
        <v/>
      </c>
      <c r="P668" s="71" t="str">
        <f>IFERROR(__xludf.DUMMYFUNCTION("""COMPUTED_VALUE"""),"")</f>
        <v/>
      </c>
    </row>
    <row r="669">
      <c r="A669" s="58"/>
      <c r="E669" s="78"/>
      <c r="G669" s="78"/>
      <c r="I669" s="80"/>
      <c r="K669" s="59"/>
      <c r="N669" s="71" t="str">
        <f>IFERROR(__xludf.DUMMYFUNCTION("""COMPUTED_VALUE"""),"")</f>
        <v/>
      </c>
      <c r="O669" s="71" t="str">
        <f>IFERROR(__xludf.DUMMYFUNCTION("""COMPUTED_VALUE"""),"")</f>
        <v/>
      </c>
      <c r="P669" s="71" t="str">
        <f>IFERROR(__xludf.DUMMYFUNCTION("""COMPUTED_VALUE"""),"")</f>
        <v/>
      </c>
    </row>
    <row r="670">
      <c r="A670" s="58"/>
      <c r="E670" s="78"/>
      <c r="G670" s="78"/>
      <c r="I670" s="80"/>
      <c r="K670" s="59"/>
      <c r="N670" s="71" t="str">
        <f>IFERROR(__xludf.DUMMYFUNCTION("""COMPUTED_VALUE"""),"")</f>
        <v/>
      </c>
      <c r="O670" s="71" t="str">
        <f>IFERROR(__xludf.DUMMYFUNCTION("""COMPUTED_VALUE"""),"")</f>
        <v/>
      </c>
      <c r="P670" s="71" t="str">
        <f>IFERROR(__xludf.DUMMYFUNCTION("""COMPUTED_VALUE"""),"")</f>
        <v/>
      </c>
    </row>
    <row r="671">
      <c r="A671" s="58"/>
      <c r="E671" s="78"/>
      <c r="G671" s="78"/>
      <c r="I671" s="80"/>
      <c r="K671" s="59"/>
      <c r="N671" s="71" t="str">
        <f>IFERROR(__xludf.DUMMYFUNCTION("""COMPUTED_VALUE"""),"")</f>
        <v/>
      </c>
      <c r="O671" s="71" t="str">
        <f>IFERROR(__xludf.DUMMYFUNCTION("""COMPUTED_VALUE"""),"")</f>
        <v/>
      </c>
      <c r="P671" s="71" t="str">
        <f>IFERROR(__xludf.DUMMYFUNCTION("""COMPUTED_VALUE"""),"")</f>
        <v/>
      </c>
    </row>
    <row r="672">
      <c r="A672" s="58"/>
      <c r="E672" s="78"/>
      <c r="G672" s="78"/>
      <c r="I672" s="80"/>
      <c r="K672" s="59"/>
      <c r="N672" s="71" t="str">
        <f>IFERROR(__xludf.DUMMYFUNCTION("""COMPUTED_VALUE"""),"")</f>
        <v/>
      </c>
      <c r="O672" s="71" t="str">
        <f>IFERROR(__xludf.DUMMYFUNCTION("""COMPUTED_VALUE"""),"")</f>
        <v/>
      </c>
      <c r="P672" s="71" t="str">
        <f>IFERROR(__xludf.DUMMYFUNCTION("""COMPUTED_VALUE"""),"")</f>
        <v/>
      </c>
    </row>
    <row r="673">
      <c r="A673" s="58"/>
      <c r="E673" s="78"/>
      <c r="G673" s="78"/>
      <c r="I673" s="80"/>
      <c r="K673" s="59"/>
      <c r="N673" s="71" t="str">
        <f>IFERROR(__xludf.DUMMYFUNCTION("""COMPUTED_VALUE"""),"")</f>
        <v/>
      </c>
      <c r="O673" s="71" t="str">
        <f>IFERROR(__xludf.DUMMYFUNCTION("""COMPUTED_VALUE"""),"")</f>
        <v/>
      </c>
      <c r="P673" s="71" t="str">
        <f>IFERROR(__xludf.DUMMYFUNCTION("""COMPUTED_VALUE"""),"")</f>
        <v/>
      </c>
    </row>
    <row r="674">
      <c r="A674" s="58"/>
      <c r="E674" s="78"/>
      <c r="G674" s="78"/>
      <c r="I674" s="80"/>
      <c r="K674" s="59"/>
      <c r="N674" s="71" t="str">
        <f>IFERROR(__xludf.DUMMYFUNCTION("""COMPUTED_VALUE"""),"")</f>
        <v/>
      </c>
      <c r="O674" s="71" t="str">
        <f>IFERROR(__xludf.DUMMYFUNCTION("""COMPUTED_VALUE"""),"")</f>
        <v/>
      </c>
      <c r="P674" s="71" t="str">
        <f>IFERROR(__xludf.DUMMYFUNCTION("""COMPUTED_VALUE"""),"")</f>
        <v/>
      </c>
    </row>
    <row r="675">
      <c r="A675" s="58"/>
      <c r="E675" s="78"/>
      <c r="G675" s="78"/>
      <c r="I675" s="80"/>
      <c r="K675" s="59"/>
      <c r="N675" s="71" t="str">
        <f>IFERROR(__xludf.DUMMYFUNCTION("""COMPUTED_VALUE"""),"")</f>
        <v/>
      </c>
      <c r="O675" s="71" t="str">
        <f>IFERROR(__xludf.DUMMYFUNCTION("""COMPUTED_VALUE"""),"")</f>
        <v/>
      </c>
      <c r="P675" s="71" t="str">
        <f>IFERROR(__xludf.DUMMYFUNCTION("""COMPUTED_VALUE"""),"")</f>
        <v/>
      </c>
    </row>
    <row r="676">
      <c r="A676" s="58"/>
      <c r="E676" s="78"/>
      <c r="G676" s="78"/>
      <c r="I676" s="80"/>
      <c r="K676" s="59"/>
      <c r="N676" s="71" t="str">
        <f>IFERROR(__xludf.DUMMYFUNCTION("""COMPUTED_VALUE"""),"")</f>
        <v/>
      </c>
      <c r="O676" s="71" t="str">
        <f>IFERROR(__xludf.DUMMYFUNCTION("""COMPUTED_VALUE"""),"")</f>
        <v/>
      </c>
      <c r="P676" s="71" t="str">
        <f>IFERROR(__xludf.DUMMYFUNCTION("""COMPUTED_VALUE"""),"")</f>
        <v/>
      </c>
    </row>
    <row r="677">
      <c r="A677" s="58"/>
      <c r="E677" s="78"/>
      <c r="G677" s="78"/>
      <c r="I677" s="80"/>
      <c r="K677" s="59"/>
      <c r="N677" s="71" t="str">
        <f>IFERROR(__xludf.DUMMYFUNCTION("""COMPUTED_VALUE"""),"")</f>
        <v/>
      </c>
      <c r="O677" s="71" t="str">
        <f>IFERROR(__xludf.DUMMYFUNCTION("""COMPUTED_VALUE"""),"")</f>
        <v/>
      </c>
      <c r="P677" s="71" t="str">
        <f>IFERROR(__xludf.DUMMYFUNCTION("""COMPUTED_VALUE"""),"")</f>
        <v/>
      </c>
    </row>
    <row r="678">
      <c r="A678" s="58"/>
      <c r="E678" s="78"/>
      <c r="G678" s="78"/>
      <c r="I678" s="80"/>
      <c r="K678" s="59"/>
      <c r="N678" s="71" t="str">
        <f>IFERROR(__xludf.DUMMYFUNCTION("""COMPUTED_VALUE"""),"")</f>
        <v/>
      </c>
      <c r="O678" s="71" t="str">
        <f>IFERROR(__xludf.DUMMYFUNCTION("""COMPUTED_VALUE"""),"")</f>
        <v/>
      </c>
      <c r="P678" s="71" t="str">
        <f>IFERROR(__xludf.DUMMYFUNCTION("""COMPUTED_VALUE"""),"")</f>
        <v/>
      </c>
    </row>
    <row r="679">
      <c r="A679" s="58"/>
      <c r="E679" s="78"/>
      <c r="G679" s="78"/>
      <c r="I679" s="80"/>
      <c r="K679" s="59"/>
      <c r="N679" s="71" t="str">
        <f>IFERROR(__xludf.DUMMYFUNCTION("""COMPUTED_VALUE"""),"")</f>
        <v/>
      </c>
      <c r="O679" s="71" t="str">
        <f>IFERROR(__xludf.DUMMYFUNCTION("""COMPUTED_VALUE"""),"")</f>
        <v/>
      </c>
      <c r="P679" s="71" t="str">
        <f>IFERROR(__xludf.DUMMYFUNCTION("""COMPUTED_VALUE"""),"")</f>
        <v/>
      </c>
    </row>
    <row r="680">
      <c r="A680" s="58"/>
      <c r="E680" s="78"/>
      <c r="G680" s="78"/>
      <c r="I680" s="80"/>
      <c r="K680" s="59"/>
      <c r="N680" s="71" t="str">
        <f>IFERROR(__xludf.DUMMYFUNCTION("""COMPUTED_VALUE"""),"")</f>
        <v/>
      </c>
      <c r="O680" s="71" t="str">
        <f>IFERROR(__xludf.DUMMYFUNCTION("""COMPUTED_VALUE"""),"")</f>
        <v/>
      </c>
      <c r="P680" s="71" t="str">
        <f>IFERROR(__xludf.DUMMYFUNCTION("""COMPUTED_VALUE"""),"")</f>
        <v/>
      </c>
    </row>
    <row r="681">
      <c r="A681" s="58"/>
      <c r="E681" s="78"/>
      <c r="G681" s="78"/>
      <c r="I681" s="80"/>
      <c r="K681" s="59"/>
      <c r="N681" s="71" t="str">
        <f>IFERROR(__xludf.DUMMYFUNCTION("""COMPUTED_VALUE"""),"")</f>
        <v/>
      </c>
      <c r="O681" s="71" t="str">
        <f>IFERROR(__xludf.DUMMYFUNCTION("""COMPUTED_VALUE"""),"")</f>
        <v/>
      </c>
      <c r="P681" s="71" t="str">
        <f>IFERROR(__xludf.DUMMYFUNCTION("""COMPUTED_VALUE"""),"")</f>
        <v/>
      </c>
    </row>
    <row r="682">
      <c r="A682" s="58"/>
      <c r="E682" s="78"/>
      <c r="G682" s="78"/>
      <c r="I682" s="80"/>
      <c r="K682" s="59"/>
      <c r="N682" s="71" t="str">
        <f>IFERROR(__xludf.DUMMYFUNCTION("""COMPUTED_VALUE"""),"")</f>
        <v/>
      </c>
      <c r="O682" s="71" t="str">
        <f>IFERROR(__xludf.DUMMYFUNCTION("""COMPUTED_VALUE"""),"")</f>
        <v/>
      </c>
      <c r="P682" s="71" t="str">
        <f>IFERROR(__xludf.DUMMYFUNCTION("""COMPUTED_VALUE"""),"")</f>
        <v/>
      </c>
    </row>
    <row r="683">
      <c r="A683" s="58"/>
      <c r="E683" s="78"/>
      <c r="G683" s="78"/>
      <c r="I683" s="80"/>
      <c r="K683" s="59"/>
      <c r="N683" s="71" t="str">
        <f>IFERROR(__xludf.DUMMYFUNCTION("""COMPUTED_VALUE"""),"")</f>
        <v/>
      </c>
      <c r="O683" s="71" t="str">
        <f>IFERROR(__xludf.DUMMYFUNCTION("""COMPUTED_VALUE"""),"")</f>
        <v/>
      </c>
      <c r="P683" s="71" t="str">
        <f>IFERROR(__xludf.DUMMYFUNCTION("""COMPUTED_VALUE"""),"")</f>
        <v/>
      </c>
    </row>
    <row r="684">
      <c r="A684" s="58"/>
      <c r="E684" s="78"/>
      <c r="G684" s="78"/>
      <c r="I684" s="80"/>
      <c r="K684" s="59"/>
      <c r="N684" s="71" t="str">
        <f>IFERROR(__xludf.DUMMYFUNCTION("""COMPUTED_VALUE"""),"")</f>
        <v/>
      </c>
      <c r="O684" s="71" t="str">
        <f>IFERROR(__xludf.DUMMYFUNCTION("""COMPUTED_VALUE"""),"")</f>
        <v/>
      </c>
      <c r="P684" s="71" t="str">
        <f>IFERROR(__xludf.DUMMYFUNCTION("""COMPUTED_VALUE"""),"")</f>
        <v/>
      </c>
    </row>
    <row r="685">
      <c r="A685" s="58"/>
      <c r="E685" s="78"/>
      <c r="G685" s="78"/>
      <c r="I685" s="80"/>
      <c r="K685" s="59"/>
      <c r="N685" s="71" t="str">
        <f>IFERROR(__xludf.DUMMYFUNCTION("""COMPUTED_VALUE"""),"")</f>
        <v/>
      </c>
      <c r="O685" s="71" t="str">
        <f>IFERROR(__xludf.DUMMYFUNCTION("""COMPUTED_VALUE"""),"")</f>
        <v/>
      </c>
      <c r="P685" s="71" t="str">
        <f>IFERROR(__xludf.DUMMYFUNCTION("""COMPUTED_VALUE"""),"")</f>
        <v/>
      </c>
    </row>
    <row r="686">
      <c r="A686" s="58"/>
      <c r="E686" s="78"/>
      <c r="G686" s="78"/>
      <c r="I686" s="80"/>
      <c r="K686" s="59"/>
      <c r="N686" s="71" t="str">
        <f>IFERROR(__xludf.DUMMYFUNCTION("""COMPUTED_VALUE"""),"")</f>
        <v/>
      </c>
      <c r="O686" s="71" t="str">
        <f>IFERROR(__xludf.DUMMYFUNCTION("""COMPUTED_VALUE"""),"")</f>
        <v/>
      </c>
      <c r="P686" s="71" t="str">
        <f>IFERROR(__xludf.DUMMYFUNCTION("""COMPUTED_VALUE"""),"")</f>
        <v/>
      </c>
    </row>
    <row r="687">
      <c r="A687" s="58"/>
      <c r="E687" s="78"/>
      <c r="G687" s="78"/>
      <c r="I687" s="80"/>
      <c r="K687" s="59"/>
      <c r="N687" s="71" t="str">
        <f>IFERROR(__xludf.DUMMYFUNCTION("""COMPUTED_VALUE"""),"")</f>
        <v/>
      </c>
      <c r="O687" s="71" t="str">
        <f>IFERROR(__xludf.DUMMYFUNCTION("""COMPUTED_VALUE"""),"")</f>
        <v/>
      </c>
      <c r="P687" s="71" t="str">
        <f>IFERROR(__xludf.DUMMYFUNCTION("""COMPUTED_VALUE"""),"")</f>
        <v/>
      </c>
    </row>
    <row r="688">
      <c r="A688" s="58"/>
      <c r="E688" s="78"/>
      <c r="G688" s="78"/>
      <c r="I688" s="80"/>
      <c r="K688" s="59"/>
      <c r="N688" s="71" t="str">
        <f>IFERROR(__xludf.DUMMYFUNCTION("""COMPUTED_VALUE"""),"")</f>
        <v/>
      </c>
      <c r="O688" s="71" t="str">
        <f>IFERROR(__xludf.DUMMYFUNCTION("""COMPUTED_VALUE"""),"")</f>
        <v/>
      </c>
      <c r="P688" s="71" t="str">
        <f>IFERROR(__xludf.DUMMYFUNCTION("""COMPUTED_VALUE"""),"")</f>
        <v/>
      </c>
    </row>
    <row r="689">
      <c r="A689" s="58"/>
      <c r="E689" s="78"/>
      <c r="G689" s="78"/>
      <c r="I689" s="80"/>
      <c r="K689" s="59"/>
      <c r="N689" s="71" t="str">
        <f>IFERROR(__xludf.DUMMYFUNCTION("""COMPUTED_VALUE"""),"")</f>
        <v/>
      </c>
      <c r="O689" s="71" t="str">
        <f>IFERROR(__xludf.DUMMYFUNCTION("""COMPUTED_VALUE"""),"")</f>
        <v/>
      </c>
      <c r="P689" s="71" t="str">
        <f>IFERROR(__xludf.DUMMYFUNCTION("""COMPUTED_VALUE"""),"")</f>
        <v/>
      </c>
    </row>
    <row r="690">
      <c r="A690" s="58"/>
      <c r="E690" s="78"/>
      <c r="G690" s="78"/>
      <c r="I690" s="80"/>
      <c r="K690" s="59"/>
      <c r="N690" s="71" t="str">
        <f>IFERROR(__xludf.DUMMYFUNCTION("""COMPUTED_VALUE"""),"")</f>
        <v/>
      </c>
      <c r="O690" s="71" t="str">
        <f>IFERROR(__xludf.DUMMYFUNCTION("""COMPUTED_VALUE"""),"")</f>
        <v/>
      </c>
      <c r="P690" s="71" t="str">
        <f>IFERROR(__xludf.DUMMYFUNCTION("""COMPUTED_VALUE"""),"")</f>
        <v/>
      </c>
    </row>
    <row r="691">
      <c r="A691" s="58"/>
      <c r="E691" s="78"/>
      <c r="G691" s="78"/>
      <c r="I691" s="80"/>
      <c r="K691" s="59"/>
      <c r="N691" s="71" t="str">
        <f>IFERROR(__xludf.DUMMYFUNCTION("""COMPUTED_VALUE"""),"")</f>
        <v/>
      </c>
      <c r="O691" s="71" t="str">
        <f>IFERROR(__xludf.DUMMYFUNCTION("""COMPUTED_VALUE"""),"")</f>
        <v/>
      </c>
      <c r="P691" s="71" t="str">
        <f>IFERROR(__xludf.DUMMYFUNCTION("""COMPUTED_VALUE"""),"")</f>
        <v/>
      </c>
    </row>
    <row r="692">
      <c r="A692" s="58"/>
      <c r="E692" s="78"/>
      <c r="G692" s="78"/>
      <c r="I692" s="80"/>
      <c r="K692" s="59"/>
      <c r="N692" s="71" t="str">
        <f>IFERROR(__xludf.DUMMYFUNCTION("""COMPUTED_VALUE"""),"")</f>
        <v/>
      </c>
      <c r="O692" s="71" t="str">
        <f>IFERROR(__xludf.DUMMYFUNCTION("""COMPUTED_VALUE"""),"")</f>
        <v/>
      </c>
      <c r="P692" s="71" t="str">
        <f>IFERROR(__xludf.DUMMYFUNCTION("""COMPUTED_VALUE"""),"")</f>
        <v/>
      </c>
    </row>
    <row r="693">
      <c r="A693" s="58"/>
      <c r="E693" s="78"/>
      <c r="G693" s="78"/>
      <c r="I693" s="80"/>
      <c r="K693" s="59"/>
      <c r="N693" s="71" t="str">
        <f>IFERROR(__xludf.DUMMYFUNCTION("""COMPUTED_VALUE"""),"")</f>
        <v/>
      </c>
      <c r="O693" s="71" t="str">
        <f>IFERROR(__xludf.DUMMYFUNCTION("""COMPUTED_VALUE"""),"")</f>
        <v/>
      </c>
      <c r="P693" s="71" t="str">
        <f>IFERROR(__xludf.DUMMYFUNCTION("""COMPUTED_VALUE"""),"")</f>
        <v/>
      </c>
    </row>
    <row r="694">
      <c r="A694" s="58"/>
      <c r="E694" s="78"/>
      <c r="G694" s="78"/>
      <c r="I694" s="80"/>
      <c r="K694" s="59"/>
      <c r="N694" s="71" t="str">
        <f>IFERROR(__xludf.DUMMYFUNCTION("""COMPUTED_VALUE"""),"")</f>
        <v/>
      </c>
      <c r="O694" s="71" t="str">
        <f>IFERROR(__xludf.DUMMYFUNCTION("""COMPUTED_VALUE"""),"")</f>
        <v/>
      </c>
      <c r="P694" s="71" t="str">
        <f>IFERROR(__xludf.DUMMYFUNCTION("""COMPUTED_VALUE"""),"")</f>
        <v/>
      </c>
    </row>
    <row r="695">
      <c r="A695" s="58"/>
      <c r="E695" s="78"/>
      <c r="G695" s="78"/>
      <c r="I695" s="80"/>
      <c r="K695" s="59"/>
      <c r="N695" s="71" t="str">
        <f>IFERROR(__xludf.DUMMYFUNCTION("""COMPUTED_VALUE"""),"")</f>
        <v/>
      </c>
      <c r="O695" s="71" t="str">
        <f>IFERROR(__xludf.DUMMYFUNCTION("""COMPUTED_VALUE"""),"")</f>
        <v/>
      </c>
      <c r="P695" s="71" t="str">
        <f>IFERROR(__xludf.DUMMYFUNCTION("""COMPUTED_VALUE"""),"")</f>
        <v/>
      </c>
    </row>
    <row r="696">
      <c r="A696" s="58"/>
      <c r="E696" s="78"/>
      <c r="G696" s="78"/>
      <c r="I696" s="80"/>
      <c r="K696" s="59"/>
      <c r="N696" s="71" t="str">
        <f>IFERROR(__xludf.DUMMYFUNCTION("""COMPUTED_VALUE"""),"")</f>
        <v/>
      </c>
      <c r="O696" s="71" t="str">
        <f>IFERROR(__xludf.DUMMYFUNCTION("""COMPUTED_VALUE"""),"")</f>
        <v/>
      </c>
      <c r="P696" s="71" t="str">
        <f>IFERROR(__xludf.DUMMYFUNCTION("""COMPUTED_VALUE"""),"")</f>
        <v/>
      </c>
    </row>
    <row r="697">
      <c r="A697" s="58"/>
      <c r="E697" s="78"/>
      <c r="G697" s="78"/>
      <c r="I697" s="80"/>
      <c r="K697" s="59"/>
      <c r="N697" s="71" t="str">
        <f>IFERROR(__xludf.DUMMYFUNCTION("""COMPUTED_VALUE"""),"")</f>
        <v/>
      </c>
      <c r="O697" s="71" t="str">
        <f>IFERROR(__xludf.DUMMYFUNCTION("""COMPUTED_VALUE"""),"")</f>
        <v/>
      </c>
      <c r="P697" s="71" t="str">
        <f>IFERROR(__xludf.DUMMYFUNCTION("""COMPUTED_VALUE"""),"")</f>
        <v/>
      </c>
    </row>
    <row r="698">
      <c r="A698" s="58"/>
      <c r="E698" s="78"/>
      <c r="G698" s="78"/>
      <c r="I698" s="80"/>
      <c r="K698" s="59"/>
      <c r="N698" s="71" t="str">
        <f>IFERROR(__xludf.DUMMYFUNCTION("""COMPUTED_VALUE"""),"")</f>
        <v/>
      </c>
      <c r="O698" s="71" t="str">
        <f>IFERROR(__xludf.DUMMYFUNCTION("""COMPUTED_VALUE"""),"")</f>
        <v/>
      </c>
      <c r="P698" s="71" t="str">
        <f>IFERROR(__xludf.DUMMYFUNCTION("""COMPUTED_VALUE"""),"")</f>
        <v/>
      </c>
    </row>
    <row r="699">
      <c r="A699" s="58"/>
      <c r="E699" s="78"/>
      <c r="G699" s="78"/>
      <c r="I699" s="80"/>
      <c r="K699" s="59"/>
      <c r="N699" s="71" t="str">
        <f>IFERROR(__xludf.DUMMYFUNCTION("""COMPUTED_VALUE"""),"")</f>
        <v/>
      </c>
      <c r="O699" s="71" t="str">
        <f>IFERROR(__xludf.DUMMYFUNCTION("""COMPUTED_VALUE"""),"")</f>
        <v/>
      </c>
      <c r="P699" s="71" t="str">
        <f>IFERROR(__xludf.DUMMYFUNCTION("""COMPUTED_VALUE"""),"")</f>
        <v/>
      </c>
    </row>
    <row r="700">
      <c r="A700" s="58"/>
      <c r="E700" s="78"/>
      <c r="G700" s="78"/>
      <c r="I700" s="80"/>
      <c r="K700" s="59"/>
      <c r="N700" s="71" t="str">
        <f>IFERROR(__xludf.DUMMYFUNCTION("""COMPUTED_VALUE"""),"")</f>
        <v/>
      </c>
      <c r="O700" s="71" t="str">
        <f>IFERROR(__xludf.DUMMYFUNCTION("""COMPUTED_VALUE"""),"")</f>
        <v/>
      </c>
      <c r="P700" s="71" t="str">
        <f>IFERROR(__xludf.DUMMYFUNCTION("""COMPUTED_VALUE"""),"")</f>
        <v/>
      </c>
    </row>
    <row r="701">
      <c r="A701" s="58"/>
      <c r="E701" s="78"/>
      <c r="G701" s="78"/>
      <c r="I701" s="80"/>
      <c r="K701" s="59"/>
      <c r="N701" s="71" t="str">
        <f>IFERROR(__xludf.DUMMYFUNCTION("""COMPUTED_VALUE"""),"")</f>
        <v/>
      </c>
      <c r="O701" s="71" t="str">
        <f>IFERROR(__xludf.DUMMYFUNCTION("""COMPUTED_VALUE"""),"")</f>
        <v/>
      </c>
      <c r="P701" s="71" t="str">
        <f>IFERROR(__xludf.DUMMYFUNCTION("""COMPUTED_VALUE"""),"")</f>
        <v/>
      </c>
    </row>
    <row r="702">
      <c r="A702" s="58"/>
      <c r="E702" s="78"/>
      <c r="G702" s="78"/>
      <c r="I702" s="80"/>
      <c r="K702" s="59"/>
      <c r="N702" s="71" t="str">
        <f>IFERROR(__xludf.DUMMYFUNCTION("""COMPUTED_VALUE"""),"")</f>
        <v/>
      </c>
      <c r="O702" s="71" t="str">
        <f>IFERROR(__xludf.DUMMYFUNCTION("""COMPUTED_VALUE"""),"")</f>
        <v/>
      </c>
      <c r="P702" s="71" t="str">
        <f>IFERROR(__xludf.DUMMYFUNCTION("""COMPUTED_VALUE"""),"")</f>
        <v/>
      </c>
    </row>
    <row r="703">
      <c r="A703" s="58"/>
      <c r="E703" s="78"/>
      <c r="G703" s="78"/>
      <c r="I703" s="80"/>
      <c r="K703" s="59"/>
      <c r="N703" s="71" t="str">
        <f>IFERROR(__xludf.DUMMYFUNCTION("""COMPUTED_VALUE"""),"")</f>
        <v/>
      </c>
      <c r="O703" s="71" t="str">
        <f>IFERROR(__xludf.DUMMYFUNCTION("""COMPUTED_VALUE"""),"")</f>
        <v/>
      </c>
      <c r="P703" s="71" t="str">
        <f>IFERROR(__xludf.DUMMYFUNCTION("""COMPUTED_VALUE"""),"")</f>
        <v/>
      </c>
    </row>
    <row r="704">
      <c r="A704" s="58"/>
      <c r="E704" s="78"/>
      <c r="G704" s="78"/>
      <c r="I704" s="80"/>
      <c r="K704" s="59"/>
      <c r="N704" s="71" t="str">
        <f>IFERROR(__xludf.DUMMYFUNCTION("""COMPUTED_VALUE"""),"")</f>
        <v/>
      </c>
      <c r="O704" s="71" t="str">
        <f>IFERROR(__xludf.DUMMYFUNCTION("""COMPUTED_VALUE"""),"")</f>
        <v/>
      </c>
      <c r="P704" s="71" t="str">
        <f>IFERROR(__xludf.DUMMYFUNCTION("""COMPUTED_VALUE"""),"")</f>
        <v/>
      </c>
    </row>
    <row r="705">
      <c r="A705" s="58"/>
      <c r="E705" s="78"/>
      <c r="G705" s="78"/>
      <c r="I705" s="80"/>
      <c r="K705" s="59"/>
      <c r="N705" s="71" t="str">
        <f>IFERROR(__xludf.DUMMYFUNCTION("""COMPUTED_VALUE"""),"")</f>
        <v/>
      </c>
      <c r="O705" s="71" t="str">
        <f>IFERROR(__xludf.DUMMYFUNCTION("""COMPUTED_VALUE"""),"")</f>
        <v/>
      </c>
      <c r="P705" s="71" t="str">
        <f>IFERROR(__xludf.DUMMYFUNCTION("""COMPUTED_VALUE"""),"")</f>
        <v/>
      </c>
    </row>
    <row r="706">
      <c r="A706" s="58"/>
      <c r="E706" s="78"/>
      <c r="G706" s="78"/>
      <c r="I706" s="80"/>
      <c r="K706" s="59"/>
      <c r="N706" s="71" t="str">
        <f>IFERROR(__xludf.DUMMYFUNCTION("""COMPUTED_VALUE"""),"")</f>
        <v/>
      </c>
      <c r="O706" s="71" t="str">
        <f>IFERROR(__xludf.DUMMYFUNCTION("""COMPUTED_VALUE"""),"")</f>
        <v/>
      </c>
      <c r="P706" s="71" t="str">
        <f>IFERROR(__xludf.DUMMYFUNCTION("""COMPUTED_VALUE"""),"")</f>
        <v/>
      </c>
    </row>
    <row r="707">
      <c r="A707" s="58"/>
      <c r="E707" s="78"/>
      <c r="G707" s="78"/>
      <c r="I707" s="80"/>
      <c r="K707" s="59"/>
      <c r="N707" s="71" t="str">
        <f>IFERROR(__xludf.DUMMYFUNCTION("""COMPUTED_VALUE"""),"")</f>
        <v/>
      </c>
      <c r="O707" s="71" t="str">
        <f>IFERROR(__xludf.DUMMYFUNCTION("""COMPUTED_VALUE"""),"")</f>
        <v/>
      </c>
      <c r="P707" s="71" t="str">
        <f>IFERROR(__xludf.DUMMYFUNCTION("""COMPUTED_VALUE"""),"")</f>
        <v/>
      </c>
    </row>
    <row r="708">
      <c r="A708" s="58"/>
      <c r="E708" s="78"/>
      <c r="G708" s="78"/>
      <c r="I708" s="80"/>
      <c r="K708" s="59"/>
      <c r="N708" s="71" t="str">
        <f>IFERROR(__xludf.DUMMYFUNCTION("""COMPUTED_VALUE"""),"")</f>
        <v/>
      </c>
      <c r="O708" s="71" t="str">
        <f>IFERROR(__xludf.DUMMYFUNCTION("""COMPUTED_VALUE"""),"")</f>
        <v/>
      </c>
      <c r="P708" s="71" t="str">
        <f>IFERROR(__xludf.DUMMYFUNCTION("""COMPUTED_VALUE"""),"")</f>
        <v/>
      </c>
    </row>
    <row r="709">
      <c r="A709" s="58"/>
      <c r="E709" s="78"/>
      <c r="G709" s="78"/>
      <c r="I709" s="80"/>
      <c r="K709" s="59"/>
      <c r="N709" s="71" t="str">
        <f>IFERROR(__xludf.DUMMYFUNCTION("""COMPUTED_VALUE"""),"")</f>
        <v/>
      </c>
      <c r="O709" s="71" t="str">
        <f>IFERROR(__xludf.DUMMYFUNCTION("""COMPUTED_VALUE"""),"")</f>
        <v/>
      </c>
      <c r="P709" s="71" t="str">
        <f>IFERROR(__xludf.DUMMYFUNCTION("""COMPUTED_VALUE"""),"")</f>
        <v/>
      </c>
    </row>
    <row r="710">
      <c r="A710" s="58"/>
      <c r="E710" s="78"/>
      <c r="G710" s="78"/>
      <c r="I710" s="80"/>
      <c r="K710" s="59"/>
      <c r="N710" s="71" t="str">
        <f>IFERROR(__xludf.DUMMYFUNCTION("""COMPUTED_VALUE"""),"")</f>
        <v/>
      </c>
      <c r="O710" s="71" t="str">
        <f>IFERROR(__xludf.DUMMYFUNCTION("""COMPUTED_VALUE"""),"")</f>
        <v/>
      </c>
      <c r="P710" s="71" t="str">
        <f>IFERROR(__xludf.DUMMYFUNCTION("""COMPUTED_VALUE"""),"")</f>
        <v/>
      </c>
    </row>
    <row r="711">
      <c r="A711" s="58"/>
      <c r="E711" s="78"/>
      <c r="G711" s="78"/>
      <c r="I711" s="80"/>
      <c r="K711" s="59"/>
      <c r="N711" s="71" t="str">
        <f>IFERROR(__xludf.DUMMYFUNCTION("""COMPUTED_VALUE"""),"")</f>
        <v/>
      </c>
      <c r="O711" s="71" t="str">
        <f>IFERROR(__xludf.DUMMYFUNCTION("""COMPUTED_VALUE"""),"")</f>
        <v/>
      </c>
      <c r="P711" s="71" t="str">
        <f>IFERROR(__xludf.DUMMYFUNCTION("""COMPUTED_VALUE"""),"")</f>
        <v/>
      </c>
    </row>
    <row r="712">
      <c r="A712" s="58"/>
      <c r="E712" s="78"/>
      <c r="G712" s="78"/>
      <c r="I712" s="80"/>
      <c r="K712" s="59"/>
      <c r="N712" s="71" t="str">
        <f>IFERROR(__xludf.DUMMYFUNCTION("""COMPUTED_VALUE"""),"")</f>
        <v/>
      </c>
      <c r="O712" s="71" t="str">
        <f>IFERROR(__xludf.DUMMYFUNCTION("""COMPUTED_VALUE"""),"")</f>
        <v/>
      </c>
      <c r="P712" s="71" t="str">
        <f>IFERROR(__xludf.DUMMYFUNCTION("""COMPUTED_VALUE"""),"")</f>
        <v/>
      </c>
    </row>
    <row r="713">
      <c r="A713" s="58"/>
      <c r="E713" s="78"/>
      <c r="G713" s="78"/>
      <c r="I713" s="80"/>
      <c r="K713" s="59"/>
      <c r="N713" s="71" t="str">
        <f>IFERROR(__xludf.DUMMYFUNCTION("""COMPUTED_VALUE"""),"")</f>
        <v/>
      </c>
      <c r="O713" s="71" t="str">
        <f>IFERROR(__xludf.DUMMYFUNCTION("""COMPUTED_VALUE"""),"")</f>
        <v/>
      </c>
      <c r="P713" s="71" t="str">
        <f>IFERROR(__xludf.DUMMYFUNCTION("""COMPUTED_VALUE"""),"")</f>
        <v/>
      </c>
    </row>
    <row r="714">
      <c r="A714" s="58"/>
      <c r="E714" s="78"/>
      <c r="G714" s="78"/>
      <c r="I714" s="80"/>
      <c r="K714" s="59"/>
      <c r="N714" s="71" t="str">
        <f>IFERROR(__xludf.DUMMYFUNCTION("""COMPUTED_VALUE"""),"")</f>
        <v/>
      </c>
      <c r="O714" s="71" t="str">
        <f>IFERROR(__xludf.DUMMYFUNCTION("""COMPUTED_VALUE"""),"")</f>
        <v/>
      </c>
      <c r="P714" s="71" t="str">
        <f>IFERROR(__xludf.DUMMYFUNCTION("""COMPUTED_VALUE"""),"")</f>
        <v/>
      </c>
    </row>
    <row r="715">
      <c r="A715" s="58"/>
      <c r="E715" s="78"/>
      <c r="G715" s="78"/>
      <c r="I715" s="80"/>
      <c r="K715" s="59"/>
      <c r="N715" s="71" t="str">
        <f>IFERROR(__xludf.DUMMYFUNCTION("""COMPUTED_VALUE"""),"")</f>
        <v/>
      </c>
      <c r="O715" s="71" t="str">
        <f>IFERROR(__xludf.DUMMYFUNCTION("""COMPUTED_VALUE"""),"")</f>
        <v/>
      </c>
      <c r="P715" s="71" t="str">
        <f>IFERROR(__xludf.DUMMYFUNCTION("""COMPUTED_VALUE"""),"")</f>
        <v/>
      </c>
    </row>
    <row r="716">
      <c r="A716" s="58"/>
      <c r="E716" s="78"/>
      <c r="G716" s="78"/>
      <c r="I716" s="80"/>
      <c r="K716" s="59"/>
      <c r="N716" s="71" t="str">
        <f>IFERROR(__xludf.DUMMYFUNCTION("""COMPUTED_VALUE"""),"")</f>
        <v/>
      </c>
      <c r="O716" s="71" t="str">
        <f>IFERROR(__xludf.DUMMYFUNCTION("""COMPUTED_VALUE"""),"")</f>
        <v/>
      </c>
      <c r="P716" s="71" t="str">
        <f>IFERROR(__xludf.DUMMYFUNCTION("""COMPUTED_VALUE"""),"")</f>
        <v/>
      </c>
    </row>
    <row r="717">
      <c r="A717" s="58"/>
      <c r="E717" s="78"/>
      <c r="G717" s="78"/>
      <c r="I717" s="80"/>
      <c r="K717" s="59"/>
      <c r="N717" s="71" t="str">
        <f>IFERROR(__xludf.DUMMYFUNCTION("""COMPUTED_VALUE"""),"")</f>
        <v/>
      </c>
      <c r="O717" s="71" t="str">
        <f>IFERROR(__xludf.DUMMYFUNCTION("""COMPUTED_VALUE"""),"")</f>
        <v/>
      </c>
      <c r="P717" s="71" t="str">
        <f>IFERROR(__xludf.DUMMYFUNCTION("""COMPUTED_VALUE"""),"")</f>
        <v/>
      </c>
    </row>
    <row r="718">
      <c r="A718" s="58"/>
      <c r="E718" s="78"/>
      <c r="G718" s="78"/>
      <c r="I718" s="80"/>
      <c r="K718" s="59"/>
      <c r="N718" s="71" t="str">
        <f>IFERROR(__xludf.DUMMYFUNCTION("""COMPUTED_VALUE"""),"")</f>
        <v/>
      </c>
      <c r="O718" s="71" t="str">
        <f>IFERROR(__xludf.DUMMYFUNCTION("""COMPUTED_VALUE"""),"")</f>
        <v/>
      </c>
      <c r="P718" s="71" t="str">
        <f>IFERROR(__xludf.DUMMYFUNCTION("""COMPUTED_VALUE"""),"")</f>
        <v/>
      </c>
    </row>
    <row r="719">
      <c r="A719" s="58"/>
      <c r="E719" s="78"/>
      <c r="G719" s="78"/>
      <c r="I719" s="80"/>
      <c r="K719" s="59"/>
      <c r="N719" s="71" t="str">
        <f>IFERROR(__xludf.DUMMYFUNCTION("""COMPUTED_VALUE"""),"")</f>
        <v/>
      </c>
      <c r="O719" s="71" t="str">
        <f>IFERROR(__xludf.DUMMYFUNCTION("""COMPUTED_VALUE"""),"")</f>
        <v/>
      </c>
      <c r="P719" s="71" t="str">
        <f>IFERROR(__xludf.DUMMYFUNCTION("""COMPUTED_VALUE"""),"")</f>
        <v/>
      </c>
    </row>
    <row r="720">
      <c r="A720" s="58"/>
      <c r="E720" s="78"/>
      <c r="G720" s="78"/>
      <c r="I720" s="80"/>
      <c r="K720" s="59"/>
      <c r="N720" s="71" t="str">
        <f>IFERROR(__xludf.DUMMYFUNCTION("""COMPUTED_VALUE"""),"")</f>
        <v/>
      </c>
      <c r="O720" s="71" t="str">
        <f>IFERROR(__xludf.DUMMYFUNCTION("""COMPUTED_VALUE"""),"")</f>
        <v/>
      </c>
      <c r="P720" s="71" t="str">
        <f>IFERROR(__xludf.DUMMYFUNCTION("""COMPUTED_VALUE"""),"")</f>
        <v/>
      </c>
    </row>
    <row r="721">
      <c r="A721" s="58"/>
      <c r="E721" s="78"/>
      <c r="G721" s="78"/>
      <c r="I721" s="80"/>
      <c r="K721" s="59"/>
      <c r="N721" s="71" t="str">
        <f>IFERROR(__xludf.DUMMYFUNCTION("""COMPUTED_VALUE"""),"")</f>
        <v/>
      </c>
      <c r="O721" s="71" t="str">
        <f>IFERROR(__xludf.DUMMYFUNCTION("""COMPUTED_VALUE"""),"")</f>
        <v/>
      </c>
      <c r="P721" s="71" t="str">
        <f>IFERROR(__xludf.DUMMYFUNCTION("""COMPUTED_VALUE"""),"")</f>
        <v/>
      </c>
    </row>
    <row r="722">
      <c r="A722" s="58"/>
      <c r="E722" s="78"/>
      <c r="G722" s="78"/>
      <c r="I722" s="80"/>
      <c r="K722" s="59"/>
      <c r="N722" s="71" t="str">
        <f>IFERROR(__xludf.DUMMYFUNCTION("""COMPUTED_VALUE"""),"")</f>
        <v/>
      </c>
      <c r="O722" s="71" t="str">
        <f>IFERROR(__xludf.DUMMYFUNCTION("""COMPUTED_VALUE"""),"")</f>
        <v/>
      </c>
      <c r="P722" s="71" t="str">
        <f>IFERROR(__xludf.DUMMYFUNCTION("""COMPUTED_VALUE"""),"")</f>
        <v/>
      </c>
    </row>
    <row r="723">
      <c r="A723" s="58"/>
      <c r="E723" s="78"/>
      <c r="G723" s="78"/>
      <c r="I723" s="80"/>
      <c r="K723" s="59"/>
      <c r="N723" s="71" t="str">
        <f>IFERROR(__xludf.DUMMYFUNCTION("""COMPUTED_VALUE"""),"")</f>
        <v/>
      </c>
      <c r="O723" s="71" t="str">
        <f>IFERROR(__xludf.DUMMYFUNCTION("""COMPUTED_VALUE"""),"")</f>
        <v/>
      </c>
      <c r="P723" s="71" t="str">
        <f>IFERROR(__xludf.DUMMYFUNCTION("""COMPUTED_VALUE"""),"")</f>
        <v/>
      </c>
    </row>
    <row r="724">
      <c r="A724" s="58"/>
      <c r="E724" s="78"/>
      <c r="G724" s="78"/>
      <c r="I724" s="80"/>
      <c r="K724" s="59"/>
      <c r="N724" s="71" t="str">
        <f>IFERROR(__xludf.DUMMYFUNCTION("""COMPUTED_VALUE"""),"")</f>
        <v/>
      </c>
      <c r="O724" s="71" t="str">
        <f>IFERROR(__xludf.DUMMYFUNCTION("""COMPUTED_VALUE"""),"")</f>
        <v/>
      </c>
      <c r="P724" s="71" t="str">
        <f>IFERROR(__xludf.DUMMYFUNCTION("""COMPUTED_VALUE"""),"")</f>
        <v/>
      </c>
    </row>
    <row r="725">
      <c r="A725" s="58"/>
      <c r="E725" s="78"/>
      <c r="G725" s="78"/>
      <c r="I725" s="80"/>
      <c r="K725" s="59"/>
      <c r="N725" s="71" t="str">
        <f>IFERROR(__xludf.DUMMYFUNCTION("""COMPUTED_VALUE"""),"")</f>
        <v/>
      </c>
      <c r="O725" s="71" t="str">
        <f>IFERROR(__xludf.DUMMYFUNCTION("""COMPUTED_VALUE"""),"")</f>
        <v/>
      </c>
      <c r="P725" s="71" t="str">
        <f>IFERROR(__xludf.DUMMYFUNCTION("""COMPUTED_VALUE"""),"")</f>
        <v/>
      </c>
    </row>
    <row r="726">
      <c r="A726" s="58"/>
      <c r="E726" s="78"/>
      <c r="G726" s="78"/>
      <c r="I726" s="80"/>
      <c r="K726" s="59"/>
      <c r="N726" s="71" t="str">
        <f>IFERROR(__xludf.DUMMYFUNCTION("""COMPUTED_VALUE"""),"")</f>
        <v/>
      </c>
      <c r="O726" s="71" t="str">
        <f>IFERROR(__xludf.DUMMYFUNCTION("""COMPUTED_VALUE"""),"")</f>
        <v/>
      </c>
      <c r="P726" s="71" t="str">
        <f>IFERROR(__xludf.DUMMYFUNCTION("""COMPUTED_VALUE"""),"")</f>
        <v/>
      </c>
    </row>
    <row r="727">
      <c r="A727" s="58"/>
      <c r="E727" s="78"/>
      <c r="G727" s="78"/>
      <c r="I727" s="80"/>
      <c r="K727" s="59"/>
      <c r="N727" s="71" t="str">
        <f>IFERROR(__xludf.DUMMYFUNCTION("""COMPUTED_VALUE"""),"")</f>
        <v/>
      </c>
      <c r="O727" s="71" t="str">
        <f>IFERROR(__xludf.DUMMYFUNCTION("""COMPUTED_VALUE"""),"")</f>
        <v/>
      </c>
      <c r="P727" s="71" t="str">
        <f>IFERROR(__xludf.DUMMYFUNCTION("""COMPUTED_VALUE"""),"")</f>
        <v/>
      </c>
    </row>
    <row r="728">
      <c r="A728" s="58"/>
      <c r="E728" s="78"/>
      <c r="G728" s="78"/>
      <c r="I728" s="80"/>
      <c r="K728" s="59"/>
      <c r="N728" s="71" t="str">
        <f>IFERROR(__xludf.DUMMYFUNCTION("""COMPUTED_VALUE"""),"")</f>
        <v/>
      </c>
      <c r="O728" s="71" t="str">
        <f>IFERROR(__xludf.DUMMYFUNCTION("""COMPUTED_VALUE"""),"")</f>
        <v/>
      </c>
      <c r="P728" s="71" t="str">
        <f>IFERROR(__xludf.DUMMYFUNCTION("""COMPUTED_VALUE"""),"")</f>
        <v/>
      </c>
    </row>
    <row r="729">
      <c r="A729" s="58"/>
      <c r="E729" s="78"/>
      <c r="G729" s="78"/>
      <c r="I729" s="80"/>
      <c r="K729" s="59"/>
      <c r="N729" s="71" t="str">
        <f>IFERROR(__xludf.DUMMYFUNCTION("""COMPUTED_VALUE"""),"")</f>
        <v/>
      </c>
      <c r="O729" s="71" t="str">
        <f>IFERROR(__xludf.DUMMYFUNCTION("""COMPUTED_VALUE"""),"")</f>
        <v/>
      </c>
      <c r="P729" s="71" t="str">
        <f>IFERROR(__xludf.DUMMYFUNCTION("""COMPUTED_VALUE"""),"")</f>
        <v/>
      </c>
    </row>
    <row r="730">
      <c r="A730" s="58"/>
      <c r="E730" s="78"/>
      <c r="G730" s="78"/>
      <c r="I730" s="80"/>
      <c r="K730" s="59"/>
      <c r="N730" s="71" t="str">
        <f>IFERROR(__xludf.DUMMYFUNCTION("""COMPUTED_VALUE"""),"")</f>
        <v/>
      </c>
      <c r="O730" s="71" t="str">
        <f>IFERROR(__xludf.DUMMYFUNCTION("""COMPUTED_VALUE"""),"")</f>
        <v/>
      </c>
      <c r="P730" s="71" t="str">
        <f>IFERROR(__xludf.DUMMYFUNCTION("""COMPUTED_VALUE"""),"")</f>
        <v/>
      </c>
    </row>
    <row r="731">
      <c r="A731" s="58"/>
      <c r="E731" s="78"/>
      <c r="G731" s="78"/>
      <c r="I731" s="80"/>
      <c r="K731" s="59"/>
      <c r="N731" s="71" t="str">
        <f>IFERROR(__xludf.DUMMYFUNCTION("""COMPUTED_VALUE"""),"")</f>
        <v/>
      </c>
      <c r="O731" s="71" t="str">
        <f>IFERROR(__xludf.DUMMYFUNCTION("""COMPUTED_VALUE"""),"")</f>
        <v/>
      </c>
      <c r="P731" s="71" t="str">
        <f>IFERROR(__xludf.DUMMYFUNCTION("""COMPUTED_VALUE"""),"")</f>
        <v/>
      </c>
    </row>
    <row r="732">
      <c r="A732" s="58"/>
      <c r="E732" s="78"/>
      <c r="G732" s="78"/>
      <c r="I732" s="80"/>
      <c r="K732" s="59"/>
      <c r="N732" s="71" t="str">
        <f>IFERROR(__xludf.DUMMYFUNCTION("""COMPUTED_VALUE"""),"")</f>
        <v/>
      </c>
      <c r="O732" s="71" t="str">
        <f>IFERROR(__xludf.DUMMYFUNCTION("""COMPUTED_VALUE"""),"")</f>
        <v/>
      </c>
      <c r="P732" s="71" t="str">
        <f>IFERROR(__xludf.DUMMYFUNCTION("""COMPUTED_VALUE"""),"")</f>
        <v/>
      </c>
    </row>
    <row r="733">
      <c r="A733" s="58"/>
      <c r="E733" s="78"/>
      <c r="G733" s="78"/>
      <c r="I733" s="80"/>
      <c r="K733" s="59"/>
      <c r="N733" s="71" t="str">
        <f>IFERROR(__xludf.DUMMYFUNCTION("""COMPUTED_VALUE"""),"")</f>
        <v/>
      </c>
      <c r="O733" s="71" t="str">
        <f>IFERROR(__xludf.DUMMYFUNCTION("""COMPUTED_VALUE"""),"")</f>
        <v/>
      </c>
      <c r="P733" s="71" t="str">
        <f>IFERROR(__xludf.DUMMYFUNCTION("""COMPUTED_VALUE"""),"")</f>
        <v/>
      </c>
    </row>
    <row r="734">
      <c r="A734" s="58"/>
      <c r="E734" s="78"/>
      <c r="G734" s="78"/>
      <c r="I734" s="80"/>
      <c r="K734" s="59"/>
      <c r="N734" s="71" t="str">
        <f>IFERROR(__xludf.DUMMYFUNCTION("""COMPUTED_VALUE"""),"")</f>
        <v/>
      </c>
      <c r="O734" s="71" t="str">
        <f>IFERROR(__xludf.DUMMYFUNCTION("""COMPUTED_VALUE"""),"")</f>
        <v/>
      </c>
      <c r="P734" s="71" t="str">
        <f>IFERROR(__xludf.DUMMYFUNCTION("""COMPUTED_VALUE"""),"")</f>
        <v/>
      </c>
    </row>
    <row r="735">
      <c r="A735" s="58"/>
      <c r="E735" s="78"/>
      <c r="G735" s="78"/>
      <c r="I735" s="80"/>
      <c r="K735" s="59"/>
      <c r="N735" s="71" t="str">
        <f>IFERROR(__xludf.DUMMYFUNCTION("""COMPUTED_VALUE"""),"")</f>
        <v/>
      </c>
      <c r="O735" s="71" t="str">
        <f>IFERROR(__xludf.DUMMYFUNCTION("""COMPUTED_VALUE"""),"")</f>
        <v/>
      </c>
      <c r="P735" s="71" t="str">
        <f>IFERROR(__xludf.DUMMYFUNCTION("""COMPUTED_VALUE"""),"")</f>
        <v/>
      </c>
    </row>
    <row r="736">
      <c r="A736" s="58"/>
      <c r="E736" s="78"/>
      <c r="G736" s="78"/>
      <c r="I736" s="80"/>
      <c r="K736" s="59"/>
      <c r="N736" s="71" t="str">
        <f>IFERROR(__xludf.DUMMYFUNCTION("""COMPUTED_VALUE"""),"")</f>
        <v/>
      </c>
      <c r="O736" s="71" t="str">
        <f>IFERROR(__xludf.DUMMYFUNCTION("""COMPUTED_VALUE"""),"")</f>
        <v/>
      </c>
      <c r="P736" s="71" t="str">
        <f>IFERROR(__xludf.DUMMYFUNCTION("""COMPUTED_VALUE"""),"")</f>
        <v/>
      </c>
    </row>
    <row r="737">
      <c r="A737" s="58"/>
      <c r="E737" s="78"/>
      <c r="G737" s="78"/>
      <c r="I737" s="80"/>
      <c r="K737" s="59"/>
      <c r="N737" s="71" t="str">
        <f>IFERROR(__xludf.DUMMYFUNCTION("""COMPUTED_VALUE"""),"")</f>
        <v/>
      </c>
      <c r="O737" s="71" t="str">
        <f>IFERROR(__xludf.DUMMYFUNCTION("""COMPUTED_VALUE"""),"")</f>
        <v/>
      </c>
      <c r="P737" s="71" t="str">
        <f>IFERROR(__xludf.DUMMYFUNCTION("""COMPUTED_VALUE"""),"")</f>
        <v/>
      </c>
    </row>
    <row r="738">
      <c r="A738" s="58"/>
      <c r="E738" s="78"/>
      <c r="G738" s="78"/>
      <c r="I738" s="80"/>
      <c r="K738" s="59"/>
      <c r="N738" s="71" t="str">
        <f>IFERROR(__xludf.DUMMYFUNCTION("""COMPUTED_VALUE"""),"")</f>
        <v/>
      </c>
      <c r="O738" s="71" t="str">
        <f>IFERROR(__xludf.DUMMYFUNCTION("""COMPUTED_VALUE"""),"")</f>
        <v/>
      </c>
      <c r="P738" s="71" t="str">
        <f>IFERROR(__xludf.DUMMYFUNCTION("""COMPUTED_VALUE"""),"")</f>
        <v/>
      </c>
    </row>
    <row r="739">
      <c r="A739" s="58"/>
      <c r="E739" s="78"/>
      <c r="G739" s="78"/>
      <c r="I739" s="80"/>
      <c r="K739" s="59"/>
      <c r="N739" s="71" t="str">
        <f>IFERROR(__xludf.DUMMYFUNCTION("""COMPUTED_VALUE"""),"")</f>
        <v/>
      </c>
      <c r="O739" s="71" t="str">
        <f>IFERROR(__xludf.DUMMYFUNCTION("""COMPUTED_VALUE"""),"")</f>
        <v/>
      </c>
      <c r="P739" s="71" t="str">
        <f>IFERROR(__xludf.DUMMYFUNCTION("""COMPUTED_VALUE"""),"")</f>
        <v/>
      </c>
    </row>
    <row r="740">
      <c r="A740" s="58"/>
      <c r="E740" s="78"/>
      <c r="G740" s="78"/>
      <c r="I740" s="80"/>
      <c r="K740" s="59"/>
      <c r="N740" s="71" t="str">
        <f>IFERROR(__xludf.DUMMYFUNCTION("""COMPUTED_VALUE"""),"")</f>
        <v/>
      </c>
      <c r="O740" s="71" t="str">
        <f>IFERROR(__xludf.DUMMYFUNCTION("""COMPUTED_VALUE"""),"")</f>
        <v/>
      </c>
      <c r="P740" s="71" t="str">
        <f>IFERROR(__xludf.DUMMYFUNCTION("""COMPUTED_VALUE"""),"")</f>
        <v/>
      </c>
    </row>
    <row r="741">
      <c r="A741" s="58"/>
      <c r="E741" s="78"/>
      <c r="G741" s="78"/>
      <c r="I741" s="80"/>
      <c r="K741" s="59"/>
      <c r="N741" s="71" t="str">
        <f>IFERROR(__xludf.DUMMYFUNCTION("""COMPUTED_VALUE"""),"")</f>
        <v/>
      </c>
      <c r="O741" s="71" t="str">
        <f>IFERROR(__xludf.DUMMYFUNCTION("""COMPUTED_VALUE"""),"")</f>
        <v/>
      </c>
      <c r="P741" s="71" t="str">
        <f>IFERROR(__xludf.DUMMYFUNCTION("""COMPUTED_VALUE"""),"")</f>
        <v/>
      </c>
    </row>
    <row r="742">
      <c r="A742" s="58"/>
      <c r="E742" s="78"/>
      <c r="G742" s="78"/>
      <c r="I742" s="80"/>
      <c r="K742" s="59"/>
      <c r="N742" s="71" t="str">
        <f>IFERROR(__xludf.DUMMYFUNCTION("""COMPUTED_VALUE"""),"")</f>
        <v/>
      </c>
      <c r="O742" s="71" t="str">
        <f>IFERROR(__xludf.DUMMYFUNCTION("""COMPUTED_VALUE"""),"")</f>
        <v/>
      </c>
      <c r="P742" s="71" t="str">
        <f>IFERROR(__xludf.DUMMYFUNCTION("""COMPUTED_VALUE"""),"")</f>
        <v/>
      </c>
    </row>
    <row r="743">
      <c r="A743" s="58"/>
      <c r="E743" s="78"/>
      <c r="G743" s="78"/>
      <c r="I743" s="80"/>
      <c r="K743" s="59"/>
      <c r="N743" s="71" t="str">
        <f>IFERROR(__xludf.DUMMYFUNCTION("""COMPUTED_VALUE"""),"")</f>
        <v/>
      </c>
      <c r="O743" s="71" t="str">
        <f>IFERROR(__xludf.DUMMYFUNCTION("""COMPUTED_VALUE"""),"")</f>
        <v/>
      </c>
      <c r="P743" s="71" t="str">
        <f>IFERROR(__xludf.DUMMYFUNCTION("""COMPUTED_VALUE"""),"")</f>
        <v/>
      </c>
    </row>
    <row r="744">
      <c r="A744" s="58"/>
      <c r="E744" s="78"/>
      <c r="G744" s="78"/>
      <c r="I744" s="80"/>
      <c r="K744" s="59"/>
      <c r="N744" s="71" t="str">
        <f>IFERROR(__xludf.DUMMYFUNCTION("""COMPUTED_VALUE"""),"")</f>
        <v/>
      </c>
      <c r="O744" s="71" t="str">
        <f>IFERROR(__xludf.DUMMYFUNCTION("""COMPUTED_VALUE"""),"")</f>
        <v/>
      </c>
      <c r="P744" s="71" t="str">
        <f>IFERROR(__xludf.DUMMYFUNCTION("""COMPUTED_VALUE"""),"")</f>
        <v/>
      </c>
    </row>
    <row r="745">
      <c r="A745" s="58"/>
      <c r="E745" s="78"/>
      <c r="G745" s="78"/>
      <c r="I745" s="80"/>
      <c r="K745" s="59"/>
      <c r="N745" s="71" t="str">
        <f>IFERROR(__xludf.DUMMYFUNCTION("""COMPUTED_VALUE"""),"")</f>
        <v/>
      </c>
      <c r="O745" s="71" t="str">
        <f>IFERROR(__xludf.DUMMYFUNCTION("""COMPUTED_VALUE"""),"")</f>
        <v/>
      </c>
      <c r="P745" s="71" t="str">
        <f>IFERROR(__xludf.DUMMYFUNCTION("""COMPUTED_VALUE"""),"")</f>
        <v/>
      </c>
    </row>
    <row r="746">
      <c r="A746" s="58"/>
      <c r="E746" s="78"/>
      <c r="G746" s="78"/>
      <c r="I746" s="80"/>
      <c r="K746" s="59"/>
      <c r="N746" s="71" t="str">
        <f>IFERROR(__xludf.DUMMYFUNCTION("""COMPUTED_VALUE"""),"")</f>
        <v/>
      </c>
      <c r="O746" s="71" t="str">
        <f>IFERROR(__xludf.DUMMYFUNCTION("""COMPUTED_VALUE"""),"")</f>
        <v/>
      </c>
      <c r="P746" s="71" t="str">
        <f>IFERROR(__xludf.DUMMYFUNCTION("""COMPUTED_VALUE"""),"")</f>
        <v/>
      </c>
    </row>
    <row r="747">
      <c r="A747" s="58"/>
      <c r="E747" s="78"/>
      <c r="G747" s="78"/>
      <c r="I747" s="80"/>
      <c r="K747" s="59"/>
      <c r="N747" s="71" t="str">
        <f>IFERROR(__xludf.DUMMYFUNCTION("""COMPUTED_VALUE"""),"")</f>
        <v/>
      </c>
      <c r="O747" s="71" t="str">
        <f>IFERROR(__xludf.DUMMYFUNCTION("""COMPUTED_VALUE"""),"")</f>
        <v/>
      </c>
      <c r="P747" s="71" t="str">
        <f>IFERROR(__xludf.DUMMYFUNCTION("""COMPUTED_VALUE"""),"")</f>
        <v/>
      </c>
    </row>
    <row r="748">
      <c r="A748" s="58"/>
      <c r="E748" s="78"/>
      <c r="G748" s="78"/>
      <c r="I748" s="80"/>
      <c r="K748" s="59"/>
      <c r="N748" s="71" t="str">
        <f>IFERROR(__xludf.DUMMYFUNCTION("""COMPUTED_VALUE"""),"")</f>
        <v/>
      </c>
      <c r="O748" s="71" t="str">
        <f>IFERROR(__xludf.DUMMYFUNCTION("""COMPUTED_VALUE"""),"")</f>
        <v/>
      </c>
      <c r="P748" s="71" t="str">
        <f>IFERROR(__xludf.DUMMYFUNCTION("""COMPUTED_VALUE"""),"")</f>
        <v/>
      </c>
    </row>
    <row r="749">
      <c r="A749" s="58"/>
      <c r="E749" s="78"/>
      <c r="G749" s="78"/>
      <c r="I749" s="80"/>
      <c r="K749" s="59"/>
      <c r="N749" s="71" t="str">
        <f>IFERROR(__xludf.DUMMYFUNCTION("""COMPUTED_VALUE"""),"")</f>
        <v/>
      </c>
      <c r="O749" s="71" t="str">
        <f>IFERROR(__xludf.DUMMYFUNCTION("""COMPUTED_VALUE"""),"")</f>
        <v/>
      </c>
      <c r="P749" s="71" t="str">
        <f>IFERROR(__xludf.DUMMYFUNCTION("""COMPUTED_VALUE"""),"")</f>
        <v/>
      </c>
    </row>
    <row r="750">
      <c r="A750" s="58"/>
      <c r="E750" s="78"/>
      <c r="G750" s="78"/>
      <c r="I750" s="80"/>
      <c r="K750" s="59"/>
      <c r="N750" s="71" t="str">
        <f>IFERROR(__xludf.DUMMYFUNCTION("""COMPUTED_VALUE"""),"")</f>
        <v/>
      </c>
      <c r="O750" s="71" t="str">
        <f>IFERROR(__xludf.DUMMYFUNCTION("""COMPUTED_VALUE"""),"")</f>
        <v/>
      </c>
      <c r="P750" s="71" t="str">
        <f>IFERROR(__xludf.DUMMYFUNCTION("""COMPUTED_VALUE"""),"")</f>
        <v/>
      </c>
    </row>
    <row r="751">
      <c r="A751" s="58"/>
      <c r="E751" s="78"/>
      <c r="G751" s="78"/>
      <c r="I751" s="80"/>
      <c r="K751" s="59"/>
      <c r="N751" s="71" t="str">
        <f>IFERROR(__xludf.DUMMYFUNCTION("""COMPUTED_VALUE"""),"")</f>
        <v/>
      </c>
      <c r="O751" s="71" t="str">
        <f>IFERROR(__xludf.DUMMYFUNCTION("""COMPUTED_VALUE"""),"")</f>
        <v/>
      </c>
      <c r="P751" s="71" t="str">
        <f>IFERROR(__xludf.DUMMYFUNCTION("""COMPUTED_VALUE"""),"")</f>
        <v/>
      </c>
    </row>
    <row r="752">
      <c r="A752" s="58"/>
      <c r="E752" s="78"/>
      <c r="G752" s="78"/>
      <c r="I752" s="80"/>
      <c r="K752" s="59"/>
      <c r="N752" s="71" t="str">
        <f>IFERROR(__xludf.DUMMYFUNCTION("""COMPUTED_VALUE"""),"")</f>
        <v/>
      </c>
      <c r="O752" s="71" t="str">
        <f>IFERROR(__xludf.DUMMYFUNCTION("""COMPUTED_VALUE"""),"")</f>
        <v/>
      </c>
      <c r="P752" s="71" t="str">
        <f>IFERROR(__xludf.DUMMYFUNCTION("""COMPUTED_VALUE"""),"")</f>
        <v/>
      </c>
    </row>
    <row r="753">
      <c r="A753" s="58"/>
      <c r="E753" s="78"/>
      <c r="G753" s="78"/>
      <c r="I753" s="80"/>
      <c r="K753" s="59"/>
      <c r="N753" s="71" t="str">
        <f>IFERROR(__xludf.DUMMYFUNCTION("""COMPUTED_VALUE"""),"")</f>
        <v/>
      </c>
      <c r="O753" s="71" t="str">
        <f>IFERROR(__xludf.DUMMYFUNCTION("""COMPUTED_VALUE"""),"")</f>
        <v/>
      </c>
      <c r="P753" s="71" t="str">
        <f>IFERROR(__xludf.DUMMYFUNCTION("""COMPUTED_VALUE"""),"")</f>
        <v/>
      </c>
    </row>
    <row r="754">
      <c r="A754" s="58"/>
      <c r="E754" s="78"/>
      <c r="G754" s="78"/>
      <c r="I754" s="80"/>
      <c r="K754" s="59"/>
      <c r="N754" s="71" t="str">
        <f>IFERROR(__xludf.DUMMYFUNCTION("""COMPUTED_VALUE"""),"")</f>
        <v/>
      </c>
      <c r="O754" s="71" t="str">
        <f>IFERROR(__xludf.DUMMYFUNCTION("""COMPUTED_VALUE"""),"")</f>
        <v/>
      </c>
      <c r="P754" s="71" t="str">
        <f>IFERROR(__xludf.DUMMYFUNCTION("""COMPUTED_VALUE"""),"")</f>
        <v/>
      </c>
    </row>
    <row r="755">
      <c r="A755" s="58"/>
      <c r="E755" s="78"/>
      <c r="G755" s="78"/>
      <c r="I755" s="80"/>
      <c r="K755" s="59"/>
      <c r="N755" s="71" t="str">
        <f>IFERROR(__xludf.DUMMYFUNCTION("""COMPUTED_VALUE"""),"")</f>
        <v/>
      </c>
      <c r="O755" s="71" t="str">
        <f>IFERROR(__xludf.DUMMYFUNCTION("""COMPUTED_VALUE"""),"")</f>
        <v/>
      </c>
      <c r="P755" s="71" t="str">
        <f>IFERROR(__xludf.DUMMYFUNCTION("""COMPUTED_VALUE"""),"")</f>
        <v/>
      </c>
    </row>
    <row r="756">
      <c r="A756" s="58"/>
      <c r="E756" s="78"/>
      <c r="G756" s="78"/>
      <c r="I756" s="80"/>
      <c r="K756" s="59"/>
      <c r="N756" s="71" t="str">
        <f>IFERROR(__xludf.DUMMYFUNCTION("""COMPUTED_VALUE"""),"")</f>
        <v/>
      </c>
      <c r="O756" s="71" t="str">
        <f>IFERROR(__xludf.DUMMYFUNCTION("""COMPUTED_VALUE"""),"")</f>
        <v/>
      </c>
      <c r="P756" s="71" t="str">
        <f>IFERROR(__xludf.DUMMYFUNCTION("""COMPUTED_VALUE"""),"")</f>
        <v/>
      </c>
    </row>
    <row r="757">
      <c r="A757" s="58"/>
      <c r="E757" s="78"/>
      <c r="G757" s="78"/>
      <c r="I757" s="80"/>
      <c r="K757" s="59"/>
      <c r="N757" s="71" t="str">
        <f>IFERROR(__xludf.DUMMYFUNCTION("""COMPUTED_VALUE"""),"")</f>
        <v/>
      </c>
      <c r="O757" s="71" t="str">
        <f>IFERROR(__xludf.DUMMYFUNCTION("""COMPUTED_VALUE"""),"")</f>
        <v/>
      </c>
      <c r="P757" s="71" t="str">
        <f>IFERROR(__xludf.DUMMYFUNCTION("""COMPUTED_VALUE"""),"")</f>
        <v/>
      </c>
    </row>
    <row r="758">
      <c r="A758" s="58"/>
      <c r="E758" s="78"/>
      <c r="G758" s="78"/>
      <c r="I758" s="80"/>
      <c r="K758" s="59"/>
      <c r="N758" s="71" t="str">
        <f>IFERROR(__xludf.DUMMYFUNCTION("""COMPUTED_VALUE"""),"")</f>
        <v/>
      </c>
      <c r="O758" s="71" t="str">
        <f>IFERROR(__xludf.DUMMYFUNCTION("""COMPUTED_VALUE"""),"")</f>
        <v/>
      </c>
      <c r="P758" s="71" t="str">
        <f>IFERROR(__xludf.DUMMYFUNCTION("""COMPUTED_VALUE"""),"")</f>
        <v/>
      </c>
    </row>
    <row r="759">
      <c r="A759" s="58"/>
      <c r="E759" s="78"/>
      <c r="G759" s="78"/>
      <c r="I759" s="80"/>
      <c r="K759" s="59"/>
      <c r="N759" s="71" t="str">
        <f>IFERROR(__xludf.DUMMYFUNCTION("""COMPUTED_VALUE"""),"")</f>
        <v/>
      </c>
      <c r="O759" s="71" t="str">
        <f>IFERROR(__xludf.DUMMYFUNCTION("""COMPUTED_VALUE"""),"")</f>
        <v/>
      </c>
      <c r="P759" s="71" t="str">
        <f>IFERROR(__xludf.DUMMYFUNCTION("""COMPUTED_VALUE"""),"")</f>
        <v/>
      </c>
    </row>
    <row r="760">
      <c r="A760" s="58"/>
      <c r="E760" s="78"/>
      <c r="G760" s="78"/>
      <c r="I760" s="80"/>
      <c r="K760" s="59"/>
      <c r="N760" s="71" t="str">
        <f>IFERROR(__xludf.DUMMYFUNCTION("""COMPUTED_VALUE"""),"")</f>
        <v/>
      </c>
      <c r="O760" s="71" t="str">
        <f>IFERROR(__xludf.DUMMYFUNCTION("""COMPUTED_VALUE"""),"")</f>
        <v/>
      </c>
      <c r="P760" s="71" t="str">
        <f>IFERROR(__xludf.DUMMYFUNCTION("""COMPUTED_VALUE"""),"")</f>
        <v/>
      </c>
    </row>
    <row r="761">
      <c r="A761" s="58"/>
      <c r="E761" s="78"/>
      <c r="G761" s="78"/>
      <c r="I761" s="80"/>
      <c r="K761" s="59"/>
      <c r="N761" s="71" t="str">
        <f>IFERROR(__xludf.DUMMYFUNCTION("""COMPUTED_VALUE"""),"")</f>
        <v/>
      </c>
      <c r="O761" s="71" t="str">
        <f>IFERROR(__xludf.DUMMYFUNCTION("""COMPUTED_VALUE"""),"")</f>
        <v/>
      </c>
      <c r="P761" s="71" t="str">
        <f>IFERROR(__xludf.DUMMYFUNCTION("""COMPUTED_VALUE"""),"")</f>
        <v/>
      </c>
    </row>
    <row r="762">
      <c r="A762" s="58"/>
      <c r="E762" s="78"/>
      <c r="G762" s="78"/>
      <c r="I762" s="80"/>
      <c r="K762" s="59"/>
      <c r="N762" s="71" t="str">
        <f>IFERROR(__xludf.DUMMYFUNCTION("""COMPUTED_VALUE"""),"")</f>
        <v/>
      </c>
      <c r="O762" s="71" t="str">
        <f>IFERROR(__xludf.DUMMYFUNCTION("""COMPUTED_VALUE"""),"")</f>
        <v/>
      </c>
      <c r="P762" s="71" t="str">
        <f>IFERROR(__xludf.DUMMYFUNCTION("""COMPUTED_VALUE"""),"")</f>
        <v/>
      </c>
    </row>
    <row r="763">
      <c r="A763" s="58"/>
      <c r="E763" s="78"/>
      <c r="G763" s="78"/>
      <c r="I763" s="80"/>
      <c r="K763" s="59"/>
      <c r="N763" s="71" t="str">
        <f>IFERROR(__xludf.DUMMYFUNCTION("""COMPUTED_VALUE"""),"")</f>
        <v/>
      </c>
      <c r="O763" s="71" t="str">
        <f>IFERROR(__xludf.DUMMYFUNCTION("""COMPUTED_VALUE"""),"")</f>
        <v/>
      </c>
      <c r="P763" s="71" t="str">
        <f>IFERROR(__xludf.DUMMYFUNCTION("""COMPUTED_VALUE"""),"")</f>
        <v/>
      </c>
    </row>
    <row r="764">
      <c r="A764" s="58"/>
      <c r="E764" s="78"/>
      <c r="G764" s="78"/>
      <c r="I764" s="80"/>
      <c r="K764" s="59"/>
      <c r="N764" s="71" t="str">
        <f>IFERROR(__xludf.DUMMYFUNCTION("""COMPUTED_VALUE"""),"")</f>
        <v/>
      </c>
      <c r="O764" s="71" t="str">
        <f>IFERROR(__xludf.DUMMYFUNCTION("""COMPUTED_VALUE"""),"")</f>
        <v/>
      </c>
      <c r="P764" s="71" t="str">
        <f>IFERROR(__xludf.DUMMYFUNCTION("""COMPUTED_VALUE"""),"")</f>
        <v/>
      </c>
    </row>
    <row r="765">
      <c r="A765" s="58"/>
      <c r="E765" s="78"/>
      <c r="G765" s="78"/>
      <c r="I765" s="80"/>
      <c r="K765" s="59"/>
      <c r="N765" s="71" t="str">
        <f>IFERROR(__xludf.DUMMYFUNCTION("""COMPUTED_VALUE"""),"")</f>
        <v/>
      </c>
      <c r="O765" s="71" t="str">
        <f>IFERROR(__xludf.DUMMYFUNCTION("""COMPUTED_VALUE"""),"")</f>
        <v/>
      </c>
      <c r="P765" s="71" t="str">
        <f>IFERROR(__xludf.DUMMYFUNCTION("""COMPUTED_VALUE"""),"")</f>
        <v/>
      </c>
    </row>
    <row r="766">
      <c r="A766" s="58"/>
      <c r="E766" s="78"/>
      <c r="G766" s="78"/>
      <c r="I766" s="80"/>
      <c r="K766" s="59"/>
      <c r="N766" s="71" t="str">
        <f>IFERROR(__xludf.DUMMYFUNCTION("""COMPUTED_VALUE"""),"")</f>
        <v/>
      </c>
      <c r="O766" s="71" t="str">
        <f>IFERROR(__xludf.DUMMYFUNCTION("""COMPUTED_VALUE"""),"")</f>
        <v/>
      </c>
      <c r="P766" s="71" t="str">
        <f>IFERROR(__xludf.DUMMYFUNCTION("""COMPUTED_VALUE"""),"")</f>
        <v/>
      </c>
    </row>
    <row r="767">
      <c r="A767" s="58"/>
      <c r="E767" s="78"/>
      <c r="G767" s="78"/>
      <c r="I767" s="80"/>
      <c r="K767" s="59"/>
      <c r="N767" s="71" t="str">
        <f>IFERROR(__xludf.DUMMYFUNCTION("""COMPUTED_VALUE"""),"")</f>
        <v/>
      </c>
      <c r="O767" s="71" t="str">
        <f>IFERROR(__xludf.DUMMYFUNCTION("""COMPUTED_VALUE"""),"")</f>
        <v/>
      </c>
      <c r="P767" s="71" t="str">
        <f>IFERROR(__xludf.DUMMYFUNCTION("""COMPUTED_VALUE"""),"")</f>
        <v/>
      </c>
    </row>
    <row r="768">
      <c r="A768" s="58"/>
      <c r="E768" s="78"/>
      <c r="G768" s="78"/>
      <c r="I768" s="80"/>
      <c r="K768" s="59"/>
      <c r="N768" s="71" t="str">
        <f>IFERROR(__xludf.DUMMYFUNCTION("""COMPUTED_VALUE"""),"")</f>
        <v/>
      </c>
      <c r="O768" s="71" t="str">
        <f>IFERROR(__xludf.DUMMYFUNCTION("""COMPUTED_VALUE"""),"")</f>
        <v/>
      </c>
      <c r="P768" s="71" t="str">
        <f>IFERROR(__xludf.DUMMYFUNCTION("""COMPUTED_VALUE"""),"")</f>
        <v/>
      </c>
    </row>
    <row r="769">
      <c r="A769" s="58"/>
      <c r="E769" s="78"/>
      <c r="G769" s="78"/>
      <c r="I769" s="80"/>
      <c r="K769" s="59"/>
      <c r="N769" s="71" t="str">
        <f>IFERROR(__xludf.DUMMYFUNCTION("""COMPUTED_VALUE"""),"")</f>
        <v/>
      </c>
      <c r="O769" s="71" t="str">
        <f>IFERROR(__xludf.DUMMYFUNCTION("""COMPUTED_VALUE"""),"")</f>
        <v/>
      </c>
      <c r="P769" s="71" t="str">
        <f>IFERROR(__xludf.DUMMYFUNCTION("""COMPUTED_VALUE"""),"")</f>
        <v/>
      </c>
    </row>
    <row r="770">
      <c r="A770" s="58"/>
      <c r="E770" s="78"/>
      <c r="G770" s="78"/>
      <c r="I770" s="80"/>
      <c r="K770" s="59"/>
      <c r="N770" s="71" t="str">
        <f>IFERROR(__xludf.DUMMYFUNCTION("""COMPUTED_VALUE"""),"")</f>
        <v/>
      </c>
      <c r="O770" s="71" t="str">
        <f>IFERROR(__xludf.DUMMYFUNCTION("""COMPUTED_VALUE"""),"")</f>
        <v/>
      </c>
      <c r="P770" s="71" t="str">
        <f>IFERROR(__xludf.DUMMYFUNCTION("""COMPUTED_VALUE"""),"")</f>
        <v/>
      </c>
    </row>
    <row r="771">
      <c r="A771" s="58"/>
      <c r="E771" s="78"/>
      <c r="G771" s="78"/>
      <c r="I771" s="80"/>
      <c r="K771" s="59"/>
      <c r="N771" s="71" t="str">
        <f>IFERROR(__xludf.DUMMYFUNCTION("""COMPUTED_VALUE"""),"")</f>
        <v/>
      </c>
      <c r="O771" s="71" t="str">
        <f>IFERROR(__xludf.DUMMYFUNCTION("""COMPUTED_VALUE"""),"")</f>
        <v/>
      </c>
      <c r="P771" s="71" t="str">
        <f>IFERROR(__xludf.DUMMYFUNCTION("""COMPUTED_VALUE"""),"")</f>
        <v/>
      </c>
    </row>
    <row r="772">
      <c r="A772" s="58"/>
      <c r="E772" s="78"/>
      <c r="G772" s="78"/>
      <c r="I772" s="80"/>
      <c r="K772" s="59"/>
      <c r="N772" s="71" t="str">
        <f>IFERROR(__xludf.DUMMYFUNCTION("""COMPUTED_VALUE"""),"")</f>
        <v/>
      </c>
      <c r="O772" s="71" t="str">
        <f>IFERROR(__xludf.DUMMYFUNCTION("""COMPUTED_VALUE"""),"")</f>
        <v/>
      </c>
      <c r="P772" s="71" t="str">
        <f>IFERROR(__xludf.DUMMYFUNCTION("""COMPUTED_VALUE"""),"")</f>
        <v/>
      </c>
    </row>
    <row r="773">
      <c r="A773" s="58"/>
      <c r="E773" s="78"/>
      <c r="G773" s="78"/>
      <c r="I773" s="80"/>
      <c r="K773" s="59"/>
      <c r="N773" s="71" t="str">
        <f>IFERROR(__xludf.DUMMYFUNCTION("""COMPUTED_VALUE"""),"")</f>
        <v/>
      </c>
      <c r="O773" s="71" t="str">
        <f>IFERROR(__xludf.DUMMYFUNCTION("""COMPUTED_VALUE"""),"")</f>
        <v/>
      </c>
      <c r="P773" s="71" t="str">
        <f>IFERROR(__xludf.DUMMYFUNCTION("""COMPUTED_VALUE"""),"")</f>
        <v/>
      </c>
    </row>
    <row r="774">
      <c r="A774" s="58"/>
      <c r="E774" s="78"/>
      <c r="G774" s="78"/>
      <c r="I774" s="80"/>
      <c r="K774" s="59"/>
      <c r="N774" s="71" t="str">
        <f>IFERROR(__xludf.DUMMYFUNCTION("""COMPUTED_VALUE"""),"")</f>
        <v/>
      </c>
      <c r="O774" s="71" t="str">
        <f>IFERROR(__xludf.DUMMYFUNCTION("""COMPUTED_VALUE"""),"")</f>
        <v/>
      </c>
      <c r="P774" s="71" t="str">
        <f>IFERROR(__xludf.DUMMYFUNCTION("""COMPUTED_VALUE"""),"")</f>
        <v/>
      </c>
    </row>
    <row r="775">
      <c r="A775" s="58"/>
      <c r="E775" s="78"/>
      <c r="G775" s="78"/>
      <c r="I775" s="80"/>
      <c r="K775" s="59"/>
      <c r="N775" s="71" t="str">
        <f>IFERROR(__xludf.DUMMYFUNCTION("""COMPUTED_VALUE"""),"")</f>
        <v/>
      </c>
      <c r="O775" s="71" t="str">
        <f>IFERROR(__xludf.DUMMYFUNCTION("""COMPUTED_VALUE"""),"")</f>
        <v/>
      </c>
      <c r="P775" s="71" t="str">
        <f>IFERROR(__xludf.DUMMYFUNCTION("""COMPUTED_VALUE"""),"")</f>
        <v/>
      </c>
    </row>
    <row r="776">
      <c r="A776" s="58"/>
      <c r="E776" s="78"/>
      <c r="G776" s="78"/>
      <c r="I776" s="80"/>
      <c r="K776" s="59"/>
      <c r="N776" s="71" t="str">
        <f>IFERROR(__xludf.DUMMYFUNCTION("""COMPUTED_VALUE"""),"")</f>
        <v/>
      </c>
      <c r="O776" s="71" t="str">
        <f>IFERROR(__xludf.DUMMYFUNCTION("""COMPUTED_VALUE"""),"")</f>
        <v/>
      </c>
      <c r="P776" s="71" t="str">
        <f>IFERROR(__xludf.DUMMYFUNCTION("""COMPUTED_VALUE"""),"")</f>
        <v/>
      </c>
    </row>
    <row r="777">
      <c r="A777" s="58"/>
      <c r="E777" s="78"/>
      <c r="G777" s="78"/>
      <c r="I777" s="80"/>
      <c r="K777" s="59"/>
      <c r="N777" s="71" t="str">
        <f>IFERROR(__xludf.DUMMYFUNCTION("""COMPUTED_VALUE"""),"")</f>
        <v/>
      </c>
      <c r="O777" s="71" t="str">
        <f>IFERROR(__xludf.DUMMYFUNCTION("""COMPUTED_VALUE"""),"")</f>
        <v/>
      </c>
      <c r="P777" s="71" t="str">
        <f>IFERROR(__xludf.DUMMYFUNCTION("""COMPUTED_VALUE"""),"")</f>
        <v/>
      </c>
    </row>
    <row r="778">
      <c r="A778" s="58"/>
      <c r="E778" s="78"/>
      <c r="G778" s="78"/>
      <c r="I778" s="80"/>
      <c r="K778" s="59"/>
      <c r="N778" s="71" t="str">
        <f>IFERROR(__xludf.DUMMYFUNCTION("""COMPUTED_VALUE"""),"")</f>
        <v/>
      </c>
      <c r="O778" s="71" t="str">
        <f>IFERROR(__xludf.DUMMYFUNCTION("""COMPUTED_VALUE"""),"")</f>
        <v/>
      </c>
      <c r="P778" s="71" t="str">
        <f>IFERROR(__xludf.DUMMYFUNCTION("""COMPUTED_VALUE"""),"")</f>
        <v/>
      </c>
    </row>
    <row r="779">
      <c r="A779" s="58"/>
      <c r="E779" s="78"/>
      <c r="G779" s="78"/>
      <c r="I779" s="80"/>
      <c r="K779" s="59"/>
      <c r="N779" s="71" t="str">
        <f>IFERROR(__xludf.DUMMYFUNCTION("""COMPUTED_VALUE"""),"")</f>
        <v/>
      </c>
      <c r="O779" s="71" t="str">
        <f>IFERROR(__xludf.DUMMYFUNCTION("""COMPUTED_VALUE"""),"")</f>
        <v/>
      </c>
      <c r="P779" s="71" t="str">
        <f>IFERROR(__xludf.DUMMYFUNCTION("""COMPUTED_VALUE"""),"")</f>
        <v/>
      </c>
    </row>
    <row r="780">
      <c r="A780" s="58"/>
      <c r="E780" s="78"/>
      <c r="G780" s="78"/>
      <c r="I780" s="80"/>
      <c r="K780" s="59"/>
      <c r="N780" s="71" t="str">
        <f>IFERROR(__xludf.DUMMYFUNCTION("""COMPUTED_VALUE"""),"")</f>
        <v/>
      </c>
      <c r="O780" s="71" t="str">
        <f>IFERROR(__xludf.DUMMYFUNCTION("""COMPUTED_VALUE"""),"")</f>
        <v/>
      </c>
      <c r="P780" s="71" t="str">
        <f>IFERROR(__xludf.DUMMYFUNCTION("""COMPUTED_VALUE"""),"")</f>
        <v/>
      </c>
    </row>
    <row r="781">
      <c r="A781" s="58"/>
      <c r="E781" s="78"/>
      <c r="G781" s="78"/>
      <c r="I781" s="80"/>
      <c r="K781" s="59"/>
      <c r="N781" s="71" t="str">
        <f>IFERROR(__xludf.DUMMYFUNCTION("""COMPUTED_VALUE"""),"")</f>
        <v/>
      </c>
      <c r="O781" s="71" t="str">
        <f>IFERROR(__xludf.DUMMYFUNCTION("""COMPUTED_VALUE"""),"")</f>
        <v/>
      </c>
      <c r="P781" s="71" t="str">
        <f>IFERROR(__xludf.DUMMYFUNCTION("""COMPUTED_VALUE"""),"")</f>
        <v/>
      </c>
    </row>
    <row r="782">
      <c r="A782" s="58"/>
      <c r="E782" s="78"/>
      <c r="G782" s="78"/>
      <c r="I782" s="80"/>
      <c r="K782" s="59"/>
      <c r="N782" s="71" t="str">
        <f>IFERROR(__xludf.DUMMYFUNCTION("""COMPUTED_VALUE"""),"")</f>
        <v/>
      </c>
      <c r="O782" s="71" t="str">
        <f>IFERROR(__xludf.DUMMYFUNCTION("""COMPUTED_VALUE"""),"")</f>
        <v/>
      </c>
      <c r="P782" s="71" t="str">
        <f>IFERROR(__xludf.DUMMYFUNCTION("""COMPUTED_VALUE"""),"")</f>
        <v/>
      </c>
    </row>
    <row r="783">
      <c r="A783" s="58"/>
      <c r="E783" s="78"/>
      <c r="G783" s="78"/>
      <c r="I783" s="80"/>
      <c r="K783" s="59"/>
      <c r="N783" s="71" t="str">
        <f>IFERROR(__xludf.DUMMYFUNCTION("""COMPUTED_VALUE"""),"")</f>
        <v/>
      </c>
      <c r="O783" s="71" t="str">
        <f>IFERROR(__xludf.DUMMYFUNCTION("""COMPUTED_VALUE"""),"")</f>
        <v/>
      </c>
      <c r="P783" s="71" t="str">
        <f>IFERROR(__xludf.DUMMYFUNCTION("""COMPUTED_VALUE"""),"")</f>
        <v/>
      </c>
    </row>
    <row r="784">
      <c r="A784" s="58"/>
      <c r="E784" s="78"/>
      <c r="G784" s="78"/>
      <c r="I784" s="80"/>
      <c r="K784" s="59"/>
      <c r="N784" s="71" t="str">
        <f>IFERROR(__xludf.DUMMYFUNCTION("""COMPUTED_VALUE"""),"")</f>
        <v/>
      </c>
      <c r="O784" s="71" t="str">
        <f>IFERROR(__xludf.DUMMYFUNCTION("""COMPUTED_VALUE"""),"")</f>
        <v/>
      </c>
      <c r="P784" s="71" t="str">
        <f>IFERROR(__xludf.DUMMYFUNCTION("""COMPUTED_VALUE"""),"")</f>
        <v/>
      </c>
    </row>
  </sheetData>
  <conditionalFormatting sqref="C2:C3">
    <cfRule type="cellIs" dxfId="0" priority="1" operator="equal">
      <formula>"TRUE"</formula>
    </cfRule>
  </conditionalFormatting>
  <conditionalFormatting sqref="J2:J3">
    <cfRule type="cellIs" dxfId="9" priority="2" operator="equal">
      <formula>"Lunch/Dinner"</formula>
    </cfRule>
  </conditionalFormatting>
  <conditionalFormatting sqref="J2:J3">
    <cfRule type="cellIs" dxfId="10" priority="3" operator="equal">
      <formula>"Dinner"</formula>
    </cfRule>
  </conditionalFormatting>
  <conditionalFormatting sqref="N1:P1 L2:M3">
    <cfRule type="cellIs" dxfId="15" priority="4" operator="equal">
      <formula>"Friday"</formula>
    </cfRule>
  </conditionalFormatting>
  <conditionalFormatting sqref="B1 C1:C784">
    <cfRule type="cellIs" dxfId="0" priority="5" operator="equal">
      <formula>"True"</formula>
    </cfRule>
  </conditionalFormatting>
  <conditionalFormatting sqref="J1:J784">
    <cfRule type="cellIs" dxfId="6" priority="6" operator="equal">
      <formula>"Breakfast"</formula>
    </cfRule>
  </conditionalFormatting>
  <conditionalFormatting sqref="J1:J784">
    <cfRule type="cellIs" dxfId="7" priority="7" operator="equal">
      <formula>"Breakfast/Lunch"</formula>
    </cfRule>
  </conditionalFormatting>
  <conditionalFormatting sqref="J1:J784">
    <cfRule type="cellIs" dxfId="8" priority="8" operator="equal">
      <formula>"Lunch"</formula>
    </cfRule>
  </conditionalFormatting>
  <conditionalFormatting sqref="J1:J784">
    <cfRule type="cellIs" dxfId="19" priority="9" operator="equal">
      <formula>"Lunch/Dinner"</formula>
    </cfRule>
  </conditionalFormatting>
  <conditionalFormatting sqref="J1:J784">
    <cfRule type="cellIs" dxfId="20" priority="10" operator="equal">
      <formula>"Dinner"</formula>
    </cfRule>
  </conditionalFormatting>
  <conditionalFormatting sqref="L1:L784 N1:P1 M2:M3">
    <cfRule type="cellIs" dxfId="11" priority="11" operator="equal">
      <formula>"Monday"</formula>
    </cfRule>
  </conditionalFormatting>
  <conditionalFormatting sqref="L1:L784 N1:P1 M2:M3">
    <cfRule type="cellIs" dxfId="12" priority="12" operator="equal">
      <formula>"Tuesday"</formula>
    </cfRule>
  </conditionalFormatting>
  <conditionalFormatting sqref="L1:L784 N1:P1 M2:M3">
    <cfRule type="cellIs" dxfId="13" priority="13" operator="equal">
      <formula>"Wednesday"</formula>
    </cfRule>
  </conditionalFormatting>
  <conditionalFormatting sqref="L1:L784 N1:P1 M2:M3">
    <cfRule type="cellIs" dxfId="14" priority="14" operator="equal">
      <formula>"Thursday"</formula>
    </cfRule>
  </conditionalFormatting>
  <conditionalFormatting sqref="L1:L784">
    <cfRule type="cellIs" dxfId="21" priority="15" operator="equal">
      <formula>"Friday"</formula>
    </cfRule>
  </conditionalFormatting>
  <conditionalFormatting sqref="M1:S784">
    <cfRule type="cellIs" dxfId="17" priority="16" operator="equal">
      <formula>"MF"</formula>
    </cfRule>
  </conditionalFormatting>
  <conditionalFormatting sqref="M1:S784">
    <cfRule type="cellIs" dxfId="18" priority="17" operator="equal">
      <formula>"BF"</formula>
    </cfRule>
  </conditionalFormatting>
  <conditionalFormatting sqref="I1:I784">
    <cfRule type="cellIs" dxfId="1" priority="18" operator="greaterThanOrEqual">
      <formula>100</formula>
    </cfRule>
  </conditionalFormatting>
  <conditionalFormatting sqref="I1:I784">
    <cfRule type="cellIs" dxfId="2" priority="19" operator="greaterThanOrEqual">
      <formula>70</formula>
    </cfRule>
  </conditionalFormatting>
  <conditionalFormatting sqref="I1:I784">
    <cfRule type="cellIs" dxfId="3" priority="20" operator="lessThanOrEqual">
      <formula>25</formula>
    </cfRule>
  </conditionalFormatting>
  <conditionalFormatting sqref="I1:I784">
    <cfRule type="cellIs" dxfId="4" priority="21" operator="lessThanOrEqual">
      <formula>30</formula>
    </cfRule>
  </conditionalFormatting>
  <conditionalFormatting sqref="I1:I784">
    <cfRule type="cellIs" dxfId="5" priority="22" operator="lessThanOrEqual">
      <formula>40</formula>
    </cfRule>
  </conditionalFormatting>
  <conditionalFormatting sqref="K5:K784">
    <cfRule type="expression" dxfId="16" priority="23">
      <formula>AND(K5&lt;&gt;"", ISEVEN(SUMPRODUCT((K$5:K5&lt;&gt;OFFSET(K$5:K5,-1,0))*(K$5:K5&lt;&gt;""))))</formula>
    </cfRule>
  </conditionalFormatting>
  <conditionalFormatting sqref="G5:G784">
    <cfRule type="cellIs" dxfId="22" priority="24" operator="lessThan">
      <formula>0</formula>
    </cfRule>
  </conditionalFormatting>
  <conditionalFormatting sqref="G5:G784">
    <cfRule type="cellIs" dxfId="22" priority="25" operator="greaterThan">
      <formula>0.25</formula>
    </cfRule>
  </conditionalFormatting>
  <drawing r:id="rId2"/>
  <legacyDrawing r:id="rId3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783F04"/>
    <outlinePr summaryBelow="0" summaryRight="0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cols>
    <col customWidth="1" min="8" max="8" width="7.88"/>
    <col customWidth="1" min="12" max="12" width="9.75"/>
    <col customWidth="1" min="13" max="13" width="7.0"/>
    <col customWidth="1" min="15" max="16" width="8.0"/>
    <col customWidth="1" min="17" max="20" width="8.38"/>
    <col customWidth="1" min="21" max="21" width="9.25"/>
    <col customWidth="1" min="22" max="22" width="8.25"/>
    <col customWidth="1" min="23" max="23" width="9.25"/>
    <col customWidth="1" min="29" max="31" width="19.5"/>
  </cols>
  <sheetData>
    <row r="1">
      <c r="A1" s="81" t="str">
        <f>IFERROR(__xludf.DUMMYFUNCTION("IMPORTRANGE(""https://docs.google.com/spreadsheets/d/1FVkv22394ssci35RmN8kGDBHtj7A6Fh_Ev7bb_YthHw/edit?gid=1085129964#gid=1085129964"",""'Bulk Data'!A:AB"")"),"auto")</f>
        <v>auto</v>
      </c>
      <c r="B1" s="81" t="str">
        <f>IFERROR(__xludf.DUMMYFUNCTION("""COMPUTED_VALUE"""),"auto")</f>
        <v>auto</v>
      </c>
      <c r="C1" s="81" t="str">
        <f>IFERROR(__xludf.DUMMYFUNCTION("""COMPUTED_VALUE"""),"&lt;=")</f>
        <v>&lt;=</v>
      </c>
      <c r="D1" s="81" t="str">
        <f>IFERROR(__xludf.DUMMYFUNCTION("""COMPUTED_VALUE"""),"auto")</f>
        <v>auto</v>
      </c>
      <c r="E1" s="81" t="str">
        <f>IFERROR(__xludf.DUMMYFUNCTION("""COMPUTED_VALUE"""),"auto")</f>
        <v>auto</v>
      </c>
      <c r="F1" s="81" t="str">
        <f>IFERROR(__xludf.DUMMYFUNCTION("""COMPUTED_VALUE"""),"auto")</f>
        <v>auto</v>
      </c>
      <c r="G1" s="81" t="str">
        <f>IFERROR(__xludf.DUMMYFUNCTION("""COMPUTED_VALUE"""),"&lt;=")</f>
        <v>&lt;=</v>
      </c>
      <c r="H1" s="82" t="str">
        <f>IFERROR(__xludf.DUMMYFUNCTION("""COMPUTED_VALUE"""),"auto")</f>
        <v>auto</v>
      </c>
      <c r="I1" s="83" t="str">
        <f>IFERROR(__xludf.DUMMYFUNCTION("""COMPUTED_VALUE"""),"&lt;=")</f>
        <v>&lt;=</v>
      </c>
      <c r="J1" s="81" t="str">
        <f>IFERROR(__xludf.DUMMYFUNCTION("""COMPUTED_VALUE"""),"array&lt;=")</f>
        <v>array&lt;=</v>
      </c>
      <c r="K1" s="81" t="str">
        <f>IFERROR(__xludf.DUMMYFUNCTION("""COMPUTED_VALUE"""),"auto")</f>
        <v>auto</v>
      </c>
      <c r="L1" s="81" t="str">
        <f>IFERROR(__xludf.DUMMYFUNCTION("""COMPUTED_VALUE"""),"&lt;=")</f>
        <v>&lt;=</v>
      </c>
      <c r="M1" s="81" t="str">
        <f>IFERROR(__xludf.DUMMYFUNCTION("""COMPUTED_VALUE"""),"auto")</f>
        <v>auto</v>
      </c>
      <c r="N1" s="84" t="str">
        <f>IFERROR(__xludf.DUMMYFUNCTION("""COMPUTED_VALUE"""),"array&lt;=")</f>
        <v>array&lt;=</v>
      </c>
      <c r="O1" s="81" t="str">
        <f>IFERROR(__xludf.DUMMYFUNCTION("""COMPUTED_VALUE"""),"array&lt;=")</f>
        <v>array&lt;=</v>
      </c>
      <c r="P1" s="81" t="str">
        <f>IFERROR(__xludf.DUMMYFUNCTION("""COMPUTED_VALUE"""),"array&lt;=")</f>
        <v>array&lt;=</v>
      </c>
      <c r="Q1" s="85" t="str">
        <f>IFERROR(__xludf.DUMMYFUNCTION("""COMPUTED_VALUE"""),"array&lt;=")</f>
        <v>array&lt;=</v>
      </c>
      <c r="R1" s="85" t="str">
        <f>IFERROR(__xludf.DUMMYFUNCTION("""COMPUTED_VALUE"""),"array&lt;=")</f>
        <v>array&lt;=</v>
      </c>
      <c r="S1" s="86" t="str">
        <f>IFERROR(__xludf.DUMMYFUNCTION("""COMPUTED_VALUE"""),"&lt;=")</f>
        <v>&lt;=</v>
      </c>
      <c r="T1" s="86" t="str">
        <f>IFERROR(__xludf.DUMMYFUNCTION("""COMPUTED_VALUE"""),"&lt;=")</f>
        <v>&lt;=</v>
      </c>
      <c r="U1" s="81" t="str">
        <f>IFERROR(__xludf.DUMMYFUNCTION("""COMPUTED_VALUE"""),"array&lt;=")</f>
        <v>array&lt;=</v>
      </c>
      <c r="V1" s="85" t="str">
        <f>IFERROR(__xludf.DUMMYFUNCTION("""COMPUTED_VALUE"""),"array&lt;=")</f>
        <v>array&lt;=</v>
      </c>
      <c r="W1" s="81" t="str">
        <f>IFERROR(__xludf.DUMMYFUNCTION("""COMPUTED_VALUE"""),"&lt;=")</f>
        <v>&lt;=</v>
      </c>
      <c r="X1" s="85" t="str">
        <f>IFERROR(__xludf.DUMMYFUNCTION("""COMPUTED_VALUE"""),"array&lt;=")</f>
        <v>array&lt;=</v>
      </c>
      <c r="Y1" s="81" t="str">
        <f>IFERROR(__xludf.DUMMYFUNCTION("""COMPUTED_VALUE"""),"array&lt;=")</f>
        <v>array&lt;=</v>
      </c>
      <c r="Z1" s="87" t="str">
        <f>IFERROR(__xludf.DUMMYFUNCTION("""COMPUTED_VALUE"""),"auto")</f>
        <v>auto</v>
      </c>
      <c r="AA1" s="87" t="str">
        <f>IFERROR(__xludf.DUMMYFUNCTION("""COMPUTED_VALUE"""),"auto")</f>
        <v>auto</v>
      </c>
      <c r="AB1" s="86" t="str">
        <f>IFERROR(__xludf.DUMMYFUNCTION("""COMPUTED_VALUE"""),"&lt;=")</f>
        <v>&lt;=</v>
      </c>
    </row>
    <row r="2">
      <c r="A2" s="71" t="str">
        <f>IFERROR(__xludf.DUMMYFUNCTION("""COMPUTED_VALUE"""),"Timestamp")</f>
        <v>Timestamp</v>
      </c>
      <c r="B2" s="71" t="str">
        <f>IFERROR(__xludf.DUMMYFUNCTION("""COMPUTED_VALUE"""),"Name")</f>
        <v>Name</v>
      </c>
      <c r="C2" s="71" t="str">
        <f>IFERROR(__xludf.DUMMYFUNCTION("""COMPUTED_VALUE"""),"double name")</f>
        <v>double name</v>
      </c>
      <c r="D2" s="71" t="str">
        <f>IFERROR(__xludf.DUMMYFUNCTION("""COMPUTED_VALUE"""),"start hour")</f>
        <v>start hour</v>
      </c>
      <c r="E2" s="88" t="str">
        <f>IFERROR(__xludf.DUMMYFUNCTION("""COMPUTED_VALUE"""),"hours worked")</f>
        <v>hours worked</v>
      </c>
      <c r="F2" s="71" t="str">
        <f>IFERROR(__xludf.DUMMYFUNCTION("""COMPUTED_VALUE"""),"end hour")</f>
        <v>end hour</v>
      </c>
      <c r="G2" s="71" t="str">
        <f>IFERROR(__xludf.DUMMYFUNCTION("""COMPUTED_VALUE"""),"hours pp")</f>
        <v>hours pp</v>
      </c>
      <c r="H2" s="89" t="str">
        <f>IFERROR(__xludf.DUMMYFUNCTION("""COMPUTED_VALUE"""),"Derived Weight")</f>
        <v>Derived Weight</v>
      </c>
      <c r="I2" s="90" t="str">
        <f>IFERROR(__xludf.DUMMYFUNCTION("""COMPUTED_VALUE"""),"lb/hr per shift")</f>
        <v>lb/hr per shift</v>
      </c>
      <c r="J2" s="91" t="str">
        <f>IFERROR(__xludf.DUMMYFUNCTION("""COMPUTED_VALUE"""),"period")</f>
        <v>period</v>
      </c>
      <c r="K2" s="71" t="str">
        <f>IFERROR(__xludf.DUMMYFUNCTION("""COMPUTED_VALUE"""),"Date")</f>
        <v>Date</v>
      </c>
      <c r="L2" s="71" t="str">
        <f>IFERROR(__xludf.DUMMYFUNCTION("""COMPUTED_VALUE"""),"Weekday")</f>
        <v>Weekday</v>
      </c>
      <c r="M2" s="71" t="str">
        <f>IFERROR(__xludf.DUMMYFUNCTION("""COMPUTED_VALUE"""),"dining hall")</f>
        <v>dining hall</v>
      </c>
      <c r="N2" s="92" t="str">
        <f>IFERROR(__xludf.DUMMYFUNCTION("""COMPUTED_VALUE"""),"effeciency score")</f>
        <v>effeciency score</v>
      </c>
      <c r="O2" s="93" t="str">
        <f>IFERROR(__xludf.DUMMYFUNCTION("""COMPUTED_VALUE"""),"MF lbs td")</f>
        <v>MF lbs td</v>
      </c>
      <c r="P2" s="94" t="str">
        <f>IFERROR(__xludf.DUMMYFUNCTION("""COMPUTED_VALUE"""),"BF lbs td")</f>
        <v>BF lbs td</v>
      </c>
      <c r="Q2" s="95" t="str">
        <f>IFERROR(__xludf.DUMMYFUNCTION("""COMPUTED_VALUE"""),"MF hrs td")</f>
        <v>MF hrs td</v>
      </c>
      <c r="R2" s="96" t="str">
        <f>IFERROR(__xludf.DUMMYFUNCTION("""COMPUTED_VALUE"""),"BF hrs td")</f>
        <v>BF hrs td</v>
      </c>
      <c r="S2" s="97" t="str">
        <f>IFERROR(__xludf.DUMMYFUNCTION("""COMPUTED_VALUE"""),"MF lbs/hr td")</f>
        <v>MF lbs/hr td</v>
      </c>
      <c r="T2" s="98" t="str">
        <f>IFERROR(__xludf.DUMMYFUNCTION("""COMPUTED_VALUE"""),"BF lbs/hr td")</f>
        <v>BF lbs/hr td</v>
      </c>
      <c r="U2" s="99" t="str">
        <f>IFERROR(__xludf.DUMMYFUNCTION("""COMPUTED_VALUE"""),"lbs td")</f>
        <v>lbs td</v>
      </c>
      <c r="V2" s="100" t="str">
        <f>IFERROR(__xludf.DUMMYFUNCTION("""COMPUTED_VALUE"""),"hours td")</f>
        <v>hours td</v>
      </c>
      <c r="W2" s="99" t="str">
        <f>IFERROR(__xludf.DUMMYFUNCTION("""COMPUTED_VALUE"""),"lbs/hr td")</f>
        <v>lbs/hr td</v>
      </c>
      <c r="X2" s="99" t="str">
        <f>IFERROR(__xludf.DUMMYFUNCTION("""COMPUTED_VALUE"""),"avg ambassador lbs/hr")</f>
        <v>avg ambassador lbs/hr</v>
      </c>
      <c r="Y2" s="71" t="str">
        <f>IFERROR(__xludf.DUMMYFUNCTION("""COMPUTED_VALUE"""),"effeciency score td")</f>
        <v>effeciency score td</v>
      </c>
      <c r="Z2" s="101" t="str">
        <f>IFERROR(__xludf.DUMMYFUNCTION("""COMPUTED_VALUE"""),"MF diners td")</f>
        <v>MF diners td</v>
      </c>
      <c r="AA2" s="102" t="str">
        <f>IFERROR(__xludf.DUMMYFUNCTION("""COMPUTED_VALUE"""),"BF diners td")</f>
        <v>BF diners td</v>
      </c>
      <c r="AB2" s="103" t="str">
        <f>IFERROR(__xludf.DUMMYFUNCTION("""COMPUTED_VALUE"""),"Diners Today")</f>
        <v>Diners Today</v>
      </c>
      <c r="AC2" s="104"/>
      <c r="AD2" s="104"/>
      <c r="AE2" s="104"/>
    </row>
    <row r="3">
      <c r="A3" s="105">
        <f>IFERROR(__xludf.DUMMYFUNCTION("""COMPUTED_VALUE"""),45908.59112728009)</f>
        <v>45908.59113</v>
      </c>
      <c r="B3" s="106" t="str">
        <f>IFERROR(__xludf.DUMMYFUNCTION("""COMPUTED_VALUE"""),"Orpheus Wilson")</f>
        <v>Orpheus Wilson</v>
      </c>
      <c r="C3" s="71" t="b">
        <f>IFERROR(__xludf.DUMMYFUNCTION("""COMPUTED_VALUE"""),FALSE)</f>
        <v>0</v>
      </c>
      <c r="D3" s="71"/>
      <c r="E3" s="78"/>
      <c r="F3" s="71"/>
      <c r="G3" s="78"/>
      <c r="H3" s="107">
        <f>IFERROR(__xludf.DUMMYFUNCTION("""COMPUTED_VALUE"""),101.0)</f>
        <v>101</v>
      </c>
      <c r="I3" s="108"/>
      <c r="J3" s="106" t="str">
        <f>IFERROR(__xludf.DUMMYFUNCTION("""COMPUTED_VALUE"""),"Lunch")</f>
        <v>Lunch</v>
      </c>
      <c r="K3" s="106">
        <f>IFERROR(__xludf.DUMMYFUNCTION("""COMPUTED_VALUE"""),45908.0)</f>
        <v>45908</v>
      </c>
      <c r="L3" s="71" t="str">
        <f>IFERROR(__xludf.DUMMYFUNCTION("""COMPUTED_VALUE"""),"Monday")</f>
        <v>Monday</v>
      </c>
      <c r="M3" s="71" t="str">
        <f>IFERROR(__xludf.DUMMYFUNCTION("""COMPUTED_VALUE"""),"MF")</f>
        <v>MF</v>
      </c>
      <c r="N3" s="109"/>
      <c r="O3" s="110" t="str">
        <f>IFERROR(__xludf.DUMMYFUNCTION("""COMPUTED_VALUE"""),"")</f>
        <v/>
      </c>
      <c r="P3" s="71" t="str">
        <f>IFERROR(__xludf.DUMMYFUNCTION("""COMPUTED_VALUE"""),"")</f>
        <v/>
      </c>
      <c r="Q3" s="88"/>
      <c r="R3" s="88"/>
      <c r="S3" s="61"/>
      <c r="T3" s="61"/>
      <c r="U3" s="111" t="str">
        <f>IFERROR(__xludf.DUMMYFUNCTION("""COMPUTED_VALUE"""),"")</f>
        <v/>
      </c>
      <c r="V3" s="88"/>
      <c r="W3" s="62"/>
      <c r="X3" s="112"/>
      <c r="Y3" s="92"/>
      <c r="Z3" s="113" t="str">
        <f>IFERROR(__xludf.DUMMYFUNCTION("""COMPUTED_VALUE"""),"")</f>
        <v/>
      </c>
      <c r="AA3" s="113" t="str">
        <f>IFERROR(__xludf.DUMMYFUNCTION("""COMPUTED_VALUE"""),"")</f>
        <v/>
      </c>
      <c r="AB3" s="71" t="str">
        <f>IFERROR(__xludf.DUMMYFUNCTION("""COMPUTED_VALUE"""),"")</f>
        <v/>
      </c>
      <c r="AC3" s="54"/>
      <c r="AD3" s="54"/>
      <c r="AE3" s="54"/>
    </row>
    <row r="4">
      <c r="A4" s="105">
        <f>IFERROR(__xludf.DUMMYFUNCTION("""COMPUTED_VALUE"""),45908.632124525466)</f>
        <v>45908.63212</v>
      </c>
      <c r="B4" s="106" t="str">
        <f>IFERROR(__xludf.DUMMYFUNCTION("""COMPUTED_VALUE"""),"Greta Traynor")</f>
        <v>Greta Traynor</v>
      </c>
      <c r="C4" s="71" t="b">
        <f>IFERROR(__xludf.DUMMYFUNCTION("""COMPUTED_VALUE"""),FALSE)</f>
        <v>0</v>
      </c>
      <c r="D4" s="71"/>
      <c r="E4" s="78"/>
      <c r="F4" s="71"/>
      <c r="G4" s="78"/>
      <c r="H4" s="107">
        <f>IFERROR(__xludf.DUMMYFUNCTION("""COMPUTED_VALUE"""),34.0)</f>
        <v>34</v>
      </c>
      <c r="I4" s="108"/>
      <c r="J4" s="106" t="str">
        <f>IFERROR(__xludf.DUMMYFUNCTION("""COMPUTED_VALUE"""),"Lunch")</f>
        <v>Lunch</v>
      </c>
      <c r="K4" s="106">
        <f>IFERROR(__xludf.DUMMYFUNCTION("""COMPUTED_VALUE"""),45908.0)</f>
        <v>45908</v>
      </c>
      <c r="L4" s="71" t="str">
        <f>IFERROR(__xludf.DUMMYFUNCTION("""COMPUTED_VALUE"""),"Monday")</f>
        <v>Monday</v>
      </c>
      <c r="M4" s="71" t="str">
        <f>IFERROR(__xludf.DUMMYFUNCTION("""COMPUTED_VALUE"""),"MF")</f>
        <v>MF</v>
      </c>
      <c r="N4" s="109"/>
      <c r="O4" s="110" t="str">
        <f>IFERROR(__xludf.DUMMYFUNCTION("""COMPUTED_VALUE"""),"")</f>
        <v/>
      </c>
      <c r="P4" s="71" t="str">
        <f>IFERROR(__xludf.DUMMYFUNCTION("""COMPUTED_VALUE"""),"")</f>
        <v/>
      </c>
      <c r="Q4" s="88"/>
      <c r="R4" s="88"/>
      <c r="S4" s="61"/>
      <c r="T4" s="61"/>
      <c r="U4" s="111" t="str">
        <f>IFERROR(__xludf.DUMMYFUNCTION("""COMPUTED_VALUE"""),"")</f>
        <v/>
      </c>
      <c r="V4" s="88"/>
      <c r="W4" s="111"/>
      <c r="X4" s="112"/>
      <c r="Y4" s="92"/>
      <c r="Z4" s="114" t="str">
        <f>IFERROR(__xludf.DUMMYFUNCTION("""COMPUTED_VALUE"""),"")</f>
        <v/>
      </c>
      <c r="AA4" s="114" t="str">
        <f>IFERROR(__xludf.DUMMYFUNCTION("""COMPUTED_VALUE"""),"")</f>
        <v/>
      </c>
      <c r="AB4" s="71" t="str">
        <f>IFERROR(__xludf.DUMMYFUNCTION("""COMPUTED_VALUE"""),"")</f>
        <v/>
      </c>
      <c r="AC4" s="115"/>
      <c r="AD4" s="115"/>
      <c r="AE4" s="115"/>
    </row>
    <row r="5">
      <c r="A5" s="105">
        <f>IFERROR(__xludf.DUMMYFUNCTION("""COMPUTED_VALUE"""),45908.66001197917)</f>
        <v>45908.66001</v>
      </c>
      <c r="B5" s="106" t="str">
        <f>IFERROR(__xludf.DUMMYFUNCTION("""COMPUTED_VALUE"""),"Emma Korsu")</f>
        <v>Emma Korsu</v>
      </c>
      <c r="C5" s="71" t="b">
        <f>IFERROR(__xludf.DUMMYFUNCTION("""COMPUTED_VALUE"""),FALSE)</f>
        <v>0</v>
      </c>
      <c r="D5" s="71"/>
      <c r="E5" s="78"/>
      <c r="F5" s="71"/>
      <c r="G5" s="78"/>
      <c r="H5" s="107">
        <f>IFERROR(__xludf.DUMMYFUNCTION("""COMPUTED_VALUE"""),158.0)</f>
        <v>158</v>
      </c>
      <c r="I5" s="108"/>
      <c r="J5" s="106" t="str">
        <f>IFERROR(__xludf.DUMMYFUNCTION("""COMPUTED_VALUE"""),"Lunch")</f>
        <v>Lunch</v>
      </c>
      <c r="K5" s="106">
        <f>IFERROR(__xludf.DUMMYFUNCTION("""COMPUTED_VALUE"""),45908.0)</f>
        <v>45908</v>
      </c>
      <c r="L5" s="71" t="str">
        <f>IFERROR(__xludf.DUMMYFUNCTION("""COMPUTED_VALUE"""),"Monday")</f>
        <v>Monday</v>
      </c>
      <c r="M5" s="71" t="str">
        <f>IFERROR(__xludf.DUMMYFUNCTION("""COMPUTED_VALUE"""),"BF")</f>
        <v>BF</v>
      </c>
      <c r="N5" s="109"/>
      <c r="O5" s="110" t="str">
        <f>IFERROR(__xludf.DUMMYFUNCTION("""COMPUTED_VALUE"""),"")</f>
        <v/>
      </c>
      <c r="P5" s="71" t="str">
        <f>IFERROR(__xludf.DUMMYFUNCTION("""COMPUTED_VALUE"""),"")</f>
        <v/>
      </c>
      <c r="Q5" s="88"/>
      <c r="R5" s="88"/>
      <c r="S5" s="61"/>
      <c r="T5" s="61"/>
      <c r="U5" s="111" t="str">
        <f>IFERROR(__xludf.DUMMYFUNCTION("""COMPUTED_VALUE"""),"")</f>
        <v/>
      </c>
      <c r="V5" s="88"/>
      <c r="W5" s="111"/>
      <c r="X5" s="112"/>
      <c r="Y5" s="92"/>
      <c r="Z5" s="114" t="str">
        <f>IFERROR(__xludf.DUMMYFUNCTION("""COMPUTED_VALUE"""),"")</f>
        <v/>
      </c>
      <c r="AA5" s="114" t="str">
        <f>IFERROR(__xludf.DUMMYFUNCTION("""COMPUTED_VALUE"""),"")</f>
        <v/>
      </c>
      <c r="AB5" s="71" t="str">
        <f>IFERROR(__xludf.DUMMYFUNCTION("""COMPUTED_VALUE"""),"")</f>
        <v/>
      </c>
      <c r="AC5" s="115"/>
      <c r="AD5" s="115"/>
      <c r="AE5" s="115"/>
    </row>
    <row r="6">
      <c r="A6" s="105">
        <f>IFERROR(__xludf.DUMMYFUNCTION("""COMPUTED_VALUE"""),45908.77573083334)</f>
        <v>45908.77573</v>
      </c>
      <c r="B6" s="106" t="str">
        <f>IFERROR(__xludf.DUMMYFUNCTION("""COMPUTED_VALUE"""),"Emmett Khan")</f>
        <v>Emmett Khan</v>
      </c>
      <c r="C6" s="71" t="b">
        <f>IFERROR(__xludf.DUMMYFUNCTION("""COMPUTED_VALUE"""),FALSE)</f>
        <v>0</v>
      </c>
      <c r="D6" s="71"/>
      <c r="E6" s="78"/>
      <c r="F6" s="71"/>
      <c r="G6" s="78"/>
      <c r="H6" s="107">
        <f>IFERROR(__xludf.DUMMYFUNCTION("""COMPUTED_VALUE"""),123.0)</f>
        <v>123</v>
      </c>
      <c r="I6" s="108"/>
      <c r="J6" s="106" t="str">
        <f>IFERROR(__xludf.DUMMYFUNCTION("""COMPUTED_VALUE"""),"Dinner")</f>
        <v>Dinner</v>
      </c>
      <c r="K6" s="106">
        <f>IFERROR(__xludf.DUMMYFUNCTION("""COMPUTED_VALUE"""),45908.0)</f>
        <v>45908</v>
      </c>
      <c r="L6" s="71" t="str">
        <f>IFERROR(__xludf.DUMMYFUNCTION("""COMPUTED_VALUE"""),"Monday")</f>
        <v>Monday</v>
      </c>
      <c r="M6" s="71" t="str">
        <f>IFERROR(__xludf.DUMMYFUNCTION("""COMPUTED_VALUE"""),"MF")</f>
        <v>MF</v>
      </c>
      <c r="N6" s="109"/>
      <c r="O6" s="110" t="str">
        <f>IFERROR(__xludf.DUMMYFUNCTION("""COMPUTED_VALUE"""),"")</f>
        <v/>
      </c>
      <c r="P6" s="71" t="str">
        <f>IFERROR(__xludf.DUMMYFUNCTION("""COMPUTED_VALUE"""),"")</f>
        <v/>
      </c>
      <c r="Q6" s="88"/>
      <c r="R6" s="88"/>
      <c r="S6" s="61"/>
      <c r="T6" s="61"/>
      <c r="U6" s="111" t="str">
        <f>IFERROR(__xludf.DUMMYFUNCTION("""COMPUTED_VALUE"""),"")</f>
        <v/>
      </c>
      <c r="V6" s="88"/>
      <c r="W6" s="111"/>
      <c r="X6" s="112"/>
      <c r="Y6" s="92"/>
      <c r="Z6" s="114" t="str">
        <f>IFERROR(__xludf.DUMMYFUNCTION("""COMPUTED_VALUE"""),"")</f>
        <v/>
      </c>
      <c r="AA6" s="114" t="str">
        <f>IFERROR(__xludf.DUMMYFUNCTION("""COMPUTED_VALUE"""),"")</f>
        <v/>
      </c>
      <c r="AB6" s="71" t="str">
        <f>IFERROR(__xludf.DUMMYFUNCTION("""COMPUTED_VALUE"""),"")</f>
        <v/>
      </c>
      <c r="AC6" s="115"/>
      <c r="AD6" s="115"/>
      <c r="AE6" s="115"/>
    </row>
    <row r="7">
      <c r="A7" s="105">
        <f>IFERROR(__xludf.DUMMYFUNCTION("""COMPUTED_VALUE"""),45908.86813994213)</f>
        <v>45908.86814</v>
      </c>
      <c r="B7" s="106" t="str">
        <f>IFERROR(__xludf.DUMMYFUNCTION("""COMPUTED_VALUE"""),"Sarah Wilme")</f>
        <v>Sarah Wilme</v>
      </c>
      <c r="C7" s="71" t="b">
        <f>IFERROR(__xludf.DUMMYFUNCTION("""COMPUTED_VALUE"""),FALSE)</f>
        <v>0</v>
      </c>
      <c r="D7" s="71"/>
      <c r="E7" s="78"/>
      <c r="F7" s="71"/>
      <c r="G7" s="78"/>
      <c r="H7" s="107">
        <f>IFERROR(__xludf.DUMMYFUNCTION("""COMPUTED_VALUE"""),38.0)</f>
        <v>38</v>
      </c>
      <c r="I7" s="108"/>
      <c r="J7" s="106" t="str">
        <f>IFERROR(__xludf.DUMMYFUNCTION("""COMPUTED_VALUE"""),"Dinner")</f>
        <v>Dinner</v>
      </c>
      <c r="K7" s="106">
        <f>IFERROR(__xludf.DUMMYFUNCTION("""COMPUTED_VALUE"""),45908.0)</f>
        <v>45908</v>
      </c>
      <c r="L7" s="71" t="str">
        <f>IFERROR(__xludf.DUMMYFUNCTION("""COMPUTED_VALUE"""),"Monday")</f>
        <v>Monday</v>
      </c>
      <c r="M7" s="71" t="str">
        <f>IFERROR(__xludf.DUMMYFUNCTION("""COMPUTED_VALUE"""),"MF")</f>
        <v>MF</v>
      </c>
      <c r="N7" s="109"/>
      <c r="O7" s="110" t="str">
        <f>IFERROR(__xludf.DUMMYFUNCTION("""COMPUTED_VALUE"""),"")</f>
        <v/>
      </c>
      <c r="P7" s="71" t="str">
        <f>IFERROR(__xludf.DUMMYFUNCTION("""COMPUTED_VALUE"""),"")</f>
        <v/>
      </c>
      <c r="Q7" s="88"/>
      <c r="R7" s="88"/>
      <c r="S7" s="61"/>
      <c r="T7" s="61"/>
      <c r="U7" s="111" t="str">
        <f>IFERROR(__xludf.DUMMYFUNCTION("""COMPUTED_VALUE"""),"")</f>
        <v/>
      </c>
      <c r="V7" s="88"/>
      <c r="W7" s="111"/>
      <c r="X7" s="62"/>
      <c r="Y7" s="109"/>
      <c r="Z7" s="113" t="str">
        <f>IFERROR(__xludf.DUMMYFUNCTION("""COMPUTED_VALUE"""),"")</f>
        <v/>
      </c>
      <c r="AA7" s="113" t="str">
        <f>IFERROR(__xludf.DUMMYFUNCTION("""COMPUTED_VALUE"""),"")</f>
        <v/>
      </c>
      <c r="AB7" s="71" t="str">
        <f>IFERROR(__xludf.DUMMYFUNCTION("""COMPUTED_VALUE"""),"")</f>
        <v/>
      </c>
    </row>
    <row r="8">
      <c r="A8" s="105">
        <f>IFERROR(__xludf.DUMMYFUNCTION("""COMPUTED_VALUE"""),45908.86855119213)</f>
        <v>45908.86855</v>
      </c>
      <c r="B8" s="106" t="str">
        <f>IFERROR(__xludf.DUMMYFUNCTION("""COMPUTED_VALUE"""),"Sarah Wilme")</f>
        <v>Sarah Wilme</v>
      </c>
      <c r="C8" s="71" t="b">
        <f>IFERROR(__xludf.DUMMYFUNCTION("""COMPUTED_VALUE"""),TRUE)</f>
        <v>1</v>
      </c>
      <c r="D8" s="71"/>
      <c r="E8" s="78"/>
      <c r="F8" s="71"/>
      <c r="G8" s="78"/>
      <c r="H8" s="107">
        <f>IFERROR(__xludf.DUMMYFUNCTION("""COMPUTED_VALUE"""),105.0)</f>
        <v>105</v>
      </c>
      <c r="I8" s="108"/>
      <c r="J8" s="106" t="str">
        <f>IFERROR(__xludf.DUMMYFUNCTION("""COMPUTED_VALUE"""),"Dinner")</f>
        <v>Dinner</v>
      </c>
      <c r="K8" s="106">
        <f>IFERROR(__xludf.DUMMYFUNCTION("""COMPUTED_VALUE"""),45908.0)</f>
        <v>45908</v>
      </c>
      <c r="L8" s="71" t="str">
        <f>IFERROR(__xludf.DUMMYFUNCTION("""COMPUTED_VALUE"""),"Monday")</f>
        <v>Monday</v>
      </c>
      <c r="M8" s="71" t="str">
        <f>IFERROR(__xludf.DUMMYFUNCTION("""COMPUTED_VALUE"""),"MF")</f>
        <v>MF</v>
      </c>
      <c r="N8" s="109"/>
      <c r="O8" s="110">
        <f>IFERROR(__xludf.DUMMYFUNCTION("""COMPUTED_VALUE"""),401.0)</f>
        <v>401</v>
      </c>
      <c r="P8" s="71">
        <f>IFERROR(__xludf.DUMMYFUNCTION("""COMPUTED_VALUE"""),158.0)</f>
        <v>158</v>
      </c>
      <c r="Q8" s="88"/>
      <c r="R8" s="88"/>
      <c r="S8" s="61"/>
      <c r="T8" s="61"/>
      <c r="U8" s="111">
        <f>IFERROR(__xludf.DUMMYFUNCTION("""COMPUTED_VALUE"""),559.0)</f>
        <v>559</v>
      </c>
      <c r="V8" s="88"/>
      <c r="W8" s="111"/>
      <c r="X8" s="62"/>
      <c r="Y8" s="109"/>
      <c r="Z8" s="113">
        <f>IFERROR(__xludf.DUMMYFUNCTION("""COMPUTED_VALUE"""),4559.0)</f>
        <v>4559</v>
      </c>
      <c r="AA8" s="113">
        <f>IFERROR(__xludf.DUMMYFUNCTION("""COMPUTED_VALUE"""),5024.0)</f>
        <v>5024</v>
      </c>
      <c r="AB8" s="113">
        <f>IFERROR(__xludf.DUMMYFUNCTION("""COMPUTED_VALUE"""),9583.0)</f>
        <v>9583</v>
      </c>
    </row>
    <row r="9">
      <c r="A9" s="105">
        <f>IFERROR(__xludf.DUMMYFUNCTION("""COMPUTED_VALUE"""),45909.63024474537)</f>
        <v>45909.63024</v>
      </c>
      <c r="B9" s="106" t="str">
        <f>IFERROR(__xludf.DUMMYFUNCTION("""COMPUTED_VALUE"""),"Maureen Surgot")</f>
        <v>Maureen Surgot</v>
      </c>
      <c r="C9" s="71" t="b">
        <f>IFERROR(__xludf.DUMMYFUNCTION("""COMPUTED_VALUE"""),FALSE)</f>
        <v>0</v>
      </c>
      <c r="D9" s="71"/>
      <c r="E9" s="78"/>
      <c r="F9" s="71"/>
      <c r="G9" s="78"/>
      <c r="H9" s="107">
        <f>IFERROR(__xludf.DUMMYFUNCTION("""COMPUTED_VALUE"""),142.0)</f>
        <v>142</v>
      </c>
      <c r="I9" s="108"/>
      <c r="J9" s="106" t="str">
        <f>IFERROR(__xludf.DUMMYFUNCTION("""COMPUTED_VALUE"""),"Lunch")</f>
        <v>Lunch</v>
      </c>
      <c r="K9" s="106">
        <f>IFERROR(__xludf.DUMMYFUNCTION("""COMPUTED_VALUE"""),45909.0)</f>
        <v>45909</v>
      </c>
      <c r="L9" s="71" t="str">
        <f>IFERROR(__xludf.DUMMYFUNCTION("""COMPUTED_VALUE"""),"Tuesday")</f>
        <v>Tuesday</v>
      </c>
      <c r="M9" s="71" t="str">
        <f>IFERROR(__xludf.DUMMYFUNCTION("""COMPUTED_VALUE"""),"MF")</f>
        <v>MF</v>
      </c>
      <c r="N9" s="109"/>
      <c r="O9" s="110" t="str">
        <f>IFERROR(__xludf.DUMMYFUNCTION("""COMPUTED_VALUE"""),"")</f>
        <v/>
      </c>
      <c r="P9" s="71" t="str">
        <f>IFERROR(__xludf.DUMMYFUNCTION("""COMPUTED_VALUE"""),"")</f>
        <v/>
      </c>
      <c r="Q9" s="88"/>
      <c r="R9" s="88"/>
      <c r="S9" s="61"/>
      <c r="T9" s="61"/>
      <c r="U9" s="111" t="str">
        <f>IFERROR(__xludf.DUMMYFUNCTION("""COMPUTED_VALUE"""),"")</f>
        <v/>
      </c>
      <c r="V9" s="88"/>
      <c r="W9" s="111"/>
      <c r="X9" s="57"/>
      <c r="Z9" s="116" t="str">
        <f>IFERROR(__xludf.DUMMYFUNCTION("""COMPUTED_VALUE"""),"")</f>
        <v/>
      </c>
      <c r="AA9" s="116" t="str">
        <f>IFERROR(__xludf.DUMMYFUNCTION("""COMPUTED_VALUE"""),"")</f>
        <v/>
      </c>
      <c r="AB9" s="71" t="str">
        <f>IFERROR(__xludf.DUMMYFUNCTION("""COMPUTED_VALUE"""),"")</f>
        <v/>
      </c>
      <c r="AC9" s="104"/>
      <c r="AD9" s="104"/>
      <c r="AE9" s="104"/>
    </row>
    <row r="10">
      <c r="A10" s="105">
        <f>IFERROR(__xludf.DUMMYFUNCTION("""COMPUTED_VALUE"""),45909.660384166666)</f>
        <v>45909.66038</v>
      </c>
      <c r="B10" s="106" t="str">
        <f>IFERROR(__xludf.DUMMYFUNCTION("""COMPUTED_VALUE"""),"Brynn Hornig")</f>
        <v>Brynn Hornig</v>
      </c>
      <c r="C10" s="71" t="b">
        <f>IFERROR(__xludf.DUMMYFUNCTION("""COMPUTED_VALUE"""),FALSE)</f>
        <v>0</v>
      </c>
      <c r="D10" s="71"/>
      <c r="E10" s="78"/>
      <c r="F10" s="71"/>
      <c r="G10" s="78"/>
      <c r="H10" s="107">
        <f>IFERROR(__xludf.DUMMYFUNCTION("""COMPUTED_VALUE"""),128.0)</f>
        <v>128</v>
      </c>
      <c r="I10" s="108"/>
      <c r="J10" s="106" t="str">
        <f>IFERROR(__xludf.DUMMYFUNCTION("""COMPUTED_VALUE"""),"Lunch")</f>
        <v>Lunch</v>
      </c>
      <c r="K10" s="106">
        <f>IFERROR(__xludf.DUMMYFUNCTION("""COMPUTED_VALUE"""),45909.0)</f>
        <v>45909</v>
      </c>
      <c r="L10" s="71" t="str">
        <f>IFERROR(__xludf.DUMMYFUNCTION("""COMPUTED_VALUE"""),"Tuesday")</f>
        <v>Tuesday</v>
      </c>
      <c r="M10" s="71" t="str">
        <f>IFERROR(__xludf.DUMMYFUNCTION("""COMPUTED_VALUE"""),"BF")</f>
        <v>BF</v>
      </c>
      <c r="N10" s="109"/>
      <c r="O10" s="110" t="str">
        <f>IFERROR(__xludf.DUMMYFUNCTION("""COMPUTED_VALUE"""),"")</f>
        <v/>
      </c>
      <c r="P10" s="71" t="str">
        <f>IFERROR(__xludf.DUMMYFUNCTION("""COMPUTED_VALUE"""),"")</f>
        <v/>
      </c>
      <c r="Q10" s="88"/>
      <c r="R10" s="88"/>
      <c r="S10" s="61"/>
      <c r="T10" s="61"/>
      <c r="U10" s="111" t="str">
        <f>IFERROR(__xludf.DUMMYFUNCTION("""COMPUTED_VALUE"""),"")</f>
        <v/>
      </c>
      <c r="V10" s="88"/>
      <c r="W10" s="111"/>
      <c r="X10" s="117"/>
      <c r="Y10" s="109"/>
      <c r="Z10" s="113" t="str">
        <f>IFERROR(__xludf.DUMMYFUNCTION("""COMPUTED_VALUE"""),"")</f>
        <v/>
      </c>
      <c r="AA10" s="113" t="str">
        <f>IFERROR(__xludf.DUMMYFUNCTION("""COMPUTED_VALUE"""),"")</f>
        <v/>
      </c>
      <c r="AB10" s="71" t="str">
        <f>IFERROR(__xludf.DUMMYFUNCTION("""COMPUTED_VALUE"""),"")</f>
        <v/>
      </c>
    </row>
    <row r="11">
      <c r="A11" s="105">
        <f>IFERROR(__xludf.DUMMYFUNCTION("""COMPUTED_VALUE"""),45909.870084953705)</f>
        <v>45909.87008</v>
      </c>
      <c r="B11" s="71" t="str">
        <f>IFERROR(__xludf.DUMMYFUNCTION("""COMPUTED_VALUE"""),"Leisly Aceituno")</f>
        <v>Leisly Aceituno</v>
      </c>
      <c r="C11" s="71" t="b">
        <f>IFERROR(__xludf.DUMMYFUNCTION("""COMPUTED_VALUE"""),FALSE)</f>
        <v>0</v>
      </c>
      <c r="D11" s="71"/>
      <c r="E11" s="78"/>
      <c r="F11" s="71"/>
      <c r="G11" s="78"/>
      <c r="H11" s="107">
        <f>IFERROR(__xludf.DUMMYFUNCTION("""COMPUTED_VALUE"""),225.0)</f>
        <v>225</v>
      </c>
      <c r="I11" s="108"/>
      <c r="J11" s="106" t="str">
        <f>IFERROR(__xludf.DUMMYFUNCTION("""COMPUTED_VALUE"""),"Dinner")</f>
        <v>Dinner</v>
      </c>
      <c r="K11" s="106">
        <f>IFERROR(__xludf.DUMMYFUNCTION("""COMPUTED_VALUE"""),45909.0)</f>
        <v>45909</v>
      </c>
      <c r="L11" s="71" t="str">
        <f>IFERROR(__xludf.DUMMYFUNCTION("""COMPUTED_VALUE"""),"Tuesday")</f>
        <v>Tuesday</v>
      </c>
      <c r="M11" s="71" t="str">
        <f>IFERROR(__xludf.DUMMYFUNCTION("""COMPUTED_VALUE"""),"MF")</f>
        <v>MF</v>
      </c>
      <c r="N11" s="109"/>
      <c r="O11" s="110">
        <f>IFERROR(__xludf.DUMMYFUNCTION("""COMPUTED_VALUE"""),367.0)</f>
        <v>367</v>
      </c>
      <c r="P11" s="71">
        <f>IFERROR(__xludf.DUMMYFUNCTION("""COMPUTED_VALUE"""),128.0)</f>
        <v>128</v>
      </c>
      <c r="Q11" s="88"/>
      <c r="R11" s="88"/>
      <c r="S11" s="61"/>
      <c r="T11" s="61"/>
      <c r="U11" s="111">
        <f>IFERROR(__xludf.DUMMYFUNCTION("""COMPUTED_VALUE"""),495.0)</f>
        <v>495</v>
      </c>
      <c r="V11" s="88"/>
      <c r="W11" s="111"/>
      <c r="X11" s="117"/>
      <c r="Y11" s="109"/>
      <c r="Z11" s="113">
        <f>IFERROR(__xludf.DUMMYFUNCTION("""COMPUTED_VALUE"""),4530.0)</f>
        <v>4530</v>
      </c>
      <c r="AA11" s="113">
        <f>IFERROR(__xludf.DUMMYFUNCTION("""COMPUTED_VALUE"""),4153.0)</f>
        <v>4153</v>
      </c>
      <c r="AB11" s="113">
        <f>IFERROR(__xludf.DUMMYFUNCTION("""COMPUTED_VALUE"""),8683.0)</f>
        <v>8683</v>
      </c>
    </row>
    <row r="12">
      <c r="A12" s="105">
        <f>IFERROR(__xludf.DUMMYFUNCTION("""COMPUTED_VALUE"""),45910.63344855324)</f>
        <v>45910.63345</v>
      </c>
      <c r="B12" s="106" t="str">
        <f>IFERROR(__xludf.DUMMYFUNCTION("""COMPUTED_VALUE"""),"Greta Traynor")</f>
        <v>Greta Traynor</v>
      </c>
      <c r="C12" s="71" t="b">
        <f>IFERROR(__xludf.DUMMYFUNCTION("""COMPUTED_VALUE"""),FALSE)</f>
        <v>0</v>
      </c>
      <c r="D12" s="71"/>
      <c r="E12" s="78"/>
      <c r="F12" s="71"/>
      <c r="G12" s="78"/>
      <c r="H12" s="107">
        <f>IFERROR(__xludf.DUMMYFUNCTION("""COMPUTED_VALUE"""),65.0)</f>
        <v>65</v>
      </c>
      <c r="I12" s="108"/>
      <c r="J12" s="106" t="str">
        <f>IFERROR(__xludf.DUMMYFUNCTION("""COMPUTED_VALUE"""),"Lunch")</f>
        <v>Lunch</v>
      </c>
      <c r="K12" s="106">
        <f>IFERROR(__xludf.DUMMYFUNCTION("""COMPUTED_VALUE"""),45910.0)</f>
        <v>45910</v>
      </c>
      <c r="L12" s="71" t="str">
        <f>IFERROR(__xludf.DUMMYFUNCTION("""COMPUTED_VALUE"""),"Wednesday")</f>
        <v>Wednesday</v>
      </c>
      <c r="M12" s="71" t="str">
        <f>IFERROR(__xludf.DUMMYFUNCTION("""COMPUTED_VALUE"""),"MF")</f>
        <v>MF</v>
      </c>
      <c r="N12" s="109"/>
      <c r="O12" s="110" t="str">
        <f>IFERROR(__xludf.DUMMYFUNCTION("""COMPUTED_VALUE"""),"")</f>
        <v/>
      </c>
      <c r="P12" s="71" t="str">
        <f>IFERROR(__xludf.DUMMYFUNCTION("""COMPUTED_VALUE"""),"")</f>
        <v/>
      </c>
      <c r="Q12" s="88"/>
      <c r="R12" s="88"/>
      <c r="S12" s="61"/>
      <c r="T12" s="61"/>
      <c r="U12" s="111" t="str">
        <f>IFERROR(__xludf.DUMMYFUNCTION("""COMPUTED_VALUE"""),"")</f>
        <v/>
      </c>
      <c r="V12" s="88"/>
      <c r="W12" s="111"/>
      <c r="X12" s="117"/>
      <c r="Y12" s="109"/>
      <c r="Z12" s="113" t="str">
        <f>IFERROR(__xludf.DUMMYFUNCTION("""COMPUTED_VALUE"""),"")</f>
        <v/>
      </c>
      <c r="AA12" s="113" t="str">
        <f>IFERROR(__xludf.DUMMYFUNCTION("""COMPUTED_VALUE"""),"")</f>
        <v/>
      </c>
      <c r="AB12" s="71" t="str">
        <f>IFERROR(__xludf.DUMMYFUNCTION("""COMPUTED_VALUE"""),"")</f>
        <v/>
      </c>
    </row>
    <row r="13">
      <c r="A13" s="105">
        <f>IFERROR(__xludf.DUMMYFUNCTION("""COMPUTED_VALUE"""),45910.74880765047)</f>
        <v>45910.74881</v>
      </c>
      <c r="B13" s="106" t="str">
        <f>IFERROR(__xludf.DUMMYFUNCTION("""COMPUTED_VALUE"""),"Orpheus Wilson")</f>
        <v>Orpheus Wilson</v>
      </c>
      <c r="C13" s="71" t="b">
        <f>IFERROR(__xludf.DUMMYFUNCTION("""COMPUTED_VALUE"""),FALSE)</f>
        <v>0</v>
      </c>
      <c r="D13" s="71"/>
      <c r="E13" s="78"/>
      <c r="F13" s="71"/>
      <c r="G13" s="78"/>
      <c r="H13" s="107">
        <f>IFERROR(__xludf.DUMMYFUNCTION("""COMPUTED_VALUE"""),65.0)</f>
        <v>65</v>
      </c>
      <c r="I13" s="108"/>
      <c r="J13" s="106" t="str">
        <f>IFERROR(__xludf.DUMMYFUNCTION("""COMPUTED_VALUE"""),"Dinner")</f>
        <v>Dinner</v>
      </c>
      <c r="K13" s="106">
        <f>IFERROR(__xludf.DUMMYFUNCTION("""COMPUTED_VALUE"""),45910.0)</f>
        <v>45910</v>
      </c>
      <c r="L13" s="71" t="str">
        <f>IFERROR(__xludf.DUMMYFUNCTION("""COMPUTED_VALUE"""),"Wednesday")</f>
        <v>Wednesday</v>
      </c>
      <c r="M13" s="71" t="str">
        <f>IFERROR(__xludf.DUMMYFUNCTION("""COMPUTED_VALUE"""),"MF")</f>
        <v>MF</v>
      </c>
      <c r="N13" s="109"/>
      <c r="O13" s="110" t="str">
        <f>IFERROR(__xludf.DUMMYFUNCTION("""COMPUTED_VALUE"""),"")</f>
        <v/>
      </c>
      <c r="P13" s="71" t="str">
        <f>IFERROR(__xludf.DUMMYFUNCTION("""COMPUTED_VALUE"""),"")</f>
        <v/>
      </c>
      <c r="Q13" s="88"/>
      <c r="R13" s="88"/>
      <c r="S13" s="61"/>
      <c r="T13" s="61"/>
      <c r="U13" s="111" t="str">
        <f>IFERROR(__xludf.DUMMYFUNCTION("""COMPUTED_VALUE"""),"")</f>
        <v/>
      </c>
      <c r="V13" s="88"/>
      <c r="W13" s="111"/>
      <c r="X13" s="117"/>
      <c r="Y13" s="109"/>
      <c r="Z13" s="113" t="str">
        <f>IFERROR(__xludf.DUMMYFUNCTION("""COMPUTED_VALUE"""),"")</f>
        <v/>
      </c>
      <c r="AA13" s="113" t="str">
        <f>IFERROR(__xludf.DUMMYFUNCTION("""COMPUTED_VALUE"""),"")</f>
        <v/>
      </c>
      <c r="AB13" s="71" t="str">
        <f>IFERROR(__xludf.DUMMYFUNCTION("""COMPUTED_VALUE"""),"")</f>
        <v/>
      </c>
    </row>
    <row r="14">
      <c r="A14" s="105">
        <f>IFERROR(__xludf.DUMMYFUNCTION("""COMPUTED_VALUE"""),45910.75103585648)</f>
        <v>45910.75104</v>
      </c>
      <c r="B14" s="106" t="str">
        <f>IFERROR(__xludf.DUMMYFUNCTION("""COMPUTED_VALUE"""),"Sarah Wilme")</f>
        <v>Sarah Wilme</v>
      </c>
      <c r="C14" s="71" t="b">
        <f>IFERROR(__xludf.DUMMYFUNCTION("""COMPUTED_VALUE"""),FALSE)</f>
        <v>0</v>
      </c>
      <c r="D14" s="71"/>
      <c r="E14" s="78"/>
      <c r="F14" s="71"/>
      <c r="G14" s="78"/>
      <c r="H14" s="107">
        <f>IFERROR(__xludf.DUMMYFUNCTION("""COMPUTED_VALUE"""),194.0)</f>
        <v>194</v>
      </c>
      <c r="I14" s="108"/>
      <c r="J14" s="106" t="str">
        <f>IFERROR(__xludf.DUMMYFUNCTION("""COMPUTED_VALUE"""),"Dinner")</f>
        <v>Dinner</v>
      </c>
      <c r="K14" s="106">
        <f>IFERROR(__xludf.DUMMYFUNCTION("""COMPUTED_VALUE"""),45910.0)</f>
        <v>45910</v>
      </c>
      <c r="L14" s="71" t="str">
        <f>IFERROR(__xludf.DUMMYFUNCTION("""COMPUTED_VALUE"""),"Wednesday")</f>
        <v>Wednesday</v>
      </c>
      <c r="M14" s="71" t="str">
        <f>IFERROR(__xludf.DUMMYFUNCTION("""COMPUTED_VALUE"""),"BF")</f>
        <v>BF</v>
      </c>
      <c r="N14" s="109"/>
      <c r="O14" s="110" t="str">
        <f>IFERROR(__xludf.DUMMYFUNCTION("""COMPUTED_VALUE"""),"")</f>
        <v/>
      </c>
      <c r="P14" s="71" t="str">
        <f>IFERROR(__xludf.DUMMYFUNCTION("""COMPUTED_VALUE"""),"")</f>
        <v/>
      </c>
      <c r="Q14" s="88"/>
      <c r="R14" s="88"/>
      <c r="S14" s="61"/>
      <c r="T14" s="61"/>
      <c r="U14" s="111" t="str">
        <f>IFERROR(__xludf.DUMMYFUNCTION("""COMPUTED_VALUE"""),"")</f>
        <v/>
      </c>
      <c r="V14" s="88"/>
      <c r="W14" s="111"/>
      <c r="X14" s="117"/>
      <c r="Y14" s="109"/>
      <c r="Z14" s="113" t="str">
        <f>IFERROR(__xludf.DUMMYFUNCTION("""COMPUTED_VALUE"""),"")</f>
        <v/>
      </c>
      <c r="AA14" s="113" t="str">
        <f>IFERROR(__xludf.DUMMYFUNCTION("""COMPUTED_VALUE"""),"")</f>
        <v/>
      </c>
      <c r="AB14" s="71" t="str">
        <f>IFERROR(__xludf.DUMMYFUNCTION("""COMPUTED_VALUE"""),"")</f>
        <v/>
      </c>
    </row>
    <row r="15">
      <c r="A15" s="105">
        <f>IFERROR(__xludf.DUMMYFUNCTION("""COMPUTED_VALUE"""),45910.87202634259)</f>
        <v>45910.87203</v>
      </c>
      <c r="B15" s="106" t="str">
        <f>IFERROR(__xludf.DUMMYFUNCTION("""COMPUTED_VALUE"""),"Kaylie Forgue")</f>
        <v>Kaylie Forgue</v>
      </c>
      <c r="C15" s="71" t="b">
        <f>IFERROR(__xludf.DUMMYFUNCTION("""COMPUTED_VALUE"""),FALSE)</f>
        <v>0</v>
      </c>
      <c r="D15" s="71"/>
      <c r="E15" s="78"/>
      <c r="F15" s="71"/>
      <c r="G15" s="78"/>
      <c r="H15" s="107">
        <f>IFERROR(__xludf.DUMMYFUNCTION("""COMPUTED_VALUE"""),81.0)</f>
        <v>81</v>
      </c>
      <c r="I15" s="108"/>
      <c r="J15" s="106" t="str">
        <f>IFERROR(__xludf.DUMMYFUNCTION("""COMPUTED_VALUE"""),"Dinner")</f>
        <v>Dinner</v>
      </c>
      <c r="K15" s="106">
        <f>IFERROR(__xludf.DUMMYFUNCTION("""COMPUTED_VALUE"""),45910.0)</f>
        <v>45910</v>
      </c>
      <c r="L15" s="71" t="str">
        <f>IFERROR(__xludf.DUMMYFUNCTION("""COMPUTED_VALUE"""),"Wednesday")</f>
        <v>Wednesday</v>
      </c>
      <c r="M15" s="71" t="str">
        <f>IFERROR(__xludf.DUMMYFUNCTION("""COMPUTED_VALUE"""),"MF")</f>
        <v>MF</v>
      </c>
      <c r="N15" s="109"/>
      <c r="O15" s="110">
        <f>IFERROR(__xludf.DUMMYFUNCTION("""COMPUTED_VALUE"""),211.0)</f>
        <v>211</v>
      </c>
      <c r="P15" s="71">
        <f>IFERROR(__xludf.DUMMYFUNCTION("""COMPUTED_VALUE"""),194.0)</f>
        <v>194</v>
      </c>
      <c r="Q15" s="88"/>
      <c r="R15" s="88"/>
      <c r="S15" s="61"/>
      <c r="T15" s="61"/>
      <c r="U15" s="111">
        <f>IFERROR(__xludf.DUMMYFUNCTION("""COMPUTED_VALUE"""),405.0)</f>
        <v>405</v>
      </c>
      <c r="V15" s="88"/>
      <c r="W15" s="111"/>
      <c r="X15" s="117"/>
      <c r="Y15" s="109"/>
      <c r="Z15" s="113">
        <f>IFERROR(__xludf.DUMMYFUNCTION("""COMPUTED_VALUE"""),3950.0)</f>
        <v>3950</v>
      </c>
      <c r="AA15" s="113">
        <f>IFERROR(__xludf.DUMMYFUNCTION("""COMPUTED_VALUE"""),4886.0)</f>
        <v>4886</v>
      </c>
      <c r="AB15" s="113">
        <f>IFERROR(__xludf.DUMMYFUNCTION("""COMPUTED_VALUE"""),8836.0)</f>
        <v>8836</v>
      </c>
    </row>
    <row r="16">
      <c r="A16" s="105">
        <f>IFERROR(__xludf.DUMMYFUNCTION("""COMPUTED_VALUE"""),45911.55644688658)</f>
        <v>45911.55645</v>
      </c>
      <c r="B16" s="106" t="str">
        <f>IFERROR(__xludf.DUMMYFUNCTION("""COMPUTED_VALUE"""),"Maureen Surgot")</f>
        <v>Maureen Surgot</v>
      </c>
      <c r="C16" s="71" t="b">
        <f>IFERROR(__xludf.DUMMYFUNCTION("""COMPUTED_VALUE"""),FALSE)</f>
        <v>0</v>
      </c>
      <c r="D16" s="71"/>
      <c r="E16" s="78"/>
      <c r="F16" s="71"/>
      <c r="G16" s="78"/>
      <c r="H16" s="107">
        <f>IFERROR(__xludf.DUMMYFUNCTION("""COMPUTED_VALUE"""),71.0)</f>
        <v>71</v>
      </c>
      <c r="I16" s="108"/>
      <c r="J16" s="106" t="str">
        <f>IFERROR(__xludf.DUMMYFUNCTION("""COMPUTED_VALUE"""),"Lunch")</f>
        <v>Lunch</v>
      </c>
      <c r="K16" s="106">
        <f>IFERROR(__xludf.DUMMYFUNCTION("""COMPUTED_VALUE"""),45911.0)</f>
        <v>45911</v>
      </c>
      <c r="L16" s="71" t="str">
        <f>IFERROR(__xludf.DUMMYFUNCTION("""COMPUTED_VALUE"""),"Thursday")</f>
        <v>Thursday</v>
      </c>
      <c r="M16" s="71" t="str">
        <f>IFERROR(__xludf.DUMMYFUNCTION("""COMPUTED_VALUE"""),"MF")</f>
        <v>MF</v>
      </c>
      <c r="N16" s="109"/>
      <c r="O16" s="110" t="str">
        <f>IFERROR(__xludf.DUMMYFUNCTION("""COMPUTED_VALUE"""),"")</f>
        <v/>
      </c>
      <c r="P16" s="71" t="str">
        <f>IFERROR(__xludf.DUMMYFUNCTION("""COMPUTED_VALUE"""),"")</f>
        <v/>
      </c>
      <c r="Q16" s="88"/>
      <c r="R16" s="88"/>
      <c r="S16" s="61"/>
      <c r="T16" s="61"/>
      <c r="U16" s="111" t="str">
        <f>IFERROR(__xludf.DUMMYFUNCTION("""COMPUTED_VALUE"""),"")</f>
        <v/>
      </c>
      <c r="V16" s="88"/>
      <c r="W16" s="111"/>
      <c r="X16" s="62"/>
      <c r="Y16" s="109"/>
      <c r="Z16" s="113" t="str">
        <f>IFERROR(__xludf.DUMMYFUNCTION("""COMPUTED_VALUE"""),"")</f>
        <v/>
      </c>
      <c r="AA16" s="113" t="str">
        <f>IFERROR(__xludf.DUMMYFUNCTION("""COMPUTED_VALUE"""),"")</f>
        <v/>
      </c>
      <c r="AB16" s="71" t="str">
        <f>IFERROR(__xludf.DUMMYFUNCTION("""COMPUTED_VALUE"""),"")</f>
        <v/>
      </c>
    </row>
    <row r="17">
      <c r="A17" s="105">
        <f>IFERROR(__xludf.DUMMYFUNCTION("""COMPUTED_VALUE"""),45911.640290474534)</f>
        <v>45911.64029</v>
      </c>
      <c r="B17" s="106" t="str">
        <f>IFERROR(__xludf.DUMMYFUNCTION("""COMPUTED_VALUE"""),"Brynn Hornig")</f>
        <v>Brynn Hornig</v>
      </c>
      <c r="C17" s="71" t="b">
        <f>IFERROR(__xludf.DUMMYFUNCTION("""COMPUTED_VALUE"""),FALSE)</f>
        <v>0</v>
      </c>
      <c r="D17" s="71"/>
      <c r="E17" s="78"/>
      <c r="F17" s="71"/>
      <c r="G17" s="78"/>
      <c r="H17" s="107">
        <f>IFERROR(__xludf.DUMMYFUNCTION("""COMPUTED_VALUE"""),68.0)</f>
        <v>68</v>
      </c>
      <c r="I17" s="108"/>
      <c r="J17" s="106" t="str">
        <f>IFERROR(__xludf.DUMMYFUNCTION("""COMPUTED_VALUE"""),"Lunch")</f>
        <v>Lunch</v>
      </c>
      <c r="K17" s="106">
        <f>IFERROR(__xludf.DUMMYFUNCTION("""COMPUTED_VALUE"""),45911.0)</f>
        <v>45911</v>
      </c>
      <c r="L17" s="71" t="str">
        <f>IFERROR(__xludf.DUMMYFUNCTION("""COMPUTED_VALUE"""),"Thursday")</f>
        <v>Thursday</v>
      </c>
      <c r="M17" s="71" t="str">
        <f>IFERROR(__xludf.DUMMYFUNCTION("""COMPUTED_VALUE"""),"MF")</f>
        <v>MF</v>
      </c>
      <c r="N17" s="109"/>
      <c r="O17" s="110" t="str">
        <f>IFERROR(__xludf.DUMMYFUNCTION("""COMPUTED_VALUE"""),"")</f>
        <v/>
      </c>
      <c r="P17" s="71" t="str">
        <f>IFERROR(__xludf.DUMMYFUNCTION("""COMPUTED_VALUE"""),"")</f>
        <v/>
      </c>
      <c r="Q17" s="88"/>
      <c r="R17" s="88"/>
      <c r="S17" s="61"/>
      <c r="T17" s="61"/>
      <c r="U17" s="111" t="str">
        <f>IFERROR(__xludf.DUMMYFUNCTION("""COMPUTED_VALUE"""),"")</f>
        <v/>
      </c>
      <c r="V17" s="88"/>
      <c r="W17" s="111"/>
      <c r="X17" s="62"/>
      <c r="Y17" s="109"/>
      <c r="Z17" s="113" t="str">
        <f>IFERROR(__xludf.DUMMYFUNCTION("""COMPUTED_VALUE"""),"")</f>
        <v/>
      </c>
      <c r="AA17" s="113" t="str">
        <f>IFERROR(__xludf.DUMMYFUNCTION("""COMPUTED_VALUE"""),"")</f>
        <v/>
      </c>
      <c r="AB17" s="71" t="str">
        <f>IFERROR(__xludf.DUMMYFUNCTION("""COMPUTED_VALUE"""),"")</f>
        <v/>
      </c>
    </row>
    <row r="18">
      <c r="A18" s="105">
        <f>IFERROR(__xludf.DUMMYFUNCTION("""COMPUTED_VALUE"""),45911.67635799768)</f>
        <v>45911.67636</v>
      </c>
      <c r="B18" s="106" t="str">
        <f>IFERROR(__xludf.DUMMYFUNCTION("""COMPUTED_VALUE"""),"Emma Korsu")</f>
        <v>Emma Korsu</v>
      </c>
      <c r="C18" s="71" t="b">
        <f>IFERROR(__xludf.DUMMYFUNCTION("""COMPUTED_VALUE"""),FALSE)</f>
        <v>0</v>
      </c>
      <c r="D18" s="71"/>
      <c r="E18" s="78"/>
      <c r="F18" s="71"/>
      <c r="G18" s="78"/>
      <c r="H18" s="107">
        <f>IFERROR(__xludf.DUMMYFUNCTION("""COMPUTED_VALUE"""),194.0)</f>
        <v>194</v>
      </c>
      <c r="I18" s="108"/>
      <c r="J18" s="106" t="str">
        <f>IFERROR(__xludf.DUMMYFUNCTION("""COMPUTED_VALUE"""),"Dinner")</f>
        <v>Dinner</v>
      </c>
      <c r="K18" s="106">
        <f>IFERROR(__xludf.DUMMYFUNCTION("""COMPUTED_VALUE"""),45911.0)</f>
        <v>45911</v>
      </c>
      <c r="L18" s="71" t="str">
        <f>IFERROR(__xludf.DUMMYFUNCTION("""COMPUTED_VALUE"""),"Thursday")</f>
        <v>Thursday</v>
      </c>
      <c r="M18" s="71" t="str">
        <f>IFERROR(__xludf.DUMMYFUNCTION("""COMPUTED_VALUE"""),"BF")</f>
        <v>BF</v>
      </c>
      <c r="N18" s="109"/>
      <c r="O18" s="110" t="str">
        <f>IFERROR(__xludf.DUMMYFUNCTION("""COMPUTED_VALUE"""),"")</f>
        <v/>
      </c>
      <c r="P18" s="71" t="str">
        <f>IFERROR(__xludf.DUMMYFUNCTION("""COMPUTED_VALUE"""),"")</f>
        <v/>
      </c>
      <c r="Q18" s="88"/>
      <c r="R18" s="88"/>
      <c r="S18" s="61"/>
      <c r="T18" s="61"/>
      <c r="U18" s="111" t="str">
        <f>IFERROR(__xludf.DUMMYFUNCTION("""COMPUTED_VALUE"""),"")</f>
        <v/>
      </c>
      <c r="V18" s="88"/>
      <c r="W18" s="111"/>
      <c r="X18" s="62"/>
      <c r="Y18" s="109"/>
      <c r="Z18" s="113" t="str">
        <f>IFERROR(__xludf.DUMMYFUNCTION("""COMPUTED_VALUE"""),"")</f>
        <v/>
      </c>
      <c r="AA18" s="113" t="str">
        <f>IFERROR(__xludf.DUMMYFUNCTION("""COMPUTED_VALUE"""),"")</f>
        <v/>
      </c>
      <c r="AB18" s="71" t="str">
        <f>IFERROR(__xludf.DUMMYFUNCTION("""COMPUTED_VALUE"""),"")</f>
        <v/>
      </c>
    </row>
    <row r="19">
      <c r="A19" s="105">
        <f>IFERROR(__xludf.DUMMYFUNCTION("""COMPUTED_VALUE"""),45911.6942159375)</f>
        <v>45911.69422</v>
      </c>
      <c r="B19" s="106" t="str">
        <f>IFERROR(__xludf.DUMMYFUNCTION("""COMPUTED_VALUE"""),"Emmett Khan")</f>
        <v>Emmett Khan</v>
      </c>
      <c r="C19" s="71" t="b">
        <f>IFERROR(__xludf.DUMMYFUNCTION("""COMPUTED_VALUE"""),FALSE)</f>
        <v>0</v>
      </c>
      <c r="D19" s="71"/>
      <c r="E19" s="78"/>
      <c r="F19" s="71"/>
      <c r="G19" s="78"/>
      <c r="H19" s="107">
        <f>IFERROR(__xludf.DUMMYFUNCTION("""COMPUTED_VALUE"""),54.0)</f>
        <v>54</v>
      </c>
      <c r="I19" s="108"/>
      <c r="J19" s="106" t="str">
        <f>IFERROR(__xludf.DUMMYFUNCTION("""COMPUTED_VALUE"""),"Lunch")</f>
        <v>Lunch</v>
      </c>
      <c r="K19" s="106">
        <f>IFERROR(__xludf.DUMMYFUNCTION("""COMPUTED_VALUE"""),45911.0)</f>
        <v>45911</v>
      </c>
      <c r="L19" s="71" t="str">
        <f>IFERROR(__xludf.DUMMYFUNCTION("""COMPUTED_VALUE"""),"Thursday")</f>
        <v>Thursday</v>
      </c>
      <c r="M19" s="71" t="str">
        <f>IFERROR(__xludf.DUMMYFUNCTION("""COMPUTED_VALUE"""),"BF")</f>
        <v>BF</v>
      </c>
      <c r="N19" s="92"/>
      <c r="O19" s="110" t="str">
        <f>IFERROR(__xludf.DUMMYFUNCTION("""COMPUTED_VALUE"""),"")</f>
        <v/>
      </c>
      <c r="P19" s="71" t="str">
        <f>IFERROR(__xludf.DUMMYFUNCTION("""COMPUTED_VALUE"""),"")</f>
        <v/>
      </c>
      <c r="Q19" s="88"/>
      <c r="R19" s="88"/>
      <c r="S19" s="61"/>
      <c r="T19" s="61"/>
      <c r="U19" s="111" t="str">
        <f>IFERROR(__xludf.DUMMYFUNCTION("""COMPUTED_VALUE"""),"")</f>
        <v/>
      </c>
      <c r="V19" s="88"/>
      <c r="W19" s="111"/>
      <c r="X19" s="62"/>
      <c r="Y19" s="109"/>
      <c r="Z19" s="113" t="str">
        <f>IFERROR(__xludf.DUMMYFUNCTION("""COMPUTED_VALUE"""),"")</f>
        <v/>
      </c>
      <c r="AA19" s="113" t="str">
        <f>IFERROR(__xludf.DUMMYFUNCTION("""COMPUTED_VALUE"""),"")</f>
        <v/>
      </c>
      <c r="AB19" s="71" t="str">
        <f>IFERROR(__xludf.DUMMYFUNCTION("""COMPUTED_VALUE"""),"")</f>
        <v/>
      </c>
    </row>
    <row r="20">
      <c r="A20" s="105">
        <f>IFERROR(__xludf.DUMMYFUNCTION("""COMPUTED_VALUE"""),45911.776443298615)</f>
        <v>45911.77644</v>
      </c>
      <c r="B20" s="106" t="str">
        <f>IFERROR(__xludf.DUMMYFUNCTION("""COMPUTED_VALUE"""),"Emmett Khan")</f>
        <v>Emmett Khan</v>
      </c>
      <c r="C20" s="71" t="b">
        <f>IFERROR(__xludf.DUMMYFUNCTION("""COMPUTED_VALUE"""),TRUE)</f>
        <v>1</v>
      </c>
      <c r="D20" s="71"/>
      <c r="E20" s="78"/>
      <c r="F20" s="71"/>
      <c r="G20" s="78"/>
      <c r="H20" s="107">
        <f>IFERROR(__xludf.DUMMYFUNCTION("""COMPUTED_VALUE"""),122.0)</f>
        <v>122</v>
      </c>
      <c r="I20" s="108"/>
      <c r="J20" s="106" t="str">
        <f>IFERROR(__xludf.DUMMYFUNCTION("""COMPUTED_VALUE"""),"Dinner")</f>
        <v>Dinner</v>
      </c>
      <c r="K20" s="106">
        <f>IFERROR(__xludf.DUMMYFUNCTION("""COMPUTED_VALUE"""),45911.0)</f>
        <v>45911</v>
      </c>
      <c r="L20" s="71" t="str">
        <f>IFERROR(__xludf.DUMMYFUNCTION("""COMPUTED_VALUE"""),"Thursday")</f>
        <v>Thursday</v>
      </c>
      <c r="M20" s="71" t="str">
        <f>IFERROR(__xludf.DUMMYFUNCTION("""COMPUTED_VALUE"""),"BF")</f>
        <v>BF</v>
      </c>
      <c r="N20" s="109"/>
      <c r="O20" s="110">
        <f>IFERROR(__xludf.DUMMYFUNCTION("""COMPUTED_VALUE"""),139.0)</f>
        <v>139</v>
      </c>
      <c r="P20" s="71">
        <f>IFERROR(__xludf.DUMMYFUNCTION("""COMPUTED_VALUE"""),370.0)</f>
        <v>370</v>
      </c>
      <c r="Q20" s="88"/>
      <c r="R20" s="88"/>
      <c r="S20" s="61"/>
      <c r="T20" s="61"/>
      <c r="U20" s="111">
        <f>IFERROR(__xludf.DUMMYFUNCTION("""COMPUTED_VALUE"""),509.0)</f>
        <v>509</v>
      </c>
      <c r="V20" s="88"/>
      <c r="W20" s="111"/>
      <c r="X20" s="62"/>
      <c r="Y20" s="109"/>
      <c r="Z20" s="113">
        <f>IFERROR(__xludf.DUMMYFUNCTION("""COMPUTED_VALUE"""),3965.0)</f>
        <v>3965</v>
      </c>
      <c r="AA20" s="113">
        <f>IFERROR(__xludf.DUMMYFUNCTION("""COMPUTED_VALUE"""),4593.0)</f>
        <v>4593</v>
      </c>
      <c r="AB20" s="113">
        <f>IFERROR(__xludf.DUMMYFUNCTION("""COMPUTED_VALUE"""),8558.0)</f>
        <v>8558</v>
      </c>
    </row>
    <row r="21">
      <c r="A21" s="105">
        <f>IFERROR(__xludf.DUMMYFUNCTION("""COMPUTED_VALUE"""),45912.58861394676)</f>
        <v>45912.58861</v>
      </c>
      <c r="B21" s="106" t="str">
        <f>IFERROR(__xludf.DUMMYFUNCTION("""COMPUTED_VALUE"""),"Greta Traynor")</f>
        <v>Greta Traynor</v>
      </c>
      <c r="C21" s="71" t="b">
        <f>IFERROR(__xludf.DUMMYFUNCTION("""COMPUTED_VALUE"""),FALSE)</f>
        <v>0</v>
      </c>
      <c r="D21" s="71"/>
      <c r="E21" s="78"/>
      <c r="F21" s="71"/>
      <c r="G21" s="78"/>
      <c r="H21" s="107">
        <f>IFERROR(__xludf.DUMMYFUNCTION("""COMPUTED_VALUE"""),68.0)</f>
        <v>68</v>
      </c>
      <c r="I21" s="108"/>
      <c r="J21" s="106" t="str">
        <f>IFERROR(__xludf.DUMMYFUNCTION("""COMPUTED_VALUE"""),"Lunch")</f>
        <v>Lunch</v>
      </c>
      <c r="K21" s="106">
        <f>IFERROR(__xludf.DUMMYFUNCTION("""COMPUTED_VALUE"""),45912.0)</f>
        <v>45912</v>
      </c>
      <c r="L21" s="71" t="str">
        <f>IFERROR(__xludf.DUMMYFUNCTION("""COMPUTED_VALUE"""),"Friday")</f>
        <v>Friday</v>
      </c>
      <c r="M21" s="71" t="str">
        <f>IFERROR(__xludf.DUMMYFUNCTION("""COMPUTED_VALUE"""),"MF")</f>
        <v>MF</v>
      </c>
      <c r="N21" s="109"/>
      <c r="O21" s="110">
        <f>IFERROR(__xludf.DUMMYFUNCTION("""COMPUTED_VALUE"""),68.0)</f>
        <v>68</v>
      </c>
      <c r="P21" s="71" t="str">
        <f>IFERROR(__xludf.DUMMYFUNCTION("""COMPUTED_VALUE"""),"")</f>
        <v/>
      </c>
      <c r="Q21" s="88"/>
      <c r="R21" s="88"/>
      <c r="S21" s="61"/>
      <c r="T21" s="61"/>
      <c r="U21" s="111">
        <f>IFERROR(__xludf.DUMMYFUNCTION("""COMPUTED_VALUE"""),68.0)</f>
        <v>68</v>
      </c>
      <c r="V21" s="88"/>
      <c r="W21" s="111"/>
      <c r="X21" s="62"/>
      <c r="Y21" s="109"/>
      <c r="Z21" s="113">
        <f>IFERROR(__xludf.DUMMYFUNCTION("""COMPUTED_VALUE"""),4102.0)</f>
        <v>4102</v>
      </c>
      <c r="AA21" s="113">
        <f>IFERROR(__xludf.DUMMYFUNCTION("""COMPUTED_VALUE"""),2529.0)</f>
        <v>2529</v>
      </c>
      <c r="AB21" s="113">
        <f>IFERROR(__xludf.DUMMYFUNCTION("""COMPUTED_VALUE"""),6631.0)</f>
        <v>6631</v>
      </c>
    </row>
    <row r="22">
      <c r="A22" s="105">
        <f>IFERROR(__xludf.DUMMYFUNCTION("""COMPUTED_VALUE"""),45915.44181483796)</f>
        <v>45915.44181</v>
      </c>
      <c r="B22" s="106" t="str">
        <f>IFERROR(__xludf.DUMMYFUNCTION("""COMPUTED_VALUE"""),"Sarah Wilme")</f>
        <v>Sarah Wilme</v>
      </c>
      <c r="C22" s="71" t="b">
        <f>IFERROR(__xludf.DUMMYFUNCTION("""COMPUTED_VALUE"""),FALSE)</f>
        <v>0</v>
      </c>
      <c r="D22" s="71"/>
      <c r="E22" s="78"/>
      <c r="F22" s="71"/>
      <c r="G22" s="78"/>
      <c r="H22" s="107">
        <f>IFERROR(__xludf.DUMMYFUNCTION("""COMPUTED_VALUE"""),113.0)</f>
        <v>113</v>
      </c>
      <c r="I22" s="108"/>
      <c r="J22" s="106" t="str">
        <f>IFERROR(__xludf.DUMMYFUNCTION("""COMPUTED_VALUE"""),"Breakfast")</f>
        <v>Breakfast</v>
      </c>
      <c r="K22" s="106">
        <f>IFERROR(__xludf.DUMMYFUNCTION("""COMPUTED_VALUE"""),45915.0)</f>
        <v>45915</v>
      </c>
      <c r="L22" s="71" t="str">
        <f>IFERROR(__xludf.DUMMYFUNCTION("""COMPUTED_VALUE"""),"Monday")</f>
        <v>Monday</v>
      </c>
      <c r="M22" s="71" t="str">
        <f>IFERROR(__xludf.DUMMYFUNCTION("""COMPUTED_VALUE"""),"BF")</f>
        <v>BF</v>
      </c>
      <c r="N22" s="109"/>
      <c r="O22" s="110" t="str">
        <f>IFERROR(__xludf.DUMMYFUNCTION("""COMPUTED_VALUE"""),"")</f>
        <v/>
      </c>
      <c r="P22" s="71" t="str">
        <f>IFERROR(__xludf.DUMMYFUNCTION("""COMPUTED_VALUE"""),"")</f>
        <v/>
      </c>
      <c r="Q22" s="88"/>
      <c r="R22" s="88"/>
      <c r="S22" s="61"/>
      <c r="T22" s="61"/>
      <c r="U22" s="111" t="str">
        <f>IFERROR(__xludf.DUMMYFUNCTION("""COMPUTED_VALUE"""),"")</f>
        <v/>
      </c>
      <c r="V22" s="88"/>
      <c r="W22" s="111"/>
      <c r="X22" s="62"/>
      <c r="Y22" s="109"/>
      <c r="Z22" s="113" t="str">
        <f>IFERROR(__xludf.DUMMYFUNCTION("""COMPUTED_VALUE"""),"")</f>
        <v/>
      </c>
      <c r="AA22" s="113" t="str">
        <f>IFERROR(__xludf.DUMMYFUNCTION("""COMPUTED_VALUE"""),"")</f>
        <v/>
      </c>
      <c r="AB22" s="71" t="str">
        <f>IFERROR(__xludf.DUMMYFUNCTION("""COMPUTED_VALUE"""),"")</f>
        <v/>
      </c>
    </row>
    <row r="23">
      <c r="A23" s="105">
        <f>IFERROR(__xludf.DUMMYFUNCTION("""COMPUTED_VALUE"""),45915.568060185185)</f>
        <v>45915.56806</v>
      </c>
      <c r="B23" s="106" t="str">
        <f>IFERROR(__xludf.DUMMYFUNCTION("""COMPUTED_VALUE"""),"Orpheus Wilson")</f>
        <v>Orpheus Wilson</v>
      </c>
      <c r="C23" s="71" t="b">
        <f>IFERROR(__xludf.DUMMYFUNCTION("""COMPUTED_VALUE"""),FALSE)</f>
        <v>0</v>
      </c>
      <c r="D23" s="71"/>
      <c r="E23" s="78"/>
      <c r="F23" s="71"/>
      <c r="G23" s="78"/>
      <c r="H23" s="107">
        <f>IFERROR(__xludf.DUMMYFUNCTION("""COMPUTED_VALUE"""),144.0)</f>
        <v>144</v>
      </c>
      <c r="I23" s="108"/>
      <c r="J23" s="106" t="str">
        <f>IFERROR(__xludf.DUMMYFUNCTION("""COMPUTED_VALUE"""),"Lunch")</f>
        <v>Lunch</v>
      </c>
      <c r="K23" s="106">
        <f>IFERROR(__xludf.DUMMYFUNCTION("""COMPUTED_VALUE"""),45915.0)</f>
        <v>45915</v>
      </c>
      <c r="L23" s="71" t="str">
        <f>IFERROR(__xludf.DUMMYFUNCTION("""COMPUTED_VALUE"""),"Monday")</f>
        <v>Monday</v>
      </c>
      <c r="M23" s="71" t="str">
        <f>IFERROR(__xludf.DUMMYFUNCTION("""COMPUTED_VALUE"""),"MF")</f>
        <v>MF</v>
      </c>
      <c r="N23" s="109"/>
      <c r="O23" s="110" t="str">
        <f>IFERROR(__xludf.DUMMYFUNCTION("""COMPUTED_VALUE"""),"")</f>
        <v/>
      </c>
      <c r="P23" s="71" t="str">
        <f>IFERROR(__xludf.DUMMYFUNCTION("""COMPUTED_VALUE"""),"")</f>
        <v/>
      </c>
      <c r="Q23" s="88"/>
      <c r="R23" s="88"/>
      <c r="S23" s="61"/>
      <c r="T23" s="61"/>
      <c r="U23" s="111" t="str">
        <f>IFERROR(__xludf.DUMMYFUNCTION("""COMPUTED_VALUE"""),"")</f>
        <v/>
      </c>
      <c r="V23" s="88"/>
      <c r="W23" s="111"/>
      <c r="X23" s="62"/>
      <c r="Y23" s="109"/>
      <c r="Z23" s="113" t="str">
        <f>IFERROR(__xludf.DUMMYFUNCTION("""COMPUTED_VALUE"""),"")</f>
        <v/>
      </c>
      <c r="AA23" s="113" t="str">
        <f>IFERROR(__xludf.DUMMYFUNCTION("""COMPUTED_VALUE"""),"")</f>
        <v/>
      </c>
      <c r="AB23" s="71" t="str">
        <f>IFERROR(__xludf.DUMMYFUNCTION("""COMPUTED_VALUE"""),"")</f>
        <v/>
      </c>
    </row>
    <row r="24">
      <c r="A24" s="105">
        <f>IFERROR(__xludf.DUMMYFUNCTION("""COMPUTED_VALUE"""),45915.66044424768)</f>
        <v>45915.66044</v>
      </c>
      <c r="B24" s="106" t="str">
        <f>IFERROR(__xludf.DUMMYFUNCTION("""COMPUTED_VALUE"""),"Emma Korsu")</f>
        <v>Emma Korsu</v>
      </c>
      <c r="C24" s="71" t="b">
        <f>IFERROR(__xludf.DUMMYFUNCTION("""COMPUTED_VALUE"""),FALSE)</f>
        <v>0</v>
      </c>
      <c r="D24" s="71"/>
      <c r="E24" s="78"/>
      <c r="F24" s="71"/>
      <c r="G24" s="78"/>
      <c r="H24" s="107">
        <f>IFERROR(__xludf.DUMMYFUNCTION("""COMPUTED_VALUE"""),149.0)</f>
        <v>149</v>
      </c>
      <c r="I24" s="108"/>
      <c r="J24" s="106" t="str">
        <f>IFERROR(__xludf.DUMMYFUNCTION("""COMPUTED_VALUE"""),"Lunch")</f>
        <v>Lunch</v>
      </c>
      <c r="K24" s="106">
        <f>IFERROR(__xludf.DUMMYFUNCTION("""COMPUTED_VALUE"""),45915.0)</f>
        <v>45915</v>
      </c>
      <c r="L24" s="71" t="str">
        <f>IFERROR(__xludf.DUMMYFUNCTION("""COMPUTED_VALUE"""),"Monday")</f>
        <v>Monday</v>
      </c>
      <c r="M24" s="71" t="str">
        <f>IFERROR(__xludf.DUMMYFUNCTION("""COMPUTED_VALUE"""),"BF")</f>
        <v>BF</v>
      </c>
      <c r="N24" s="109"/>
      <c r="O24" s="110" t="str">
        <f>IFERROR(__xludf.DUMMYFUNCTION("""COMPUTED_VALUE"""),"")</f>
        <v/>
      </c>
      <c r="P24" s="71" t="str">
        <f>IFERROR(__xludf.DUMMYFUNCTION("""COMPUTED_VALUE"""),"")</f>
        <v/>
      </c>
      <c r="Q24" s="88"/>
      <c r="R24" s="88"/>
      <c r="S24" s="61"/>
      <c r="T24" s="61"/>
      <c r="U24" s="111" t="str">
        <f>IFERROR(__xludf.DUMMYFUNCTION("""COMPUTED_VALUE"""),"")</f>
        <v/>
      </c>
      <c r="V24" s="88"/>
      <c r="W24" s="111"/>
      <c r="X24" s="62"/>
      <c r="Y24" s="109"/>
      <c r="Z24" s="113" t="str">
        <f>IFERROR(__xludf.DUMMYFUNCTION("""COMPUTED_VALUE"""),"")</f>
        <v/>
      </c>
      <c r="AA24" s="113" t="str">
        <f>IFERROR(__xludf.DUMMYFUNCTION("""COMPUTED_VALUE"""),"")</f>
        <v/>
      </c>
      <c r="AB24" s="71" t="str">
        <f>IFERROR(__xludf.DUMMYFUNCTION("""COMPUTED_VALUE"""),"")</f>
        <v/>
      </c>
    </row>
    <row r="25">
      <c r="A25" s="105">
        <f>IFERROR(__xludf.DUMMYFUNCTION("""COMPUTED_VALUE"""),45915.765308773145)</f>
        <v>45915.76531</v>
      </c>
      <c r="B25" s="106" t="str">
        <f>IFERROR(__xludf.DUMMYFUNCTION("""COMPUTED_VALUE"""),"Maureen Surgot")</f>
        <v>Maureen Surgot</v>
      </c>
      <c r="C25" s="71" t="b">
        <f>IFERROR(__xludf.DUMMYFUNCTION("""COMPUTED_VALUE"""),FALSE)</f>
        <v>0</v>
      </c>
      <c r="D25" s="71"/>
      <c r="E25" s="78"/>
      <c r="F25" s="71"/>
      <c r="G25" s="78"/>
      <c r="H25" s="107">
        <f>IFERROR(__xludf.DUMMYFUNCTION("""COMPUTED_VALUE"""),75.0)</f>
        <v>75</v>
      </c>
      <c r="I25" s="108"/>
      <c r="J25" s="106" t="str">
        <f>IFERROR(__xludf.DUMMYFUNCTION("""COMPUTED_VALUE"""),"Dinner")</f>
        <v>Dinner</v>
      </c>
      <c r="K25" s="106">
        <f>IFERROR(__xludf.DUMMYFUNCTION("""COMPUTED_VALUE"""),45915.0)</f>
        <v>45915</v>
      </c>
      <c r="L25" s="71" t="str">
        <f>IFERROR(__xludf.DUMMYFUNCTION("""COMPUTED_VALUE"""),"Monday")</f>
        <v>Monday</v>
      </c>
      <c r="M25" s="71" t="str">
        <f>IFERROR(__xludf.DUMMYFUNCTION("""COMPUTED_VALUE"""),"MF")</f>
        <v>MF</v>
      </c>
      <c r="N25" s="109"/>
      <c r="O25" s="110" t="str">
        <f>IFERROR(__xludf.DUMMYFUNCTION("""COMPUTED_VALUE"""),"")</f>
        <v/>
      </c>
      <c r="P25" s="71" t="str">
        <f>IFERROR(__xludf.DUMMYFUNCTION("""COMPUTED_VALUE"""),"")</f>
        <v/>
      </c>
      <c r="Q25" s="88"/>
      <c r="R25" s="88"/>
      <c r="S25" s="61"/>
      <c r="T25" s="61"/>
      <c r="U25" s="111" t="str">
        <f>IFERROR(__xludf.DUMMYFUNCTION("""COMPUTED_VALUE"""),"")</f>
        <v/>
      </c>
      <c r="V25" s="88"/>
      <c r="W25" s="111"/>
      <c r="X25" s="62"/>
      <c r="Y25" s="109"/>
      <c r="Z25" s="113" t="str">
        <f>IFERROR(__xludf.DUMMYFUNCTION("""COMPUTED_VALUE"""),"")</f>
        <v/>
      </c>
      <c r="AA25" s="113" t="str">
        <f>IFERROR(__xludf.DUMMYFUNCTION("""COMPUTED_VALUE"""),"")</f>
        <v/>
      </c>
      <c r="AB25" s="71" t="str">
        <f>IFERROR(__xludf.DUMMYFUNCTION("""COMPUTED_VALUE"""),"")</f>
        <v/>
      </c>
    </row>
    <row r="26">
      <c r="A26" s="105">
        <f>IFERROR(__xludf.DUMMYFUNCTION("""COMPUTED_VALUE"""),45915.876852500005)</f>
        <v>45915.87685</v>
      </c>
      <c r="B26" s="106" t="str">
        <f>IFERROR(__xludf.DUMMYFUNCTION("""COMPUTED_VALUE"""),"Kaylie Forgue")</f>
        <v>Kaylie Forgue</v>
      </c>
      <c r="C26" s="71" t="b">
        <f>IFERROR(__xludf.DUMMYFUNCTION("""COMPUTED_VALUE"""),FALSE)</f>
        <v>0</v>
      </c>
      <c r="D26" s="71"/>
      <c r="E26" s="78"/>
      <c r="F26" s="71"/>
      <c r="G26" s="78"/>
      <c r="H26" s="107">
        <f>IFERROR(__xludf.DUMMYFUNCTION("""COMPUTED_VALUE"""),160.0)</f>
        <v>160</v>
      </c>
      <c r="I26" s="108"/>
      <c r="J26" s="106" t="str">
        <f>IFERROR(__xludf.DUMMYFUNCTION("""COMPUTED_VALUE"""),"Dinner")</f>
        <v>Dinner</v>
      </c>
      <c r="K26" s="106">
        <f>IFERROR(__xludf.DUMMYFUNCTION("""COMPUTED_VALUE"""),45915.0)</f>
        <v>45915</v>
      </c>
      <c r="L26" s="71" t="str">
        <f>IFERROR(__xludf.DUMMYFUNCTION("""COMPUTED_VALUE"""),"Monday")</f>
        <v>Monday</v>
      </c>
      <c r="M26" s="71" t="str">
        <f>IFERROR(__xludf.DUMMYFUNCTION("""COMPUTED_VALUE"""),"BF")</f>
        <v>BF</v>
      </c>
      <c r="N26" s="109"/>
      <c r="O26" s="110">
        <f>IFERROR(__xludf.DUMMYFUNCTION("""COMPUTED_VALUE"""),219.0)</f>
        <v>219</v>
      </c>
      <c r="P26" s="71">
        <f>IFERROR(__xludf.DUMMYFUNCTION("""COMPUTED_VALUE"""),422.0)</f>
        <v>422</v>
      </c>
      <c r="Q26" s="88"/>
      <c r="R26" s="88"/>
      <c r="S26" s="61"/>
      <c r="T26" s="61"/>
      <c r="U26" s="111">
        <f>IFERROR(__xludf.DUMMYFUNCTION("""COMPUTED_VALUE"""),641.0)</f>
        <v>641</v>
      </c>
      <c r="V26" s="88"/>
      <c r="W26" s="111"/>
      <c r="X26" s="62"/>
      <c r="Y26" s="109"/>
      <c r="Z26" s="113">
        <f>IFERROR(__xludf.DUMMYFUNCTION("""COMPUTED_VALUE"""),4054.0)</f>
        <v>4054</v>
      </c>
      <c r="AA26" s="113">
        <f>IFERROR(__xludf.DUMMYFUNCTION("""COMPUTED_VALUE"""),4907.0)</f>
        <v>4907</v>
      </c>
      <c r="AB26" s="113">
        <f>IFERROR(__xludf.DUMMYFUNCTION("""COMPUTED_VALUE"""),8961.0)</f>
        <v>8961</v>
      </c>
    </row>
    <row r="27">
      <c r="A27" s="105">
        <f>IFERROR(__xludf.DUMMYFUNCTION("""COMPUTED_VALUE"""),45916.47897631944)</f>
        <v>45916.47898</v>
      </c>
      <c r="B27" s="106" t="str">
        <f>IFERROR(__xludf.DUMMYFUNCTION("""COMPUTED_VALUE"""),"Emmett Khan")</f>
        <v>Emmett Khan</v>
      </c>
      <c r="C27" s="71" t="b">
        <f>IFERROR(__xludf.DUMMYFUNCTION("""COMPUTED_VALUE"""),FALSE)</f>
        <v>0</v>
      </c>
      <c r="D27" s="71"/>
      <c r="E27" s="78"/>
      <c r="F27" s="71"/>
      <c r="G27" s="78"/>
      <c r="H27" s="107">
        <f>IFERROR(__xludf.DUMMYFUNCTION("""COMPUTED_VALUE"""),154.0)</f>
        <v>154</v>
      </c>
      <c r="I27" s="108"/>
      <c r="J27" s="106" t="str">
        <f>IFERROR(__xludf.DUMMYFUNCTION("""COMPUTED_VALUE"""),"Breakfast")</f>
        <v>Breakfast</v>
      </c>
      <c r="K27" s="106">
        <f>IFERROR(__xludf.DUMMYFUNCTION("""COMPUTED_VALUE"""),45916.0)</f>
        <v>45916</v>
      </c>
      <c r="L27" s="71" t="str">
        <f>IFERROR(__xludf.DUMMYFUNCTION("""COMPUTED_VALUE"""),"Tuesday")</f>
        <v>Tuesday</v>
      </c>
      <c r="M27" s="71" t="str">
        <f>IFERROR(__xludf.DUMMYFUNCTION("""COMPUTED_VALUE"""),"BF")</f>
        <v>BF</v>
      </c>
      <c r="N27" s="109"/>
      <c r="O27" s="110" t="str">
        <f>IFERROR(__xludf.DUMMYFUNCTION("""COMPUTED_VALUE"""),"")</f>
        <v/>
      </c>
      <c r="P27" s="71" t="str">
        <f>IFERROR(__xludf.DUMMYFUNCTION("""COMPUTED_VALUE"""),"")</f>
        <v/>
      </c>
      <c r="Q27" s="88"/>
      <c r="R27" s="88"/>
      <c r="S27" s="61"/>
      <c r="T27" s="61"/>
      <c r="U27" s="111" t="str">
        <f>IFERROR(__xludf.DUMMYFUNCTION("""COMPUTED_VALUE"""),"")</f>
        <v/>
      </c>
      <c r="V27" s="88"/>
      <c r="W27" s="111"/>
      <c r="X27" s="62"/>
      <c r="Y27" s="109"/>
      <c r="Z27" s="113" t="str">
        <f>IFERROR(__xludf.DUMMYFUNCTION("""COMPUTED_VALUE"""),"")</f>
        <v/>
      </c>
      <c r="AA27" s="113" t="str">
        <f>IFERROR(__xludf.DUMMYFUNCTION("""COMPUTED_VALUE"""),"")</f>
        <v/>
      </c>
      <c r="AB27" s="71" t="str">
        <f>IFERROR(__xludf.DUMMYFUNCTION("""COMPUTED_VALUE"""),"")</f>
        <v/>
      </c>
    </row>
    <row r="28">
      <c r="A28" s="105">
        <f>IFERROR(__xludf.DUMMYFUNCTION("""COMPUTED_VALUE"""),45916.879491886575)</f>
        <v>45916.87949</v>
      </c>
      <c r="B28" s="106" t="str">
        <f>IFERROR(__xludf.DUMMYFUNCTION("""COMPUTED_VALUE"""),"Kaylie Forgue")</f>
        <v>Kaylie Forgue</v>
      </c>
      <c r="C28" s="71" t="b">
        <f>IFERROR(__xludf.DUMMYFUNCTION("""COMPUTED_VALUE"""),FALSE)</f>
        <v>0</v>
      </c>
      <c r="D28" s="71"/>
      <c r="E28" s="78"/>
      <c r="F28" s="71"/>
      <c r="G28" s="78"/>
      <c r="H28" s="107">
        <f>IFERROR(__xludf.DUMMYFUNCTION("""COMPUTED_VALUE"""),88.0)</f>
        <v>88</v>
      </c>
      <c r="I28" s="108"/>
      <c r="J28" s="106" t="str">
        <f>IFERROR(__xludf.DUMMYFUNCTION("""COMPUTED_VALUE"""),"Dinner")</f>
        <v>Dinner</v>
      </c>
      <c r="K28" s="106">
        <f>IFERROR(__xludf.DUMMYFUNCTION("""COMPUTED_VALUE"""),45916.0)</f>
        <v>45916</v>
      </c>
      <c r="L28" s="71" t="str">
        <f>IFERROR(__xludf.DUMMYFUNCTION("""COMPUTED_VALUE"""),"Tuesday")</f>
        <v>Tuesday</v>
      </c>
      <c r="M28" s="71" t="str">
        <f>IFERROR(__xludf.DUMMYFUNCTION("""COMPUTED_VALUE"""),"BF")</f>
        <v>BF</v>
      </c>
      <c r="N28" s="109"/>
      <c r="O28" s="110" t="str">
        <f>IFERROR(__xludf.DUMMYFUNCTION("""COMPUTED_VALUE"""),"")</f>
        <v/>
      </c>
      <c r="P28" s="71" t="str">
        <f>IFERROR(__xludf.DUMMYFUNCTION("""COMPUTED_VALUE"""),"")</f>
        <v/>
      </c>
      <c r="Q28" s="88"/>
      <c r="R28" s="88"/>
      <c r="S28" s="61"/>
      <c r="T28" s="61"/>
      <c r="U28" s="111" t="str">
        <f>IFERROR(__xludf.DUMMYFUNCTION("""COMPUTED_VALUE"""),"")</f>
        <v/>
      </c>
      <c r="V28" s="88"/>
      <c r="W28" s="111"/>
      <c r="X28" s="62"/>
      <c r="Y28" s="109"/>
      <c r="Z28" s="113" t="str">
        <f>IFERROR(__xludf.DUMMYFUNCTION("""COMPUTED_VALUE"""),"")</f>
        <v/>
      </c>
      <c r="AA28" s="113" t="str">
        <f>IFERROR(__xludf.DUMMYFUNCTION("""COMPUTED_VALUE"""),"")</f>
        <v/>
      </c>
      <c r="AB28" s="71" t="str">
        <f>IFERROR(__xludf.DUMMYFUNCTION("""COMPUTED_VALUE"""),"")</f>
        <v/>
      </c>
    </row>
    <row r="29">
      <c r="A29" s="105">
        <f>IFERROR(__xludf.DUMMYFUNCTION("""COMPUTED_VALUE"""),45916.92792082176)</f>
        <v>45916.92792</v>
      </c>
      <c r="B29" s="106" t="str">
        <f>IFERROR(__xludf.DUMMYFUNCTION("""COMPUTED_VALUE"""),"Maureen Surgot")</f>
        <v>Maureen Surgot</v>
      </c>
      <c r="C29" s="71" t="b">
        <f>IFERROR(__xludf.DUMMYFUNCTION("""COMPUTED_VALUE"""),FALSE)</f>
        <v>0</v>
      </c>
      <c r="D29" s="71"/>
      <c r="E29" s="78"/>
      <c r="F29" s="71"/>
      <c r="G29" s="78"/>
      <c r="H29" s="107">
        <f>IFERROR(__xludf.DUMMYFUNCTION("""COMPUTED_VALUE"""),145.0)</f>
        <v>145</v>
      </c>
      <c r="I29" s="108"/>
      <c r="J29" s="106" t="str">
        <f>IFERROR(__xludf.DUMMYFUNCTION("""COMPUTED_VALUE"""),"Lunch")</f>
        <v>Lunch</v>
      </c>
      <c r="K29" s="106">
        <f>IFERROR(__xludf.DUMMYFUNCTION("""COMPUTED_VALUE"""),45916.0)</f>
        <v>45916</v>
      </c>
      <c r="L29" s="71" t="str">
        <f>IFERROR(__xludf.DUMMYFUNCTION("""COMPUTED_VALUE"""),"Tuesday")</f>
        <v>Tuesday</v>
      </c>
      <c r="M29" s="71" t="str">
        <f>IFERROR(__xludf.DUMMYFUNCTION("""COMPUTED_VALUE"""),"MF")</f>
        <v>MF</v>
      </c>
      <c r="N29" s="109"/>
      <c r="O29" s="110">
        <f>IFERROR(__xludf.DUMMYFUNCTION("""COMPUTED_VALUE"""),145.0)</f>
        <v>145</v>
      </c>
      <c r="P29" s="71">
        <f>IFERROR(__xludf.DUMMYFUNCTION("""COMPUTED_VALUE"""),242.0)</f>
        <v>242</v>
      </c>
      <c r="Q29" s="88"/>
      <c r="R29" s="88"/>
      <c r="S29" s="61"/>
      <c r="T29" s="61"/>
      <c r="U29" s="111">
        <f>IFERROR(__xludf.DUMMYFUNCTION("""COMPUTED_VALUE"""),387.0)</f>
        <v>387</v>
      </c>
      <c r="V29" s="88"/>
      <c r="W29" s="111"/>
      <c r="X29" s="62"/>
      <c r="Y29" s="109"/>
      <c r="Z29" s="113">
        <f>IFERROR(__xludf.DUMMYFUNCTION("""COMPUTED_VALUE"""),4281.0)</f>
        <v>4281</v>
      </c>
      <c r="AA29" s="113">
        <f>IFERROR(__xludf.DUMMYFUNCTION("""COMPUTED_VALUE"""),4201.0)</f>
        <v>4201</v>
      </c>
      <c r="AB29" s="113">
        <f>IFERROR(__xludf.DUMMYFUNCTION("""COMPUTED_VALUE"""),8482.0)</f>
        <v>8482</v>
      </c>
    </row>
    <row r="30">
      <c r="A30" s="105">
        <f>IFERROR(__xludf.DUMMYFUNCTION("""COMPUTED_VALUE"""),45917.75257337963)</f>
        <v>45917.75257</v>
      </c>
      <c r="B30" s="106" t="str">
        <f>IFERROR(__xludf.DUMMYFUNCTION("""COMPUTED_VALUE"""),"Sarah Wilme")</f>
        <v>Sarah Wilme</v>
      </c>
      <c r="C30" s="71" t="b">
        <f>IFERROR(__xludf.DUMMYFUNCTION("""COMPUTED_VALUE"""),FALSE)</f>
        <v>0</v>
      </c>
      <c r="D30" s="71"/>
      <c r="E30" s="78"/>
      <c r="F30" s="71"/>
      <c r="G30" s="78"/>
      <c r="H30" s="107">
        <f>IFERROR(__xludf.DUMMYFUNCTION("""COMPUTED_VALUE"""),176.0)</f>
        <v>176</v>
      </c>
      <c r="I30" s="108"/>
      <c r="J30" s="106" t="str">
        <f>IFERROR(__xludf.DUMMYFUNCTION("""COMPUTED_VALUE"""),"Dinner")</f>
        <v>Dinner</v>
      </c>
      <c r="K30" s="106">
        <f>IFERROR(__xludf.DUMMYFUNCTION("""COMPUTED_VALUE"""),45917.0)</f>
        <v>45917</v>
      </c>
      <c r="L30" s="71" t="str">
        <f>IFERROR(__xludf.DUMMYFUNCTION("""COMPUTED_VALUE"""),"Wednesday")</f>
        <v>Wednesday</v>
      </c>
      <c r="M30" s="71" t="str">
        <f>IFERROR(__xludf.DUMMYFUNCTION("""COMPUTED_VALUE"""),"BF")</f>
        <v>BF</v>
      </c>
      <c r="N30" s="109"/>
      <c r="O30" s="110" t="str">
        <f>IFERROR(__xludf.DUMMYFUNCTION("""COMPUTED_VALUE"""),"")</f>
        <v/>
      </c>
      <c r="P30" s="71" t="str">
        <f>IFERROR(__xludf.DUMMYFUNCTION("""COMPUTED_VALUE"""),"")</f>
        <v/>
      </c>
      <c r="Q30" s="88"/>
      <c r="R30" s="88"/>
      <c r="S30" s="61"/>
      <c r="T30" s="61"/>
      <c r="U30" s="111" t="str">
        <f>IFERROR(__xludf.DUMMYFUNCTION("""COMPUTED_VALUE"""),"")</f>
        <v/>
      </c>
      <c r="V30" s="88"/>
      <c r="W30" s="111"/>
      <c r="X30" s="62"/>
      <c r="Y30" s="109"/>
      <c r="Z30" s="113" t="str">
        <f>IFERROR(__xludf.DUMMYFUNCTION("""COMPUTED_VALUE"""),"")</f>
        <v/>
      </c>
      <c r="AA30" s="113" t="str">
        <f>IFERROR(__xludf.DUMMYFUNCTION("""COMPUTED_VALUE"""),"")</f>
        <v/>
      </c>
      <c r="AB30" s="71" t="str">
        <f>IFERROR(__xludf.DUMMYFUNCTION("""COMPUTED_VALUE"""),"")</f>
        <v/>
      </c>
    </row>
    <row r="31">
      <c r="A31" s="105">
        <f>IFERROR(__xludf.DUMMYFUNCTION("""COMPUTED_VALUE"""),45917.755063703706)</f>
        <v>45917.75506</v>
      </c>
      <c r="B31" s="106" t="str">
        <f>IFERROR(__xludf.DUMMYFUNCTION("""COMPUTED_VALUE"""),"Orpheus Wilson")</f>
        <v>Orpheus Wilson</v>
      </c>
      <c r="C31" s="71" t="b">
        <f>IFERROR(__xludf.DUMMYFUNCTION("""COMPUTED_VALUE"""),FALSE)</f>
        <v>0</v>
      </c>
      <c r="D31" s="71"/>
      <c r="E31" s="78"/>
      <c r="F31" s="71"/>
      <c r="G31" s="78"/>
      <c r="H31" s="107">
        <f>IFERROR(__xludf.DUMMYFUNCTION("""COMPUTED_VALUE"""),81.0)</f>
        <v>81</v>
      </c>
      <c r="I31" s="108"/>
      <c r="J31" s="106" t="str">
        <f>IFERROR(__xludf.DUMMYFUNCTION("""COMPUTED_VALUE"""),"Dinner")</f>
        <v>Dinner</v>
      </c>
      <c r="K31" s="106">
        <f>IFERROR(__xludf.DUMMYFUNCTION("""COMPUTED_VALUE"""),45917.0)</f>
        <v>45917</v>
      </c>
      <c r="L31" s="71" t="str">
        <f>IFERROR(__xludf.DUMMYFUNCTION("""COMPUTED_VALUE"""),"Wednesday")</f>
        <v>Wednesday</v>
      </c>
      <c r="M31" s="71" t="str">
        <f>IFERROR(__xludf.DUMMYFUNCTION("""COMPUTED_VALUE"""),"MF")</f>
        <v>MF</v>
      </c>
      <c r="N31" s="109"/>
      <c r="O31" s="110" t="str">
        <f>IFERROR(__xludf.DUMMYFUNCTION("""COMPUTED_VALUE"""),"")</f>
        <v/>
      </c>
      <c r="P31" s="71" t="str">
        <f>IFERROR(__xludf.DUMMYFUNCTION("""COMPUTED_VALUE"""),"")</f>
        <v/>
      </c>
      <c r="Q31" s="88"/>
      <c r="R31" s="88"/>
      <c r="S31" s="61"/>
      <c r="T31" s="61"/>
      <c r="U31" s="111" t="str">
        <f>IFERROR(__xludf.DUMMYFUNCTION("""COMPUTED_VALUE"""),"")</f>
        <v/>
      </c>
      <c r="V31" s="88"/>
      <c r="W31" s="111"/>
      <c r="X31" s="62"/>
      <c r="Y31" s="109"/>
      <c r="Z31" s="113" t="str">
        <f>IFERROR(__xludf.DUMMYFUNCTION("""COMPUTED_VALUE"""),"")</f>
        <v/>
      </c>
      <c r="AA31" s="113" t="str">
        <f>IFERROR(__xludf.DUMMYFUNCTION("""COMPUTED_VALUE"""),"")</f>
        <v/>
      </c>
      <c r="AB31" s="71" t="str">
        <f>IFERROR(__xludf.DUMMYFUNCTION("""COMPUTED_VALUE"""),"")</f>
        <v/>
      </c>
    </row>
    <row r="32">
      <c r="A32" s="105">
        <f>IFERROR(__xludf.DUMMYFUNCTION("""COMPUTED_VALUE"""),45917.86431993055)</f>
        <v>45917.86432</v>
      </c>
      <c r="B32" s="106" t="str">
        <f>IFERROR(__xludf.DUMMYFUNCTION("""COMPUTED_VALUE"""),"Emma Korsu")</f>
        <v>Emma Korsu</v>
      </c>
      <c r="C32" s="71" t="b">
        <f>IFERROR(__xludf.DUMMYFUNCTION("""COMPUTED_VALUE"""),FALSE)</f>
        <v>0</v>
      </c>
      <c r="D32" s="71"/>
      <c r="E32" s="78"/>
      <c r="F32" s="71"/>
      <c r="G32" s="78"/>
      <c r="H32" s="107">
        <f>IFERROR(__xludf.DUMMYFUNCTION("""COMPUTED_VALUE"""),175.0)</f>
        <v>175</v>
      </c>
      <c r="I32" s="108"/>
      <c r="J32" s="106" t="str">
        <f>IFERROR(__xludf.DUMMYFUNCTION("""COMPUTED_VALUE"""),"Dinner")</f>
        <v>Dinner</v>
      </c>
      <c r="K32" s="106">
        <f>IFERROR(__xludf.DUMMYFUNCTION("""COMPUTED_VALUE"""),45917.0)</f>
        <v>45917</v>
      </c>
      <c r="L32" s="71" t="str">
        <f>IFERROR(__xludf.DUMMYFUNCTION("""COMPUTED_VALUE"""),"Wednesday")</f>
        <v>Wednesday</v>
      </c>
      <c r="M32" s="71" t="str">
        <f>IFERROR(__xludf.DUMMYFUNCTION("""COMPUTED_VALUE"""),"BF")</f>
        <v>BF</v>
      </c>
      <c r="N32" s="109"/>
      <c r="O32" s="110" t="str">
        <f>IFERROR(__xludf.DUMMYFUNCTION("""COMPUTED_VALUE"""),"")</f>
        <v/>
      </c>
      <c r="P32" s="71" t="str">
        <f>IFERROR(__xludf.DUMMYFUNCTION("""COMPUTED_VALUE"""),"")</f>
        <v/>
      </c>
      <c r="Q32" s="88"/>
      <c r="R32" s="88"/>
      <c r="S32" s="61"/>
      <c r="T32" s="61"/>
      <c r="U32" s="111" t="str">
        <f>IFERROR(__xludf.DUMMYFUNCTION("""COMPUTED_VALUE"""),"")</f>
        <v/>
      </c>
      <c r="V32" s="88"/>
      <c r="W32" s="111"/>
      <c r="X32" s="62"/>
      <c r="Y32" s="109"/>
      <c r="Z32" s="113" t="str">
        <f>IFERROR(__xludf.DUMMYFUNCTION("""COMPUTED_VALUE"""),"")</f>
        <v/>
      </c>
      <c r="AA32" s="113" t="str">
        <f>IFERROR(__xludf.DUMMYFUNCTION("""COMPUTED_VALUE"""),"")</f>
        <v/>
      </c>
      <c r="AB32" s="71" t="str">
        <f>IFERROR(__xludf.DUMMYFUNCTION("""COMPUTED_VALUE"""),"")</f>
        <v/>
      </c>
    </row>
    <row r="33">
      <c r="A33" s="105">
        <f>IFERROR(__xludf.DUMMYFUNCTION("""COMPUTED_VALUE"""),45917.87650326389)</f>
        <v>45917.8765</v>
      </c>
      <c r="B33" s="106" t="str">
        <f>IFERROR(__xludf.DUMMYFUNCTION("""COMPUTED_VALUE"""),"Kaylie Forgue")</f>
        <v>Kaylie Forgue</v>
      </c>
      <c r="C33" s="71" t="b">
        <f>IFERROR(__xludf.DUMMYFUNCTION("""COMPUTED_VALUE"""),FALSE)</f>
        <v>0</v>
      </c>
      <c r="D33" s="71"/>
      <c r="E33" s="78"/>
      <c r="F33" s="71"/>
      <c r="G33" s="78"/>
      <c r="H33" s="107">
        <f>IFERROR(__xludf.DUMMYFUNCTION("""COMPUTED_VALUE"""),93.0)</f>
        <v>93</v>
      </c>
      <c r="I33" s="108"/>
      <c r="J33" s="106" t="str">
        <f>IFERROR(__xludf.DUMMYFUNCTION("""COMPUTED_VALUE"""),"Dinner")</f>
        <v>Dinner</v>
      </c>
      <c r="K33" s="106">
        <f>IFERROR(__xludf.DUMMYFUNCTION("""COMPUTED_VALUE"""),45917.0)</f>
        <v>45917</v>
      </c>
      <c r="L33" s="71" t="str">
        <f>IFERROR(__xludf.DUMMYFUNCTION("""COMPUTED_VALUE"""),"Wednesday")</f>
        <v>Wednesday</v>
      </c>
      <c r="M33" s="71" t="str">
        <f>IFERROR(__xludf.DUMMYFUNCTION("""COMPUTED_VALUE"""),"MF")</f>
        <v>MF</v>
      </c>
      <c r="N33" s="109"/>
      <c r="O33" s="110">
        <f>IFERROR(__xludf.DUMMYFUNCTION("""COMPUTED_VALUE"""),174.0)</f>
        <v>174</v>
      </c>
      <c r="P33" s="71">
        <f>IFERROR(__xludf.DUMMYFUNCTION("""COMPUTED_VALUE"""),351.0)</f>
        <v>351</v>
      </c>
      <c r="Q33" s="88"/>
      <c r="R33" s="88"/>
      <c r="S33" s="61"/>
      <c r="T33" s="61"/>
      <c r="U33" s="111">
        <f>IFERROR(__xludf.DUMMYFUNCTION("""COMPUTED_VALUE"""),525.0)</f>
        <v>525</v>
      </c>
      <c r="V33" s="88"/>
      <c r="W33" s="111"/>
      <c r="X33" s="62"/>
      <c r="Y33" s="109"/>
      <c r="Z33" s="113">
        <f>IFERROR(__xludf.DUMMYFUNCTION("""COMPUTED_VALUE"""),3689.0)</f>
        <v>3689</v>
      </c>
      <c r="AA33" s="113">
        <f>IFERROR(__xludf.DUMMYFUNCTION("""COMPUTED_VALUE"""),4602.0)</f>
        <v>4602</v>
      </c>
      <c r="AB33" s="113">
        <f>IFERROR(__xludf.DUMMYFUNCTION("""COMPUTED_VALUE"""),8291.0)</f>
        <v>8291</v>
      </c>
    </row>
    <row r="34">
      <c r="A34" s="105">
        <f>IFERROR(__xludf.DUMMYFUNCTION("""COMPUTED_VALUE"""),45918.559144467596)</f>
        <v>45918.55914</v>
      </c>
      <c r="B34" s="106" t="str">
        <f>IFERROR(__xludf.DUMMYFUNCTION("""COMPUTED_VALUE"""),"Maureen Surgot")</f>
        <v>Maureen Surgot</v>
      </c>
      <c r="C34" s="71" t="b">
        <f>IFERROR(__xludf.DUMMYFUNCTION("""COMPUTED_VALUE"""),FALSE)</f>
        <v>0</v>
      </c>
      <c r="D34" s="71"/>
      <c r="E34" s="78"/>
      <c r="F34" s="71"/>
      <c r="G34" s="78"/>
      <c r="H34" s="107">
        <f>IFERROR(__xludf.DUMMYFUNCTION("""COMPUTED_VALUE"""),40.0)</f>
        <v>40</v>
      </c>
      <c r="I34" s="108"/>
      <c r="J34" s="106" t="str">
        <f>IFERROR(__xludf.DUMMYFUNCTION("""COMPUTED_VALUE"""),"Lunch")</f>
        <v>Lunch</v>
      </c>
      <c r="K34" s="106">
        <f>IFERROR(__xludf.DUMMYFUNCTION("""COMPUTED_VALUE"""),45918.0)</f>
        <v>45918</v>
      </c>
      <c r="L34" s="71" t="str">
        <f>IFERROR(__xludf.DUMMYFUNCTION("""COMPUTED_VALUE"""),"Thursday")</f>
        <v>Thursday</v>
      </c>
      <c r="M34" s="71" t="str">
        <f>IFERROR(__xludf.DUMMYFUNCTION("""COMPUTED_VALUE"""),"MF")</f>
        <v>MF</v>
      </c>
      <c r="N34" s="109"/>
      <c r="O34" s="110" t="str">
        <f>IFERROR(__xludf.DUMMYFUNCTION("""COMPUTED_VALUE"""),"")</f>
        <v/>
      </c>
      <c r="P34" s="71" t="str">
        <f>IFERROR(__xludf.DUMMYFUNCTION("""COMPUTED_VALUE"""),"")</f>
        <v/>
      </c>
      <c r="Q34" s="88"/>
      <c r="R34" s="88"/>
      <c r="S34" s="61"/>
      <c r="T34" s="61"/>
      <c r="U34" s="111" t="str">
        <f>IFERROR(__xludf.DUMMYFUNCTION("""COMPUTED_VALUE"""),"")</f>
        <v/>
      </c>
      <c r="V34" s="88"/>
      <c r="W34" s="111"/>
      <c r="X34" s="62"/>
      <c r="Y34" s="109"/>
      <c r="Z34" s="113" t="str">
        <f>IFERROR(__xludf.DUMMYFUNCTION("""COMPUTED_VALUE"""),"")</f>
        <v/>
      </c>
      <c r="AA34" s="113" t="str">
        <f>IFERROR(__xludf.DUMMYFUNCTION("""COMPUTED_VALUE"""),"")</f>
        <v/>
      </c>
      <c r="AB34" s="71" t="str">
        <f>IFERROR(__xludf.DUMMYFUNCTION("""COMPUTED_VALUE"""),"")</f>
        <v/>
      </c>
    </row>
    <row r="35">
      <c r="A35" s="105">
        <f>IFERROR(__xludf.DUMMYFUNCTION("""COMPUTED_VALUE"""),45918.632892291665)</f>
        <v>45918.63289</v>
      </c>
      <c r="B35" s="106" t="str">
        <f>IFERROR(__xludf.DUMMYFUNCTION("""COMPUTED_VALUE"""),"Brynn Hornig")</f>
        <v>Brynn Hornig</v>
      </c>
      <c r="C35" s="71" t="b">
        <f>IFERROR(__xludf.DUMMYFUNCTION("""COMPUTED_VALUE"""),FALSE)</f>
        <v>0</v>
      </c>
      <c r="D35" s="71"/>
      <c r="E35" s="78"/>
      <c r="F35" s="71"/>
      <c r="G35" s="78"/>
      <c r="H35" s="107">
        <f>IFERROR(__xludf.DUMMYFUNCTION("""COMPUTED_VALUE"""),91.0)</f>
        <v>91</v>
      </c>
      <c r="I35" s="108"/>
      <c r="J35" s="106" t="str">
        <f>IFERROR(__xludf.DUMMYFUNCTION("""COMPUTED_VALUE"""),"Lunch")</f>
        <v>Lunch</v>
      </c>
      <c r="K35" s="106">
        <f>IFERROR(__xludf.DUMMYFUNCTION("""COMPUTED_VALUE"""),45918.0)</f>
        <v>45918</v>
      </c>
      <c r="L35" s="71" t="str">
        <f>IFERROR(__xludf.DUMMYFUNCTION("""COMPUTED_VALUE"""),"Thursday")</f>
        <v>Thursday</v>
      </c>
      <c r="M35" s="71" t="str">
        <f>IFERROR(__xludf.DUMMYFUNCTION("""COMPUTED_VALUE"""),"MF")</f>
        <v>MF</v>
      </c>
      <c r="N35" s="109"/>
      <c r="O35" s="110" t="str">
        <f>IFERROR(__xludf.DUMMYFUNCTION("""COMPUTED_VALUE"""),"")</f>
        <v/>
      </c>
      <c r="P35" s="71" t="str">
        <f>IFERROR(__xludf.DUMMYFUNCTION("""COMPUTED_VALUE"""),"")</f>
        <v/>
      </c>
      <c r="Q35" s="88"/>
      <c r="R35" s="88"/>
      <c r="S35" s="61"/>
      <c r="T35" s="61"/>
      <c r="U35" s="111" t="str">
        <f>IFERROR(__xludf.DUMMYFUNCTION("""COMPUTED_VALUE"""),"")</f>
        <v/>
      </c>
      <c r="V35" s="88"/>
      <c r="W35" s="111"/>
      <c r="X35" s="62"/>
      <c r="Y35" s="109"/>
      <c r="Z35" s="113" t="str">
        <f>IFERROR(__xludf.DUMMYFUNCTION("""COMPUTED_VALUE"""),"")</f>
        <v/>
      </c>
      <c r="AA35" s="113" t="str">
        <f>IFERROR(__xludf.DUMMYFUNCTION("""COMPUTED_VALUE"""),"")</f>
        <v/>
      </c>
      <c r="AB35" s="71" t="str">
        <f>IFERROR(__xludf.DUMMYFUNCTION("""COMPUTED_VALUE"""),"")</f>
        <v/>
      </c>
    </row>
    <row r="36">
      <c r="A36" s="105">
        <f>IFERROR(__xludf.DUMMYFUNCTION("""COMPUTED_VALUE"""),45918.7547064699)</f>
        <v>45918.75471</v>
      </c>
      <c r="B36" s="106" t="str">
        <f>IFERROR(__xludf.DUMMYFUNCTION("""COMPUTED_VALUE"""),"Leisly Aceituno")</f>
        <v>Leisly Aceituno</v>
      </c>
      <c r="C36" s="71" t="b">
        <f>IFERROR(__xludf.DUMMYFUNCTION("""COMPUTED_VALUE"""),FALSE)</f>
        <v>0</v>
      </c>
      <c r="D36" s="71"/>
      <c r="E36" s="78"/>
      <c r="F36" s="71"/>
      <c r="G36" s="78"/>
      <c r="H36" s="107">
        <f>IFERROR(__xludf.DUMMYFUNCTION("""COMPUTED_VALUE"""),13.0)</f>
        <v>13</v>
      </c>
      <c r="I36" s="108"/>
      <c r="J36" s="106" t="str">
        <f>IFERROR(__xludf.DUMMYFUNCTION("""COMPUTED_VALUE"""),"Lunch")</f>
        <v>Lunch</v>
      </c>
      <c r="K36" s="106">
        <f>IFERROR(__xludf.DUMMYFUNCTION("""COMPUTED_VALUE"""),45918.0)</f>
        <v>45918</v>
      </c>
      <c r="L36" s="71" t="str">
        <f>IFERROR(__xludf.DUMMYFUNCTION("""COMPUTED_VALUE"""),"Thursday")</f>
        <v>Thursday</v>
      </c>
      <c r="M36" s="71" t="str">
        <f>IFERROR(__xludf.DUMMYFUNCTION("""COMPUTED_VALUE"""),"MF")</f>
        <v>MF</v>
      </c>
      <c r="N36" s="109"/>
      <c r="O36" s="110" t="str">
        <f>IFERROR(__xludf.DUMMYFUNCTION("""COMPUTED_VALUE"""),"")</f>
        <v/>
      </c>
      <c r="P36" s="71" t="str">
        <f>IFERROR(__xludf.DUMMYFUNCTION("""COMPUTED_VALUE"""),"")</f>
        <v/>
      </c>
      <c r="Q36" s="88"/>
      <c r="R36" s="88"/>
      <c r="S36" s="61"/>
      <c r="T36" s="61"/>
      <c r="U36" s="111" t="str">
        <f>IFERROR(__xludf.DUMMYFUNCTION("""COMPUTED_VALUE"""),"")</f>
        <v/>
      </c>
      <c r="V36" s="88"/>
      <c r="W36" s="111"/>
      <c r="X36" s="62"/>
      <c r="Y36" s="109"/>
      <c r="Z36" s="113" t="str">
        <f>IFERROR(__xludf.DUMMYFUNCTION("""COMPUTED_VALUE"""),"")</f>
        <v/>
      </c>
      <c r="AA36" s="113" t="str">
        <f>IFERROR(__xludf.DUMMYFUNCTION("""COMPUTED_VALUE"""),"")</f>
        <v/>
      </c>
      <c r="AB36" s="71" t="str">
        <f>IFERROR(__xludf.DUMMYFUNCTION("""COMPUTED_VALUE"""),"")</f>
        <v/>
      </c>
    </row>
    <row r="37">
      <c r="A37" s="105">
        <f>IFERROR(__xludf.DUMMYFUNCTION("""COMPUTED_VALUE"""),45918.86398947917)</f>
        <v>45918.86399</v>
      </c>
      <c r="B37" s="71" t="str">
        <f>IFERROR(__xludf.DUMMYFUNCTION("""COMPUTED_VALUE"""),"Leisly Aceituno")</f>
        <v>Leisly Aceituno</v>
      </c>
      <c r="C37" s="71" t="b">
        <f>IFERROR(__xludf.DUMMYFUNCTION("""COMPUTED_VALUE"""),TRUE)</f>
        <v>1</v>
      </c>
      <c r="D37" s="71"/>
      <c r="E37" s="78"/>
      <c r="F37" s="71"/>
      <c r="G37" s="78"/>
      <c r="H37" s="107">
        <f>IFERROR(__xludf.DUMMYFUNCTION("""COMPUTED_VALUE"""),219.0)</f>
        <v>219</v>
      </c>
      <c r="I37" s="108"/>
      <c r="J37" s="106" t="str">
        <f>IFERROR(__xludf.DUMMYFUNCTION("""COMPUTED_VALUE"""),"Dinner")</f>
        <v>Dinner</v>
      </c>
      <c r="K37" s="106">
        <f>IFERROR(__xludf.DUMMYFUNCTION("""COMPUTED_VALUE"""),45918.0)</f>
        <v>45918</v>
      </c>
      <c r="L37" s="71" t="str">
        <f>IFERROR(__xludf.DUMMYFUNCTION("""COMPUTED_VALUE"""),"Thursday")</f>
        <v>Thursday</v>
      </c>
      <c r="M37" s="71" t="str">
        <f>IFERROR(__xludf.DUMMYFUNCTION("""COMPUTED_VALUE"""),"BF")</f>
        <v>BF</v>
      </c>
      <c r="N37" s="109"/>
      <c r="O37" s="110">
        <f>IFERROR(__xludf.DUMMYFUNCTION("""COMPUTED_VALUE"""),144.0)</f>
        <v>144</v>
      </c>
      <c r="P37" s="71">
        <f>IFERROR(__xludf.DUMMYFUNCTION("""COMPUTED_VALUE"""),219.0)</f>
        <v>219</v>
      </c>
      <c r="Q37" s="88"/>
      <c r="R37" s="88"/>
      <c r="S37" s="61"/>
      <c r="T37" s="61"/>
      <c r="U37" s="111">
        <f>IFERROR(__xludf.DUMMYFUNCTION("""COMPUTED_VALUE"""),363.0)</f>
        <v>363</v>
      </c>
      <c r="V37" s="88"/>
      <c r="W37" s="111"/>
      <c r="X37" s="62"/>
      <c r="Y37" s="109"/>
      <c r="Z37" s="113">
        <f>IFERROR(__xludf.DUMMYFUNCTION("""COMPUTED_VALUE"""),3312.0)</f>
        <v>3312</v>
      </c>
      <c r="AA37" s="113">
        <f>IFERROR(__xludf.DUMMYFUNCTION("""COMPUTED_VALUE"""),4602.0)</f>
        <v>4602</v>
      </c>
      <c r="AB37" s="113">
        <f>IFERROR(__xludf.DUMMYFUNCTION("""COMPUTED_VALUE"""),7914.0)</f>
        <v>7914</v>
      </c>
    </row>
    <row r="38">
      <c r="A38" s="105">
        <f>IFERROR(__xludf.DUMMYFUNCTION("""COMPUTED_VALUE"""),45919.55186388889)</f>
        <v>45919.55186</v>
      </c>
      <c r="B38" s="106" t="str">
        <f>IFERROR(__xludf.DUMMYFUNCTION("""COMPUTED_VALUE"""),"Orpheus Wilson")</f>
        <v>Orpheus Wilson</v>
      </c>
      <c r="C38" s="71" t="b">
        <f>IFERROR(__xludf.DUMMYFUNCTION("""COMPUTED_VALUE"""),FALSE)</f>
        <v>0</v>
      </c>
      <c r="D38" s="71"/>
      <c r="E38" s="78"/>
      <c r="F38" s="71"/>
      <c r="G38" s="78"/>
      <c r="H38" s="107">
        <f>IFERROR(__xludf.DUMMYFUNCTION("""COMPUTED_VALUE"""),119.0)</f>
        <v>119</v>
      </c>
      <c r="I38" s="108"/>
      <c r="J38" s="106" t="str">
        <f>IFERROR(__xludf.DUMMYFUNCTION("""COMPUTED_VALUE"""),"Lunch")</f>
        <v>Lunch</v>
      </c>
      <c r="K38" s="106">
        <f>IFERROR(__xludf.DUMMYFUNCTION("""COMPUTED_VALUE"""),45919.0)</f>
        <v>45919</v>
      </c>
      <c r="L38" s="71" t="str">
        <f>IFERROR(__xludf.DUMMYFUNCTION("""COMPUTED_VALUE"""),"Friday")</f>
        <v>Friday</v>
      </c>
      <c r="M38" s="71" t="str">
        <f>IFERROR(__xludf.DUMMYFUNCTION("""COMPUTED_VALUE"""),"MF")</f>
        <v>MF</v>
      </c>
      <c r="N38" s="109"/>
      <c r="O38" s="110" t="str">
        <f>IFERROR(__xludf.DUMMYFUNCTION("""COMPUTED_VALUE"""),"")</f>
        <v/>
      </c>
      <c r="P38" s="71" t="str">
        <f>IFERROR(__xludf.DUMMYFUNCTION("""COMPUTED_VALUE"""),"")</f>
        <v/>
      </c>
      <c r="Q38" s="88"/>
      <c r="R38" s="88"/>
      <c r="S38" s="61"/>
      <c r="T38" s="61"/>
      <c r="U38" s="111" t="str">
        <f>IFERROR(__xludf.DUMMYFUNCTION("""COMPUTED_VALUE"""),"")</f>
        <v/>
      </c>
      <c r="V38" s="88"/>
      <c r="W38" s="111"/>
      <c r="X38" s="62"/>
      <c r="Y38" s="109"/>
      <c r="Z38" s="113" t="str">
        <f>IFERROR(__xludf.DUMMYFUNCTION("""COMPUTED_VALUE"""),"")</f>
        <v/>
      </c>
      <c r="AA38" s="113" t="str">
        <f>IFERROR(__xludf.DUMMYFUNCTION("""COMPUTED_VALUE"""),"")</f>
        <v/>
      </c>
      <c r="AB38" s="71" t="str">
        <f>IFERROR(__xludf.DUMMYFUNCTION("""COMPUTED_VALUE"""),"")</f>
        <v/>
      </c>
    </row>
    <row r="39">
      <c r="A39" s="105">
        <f>IFERROR(__xludf.DUMMYFUNCTION("""COMPUTED_VALUE"""),45919.63236960648)</f>
        <v>45919.63237</v>
      </c>
      <c r="B39" s="106" t="str">
        <f>IFERROR(__xludf.DUMMYFUNCTION("""COMPUTED_VALUE"""),"Brynn Hornig")</f>
        <v>Brynn Hornig</v>
      </c>
      <c r="C39" s="71" t="b">
        <f>IFERROR(__xludf.DUMMYFUNCTION("""COMPUTED_VALUE"""),FALSE)</f>
        <v>0</v>
      </c>
      <c r="D39" s="71"/>
      <c r="E39" s="78"/>
      <c r="F39" s="71"/>
      <c r="G39" s="78"/>
      <c r="H39" s="107">
        <f>IFERROR(__xludf.DUMMYFUNCTION("""COMPUTED_VALUE"""),32.0)</f>
        <v>32</v>
      </c>
      <c r="I39" s="108"/>
      <c r="J39" s="106" t="str">
        <f>IFERROR(__xludf.DUMMYFUNCTION("""COMPUTED_VALUE"""),"Lunch")</f>
        <v>Lunch</v>
      </c>
      <c r="K39" s="106">
        <f>IFERROR(__xludf.DUMMYFUNCTION("""COMPUTED_VALUE"""),45919.0)</f>
        <v>45919</v>
      </c>
      <c r="L39" s="71" t="str">
        <f>IFERROR(__xludf.DUMMYFUNCTION("""COMPUTED_VALUE"""),"Friday")</f>
        <v>Friday</v>
      </c>
      <c r="M39" s="71" t="str">
        <f>IFERROR(__xludf.DUMMYFUNCTION("""COMPUTED_VALUE"""),"MF")</f>
        <v>MF</v>
      </c>
      <c r="N39" s="109"/>
      <c r="O39" s="110" t="str">
        <f>IFERROR(__xludf.DUMMYFUNCTION("""COMPUTED_VALUE"""),"")</f>
        <v/>
      </c>
      <c r="P39" s="71" t="str">
        <f>IFERROR(__xludf.DUMMYFUNCTION("""COMPUTED_VALUE"""),"")</f>
        <v/>
      </c>
      <c r="Q39" s="88"/>
      <c r="R39" s="88"/>
      <c r="S39" s="61"/>
      <c r="T39" s="61"/>
      <c r="U39" s="111" t="str">
        <f>IFERROR(__xludf.DUMMYFUNCTION("""COMPUTED_VALUE"""),"")</f>
        <v/>
      </c>
      <c r="V39" s="88"/>
      <c r="W39" s="111"/>
      <c r="X39" s="62"/>
      <c r="Y39" s="109"/>
      <c r="Z39" s="113" t="str">
        <f>IFERROR(__xludf.DUMMYFUNCTION("""COMPUTED_VALUE"""),"")</f>
        <v/>
      </c>
      <c r="AA39" s="113" t="str">
        <f>IFERROR(__xludf.DUMMYFUNCTION("""COMPUTED_VALUE"""),"")</f>
        <v/>
      </c>
      <c r="AB39" s="71" t="str">
        <f>IFERROR(__xludf.DUMMYFUNCTION("""COMPUTED_VALUE"""),"")</f>
        <v/>
      </c>
    </row>
    <row r="40">
      <c r="A40" s="105">
        <f>IFERROR(__xludf.DUMMYFUNCTION("""COMPUTED_VALUE"""),45919.63291083333)</f>
        <v>45919.63291</v>
      </c>
      <c r="B40" s="106" t="str">
        <f>IFERROR(__xludf.DUMMYFUNCTION("""COMPUTED_VALUE"""),"Brynn Hornig")</f>
        <v>Brynn Hornig</v>
      </c>
      <c r="C40" s="71" t="b">
        <f>IFERROR(__xludf.DUMMYFUNCTION("""COMPUTED_VALUE"""),TRUE)</f>
        <v>1</v>
      </c>
      <c r="D40" s="71"/>
      <c r="E40" s="78"/>
      <c r="F40" s="71"/>
      <c r="G40" s="78"/>
      <c r="H40" s="107">
        <f>IFERROR(__xludf.DUMMYFUNCTION("""COMPUTED_VALUE"""),51.0)</f>
        <v>51</v>
      </c>
      <c r="I40" s="108"/>
      <c r="J40" s="106" t="str">
        <f>IFERROR(__xludf.DUMMYFUNCTION("""COMPUTED_VALUE"""),"Lunch")</f>
        <v>Lunch</v>
      </c>
      <c r="K40" s="106">
        <f>IFERROR(__xludf.DUMMYFUNCTION("""COMPUTED_VALUE"""),45919.0)</f>
        <v>45919</v>
      </c>
      <c r="L40" s="71" t="str">
        <f>IFERROR(__xludf.DUMMYFUNCTION("""COMPUTED_VALUE"""),"Friday")</f>
        <v>Friday</v>
      </c>
      <c r="M40" s="71" t="str">
        <f>IFERROR(__xludf.DUMMYFUNCTION("""COMPUTED_VALUE"""),"MF")</f>
        <v>MF</v>
      </c>
      <c r="N40" s="109"/>
      <c r="O40" s="110" t="str">
        <f>IFERROR(__xludf.DUMMYFUNCTION("""COMPUTED_VALUE"""),"")</f>
        <v/>
      </c>
      <c r="P40" s="71" t="str">
        <f>IFERROR(__xludf.DUMMYFUNCTION("""COMPUTED_VALUE"""),"")</f>
        <v/>
      </c>
      <c r="Q40" s="88"/>
      <c r="R40" s="88"/>
      <c r="S40" s="61"/>
      <c r="T40" s="61"/>
      <c r="U40" s="111" t="str">
        <f>IFERROR(__xludf.DUMMYFUNCTION("""COMPUTED_VALUE"""),"")</f>
        <v/>
      </c>
      <c r="V40" s="88"/>
      <c r="W40" s="111"/>
      <c r="X40" s="62"/>
      <c r="Y40" s="109"/>
      <c r="Z40" s="113" t="str">
        <f>IFERROR(__xludf.DUMMYFUNCTION("""COMPUTED_VALUE"""),"")</f>
        <v/>
      </c>
      <c r="AA40" s="113" t="str">
        <f>IFERROR(__xludf.DUMMYFUNCTION("""COMPUTED_VALUE"""),"")</f>
        <v/>
      </c>
      <c r="AB40" s="71" t="str">
        <f>IFERROR(__xludf.DUMMYFUNCTION("""COMPUTED_VALUE"""),"")</f>
        <v/>
      </c>
    </row>
    <row r="41">
      <c r="A41" s="105">
        <f>IFERROR(__xludf.DUMMYFUNCTION("""COMPUTED_VALUE"""),45919.82117696759)</f>
        <v>45919.82118</v>
      </c>
      <c r="B41" s="106" t="str">
        <f>IFERROR(__xludf.DUMMYFUNCTION("""COMPUTED_VALUE"""),"Emmett Khan")</f>
        <v>Emmett Khan</v>
      </c>
      <c r="C41" s="71" t="b">
        <f>IFERROR(__xludf.DUMMYFUNCTION("""COMPUTED_VALUE"""),FALSE)</f>
        <v>0</v>
      </c>
      <c r="D41" s="71"/>
      <c r="E41" s="78"/>
      <c r="F41" s="71"/>
      <c r="G41" s="78"/>
      <c r="H41" s="107">
        <f>IFERROR(__xludf.DUMMYFUNCTION("""COMPUTED_VALUE"""),194.0)</f>
        <v>194</v>
      </c>
      <c r="I41" s="108"/>
      <c r="J41" s="106" t="str">
        <f>IFERROR(__xludf.DUMMYFUNCTION("""COMPUTED_VALUE"""),"Dinner")</f>
        <v>Dinner</v>
      </c>
      <c r="K41" s="106">
        <f>IFERROR(__xludf.DUMMYFUNCTION("""COMPUTED_VALUE"""),45919.0)</f>
        <v>45919</v>
      </c>
      <c r="L41" s="71" t="str">
        <f>IFERROR(__xludf.DUMMYFUNCTION("""COMPUTED_VALUE"""),"Friday")</f>
        <v>Friday</v>
      </c>
      <c r="M41" s="71" t="str">
        <f>IFERROR(__xludf.DUMMYFUNCTION("""COMPUTED_VALUE"""),"MF")</f>
        <v>MF</v>
      </c>
      <c r="N41" s="109"/>
      <c r="O41" s="110" t="str">
        <f>IFERROR(__xludf.DUMMYFUNCTION("""COMPUTED_VALUE"""),"")</f>
        <v/>
      </c>
      <c r="P41" s="71" t="str">
        <f>IFERROR(__xludf.DUMMYFUNCTION("""COMPUTED_VALUE"""),"")</f>
        <v/>
      </c>
      <c r="Q41" s="88"/>
      <c r="R41" s="88"/>
      <c r="S41" s="61"/>
      <c r="T41" s="61"/>
      <c r="U41" s="111" t="str">
        <f>IFERROR(__xludf.DUMMYFUNCTION("""COMPUTED_VALUE"""),"")</f>
        <v/>
      </c>
      <c r="V41" s="88"/>
      <c r="W41" s="111"/>
      <c r="X41" s="62"/>
      <c r="Y41" s="109"/>
      <c r="Z41" s="113" t="str">
        <f>IFERROR(__xludf.DUMMYFUNCTION("""COMPUTED_VALUE"""),"")</f>
        <v/>
      </c>
      <c r="AA41" s="113" t="str">
        <f>IFERROR(__xludf.DUMMYFUNCTION("""COMPUTED_VALUE"""),"")</f>
        <v/>
      </c>
      <c r="AB41" s="71" t="str">
        <f>IFERROR(__xludf.DUMMYFUNCTION("""COMPUTED_VALUE"""),"")</f>
        <v/>
      </c>
    </row>
    <row r="42">
      <c r="A42" s="105">
        <f>IFERROR(__xludf.DUMMYFUNCTION("""COMPUTED_VALUE"""),45919.82170025463)</f>
        <v>45919.8217</v>
      </c>
      <c r="B42" s="106" t="str">
        <f>IFERROR(__xludf.DUMMYFUNCTION("""COMPUTED_VALUE"""),"Emmett Khan")</f>
        <v>Emmett Khan</v>
      </c>
      <c r="C42" s="71" t="b">
        <f>IFERROR(__xludf.DUMMYFUNCTION("""COMPUTED_VALUE"""),TRUE)</f>
        <v>1</v>
      </c>
      <c r="D42" s="71"/>
      <c r="E42" s="78"/>
      <c r="F42" s="71"/>
      <c r="G42" s="78"/>
      <c r="H42" s="107">
        <f>IFERROR(__xludf.DUMMYFUNCTION("""COMPUTED_VALUE"""),209.0)</f>
        <v>209</v>
      </c>
      <c r="I42" s="108"/>
      <c r="J42" s="106" t="str">
        <f>IFERROR(__xludf.DUMMYFUNCTION("""COMPUTED_VALUE"""),"Dinner")</f>
        <v>Dinner</v>
      </c>
      <c r="K42" s="106">
        <f>IFERROR(__xludf.DUMMYFUNCTION("""COMPUTED_VALUE"""),45919.0)</f>
        <v>45919</v>
      </c>
      <c r="L42" s="71" t="str">
        <f>IFERROR(__xludf.DUMMYFUNCTION("""COMPUTED_VALUE"""),"Friday")</f>
        <v>Friday</v>
      </c>
      <c r="M42" s="71" t="str">
        <f>IFERROR(__xludf.DUMMYFUNCTION("""COMPUTED_VALUE"""),"MF")</f>
        <v>MF</v>
      </c>
      <c r="N42" s="109"/>
      <c r="O42" s="110">
        <f>IFERROR(__xludf.DUMMYFUNCTION("""COMPUTED_VALUE"""),605.0)</f>
        <v>605</v>
      </c>
      <c r="P42" s="71" t="str">
        <f>IFERROR(__xludf.DUMMYFUNCTION("""COMPUTED_VALUE"""),"")</f>
        <v/>
      </c>
      <c r="Q42" s="88"/>
      <c r="R42" s="88"/>
      <c r="S42" s="61"/>
      <c r="T42" s="61"/>
      <c r="U42" s="111">
        <f>IFERROR(__xludf.DUMMYFUNCTION("""COMPUTED_VALUE"""),605.0)</f>
        <v>605</v>
      </c>
      <c r="V42" s="88"/>
      <c r="W42" s="111"/>
      <c r="X42" s="62"/>
      <c r="Y42" s="109"/>
      <c r="Z42" s="113">
        <f>IFERROR(__xludf.DUMMYFUNCTION("""COMPUTED_VALUE"""),3956.0)</f>
        <v>3956</v>
      </c>
      <c r="AA42" s="113">
        <f>IFERROR(__xludf.DUMMYFUNCTION("""COMPUTED_VALUE"""),2325.0)</f>
        <v>2325</v>
      </c>
      <c r="AB42" s="113">
        <f>IFERROR(__xludf.DUMMYFUNCTION("""COMPUTED_VALUE"""),6281.0)</f>
        <v>6281</v>
      </c>
    </row>
    <row r="43">
      <c r="A43" s="105">
        <f>IFERROR(__xludf.DUMMYFUNCTION("""COMPUTED_VALUE"""),45922.435571458336)</f>
        <v>45922.43557</v>
      </c>
      <c r="B43" s="106" t="str">
        <f>IFERROR(__xludf.DUMMYFUNCTION("""COMPUTED_VALUE"""),"Sarah Wilme")</f>
        <v>Sarah Wilme</v>
      </c>
      <c r="C43" s="71" t="b">
        <f>IFERROR(__xludf.DUMMYFUNCTION("""COMPUTED_VALUE"""),FALSE)</f>
        <v>0</v>
      </c>
      <c r="D43" s="71"/>
      <c r="E43" s="78"/>
      <c r="F43" s="71"/>
      <c r="G43" s="78"/>
      <c r="H43" s="107">
        <f>IFERROR(__xludf.DUMMYFUNCTION("""COMPUTED_VALUE"""),120.0)</f>
        <v>120</v>
      </c>
      <c r="I43" s="108"/>
      <c r="J43" s="106" t="str">
        <f>IFERROR(__xludf.DUMMYFUNCTION("""COMPUTED_VALUE"""),"Breakfast")</f>
        <v>Breakfast</v>
      </c>
      <c r="K43" s="106">
        <f>IFERROR(__xludf.DUMMYFUNCTION("""COMPUTED_VALUE"""),45922.0)</f>
        <v>45922</v>
      </c>
      <c r="L43" s="71" t="str">
        <f>IFERROR(__xludf.DUMMYFUNCTION("""COMPUTED_VALUE"""),"Monday")</f>
        <v>Monday</v>
      </c>
      <c r="M43" s="71" t="str">
        <f>IFERROR(__xludf.DUMMYFUNCTION("""COMPUTED_VALUE"""),"BF")</f>
        <v>BF</v>
      </c>
      <c r="N43" s="109"/>
      <c r="O43" s="110" t="str">
        <f>IFERROR(__xludf.DUMMYFUNCTION("""COMPUTED_VALUE"""),"")</f>
        <v/>
      </c>
      <c r="P43" s="71" t="str">
        <f>IFERROR(__xludf.DUMMYFUNCTION("""COMPUTED_VALUE"""),"")</f>
        <v/>
      </c>
      <c r="Q43" s="88"/>
      <c r="R43" s="88"/>
      <c r="S43" s="61"/>
      <c r="T43" s="61"/>
      <c r="U43" s="111" t="str">
        <f>IFERROR(__xludf.DUMMYFUNCTION("""COMPUTED_VALUE"""),"")</f>
        <v/>
      </c>
      <c r="V43" s="88"/>
      <c r="W43" s="111"/>
      <c r="X43" s="62"/>
      <c r="Y43" s="109"/>
      <c r="Z43" s="113" t="str">
        <f>IFERROR(__xludf.DUMMYFUNCTION("""COMPUTED_VALUE"""),"")</f>
        <v/>
      </c>
      <c r="AA43" s="113" t="str">
        <f>IFERROR(__xludf.DUMMYFUNCTION("""COMPUTED_VALUE"""),"")</f>
        <v/>
      </c>
      <c r="AB43" s="71" t="str">
        <f>IFERROR(__xludf.DUMMYFUNCTION("""COMPUTED_VALUE"""),"")</f>
        <v/>
      </c>
    </row>
    <row r="44">
      <c r="A44" s="105">
        <f>IFERROR(__xludf.DUMMYFUNCTION("""COMPUTED_VALUE"""),45922.53053712963)</f>
        <v>45922.53054</v>
      </c>
      <c r="B44" s="106" t="str">
        <f>IFERROR(__xludf.DUMMYFUNCTION("""COMPUTED_VALUE"""),"Orpheus Wilson")</f>
        <v>Orpheus Wilson</v>
      </c>
      <c r="C44" s="71" t="b">
        <f>IFERROR(__xludf.DUMMYFUNCTION("""COMPUTED_VALUE"""),FALSE)</f>
        <v>0</v>
      </c>
      <c r="D44" s="71"/>
      <c r="E44" s="78"/>
      <c r="F44" s="71"/>
      <c r="G44" s="78"/>
      <c r="H44" s="107">
        <f>IFERROR(__xludf.DUMMYFUNCTION("""COMPUTED_VALUE"""),91.0)</f>
        <v>91</v>
      </c>
      <c r="I44" s="108"/>
      <c r="J44" s="106" t="str">
        <f>IFERROR(__xludf.DUMMYFUNCTION("""COMPUTED_VALUE"""),"Lunch")</f>
        <v>Lunch</v>
      </c>
      <c r="K44" s="106">
        <f>IFERROR(__xludf.DUMMYFUNCTION("""COMPUTED_VALUE"""),45922.0)</f>
        <v>45922</v>
      </c>
      <c r="L44" s="71" t="str">
        <f>IFERROR(__xludf.DUMMYFUNCTION("""COMPUTED_VALUE"""),"Monday")</f>
        <v>Monday</v>
      </c>
      <c r="M44" s="71" t="str">
        <f>IFERROR(__xludf.DUMMYFUNCTION("""COMPUTED_VALUE"""),"MF")</f>
        <v>MF</v>
      </c>
      <c r="N44" s="109"/>
      <c r="O44" s="110" t="str">
        <f>IFERROR(__xludf.DUMMYFUNCTION("""COMPUTED_VALUE"""),"")</f>
        <v/>
      </c>
      <c r="P44" s="71" t="str">
        <f>IFERROR(__xludf.DUMMYFUNCTION("""COMPUTED_VALUE"""),"")</f>
        <v/>
      </c>
      <c r="Q44" s="88"/>
      <c r="R44" s="88"/>
      <c r="S44" s="61"/>
      <c r="T44" s="61"/>
      <c r="U44" s="111" t="str">
        <f>IFERROR(__xludf.DUMMYFUNCTION("""COMPUTED_VALUE"""),"")</f>
        <v/>
      </c>
      <c r="V44" s="88"/>
      <c r="W44" s="111"/>
      <c r="X44" s="62"/>
      <c r="Y44" s="109"/>
      <c r="Z44" s="113" t="str">
        <f>IFERROR(__xludf.DUMMYFUNCTION("""COMPUTED_VALUE"""),"")</f>
        <v/>
      </c>
      <c r="AA44" s="113" t="str">
        <f>IFERROR(__xludf.DUMMYFUNCTION("""COMPUTED_VALUE"""),"")</f>
        <v/>
      </c>
      <c r="AB44" s="71" t="str">
        <f>IFERROR(__xludf.DUMMYFUNCTION("""COMPUTED_VALUE"""),"")</f>
        <v/>
      </c>
    </row>
    <row r="45">
      <c r="A45" s="105">
        <f>IFERROR(__xludf.DUMMYFUNCTION("""COMPUTED_VALUE"""),45922.565964814814)</f>
        <v>45922.56596</v>
      </c>
      <c r="B45" s="106" t="str">
        <f>IFERROR(__xludf.DUMMYFUNCTION("""COMPUTED_VALUE"""),"Orpheus Wilson")</f>
        <v>Orpheus Wilson</v>
      </c>
      <c r="C45" s="71" t="b">
        <f>IFERROR(__xludf.DUMMYFUNCTION("""COMPUTED_VALUE"""),TRUE)</f>
        <v>1</v>
      </c>
      <c r="D45" s="71"/>
      <c r="E45" s="78"/>
      <c r="F45" s="71"/>
      <c r="G45" s="78"/>
      <c r="H45" s="107">
        <f>IFERROR(__xludf.DUMMYFUNCTION("""COMPUTED_VALUE"""),44.0)</f>
        <v>44</v>
      </c>
      <c r="I45" s="108"/>
      <c r="J45" s="106" t="str">
        <f>IFERROR(__xludf.DUMMYFUNCTION("""COMPUTED_VALUE"""),"Lunch")</f>
        <v>Lunch</v>
      </c>
      <c r="K45" s="106">
        <f>IFERROR(__xludf.DUMMYFUNCTION("""COMPUTED_VALUE"""),45922.0)</f>
        <v>45922</v>
      </c>
      <c r="L45" s="71" t="str">
        <f>IFERROR(__xludf.DUMMYFUNCTION("""COMPUTED_VALUE"""),"Monday")</f>
        <v>Monday</v>
      </c>
      <c r="M45" s="71" t="str">
        <f>IFERROR(__xludf.DUMMYFUNCTION("""COMPUTED_VALUE"""),"MF")</f>
        <v>MF</v>
      </c>
      <c r="N45" s="109"/>
      <c r="O45" s="110" t="str">
        <f>IFERROR(__xludf.DUMMYFUNCTION("""COMPUTED_VALUE"""),"")</f>
        <v/>
      </c>
      <c r="P45" s="71" t="str">
        <f>IFERROR(__xludf.DUMMYFUNCTION("""COMPUTED_VALUE"""),"")</f>
        <v/>
      </c>
      <c r="Q45" s="88"/>
      <c r="R45" s="88"/>
      <c r="S45" s="61"/>
      <c r="T45" s="61"/>
      <c r="U45" s="111" t="str">
        <f>IFERROR(__xludf.DUMMYFUNCTION("""COMPUTED_VALUE"""),"")</f>
        <v/>
      </c>
      <c r="V45" s="88"/>
      <c r="W45" s="111"/>
      <c r="X45" s="62"/>
      <c r="Y45" s="109"/>
      <c r="Z45" s="113" t="str">
        <f>IFERROR(__xludf.DUMMYFUNCTION("""COMPUTED_VALUE"""),"")</f>
        <v/>
      </c>
      <c r="AA45" s="113" t="str">
        <f>IFERROR(__xludf.DUMMYFUNCTION("""COMPUTED_VALUE"""),"")</f>
        <v/>
      </c>
      <c r="AB45" s="71" t="str">
        <f>IFERROR(__xludf.DUMMYFUNCTION("""COMPUTED_VALUE"""),"")</f>
        <v/>
      </c>
    </row>
    <row r="46">
      <c r="A46" s="105">
        <f>IFERROR(__xludf.DUMMYFUNCTION("""COMPUTED_VALUE"""),45922.58245300926)</f>
        <v>45922.58245</v>
      </c>
      <c r="B46" s="106" t="str">
        <f>IFERROR(__xludf.DUMMYFUNCTION("""COMPUTED_VALUE"""),"Emma Korsu")</f>
        <v>Emma Korsu</v>
      </c>
      <c r="C46" s="71" t="b">
        <f>IFERROR(__xludf.DUMMYFUNCTION("""COMPUTED_VALUE"""),FALSE)</f>
        <v>0</v>
      </c>
      <c r="D46" s="71"/>
      <c r="E46" s="78"/>
      <c r="F46" s="71"/>
      <c r="G46" s="78"/>
      <c r="H46" s="107">
        <f>IFERROR(__xludf.DUMMYFUNCTION("""COMPUTED_VALUE"""),6.0)</f>
        <v>6</v>
      </c>
      <c r="I46" s="108"/>
      <c r="J46" s="106" t="str">
        <f>IFERROR(__xludf.DUMMYFUNCTION("""COMPUTED_VALUE"""),"Lunch")</f>
        <v>Lunch</v>
      </c>
      <c r="K46" s="106">
        <f>IFERROR(__xludf.DUMMYFUNCTION("""COMPUTED_VALUE"""),45922.0)</f>
        <v>45922</v>
      </c>
      <c r="L46" s="71" t="str">
        <f>IFERROR(__xludf.DUMMYFUNCTION("""COMPUTED_VALUE"""),"Monday")</f>
        <v>Monday</v>
      </c>
      <c r="M46" s="71" t="str">
        <f>IFERROR(__xludf.DUMMYFUNCTION("""COMPUTED_VALUE"""),"BF")</f>
        <v>BF</v>
      </c>
      <c r="N46" s="109"/>
      <c r="O46" s="110" t="str">
        <f>IFERROR(__xludf.DUMMYFUNCTION("""COMPUTED_VALUE"""),"")</f>
        <v/>
      </c>
      <c r="P46" s="71" t="str">
        <f>IFERROR(__xludf.DUMMYFUNCTION("""COMPUTED_VALUE"""),"")</f>
        <v/>
      </c>
      <c r="Q46" s="88"/>
      <c r="R46" s="88"/>
      <c r="S46" s="61"/>
      <c r="T46" s="61"/>
      <c r="U46" s="111" t="str">
        <f>IFERROR(__xludf.DUMMYFUNCTION("""COMPUTED_VALUE"""),"")</f>
        <v/>
      </c>
      <c r="V46" s="88"/>
      <c r="W46" s="111"/>
      <c r="X46" s="62"/>
      <c r="Y46" s="109"/>
      <c r="Z46" s="113" t="str">
        <f>IFERROR(__xludf.DUMMYFUNCTION("""COMPUTED_VALUE"""),"")</f>
        <v/>
      </c>
      <c r="AA46" s="113" t="str">
        <f>IFERROR(__xludf.DUMMYFUNCTION("""COMPUTED_VALUE"""),"")</f>
        <v/>
      </c>
      <c r="AB46" s="71" t="str">
        <f>IFERROR(__xludf.DUMMYFUNCTION("""COMPUTED_VALUE"""),"")</f>
        <v/>
      </c>
    </row>
    <row r="47">
      <c r="A47" s="105">
        <f>IFERROR(__xludf.DUMMYFUNCTION("""COMPUTED_VALUE"""),45922.63356635417)</f>
        <v>45922.63357</v>
      </c>
      <c r="B47" s="106" t="str">
        <f>IFERROR(__xludf.DUMMYFUNCTION("""COMPUTED_VALUE"""),"Greta Traynor")</f>
        <v>Greta Traynor</v>
      </c>
      <c r="C47" s="71" t="b">
        <f>IFERROR(__xludf.DUMMYFUNCTION("""COMPUTED_VALUE"""),FALSE)</f>
        <v>0</v>
      </c>
      <c r="D47" s="71"/>
      <c r="E47" s="78"/>
      <c r="F47" s="71"/>
      <c r="G47" s="78"/>
      <c r="H47" s="107">
        <f>IFERROR(__xludf.DUMMYFUNCTION("""COMPUTED_VALUE"""),59.0)</f>
        <v>59</v>
      </c>
      <c r="I47" s="108"/>
      <c r="J47" s="106" t="str">
        <f>IFERROR(__xludf.DUMMYFUNCTION("""COMPUTED_VALUE"""),"Lunch")</f>
        <v>Lunch</v>
      </c>
      <c r="K47" s="106">
        <f>IFERROR(__xludf.DUMMYFUNCTION("""COMPUTED_VALUE"""),45922.0)</f>
        <v>45922</v>
      </c>
      <c r="L47" s="71" t="str">
        <f>IFERROR(__xludf.DUMMYFUNCTION("""COMPUTED_VALUE"""),"Monday")</f>
        <v>Monday</v>
      </c>
      <c r="M47" s="71" t="str">
        <f>IFERROR(__xludf.DUMMYFUNCTION("""COMPUTED_VALUE"""),"MF")</f>
        <v>MF</v>
      </c>
      <c r="N47" s="109"/>
      <c r="O47" s="110" t="str">
        <f>IFERROR(__xludf.DUMMYFUNCTION("""COMPUTED_VALUE"""),"")</f>
        <v/>
      </c>
      <c r="P47" s="71" t="str">
        <f>IFERROR(__xludf.DUMMYFUNCTION("""COMPUTED_VALUE"""),"")</f>
        <v/>
      </c>
      <c r="Q47" s="88"/>
      <c r="R47" s="88"/>
      <c r="S47" s="61"/>
      <c r="T47" s="61"/>
      <c r="U47" s="111" t="str">
        <f>IFERROR(__xludf.DUMMYFUNCTION("""COMPUTED_VALUE"""),"")</f>
        <v/>
      </c>
      <c r="V47" s="88"/>
      <c r="W47" s="111"/>
      <c r="X47" s="62"/>
      <c r="Y47" s="109"/>
      <c r="Z47" s="113" t="str">
        <f>IFERROR(__xludf.DUMMYFUNCTION("""COMPUTED_VALUE"""),"")</f>
        <v/>
      </c>
      <c r="AA47" s="113" t="str">
        <f>IFERROR(__xludf.DUMMYFUNCTION("""COMPUTED_VALUE"""),"")</f>
        <v/>
      </c>
      <c r="AB47" s="71" t="str">
        <f>IFERROR(__xludf.DUMMYFUNCTION("""COMPUTED_VALUE"""),"")</f>
        <v/>
      </c>
    </row>
    <row r="48">
      <c r="A48" s="105">
        <f>IFERROR(__xludf.DUMMYFUNCTION("""COMPUTED_VALUE"""),45922.65271378472)</f>
        <v>45922.65271</v>
      </c>
      <c r="B48" s="106" t="str">
        <f>IFERROR(__xludf.DUMMYFUNCTION("""COMPUTED_VALUE"""),"Emma Korsu")</f>
        <v>Emma Korsu</v>
      </c>
      <c r="C48" s="71" t="b">
        <f>IFERROR(__xludf.DUMMYFUNCTION("""COMPUTED_VALUE"""),FALSE)</f>
        <v>0</v>
      </c>
      <c r="D48" s="71"/>
      <c r="E48" s="78"/>
      <c r="F48" s="71"/>
      <c r="G48" s="78"/>
      <c r="H48" s="107">
        <f>IFERROR(__xludf.DUMMYFUNCTION("""COMPUTED_VALUE"""),111.0)</f>
        <v>111</v>
      </c>
      <c r="I48" s="108"/>
      <c r="J48" s="106" t="str">
        <f>IFERROR(__xludf.DUMMYFUNCTION("""COMPUTED_VALUE"""),"Lunch")</f>
        <v>Lunch</v>
      </c>
      <c r="K48" s="106">
        <f>IFERROR(__xludf.DUMMYFUNCTION("""COMPUTED_VALUE"""),45922.0)</f>
        <v>45922</v>
      </c>
      <c r="L48" s="71" t="str">
        <f>IFERROR(__xludf.DUMMYFUNCTION("""COMPUTED_VALUE"""),"Monday")</f>
        <v>Monday</v>
      </c>
      <c r="M48" s="71" t="str">
        <f>IFERROR(__xludf.DUMMYFUNCTION("""COMPUTED_VALUE"""),"BF")</f>
        <v>BF</v>
      </c>
      <c r="N48" s="109"/>
      <c r="O48" s="110" t="str">
        <f>IFERROR(__xludf.DUMMYFUNCTION("""COMPUTED_VALUE"""),"")</f>
        <v/>
      </c>
      <c r="P48" s="71" t="str">
        <f>IFERROR(__xludf.DUMMYFUNCTION("""COMPUTED_VALUE"""),"")</f>
        <v/>
      </c>
      <c r="Q48" s="88"/>
      <c r="R48" s="88"/>
      <c r="S48" s="61"/>
      <c r="T48" s="61"/>
      <c r="U48" s="111" t="str">
        <f>IFERROR(__xludf.DUMMYFUNCTION("""COMPUTED_VALUE"""),"")</f>
        <v/>
      </c>
      <c r="V48" s="88"/>
      <c r="W48" s="111"/>
      <c r="X48" s="62"/>
      <c r="Y48" s="109"/>
      <c r="Z48" s="113" t="str">
        <f>IFERROR(__xludf.DUMMYFUNCTION("""COMPUTED_VALUE"""),"")</f>
        <v/>
      </c>
      <c r="AA48" s="113" t="str">
        <f>IFERROR(__xludf.DUMMYFUNCTION("""COMPUTED_VALUE"""),"")</f>
        <v/>
      </c>
      <c r="AB48" s="71" t="str">
        <f>IFERROR(__xludf.DUMMYFUNCTION("""COMPUTED_VALUE"""),"")</f>
        <v/>
      </c>
    </row>
    <row r="49">
      <c r="A49" s="105">
        <f>IFERROR(__xludf.DUMMYFUNCTION("""COMPUTED_VALUE"""),45922.76708179398)</f>
        <v>45922.76708</v>
      </c>
      <c r="B49" s="106" t="str">
        <f>IFERROR(__xludf.DUMMYFUNCTION("""COMPUTED_VALUE"""),"Maureen Surgot")</f>
        <v>Maureen Surgot</v>
      </c>
      <c r="C49" s="71" t="b">
        <f>IFERROR(__xludf.DUMMYFUNCTION("""COMPUTED_VALUE"""),FALSE)</f>
        <v>0</v>
      </c>
      <c r="D49" s="71"/>
      <c r="E49" s="78"/>
      <c r="F49" s="71"/>
      <c r="G49" s="78"/>
      <c r="H49" s="107">
        <f>IFERROR(__xludf.DUMMYFUNCTION("""COMPUTED_VALUE"""),98.0)</f>
        <v>98</v>
      </c>
      <c r="I49" s="108"/>
      <c r="J49" s="106" t="str">
        <f>IFERROR(__xludf.DUMMYFUNCTION("""COMPUTED_VALUE"""),"Dinner")</f>
        <v>Dinner</v>
      </c>
      <c r="K49" s="106">
        <f>IFERROR(__xludf.DUMMYFUNCTION("""COMPUTED_VALUE"""),45922.0)</f>
        <v>45922</v>
      </c>
      <c r="L49" s="71" t="str">
        <f>IFERROR(__xludf.DUMMYFUNCTION("""COMPUTED_VALUE"""),"Monday")</f>
        <v>Monday</v>
      </c>
      <c r="M49" s="71" t="str">
        <f>IFERROR(__xludf.DUMMYFUNCTION("""COMPUTED_VALUE"""),"MF")</f>
        <v>MF</v>
      </c>
      <c r="N49" s="109"/>
      <c r="O49" s="110" t="str">
        <f>IFERROR(__xludf.DUMMYFUNCTION("""COMPUTED_VALUE"""),"")</f>
        <v/>
      </c>
      <c r="P49" s="71" t="str">
        <f>IFERROR(__xludf.DUMMYFUNCTION("""COMPUTED_VALUE"""),"")</f>
        <v/>
      </c>
      <c r="Q49" s="88"/>
      <c r="R49" s="88"/>
      <c r="S49" s="61"/>
      <c r="T49" s="61"/>
      <c r="U49" s="111" t="str">
        <f>IFERROR(__xludf.DUMMYFUNCTION("""COMPUTED_VALUE"""),"")</f>
        <v/>
      </c>
      <c r="V49" s="88"/>
      <c r="W49" s="111"/>
      <c r="X49" s="62"/>
      <c r="Y49" s="109"/>
      <c r="Z49" s="113" t="str">
        <f>IFERROR(__xludf.DUMMYFUNCTION("""COMPUTED_VALUE"""),"")</f>
        <v/>
      </c>
      <c r="AA49" s="113" t="str">
        <f>IFERROR(__xludf.DUMMYFUNCTION("""COMPUTED_VALUE"""),"")</f>
        <v/>
      </c>
      <c r="AB49" s="71" t="str">
        <f>IFERROR(__xludf.DUMMYFUNCTION("""COMPUTED_VALUE"""),"")</f>
        <v/>
      </c>
    </row>
    <row r="50">
      <c r="A50" s="105">
        <f>IFERROR(__xludf.DUMMYFUNCTION("""COMPUTED_VALUE"""),45922.857415879625)</f>
        <v>45922.85742</v>
      </c>
      <c r="B50" s="106" t="str">
        <f>IFERROR(__xludf.DUMMYFUNCTION("""COMPUTED_VALUE"""),"Kaylie Forgue")</f>
        <v>Kaylie Forgue</v>
      </c>
      <c r="C50" s="71" t="b">
        <f>IFERROR(__xludf.DUMMYFUNCTION("""COMPUTED_VALUE"""),FALSE)</f>
        <v>0</v>
      </c>
      <c r="D50" s="71"/>
      <c r="E50" s="78"/>
      <c r="F50" s="71"/>
      <c r="G50" s="78"/>
      <c r="H50" s="107">
        <f>IFERROR(__xludf.DUMMYFUNCTION("""COMPUTED_VALUE"""),175.0)</f>
        <v>175</v>
      </c>
      <c r="I50" s="108"/>
      <c r="J50" s="106" t="str">
        <f>IFERROR(__xludf.DUMMYFUNCTION("""COMPUTED_VALUE"""),"Dinner")</f>
        <v>Dinner</v>
      </c>
      <c r="K50" s="106">
        <f>IFERROR(__xludf.DUMMYFUNCTION("""COMPUTED_VALUE"""),45922.0)</f>
        <v>45922</v>
      </c>
      <c r="L50" s="71" t="str">
        <f>IFERROR(__xludf.DUMMYFUNCTION("""COMPUTED_VALUE"""),"Monday")</f>
        <v>Monday</v>
      </c>
      <c r="M50" s="71" t="str">
        <f>IFERROR(__xludf.DUMMYFUNCTION("""COMPUTED_VALUE"""),"BF")</f>
        <v>BF</v>
      </c>
      <c r="N50" s="109"/>
      <c r="O50" s="110">
        <f>IFERROR(__xludf.DUMMYFUNCTION("""COMPUTED_VALUE"""),292.0)</f>
        <v>292</v>
      </c>
      <c r="P50" s="71">
        <f>IFERROR(__xludf.DUMMYFUNCTION("""COMPUTED_VALUE"""),412.0)</f>
        <v>412</v>
      </c>
      <c r="Q50" s="88"/>
      <c r="R50" s="88"/>
      <c r="S50" s="61"/>
      <c r="T50" s="61"/>
      <c r="U50" s="111">
        <f>IFERROR(__xludf.DUMMYFUNCTION("""COMPUTED_VALUE"""),704.0)</f>
        <v>704</v>
      </c>
      <c r="V50" s="88"/>
      <c r="W50" s="111"/>
      <c r="X50" s="62"/>
      <c r="Y50" s="109"/>
      <c r="Z50" s="113">
        <f>IFERROR(__xludf.DUMMYFUNCTION("""COMPUTED_VALUE"""),4333.0)</f>
        <v>4333</v>
      </c>
      <c r="AA50" s="113">
        <f>IFERROR(__xludf.DUMMYFUNCTION("""COMPUTED_VALUE"""),4483.0)</f>
        <v>4483</v>
      </c>
      <c r="AB50" s="113">
        <f>IFERROR(__xludf.DUMMYFUNCTION("""COMPUTED_VALUE"""),8816.0)</f>
        <v>8816</v>
      </c>
    </row>
    <row r="51">
      <c r="A51" s="105">
        <f>IFERROR(__xludf.DUMMYFUNCTION("""COMPUTED_VALUE"""),45923.48443877314)</f>
        <v>45923.48444</v>
      </c>
      <c r="B51" s="106" t="str">
        <f>IFERROR(__xludf.DUMMYFUNCTION("""COMPUTED_VALUE"""),"Emmett Khan")</f>
        <v>Emmett Khan</v>
      </c>
      <c r="C51" s="71" t="b">
        <f>IFERROR(__xludf.DUMMYFUNCTION("""COMPUTED_VALUE"""),FALSE)</f>
        <v>0</v>
      </c>
      <c r="D51" s="71"/>
      <c r="E51" s="78"/>
      <c r="F51" s="71"/>
      <c r="G51" s="78"/>
      <c r="H51" s="107">
        <f>IFERROR(__xludf.DUMMYFUNCTION("""COMPUTED_VALUE"""),163.0)</f>
        <v>163</v>
      </c>
      <c r="I51" s="108"/>
      <c r="J51" s="106" t="str">
        <f>IFERROR(__xludf.DUMMYFUNCTION("""COMPUTED_VALUE"""),"Breakfast")</f>
        <v>Breakfast</v>
      </c>
      <c r="K51" s="106">
        <f>IFERROR(__xludf.DUMMYFUNCTION("""COMPUTED_VALUE"""),45923.0)</f>
        <v>45923</v>
      </c>
      <c r="L51" s="71" t="str">
        <f>IFERROR(__xludf.DUMMYFUNCTION("""COMPUTED_VALUE"""),"Tuesday")</f>
        <v>Tuesday</v>
      </c>
      <c r="M51" s="71" t="str">
        <f>IFERROR(__xludf.DUMMYFUNCTION("""COMPUTED_VALUE"""),"BF")</f>
        <v>BF</v>
      </c>
      <c r="N51" s="109"/>
      <c r="O51" s="110" t="str">
        <f>IFERROR(__xludf.DUMMYFUNCTION("""COMPUTED_VALUE"""),"")</f>
        <v/>
      </c>
      <c r="P51" s="71" t="str">
        <f>IFERROR(__xludf.DUMMYFUNCTION("""COMPUTED_VALUE"""),"")</f>
        <v/>
      </c>
      <c r="Q51" s="88"/>
      <c r="R51" s="88"/>
      <c r="S51" s="61"/>
      <c r="T51" s="61"/>
      <c r="U51" s="111" t="str">
        <f>IFERROR(__xludf.DUMMYFUNCTION("""COMPUTED_VALUE"""),"")</f>
        <v/>
      </c>
      <c r="V51" s="88"/>
      <c r="W51" s="111"/>
      <c r="X51" s="62"/>
      <c r="Y51" s="109"/>
      <c r="Z51" s="113" t="str">
        <f>IFERROR(__xludf.DUMMYFUNCTION("""COMPUTED_VALUE"""),"")</f>
        <v/>
      </c>
      <c r="AA51" s="113" t="str">
        <f>IFERROR(__xludf.DUMMYFUNCTION("""COMPUTED_VALUE"""),"")</f>
        <v/>
      </c>
      <c r="AB51" s="71" t="str">
        <f>IFERROR(__xludf.DUMMYFUNCTION("""COMPUTED_VALUE"""),"")</f>
        <v/>
      </c>
    </row>
    <row r="52">
      <c r="A52" s="105">
        <f>IFERROR(__xludf.DUMMYFUNCTION("""COMPUTED_VALUE"""),45923.63142774305)</f>
        <v>45923.63143</v>
      </c>
      <c r="B52" s="106" t="str">
        <f>IFERROR(__xludf.DUMMYFUNCTION("""COMPUTED_VALUE"""),"Maureen Surgot")</f>
        <v>Maureen Surgot</v>
      </c>
      <c r="C52" s="71" t="b">
        <f>IFERROR(__xludf.DUMMYFUNCTION("""COMPUTED_VALUE"""),FALSE)</f>
        <v>0</v>
      </c>
      <c r="D52" s="71"/>
      <c r="E52" s="78"/>
      <c r="F52" s="71"/>
      <c r="G52" s="78"/>
      <c r="H52" s="107">
        <f>IFERROR(__xludf.DUMMYFUNCTION("""COMPUTED_VALUE"""),195.0)</f>
        <v>195</v>
      </c>
      <c r="I52" s="108"/>
      <c r="J52" s="106" t="str">
        <f>IFERROR(__xludf.DUMMYFUNCTION("""COMPUTED_VALUE"""),"Lunch")</f>
        <v>Lunch</v>
      </c>
      <c r="K52" s="106">
        <f>IFERROR(__xludf.DUMMYFUNCTION("""COMPUTED_VALUE"""),45923.0)</f>
        <v>45923</v>
      </c>
      <c r="L52" s="71" t="str">
        <f>IFERROR(__xludf.DUMMYFUNCTION("""COMPUTED_VALUE"""),"Tuesday")</f>
        <v>Tuesday</v>
      </c>
      <c r="M52" s="71" t="str">
        <f>IFERROR(__xludf.DUMMYFUNCTION("""COMPUTED_VALUE"""),"MF")</f>
        <v>MF</v>
      </c>
      <c r="N52" s="109"/>
      <c r="O52" s="110" t="str">
        <f>IFERROR(__xludf.DUMMYFUNCTION("""COMPUTED_VALUE"""),"")</f>
        <v/>
      </c>
      <c r="P52" s="71" t="str">
        <f>IFERROR(__xludf.DUMMYFUNCTION("""COMPUTED_VALUE"""),"")</f>
        <v/>
      </c>
      <c r="Q52" s="88"/>
      <c r="R52" s="88"/>
      <c r="S52" s="61"/>
      <c r="T52" s="61"/>
      <c r="U52" s="111" t="str">
        <f>IFERROR(__xludf.DUMMYFUNCTION("""COMPUTED_VALUE"""),"")</f>
        <v/>
      </c>
      <c r="V52" s="88"/>
      <c r="W52" s="111"/>
      <c r="X52" s="62"/>
      <c r="Y52" s="109"/>
      <c r="Z52" s="113" t="str">
        <f>IFERROR(__xludf.DUMMYFUNCTION("""COMPUTED_VALUE"""),"")</f>
        <v/>
      </c>
      <c r="AA52" s="113" t="str">
        <f>IFERROR(__xludf.DUMMYFUNCTION("""COMPUTED_VALUE"""),"")</f>
        <v/>
      </c>
      <c r="AB52" s="71" t="str">
        <f>IFERROR(__xludf.DUMMYFUNCTION("""COMPUTED_VALUE"""),"")</f>
        <v/>
      </c>
    </row>
    <row r="53">
      <c r="A53" s="105">
        <f>IFERROR(__xludf.DUMMYFUNCTION("""COMPUTED_VALUE"""),45923.65502604167)</f>
        <v>45923.65503</v>
      </c>
      <c r="B53" s="71" t="str">
        <f>IFERROR(__xludf.DUMMYFUNCTION("""COMPUTED_VALUE"""),"Brynn Hornig")</f>
        <v>Brynn Hornig</v>
      </c>
      <c r="C53" s="71" t="b">
        <f>IFERROR(__xludf.DUMMYFUNCTION("""COMPUTED_VALUE"""),FALSE)</f>
        <v>0</v>
      </c>
      <c r="D53" s="71"/>
      <c r="E53" s="78"/>
      <c r="F53" s="71"/>
      <c r="G53" s="78"/>
      <c r="H53" s="107">
        <f>IFERROR(__xludf.DUMMYFUNCTION("""COMPUTED_VALUE"""),151.0)</f>
        <v>151</v>
      </c>
      <c r="I53" s="108"/>
      <c r="J53" s="106" t="str">
        <f>IFERROR(__xludf.DUMMYFUNCTION("""COMPUTED_VALUE"""),"Lunch")</f>
        <v>Lunch</v>
      </c>
      <c r="K53" s="106">
        <f>IFERROR(__xludf.DUMMYFUNCTION("""COMPUTED_VALUE"""),45923.0)</f>
        <v>45923</v>
      </c>
      <c r="L53" s="71" t="str">
        <f>IFERROR(__xludf.DUMMYFUNCTION("""COMPUTED_VALUE"""),"Tuesday")</f>
        <v>Tuesday</v>
      </c>
      <c r="M53" s="71" t="str">
        <f>IFERROR(__xludf.DUMMYFUNCTION("""COMPUTED_VALUE"""),"BF")</f>
        <v>BF</v>
      </c>
      <c r="N53" s="109"/>
      <c r="O53" s="110" t="str">
        <f>IFERROR(__xludf.DUMMYFUNCTION("""COMPUTED_VALUE"""),"")</f>
        <v/>
      </c>
      <c r="P53" s="71" t="str">
        <f>IFERROR(__xludf.DUMMYFUNCTION("""COMPUTED_VALUE"""),"")</f>
        <v/>
      </c>
      <c r="Q53" s="88"/>
      <c r="R53" s="88"/>
      <c r="S53" s="61"/>
      <c r="T53" s="61"/>
      <c r="U53" s="111" t="str">
        <f>IFERROR(__xludf.DUMMYFUNCTION("""COMPUTED_VALUE"""),"")</f>
        <v/>
      </c>
      <c r="V53" s="88"/>
      <c r="W53" s="111"/>
      <c r="X53" s="62"/>
      <c r="Y53" s="109"/>
      <c r="Z53" s="113" t="str">
        <f>IFERROR(__xludf.DUMMYFUNCTION("""COMPUTED_VALUE"""),"")</f>
        <v/>
      </c>
      <c r="AA53" s="113" t="str">
        <f>IFERROR(__xludf.DUMMYFUNCTION("""COMPUTED_VALUE"""),"")</f>
        <v/>
      </c>
      <c r="AB53" s="71" t="str">
        <f>IFERROR(__xludf.DUMMYFUNCTION("""COMPUTED_VALUE"""),"")</f>
        <v/>
      </c>
    </row>
    <row r="54">
      <c r="A54" s="105">
        <f>IFERROR(__xludf.DUMMYFUNCTION("""COMPUTED_VALUE"""),45923.65543758102)</f>
        <v>45923.65544</v>
      </c>
      <c r="B54" s="106" t="str">
        <f>IFERROR(__xludf.DUMMYFUNCTION("""COMPUTED_VALUE"""),"Brynn Hornig")</f>
        <v>Brynn Hornig</v>
      </c>
      <c r="C54" s="71" t="b">
        <f>IFERROR(__xludf.DUMMYFUNCTION("""COMPUTED_VALUE"""),TRUE)</f>
        <v>1</v>
      </c>
      <c r="D54" s="71"/>
      <c r="E54" s="78"/>
      <c r="F54" s="71"/>
      <c r="G54" s="78"/>
      <c r="H54" s="107">
        <f>IFERROR(__xludf.DUMMYFUNCTION("""COMPUTED_VALUE"""),28.0)</f>
        <v>28</v>
      </c>
      <c r="I54" s="108"/>
      <c r="J54" s="106" t="str">
        <f>IFERROR(__xludf.DUMMYFUNCTION("""COMPUTED_VALUE"""),"Lunch")</f>
        <v>Lunch</v>
      </c>
      <c r="K54" s="106">
        <f>IFERROR(__xludf.DUMMYFUNCTION("""COMPUTED_VALUE"""),45923.0)</f>
        <v>45923</v>
      </c>
      <c r="L54" s="71" t="str">
        <f>IFERROR(__xludf.DUMMYFUNCTION("""COMPUTED_VALUE"""),"Tuesday")</f>
        <v>Tuesday</v>
      </c>
      <c r="M54" s="71" t="str">
        <f>IFERROR(__xludf.DUMMYFUNCTION("""COMPUTED_VALUE"""),"BF")</f>
        <v>BF</v>
      </c>
      <c r="N54" s="109"/>
      <c r="O54" s="110" t="str">
        <f>IFERROR(__xludf.DUMMYFUNCTION("""COMPUTED_VALUE"""),"")</f>
        <v/>
      </c>
      <c r="P54" s="71" t="str">
        <f>IFERROR(__xludf.DUMMYFUNCTION("""COMPUTED_VALUE"""),"")</f>
        <v/>
      </c>
      <c r="Q54" s="88"/>
      <c r="R54" s="88"/>
      <c r="S54" s="61"/>
      <c r="T54" s="61"/>
      <c r="U54" s="111" t="str">
        <f>IFERROR(__xludf.DUMMYFUNCTION("""COMPUTED_VALUE"""),"")</f>
        <v/>
      </c>
      <c r="V54" s="88"/>
      <c r="W54" s="111"/>
      <c r="X54" s="62"/>
      <c r="Y54" s="109"/>
      <c r="Z54" s="113" t="str">
        <f>IFERROR(__xludf.DUMMYFUNCTION("""COMPUTED_VALUE"""),"")</f>
        <v/>
      </c>
      <c r="AA54" s="113" t="str">
        <f>IFERROR(__xludf.DUMMYFUNCTION("""COMPUTED_VALUE"""),"")</f>
        <v/>
      </c>
      <c r="AB54" s="71" t="str">
        <f>IFERROR(__xludf.DUMMYFUNCTION("""COMPUTED_VALUE"""),"")</f>
        <v/>
      </c>
    </row>
    <row r="55">
      <c r="A55" s="105">
        <f>IFERROR(__xludf.DUMMYFUNCTION("""COMPUTED_VALUE"""),45924.03774233796)</f>
        <v>45924.03774</v>
      </c>
      <c r="B55" s="71" t="str">
        <f>IFERROR(__xludf.DUMMYFUNCTION("""COMPUTED_VALUE"""),"Leisly Aceituno")</f>
        <v>Leisly Aceituno</v>
      </c>
      <c r="C55" s="71" t="b">
        <f>IFERROR(__xludf.DUMMYFUNCTION("""COMPUTED_VALUE"""),FALSE)</f>
        <v>0</v>
      </c>
      <c r="D55" s="71"/>
      <c r="E55" s="78"/>
      <c r="F55" s="71"/>
      <c r="G55" s="78"/>
      <c r="H55" s="107">
        <f>IFERROR(__xludf.DUMMYFUNCTION("""COMPUTED_VALUE"""),221.0)</f>
        <v>221</v>
      </c>
      <c r="I55" s="108"/>
      <c r="J55" s="106" t="str">
        <f>IFERROR(__xludf.DUMMYFUNCTION("""COMPUTED_VALUE"""),"Dinner")</f>
        <v>Dinner</v>
      </c>
      <c r="K55" s="106">
        <f>IFERROR(__xludf.DUMMYFUNCTION("""COMPUTED_VALUE"""),45923.0)</f>
        <v>45923</v>
      </c>
      <c r="L55" s="71" t="str">
        <f>IFERROR(__xludf.DUMMYFUNCTION("""COMPUTED_VALUE"""),"Tuesday")</f>
        <v>Tuesday</v>
      </c>
      <c r="M55" s="71" t="str">
        <f>IFERROR(__xludf.DUMMYFUNCTION("""COMPUTED_VALUE"""),"MF")</f>
        <v>MF</v>
      </c>
      <c r="N55" s="109"/>
      <c r="O55" s="110">
        <f>IFERROR(__xludf.DUMMYFUNCTION("""COMPUTED_VALUE"""),416.0)</f>
        <v>416</v>
      </c>
      <c r="P55" s="71">
        <f>IFERROR(__xludf.DUMMYFUNCTION("""COMPUTED_VALUE"""),342.0)</f>
        <v>342</v>
      </c>
      <c r="Q55" s="88"/>
      <c r="R55" s="88"/>
      <c r="S55" s="61"/>
      <c r="T55" s="61"/>
      <c r="U55" s="111">
        <f>IFERROR(__xludf.DUMMYFUNCTION("""COMPUTED_VALUE"""),758.0)</f>
        <v>758</v>
      </c>
      <c r="V55" s="88"/>
      <c r="W55" s="111"/>
      <c r="X55" s="62"/>
      <c r="Y55" s="109"/>
      <c r="Z55" s="113">
        <f>IFERROR(__xludf.DUMMYFUNCTION("""COMPUTED_VALUE"""),3897.0)</f>
        <v>3897</v>
      </c>
      <c r="AA55" s="113">
        <f>IFERROR(__xludf.DUMMYFUNCTION("""COMPUTED_VALUE"""),4717.0)</f>
        <v>4717</v>
      </c>
      <c r="AB55" s="113">
        <f>IFERROR(__xludf.DUMMYFUNCTION("""COMPUTED_VALUE"""),8614.0)</f>
        <v>8614</v>
      </c>
    </row>
    <row r="56">
      <c r="A56" s="105">
        <f>IFERROR(__xludf.DUMMYFUNCTION("""COMPUTED_VALUE"""),45924.63490297453)</f>
        <v>45924.6349</v>
      </c>
      <c r="B56" s="106" t="str">
        <f>IFERROR(__xludf.DUMMYFUNCTION("""COMPUTED_VALUE"""),"Greta Traynor")</f>
        <v>Greta Traynor</v>
      </c>
      <c r="C56" s="71" t="b">
        <f>IFERROR(__xludf.DUMMYFUNCTION("""COMPUTED_VALUE"""),FALSE)</f>
        <v>0</v>
      </c>
      <c r="D56" s="71"/>
      <c r="E56" s="78"/>
      <c r="F56" s="71"/>
      <c r="G56" s="78"/>
      <c r="H56" s="107">
        <f>IFERROR(__xludf.DUMMYFUNCTION("""COMPUTED_VALUE"""),66.0)</f>
        <v>66</v>
      </c>
      <c r="I56" s="108"/>
      <c r="J56" s="106" t="str">
        <f>IFERROR(__xludf.DUMMYFUNCTION("""COMPUTED_VALUE"""),"Lunch")</f>
        <v>Lunch</v>
      </c>
      <c r="K56" s="106">
        <f>IFERROR(__xludf.DUMMYFUNCTION("""COMPUTED_VALUE"""),45924.0)</f>
        <v>45924</v>
      </c>
      <c r="L56" s="71" t="str">
        <f>IFERROR(__xludf.DUMMYFUNCTION("""COMPUTED_VALUE"""),"Wednesday")</f>
        <v>Wednesday</v>
      </c>
      <c r="M56" s="71" t="str">
        <f>IFERROR(__xludf.DUMMYFUNCTION("""COMPUTED_VALUE"""),"MF")</f>
        <v>MF</v>
      </c>
      <c r="N56" s="109"/>
      <c r="O56" s="110" t="str">
        <f>IFERROR(__xludf.DUMMYFUNCTION("""COMPUTED_VALUE"""),"")</f>
        <v/>
      </c>
      <c r="P56" s="71" t="str">
        <f>IFERROR(__xludf.DUMMYFUNCTION("""COMPUTED_VALUE"""),"")</f>
        <v/>
      </c>
      <c r="Q56" s="88"/>
      <c r="R56" s="88"/>
      <c r="S56" s="61"/>
      <c r="T56" s="61"/>
      <c r="U56" s="111" t="str">
        <f>IFERROR(__xludf.DUMMYFUNCTION("""COMPUTED_VALUE"""),"")</f>
        <v/>
      </c>
      <c r="V56" s="88"/>
      <c r="W56" s="111"/>
      <c r="X56" s="62"/>
      <c r="Y56" s="109"/>
      <c r="Z56" s="113" t="str">
        <f>IFERROR(__xludf.DUMMYFUNCTION("""COMPUTED_VALUE"""),"")</f>
        <v/>
      </c>
      <c r="AA56" s="113" t="str">
        <f>IFERROR(__xludf.DUMMYFUNCTION("""COMPUTED_VALUE"""),"")</f>
        <v/>
      </c>
      <c r="AB56" s="71" t="str">
        <f>IFERROR(__xludf.DUMMYFUNCTION("""COMPUTED_VALUE"""),"")</f>
        <v/>
      </c>
    </row>
    <row r="57">
      <c r="A57" s="105">
        <f>IFERROR(__xludf.DUMMYFUNCTION("""COMPUTED_VALUE"""),45924.751159861116)</f>
        <v>45924.75116</v>
      </c>
      <c r="B57" s="106" t="str">
        <f>IFERROR(__xludf.DUMMYFUNCTION("""COMPUTED_VALUE"""),"Sarah Wilme")</f>
        <v>Sarah Wilme</v>
      </c>
      <c r="C57" s="71" t="b">
        <f>IFERROR(__xludf.DUMMYFUNCTION("""COMPUTED_VALUE"""),FALSE)</f>
        <v>0</v>
      </c>
      <c r="D57" s="71"/>
      <c r="E57" s="78"/>
      <c r="F57" s="71"/>
      <c r="G57" s="78"/>
      <c r="H57" s="107">
        <f>IFERROR(__xludf.DUMMYFUNCTION("""COMPUTED_VALUE"""),199.0)</f>
        <v>199</v>
      </c>
      <c r="I57" s="108"/>
      <c r="J57" s="106" t="str">
        <f>IFERROR(__xludf.DUMMYFUNCTION("""COMPUTED_VALUE"""),"Dinner")</f>
        <v>Dinner</v>
      </c>
      <c r="K57" s="106">
        <f>IFERROR(__xludf.DUMMYFUNCTION("""COMPUTED_VALUE"""),45924.0)</f>
        <v>45924</v>
      </c>
      <c r="L57" s="71" t="str">
        <f>IFERROR(__xludf.DUMMYFUNCTION("""COMPUTED_VALUE"""),"Wednesday")</f>
        <v>Wednesday</v>
      </c>
      <c r="M57" s="71" t="str">
        <f>IFERROR(__xludf.DUMMYFUNCTION("""COMPUTED_VALUE"""),"BF")</f>
        <v>BF</v>
      </c>
      <c r="N57" s="109"/>
      <c r="O57" s="110" t="str">
        <f>IFERROR(__xludf.DUMMYFUNCTION("""COMPUTED_VALUE"""),"")</f>
        <v/>
      </c>
      <c r="P57" s="71" t="str">
        <f>IFERROR(__xludf.DUMMYFUNCTION("""COMPUTED_VALUE"""),"")</f>
        <v/>
      </c>
      <c r="Q57" s="88"/>
      <c r="R57" s="88"/>
      <c r="S57" s="61"/>
      <c r="T57" s="61"/>
      <c r="U57" s="111" t="str">
        <f>IFERROR(__xludf.DUMMYFUNCTION("""COMPUTED_VALUE"""),"")</f>
        <v/>
      </c>
      <c r="V57" s="88"/>
      <c r="W57" s="111"/>
      <c r="X57" s="62"/>
      <c r="Y57" s="109"/>
      <c r="Z57" s="113" t="str">
        <f>IFERROR(__xludf.DUMMYFUNCTION("""COMPUTED_VALUE"""),"")</f>
        <v/>
      </c>
      <c r="AA57" s="113" t="str">
        <f>IFERROR(__xludf.DUMMYFUNCTION("""COMPUTED_VALUE"""),"")</f>
        <v/>
      </c>
      <c r="AB57" s="71" t="str">
        <f>IFERROR(__xludf.DUMMYFUNCTION("""COMPUTED_VALUE"""),"")</f>
        <v/>
      </c>
    </row>
    <row r="58">
      <c r="A58" s="105">
        <f>IFERROR(__xludf.DUMMYFUNCTION("""COMPUTED_VALUE"""),45924.86199447917)</f>
        <v>45924.86199</v>
      </c>
      <c r="B58" s="71" t="str">
        <f>IFERROR(__xludf.DUMMYFUNCTION("""COMPUTED_VALUE"""),"Emma Korsu")</f>
        <v>Emma Korsu</v>
      </c>
      <c r="C58" s="71" t="b">
        <f>IFERROR(__xludf.DUMMYFUNCTION("""COMPUTED_VALUE"""),FALSE)</f>
        <v>0</v>
      </c>
      <c r="D58" s="71"/>
      <c r="E58" s="78"/>
      <c r="F58" s="71"/>
      <c r="G58" s="78"/>
      <c r="H58" s="107">
        <f>IFERROR(__xludf.DUMMYFUNCTION("""COMPUTED_VALUE"""),186.0)</f>
        <v>186</v>
      </c>
      <c r="I58" s="108"/>
      <c r="J58" s="106" t="str">
        <f>IFERROR(__xludf.DUMMYFUNCTION("""COMPUTED_VALUE"""),"Dinner")</f>
        <v>Dinner</v>
      </c>
      <c r="K58" s="106">
        <f>IFERROR(__xludf.DUMMYFUNCTION("""COMPUTED_VALUE"""),45924.0)</f>
        <v>45924</v>
      </c>
      <c r="L58" s="71" t="str">
        <f>IFERROR(__xludf.DUMMYFUNCTION("""COMPUTED_VALUE"""),"Wednesday")</f>
        <v>Wednesday</v>
      </c>
      <c r="M58" s="71" t="str">
        <f>IFERROR(__xludf.DUMMYFUNCTION("""COMPUTED_VALUE"""),"BF")</f>
        <v>BF</v>
      </c>
      <c r="N58" s="109"/>
      <c r="O58" s="110" t="str">
        <f>IFERROR(__xludf.DUMMYFUNCTION("""COMPUTED_VALUE"""),"")</f>
        <v/>
      </c>
      <c r="P58" s="71" t="str">
        <f>IFERROR(__xludf.DUMMYFUNCTION("""COMPUTED_VALUE"""),"")</f>
        <v/>
      </c>
      <c r="Q58" s="88"/>
      <c r="R58" s="88"/>
      <c r="S58" s="61"/>
      <c r="T58" s="61"/>
      <c r="U58" s="111" t="str">
        <f>IFERROR(__xludf.DUMMYFUNCTION("""COMPUTED_VALUE"""),"")</f>
        <v/>
      </c>
      <c r="V58" s="88"/>
      <c r="W58" s="111"/>
      <c r="X58" s="62"/>
      <c r="Y58" s="109"/>
      <c r="Z58" s="113" t="str">
        <f>IFERROR(__xludf.DUMMYFUNCTION("""COMPUTED_VALUE"""),"")</f>
        <v/>
      </c>
      <c r="AA58" s="113" t="str">
        <f>IFERROR(__xludf.DUMMYFUNCTION("""COMPUTED_VALUE"""),"")</f>
        <v/>
      </c>
      <c r="AB58" s="71" t="str">
        <f>IFERROR(__xludf.DUMMYFUNCTION("""COMPUTED_VALUE"""),"")</f>
        <v/>
      </c>
    </row>
    <row r="59">
      <c r="A59" s="105">
        <f>IFERROR(__xludf.DUMMYFUNCTION("""COMPUTED_VALUE"""),45925.00809685185)</f>
        <v>45925.0081</v>
      </c>
      <c r="B59" s="106" t="str">
        <f>IFERROR(__xludf.DUMMYFUNCTION("""COMPUTED_VALUE"""),"Kaylie Forgue")</f>
        <v>Kaylie Forgue</v>
      </c>
      <c r="C59" s="71" t="b">
        <f>IFERROR(__xludf.DUMMYFUNCTION("""COMPUTED_VALUE"""),FALSE)</f>
        <v>0</v>
      </c>
      <c r="D59" s="71"/>
      <c r="E59" s="78"/>
      <c r="F59" s="71"/>
      <c r="G59" s="78"/>
      <c r="H59" s="107">
        <f>IFERROR(__xludf.DUMMYFUNCTION("""COMPUTED_VALUE"""),155.0)</f>
        <v>155</v>
      </c>
      <c r="I59" s="108"/>
      <c r="J59" s="106" t="str">
        <f>IFERROR(__xludf.DUMMYFUNCTION("""COMPUTED_VALUE"""),"Dinner")</f>
        <v>Dinner</v>
      </c>
      <c r="K59" s="106">
        <f>IFERROR(__xludf.DUMMYFUNCTION("""COMPUTED_VALUE"""),45924.0)</f>
        <v>45924</v>
      </c>
      <c r="L59" s="71" t="str">
        <f>IFERROR(__xludf.DUMMYFUNCTION("""COMPUTED_VALUE"""),"Wednesday")</f>
        <v>Wednesday</v>
      </c>
      <c r="M59" s="71" t="str">
        <f>IFERROR(__xludf.DUMMYFUNCTION("""COMPUTED_VALUE"""),"MF")</f>
        <v>MF</v>
      </c>
      <c r="N59" s="109"/>
      <c r="O59" s="110">
        <f>IFERROR(__xludf.DUMMYFUNCTION("""COMPUTED_VALUE"""),221.0)</f>
        <v>221</v>
      </c>
      <c r="P59" s="71">
        <f>IFERROR(__xludf.DUMMYFUNCTION("""COMPUTED_VALUE"""),385.0)</f>
        <v>385</v>
      </c>
      <c r="Q59" s="88"/>
      <c r="R59" s="88"/>
      <c r="S59" s="61"/>
      <c r="T59" s="61"/>
      <c r="U59" s="111">
        <f>IFERROR(__xludf.DUMMYFUNCTION("""COMPUTED_VALUE"""),606.0)</f>
        <v>606</v>
      </c>
      <c r="V59" s="88"/>
      <c r="W59" s="111"/>
      <c r="X59" s="62"/>
      <c r="Y59" s="109"/>
      <c r="Z59" s="113">
        <f>IFERROR(__xludf.DUMMYFUNCTION("""COMPUTED_VALUE"""),3773.0)</f>
        <v>3773</v>
      </c>
      <c r="AA59" s="113">
        <f>IFERROR(__xludf.DUMMYFUNCTION("""COMPUTED_VALUE"""),4357.0)</f>
        <v>4357</v>
      </c>
      <c r="AB59" s="113">
        <f>IFERROR(__xludf.DUMMYFUNCTION("""COMPUTED_VALUE"""),8130.0)</f>
        <v>8130</v>
      </c>
    </row>
    <row r="60">
      <c r="A60" s="105">
        <f>IFERROR(__xludf.DUMMYFUNCTION("""COMPUTED_VALUE"""),45925.55766491898)</f>
        <v>45925.55766</v>
      </c>
      <c r="B60" s="106" t="str">
        <f>IFERROR(__xludf.DUMMYFUNCTION("""COMPUTED_VALUE"""),"Maureen Surgot")</f>
        <v>Maureen Surgot</v>
      </c>
      <c r="C60" s="71" t="b">
        <f>IFERROR(__xludf.DUMMYFUNCTION("""COMPUTED_VALUE"""),FALSE)</f>
        <v>0</v>
      </c>
      <c r="D60" s="71"/>
      <c r="E60" s="78"/>
      <c r="F60" s="71"/>
      <c r="G60" s="78"/>
      <c r="H60" s="107">
        <f>IFERROR(__xludf.DUMMYFUNCTION("""COMPUTED_VALUE"""),67.0)</f>
        <v>67</v>
      </c>
      <c r="I60" s="108"/>
      <c r="J60" s="106" t="str">
        <f>IFERROR(__xludf.DUMMYFUNCTION("""COMPUTED_VALUE"""),"Lunch")</f>
        <v>Lunch</v>
      </c>
      <c r="K60" s="106">
        <f>IFERROR(__xludf.DUMMYFUNCTION("""COMPUTED_VALUE"""),45925.0)</f>
        <v>45925</v>
      </c>
      <c r="L60" s="71" t="str">
        <f>IFERROR(__xludf.DUMMYFUNCTION("""COMPUTED_VALUE"""),"Thursday")</f>
        <v>Thursday</v>
      </c>
      <c r="M60" s="71" t="str">
        <f>IFERROR(__xludf.DUMMYFUNCTION("""COMPUTED_VALUE"""),"MF")</f>
        <v>MF</v>
      </c>
      <c r="N60" s="109"/>
      <c r="O60" s="110" t="str">
        <f>IFERROR(__xludf.DUMMYFUNCTION("""COMPUTED_VALUE"""),"")</f>
        <v/>
      </c>
      <c r="P60" s="71" t="str">
        <f>IFERROR(__xludf.DUMMYFUNCTION("""COMPUTED_VALUE"""),"")</f>
        <v/>
      </c>
      <c r="Q60" s="88"/>
      <c r="R60" s="88"/>
      <c r="S60" s="61"/>
      <c r="T60" s="61"/>
      <c r="U60" s="111" t="str">
        <f>IFERROR(__xludf.DUMMYFUNCTION("""COMPUTED_VALUE"""),"")</f>
        <v/>
      </c>
      <c r="V60" s="88"/>
      <c r="W60" s="111"/>
      <c r="X60" s="62"/>
      <c r="Y60" s="109"/>
      <c r="Z60" s="113" t="str">
        <f>IFERROR(__xludf.DUMMYFUNCTION("""COMPUTED_VALUE"""),"")</f>
        <v/>
      </c>
      <c r="AA60" s="113" t="str">
        <f>IFERROR(__xludf.DUMMYFUNCTION("""COMPUTED_VALUE"""),"")</f>
        <v/>
      </c>
      <c r="AB60" s="71" t="str">
        <f>IFERROR(__xludf.DUMMYFUNCTION("""COMPUTED_VALUE"""),"")</f>
        <v/>
      </c>
    </row>
    <row r="61">
      <c r="A61" s="105">
        <f>IFERROR(__xludf.DUMMYFUNCTION("""COMPUTED_VALUE"""),45925.58611790509)</f>
        <v>45925.58612</v>
      </c>
      <c r="B61" s="106" t="str">
        <f>IFERROR(__xludf.DUMMYFUNCTION("""COMPUTED_VALUE"""),"Greta Traynor")</f>
        <v>Greta Traynor</v>
      </c>
      <c r="C61" s="71" t="b">
        <f>IFERROR(__xludf.DUMMYFUNCTION("""COMPUTED_VALUE"""),FALSE)</f>
        <v>0</v>
      </c>
      <c r="D61" s="71"/>
      <c r="E61" s="78"/>
      <c r="F61" s="71"/>
      <c r="G61" s="78"/>
      <c r="H61" s="107">
        <f>IFERROR(__xludf.DUMMYFUNCTION("""COMPUTED_VALUE"""),35.0)</f>
        <v>35</v>
      </c>
      <c r="I61" s="108"/>
      <c r="J61" s="106" t="str">
        <f>IFERROR(__xludf.DUMMYFUNCTION("""COMPUTED_VALUE"""),"Lunch")</f>
        <v>Lunch</v>
      </c>
      <c r="K61" s="106">
        <f>IFERROR(__xludf.DUMMYFUNCTION("""COMPUTED_VALUE"""),45925.0)</f>
        <v>45925</v>
      </c>
      <c r="L61" s="71" t="str">
        <f>IFERROR(__xludf.DUMMYFUNCTION("""COMPUTED_VALUE"""),"Thursday")</f>
        <v>Thursday</v>
      </c>
      <c r="M61" s="71" t="str">
        <f>IFERROR(__xludf.DUMMYFUNCTION("""COMPUTED_VALUE"""),"BF")</f>
        <v>BF</v>
      </c>
      <c r="N61" s="109"/>
      <c r="O61" s="110" t="str">
        <f>IFERROR(__xludf.DUMMYFUNCTION("""COMPUTED_VALUE"""),"")</f>
        <v/>
      </c>
      <c r="P61" s="71" t="str">
        <f>IFERROR(__xludf.DUMMYFUNCTION("""COMPUTED_VALUE"""),"")</f>
        <v/>
      </c>
      <c r="Q61" s="88"/>
      <c r="R61" s="88"/>
      <c r="S61" s="61"/>
      <c r="T61" s="61"/>
      <c r="U61" s="111" t="str">
        <f>IFERROR(__xludf.DUMMYFUNCTION("""COMPUTED_VALUE"""),"")</f>
        <v/>
      </c>
      <c r="V61" s="88"/>
      <c r="W61" s="111"/>
      <c r="X61" s="62"/>
      <c r="Y61" s="109"/>
      <c r="Z61" s="113" t="str">
        <f>IFERROR(__xludf.DUMMYFUNCTION("""COMPUTED_VALUE"""),"")</f>
        <v/>
      </c>
      <c r="AA61" s="113" t="str">
        <f>IFERROR(__xludf.DUMMYFUNCTION("""COMPUTED_VALUE"""),"")</f>
        <v/>
      </c>
      <c r="AB61" s="71" t="str">
        <f>IFERROR(__xludf.DUMMYFUNCTION("""COMPUTED_VALUE"""),"")</f>
        <v/>
      </c>
    </row>
    <row r="62">
      <c r="A62" s="105">
        <f>IFERROR(__xludf.DUMMYFUNCTION("""COMPUTED_VALUE"""),45925.63684927083)</f>
        <v>45925.63685</v>
      </c>
      <c r="B62" s="106" t="str">
        <f>IFERROR(__xludf.DUMMYFUNCTION("""COMPUTED_VALUE"""),"Brynn Hornig")</f>
        <v>Brynn Hornig</v>
      </c>
      <c r="C62" s="71" t="b">
        <f>IFERROR(__xludf.DUMMYFUNCTION("""COMPUTED_VALUE"""),FALSE)</f>
        <v>0</v>
      </c>
      <c r="D62" s="71"/>
      <c r="E62" s="78"/>
      <c r="F62" s="71"/>
      <c r="G62" s="78"/>
      <c r="H62" s="107">
        <f>IFERROR(__xludf.DUMMYFUNCTION("""COMPUTED_VALUE"""),66.0)</f>
        <v>66</v>
      </c>
      <c r="I62" s="108"/>
      <c r="J62" s="106" t="str">
        <f>IFERROR(__xludf.DUMMYFUNCTION("""COMPUTED_VALUE"""),"Lunch")</f>
        <v>Lunch</v>
      </c>
      <c r="K62" s="106">
        <f>IFERROR(__xludf.DUMMYFUNCTION("""COMPUTED_VALUE"""),45925.0)</f>
        <v>45925</v>
      </c>
      <c r="L62" s="71" t="str">
        <f>IFERROR(__xludf.DUMMYFUNCTION("""COMPUTED_VALUE"""),"Thursday")</f>
        <v>Thursday</v>
      </c>
      <c r="M62" s="71" t="str">
        <f>IFERROR(__xludf.DUMMYFUNCTION("""COMPUTED_VALUE"""),"MF")</f>
        <v>MF</v>
      </c>
      <c r="N62" s="109"/>
      <c r="O62" s="110" t="str">
        <f>IFERROR(__xludf.DUMMYFUNCTION("""COMPUTED_VALUE"""),"")</f>
        <v/>
      </c>
      <c r="P62" s="71" t="str">
        <f>IFERROR(__xludf.DUMMYFUNCTION("""COMPUTED_VALUE"""),"")</f>
        <v/>
      </c>
      <c r="Q62" s="88"/>
      <c r="R62" s="88"/>
      <c r="S62" s="61"/>
      <c r="T62" s="61"/>
      <c r="U62" s="111" t="str">
        <f>IFERROR(__xludf.DUMMYFUNCTION("""COMPUTED_VALUE"""),"")</f>
        <v/>
      </c>
      <c r="V62" s="88"/>
      <c r="W62" s="111"/>
      <c r="X62" s="62"/>
      <c r="Y62" s="109"/>
      <c r="Z62" s="113" t="str">
        <f>IFERROR(__xludf.DUMMYFUNCTION("""COMPUTED_VALUE"""),"")</f>
        <v/>
      </c>
      <c r="AA62" s="113" t="str">
        <f>IFERROR(__xludf.DUMMYFUNCTION("""COMPUTED_VALUE"""),"")</f>
        <v/>
      </c>
      <c r="AB62" s="71" t="str">
        <f>IFERROR(__xludf.DUMMYFUNCTION("""COMPUTED_VALUE"""),"")</f>
        <v/>
      </c>
    </row>
    <row r="63">
      <c r="A63" s="105">
        <f>IFERROR(__xludf.DUMMYFUNCTION("""COMPUTED_VALUE"""),45925.701045127316)</f>
        <v>45925.70105</v>
      </c>
      <c r="B63" s="106" t="str">
        <f>IFERROR(__xludf.DUMMYFUNCTION("""COMPUTED_VALUE"""),"Emmett Khan")</f>
        <v>Emmett Khan</v>
      </c>
      <c r="C63" s="71" t="b">
        <f>IFERROR(__xludf.DUMMYFUNCTION("""COMPUTED_VALUE"""),FALSE)</f>
        <v>0</v>
      </c>
      <c r="D63" s="71"/>
      <c r="E63" s="78"/>
      <c r="F63" s="71"/>
      <c r="G63" s="78"/>
      <c r="H63" s="107">
        <f>IFERROR(__xludf.DUMMYFUNCTION("""COMPUTED_VALUE"""),88.0)</f>
        <v>88</v>
      </c>
      <c r="I63" s="108"/>
      <c r="J63" s="106" t="str">
        <f>IFERROR(__xludf.DUMMYFUNCTION("""COMPUTED_VALUE"""),"Lunch")</f>
        <v>Lunch</v>
      </c>
      <c r="K63" s="106">
        <f>IFERROR(__xludf.DUMMYFUNCTION("""COMPUTED_VALUE"""),45925.0)</f>
        <v>45925</v>
      </c>
      <c r="L63" s="71" t="str">
        <f>IFERROR(__xludf.DUMMYFUNCTION("""COMPUTED_VALUE"""),"Thursday")</f>
        <v>Thursday</v>
      </c>
      <c r="M63" s="71" t="str">
        <f>IFERROR(__xludf.DUMMYFUNCTION("""COMPUTED_VALUE"""),"BF")</f>
        <v>BF</v>
      </c>
      <c r="N63" s="109"/>
      <c r="O63" s="110" t="str">
        <f>IFERROR(__xludf.DUMMYFUNCTION("""COMPUTED_VALUE"""),"")</f>
        <v/>
      </c>
      <c r="P63" s="71" t="str">
        <f>IFERROR(__xludf.DUMMYFUNCTION("""COMPUTED_VALUE"""),"")</f>
        <v/>
      </c>
      <c r="Q63" s="88"/>
      <c r="R63" s="88"/>
      <c r="S63" s="61"/>
      <c r="T63" s="61"/>
      <c r="U63" s="111" t="str">
        <f>IFERROR(__xludf.DUMMYFUNCTION("""COMPUTED_VALUE"""),"")</f>
        <v/>
      </c>
      <c r="V63" s="88"/>
      <c r="W63" s="111"/>
      <c r="X63" s="62"/>
      <c r="Y63" s="109"/>
      <c r="Z63" s="113" t="str">
        <f>IFERROR(__xludf.DUMMYFUNCTION("""COMPUTED_VALUE"""),"")</f>
        <v/>
      </c>
      <c r="AA63" s="113" t="str">
        <f>IFERROR(__xludf.DUMMYFUNCTION("""COMPUTED_VALUE"""),"")</f>
        <v/>
      </c>
      <c r="AB63" s="71" t="str">
        <f>IFERROR(__xludf.DUMMYFUNCTION("""COMPUTED_VALUE"""),"")</f>
        <v/>
      </c>
    </row>
    <row r="64">
      <c r="A64" s="105">
        <f>IFERROR(__xludf.DUMMYFUNCTION("""COMPUTED_VALUE"""),45925.738830069444)</f>
        <v>45925.73883</v>
      </c>
      <c r="B64" s="106" t="str">
        <f>IFERROR(__xludf.DUMMYFUNCTION("""COMPUTED_VALUE"""),"Orpheus Wilson")</f>
        <v>Orpheus Wilson</v>
      </c>
      <c r="C64" s="71" t="b">
        <f>IFERROR(__xludf.DUMMYFUNCTION("""COMPUTED_VALUE"""),FALSE)</f>
        <v>0</v>
      </c>
      <c r="D64" s="71"/>
      <c r="E64" s="78"/>
      <c r="F64" s="71"/>
      <c r="G64" s="78"/>
      <c r="H64" s="107">
        <f>IFERROR(__xludf.DUMMYFUNCTION("""COMPUTED_VALUE"""),92.0)</f>
        <v>92</v>
      </c>
      <c r="I64" s="108"/>
      <c r="J64" s="106" t="str">
        <f>IFERROR(__xludf.DUMMYFUNCTION("""COMPUTED_VALUE"""),"Dinner")</f>
        <v>Dinner</v>
      </c>
      <c r="K64" s="106">
        <f>IFERROR(__xludf.DUMMYFUNCTION("""COMPUTED_VALUE"""),45925.0)</f>
        <v>45925</v>
      </c>
      <c r="L64" s="71" t="str">
        <f>IFERROR(__xludf.DUMMYFUNCTION("""COMPUTED_VALUE"""),"Thursday")</f>
        <v>Thursday</v>
      </c>
      <c r="M64" s="71" t="str">
        <f>IFERROR(__xludf.DUMMYFUNCTION("""COMPUTED_VALUE"""),"MF")</f>
        <v>MF</v>
      </c>
      <c r="N64" s="109"/>
      <c r="O64" s="110" t="str">
        <f>IFERROR(__xludf.DUMMYFUNCTION("""COMPUTED_VALUE"""),"")</f>
        <v/>
      </c>
      <c r="P64" s="71" t="str">
        <f>IFERROR(__xludf.DUMMYFUNCTION("""COMPUTED_VALUE"""),"")</f>
        <v/>
      </c>
      <c r="Q64" s="88"/>
      <c r="R64" s="88"/>
      <c r="S64" s="61"/>
      <c r="T64" s="61"/>
      <c r="U64" s="111" t="str">
        <f>IFERROR(__xludf.DUMMYFUNCTION("""COMPUTED_VALUE"""),"")</f>
        <v/>
      </c>
      <c r="V64" s="88"/>
      <c r="W64" s="111"/>
      <c r="X64" s="62"/>
      <c r="Y64" s="109"/>
      <c r="Z64" s="113" t="str">
        <f>IFERROR(__xludf.DUMMYFUNCTION("""COMPUTED_VALUE"""),"")</f>
        <v/>
      </c>
      <c r="AA64" s="113" t="str">
        <f>IFERROR(__xludf.DUMMYFUNCTION("""COMPUTED_VALUE"""),"")</f>
        <v/>
      </c>
      <c r="AB64" s="71" t="str">
        <f>IFERROR(__xludf.DUMMYFUNCTION("""COMPUTED_VALUE"""),"")</f>
        <v/>
      </c>
    </row>
    <row r="65">
      <c r="A65" s="105">
        <f>IFERROR(__xludf.DUMMYFUNCTION("""COMPUTED_VALUE"""),45926.03161115741)</f>
        <v>45926.03161</v>
      </c>
      <c r="B65" s="106" t="str">
        <f>IFERROR(__xludf.DUMMYFUNCTION("""COMPUTED_VALUE"""),"Emmett Khan")</f>
        <v>Emmett Khan</v>
      </c>
      <c r="C65" s="71" t="b">
        <f>IFERROR(__xludf.DUMMYFUNCTION("""COMPUTED_VALUE"""),FALSE)</f>
        <v>0</v>
      </c>
      <c r="D65" s="71"/>
      <c r="E65" s="78"/>
      <c r="F65" s="71"/>
      <c r="G65" s="78"/>
      <c r="H65" s="107">
        <f>IFERROR(__xludf.DUMMYFUNCTION("""COMPUTED_VALUE"""),80.0)</f>
        <v>80</v>
      </c>
      <c r="I65" s="108"/>
      <c r="J65" s="106" t="str">
        <f>IFERROR(__xludf.DUMMYFUNCTION("""COMPUTED_VALUE"""),"Dinner")</f>
        <v>Dinner</v>
      </c>
      <c r="K65" s="106">
        <f>IFERROR(__xludf.DUMMYFUNCTION("""COMPUTED_VALUE"""),45925.0)</f>
        <v>45925</v>
      </c>
      <c r="L65" s="71" t="str">
        <f>IFERROR(__xludf.DUMMYFUNCTION("""COMPUTED_VALUE"""),"Thursday")</f>
        <v>Thursday</v>
      </c>
      <c r="M65" s="71" t="str">
        <f>IFERROR(__xludf.DUMMYFUNCTION("""COMPUTED_VALUE"""),"BF")</f>
        <v>BF</v>
      </c>
      <c r="N65" s="109"/>
      <c r="O65" s="110">
        <f>IFERROR(__xludf.DUMMYFUNCTION("""COMPUTED_VALUE"""),225.0)</f>
        <v>225</v>
      </c>
      <c r="P65" s="71">
        <f>IFERROR(__xludf.DUMMYFUNCTION("""COMPUTED_VALUE"""),203.0)</f>
        <v>203</v>
      </c>
      <c r="Q65" s="88"/>
      <c r="R65" s="88"/>
      <c r="S65" s="61"/>
      <c r="T65" s="61"/>
      <c r="U65" s="111">
        <f>IFERROR(__xludf.DUMMYFUNCTION("""COMPUTED_VALUE"""),428.0)</f>
        <v>428</v>
      </c>
      <c r="V65" s="88"/>
      <c r="W65" s="111"/>
      <c r="X65" s="62"/>
      <c r="Y65" s="109"/>
      <c r="Z65" s="113">
        <f>IFERROR(__xludf.DUMMYFUNCTION("""COMPUTED_VALUE"""),3654.0)</f>
        <v>3654</v>
      </c>
      <c r="AA65" s="113">
        <f>IFERROR(__xludf.DUMMYFUNCTION("""COMPUTED_VALUE"""),3984.0)</f>
        <v>3984</v>
      </c>
      <c r="AB65" s="113">
        <f>IFERROR(__xludf.DUMMYFUNCTION("""COMPUTED_VALUE"""),7638.0)</f>
        <v>7638</v>
      </c>
    </row>
    <row r="66">
      <c r="A66" s="105">
        <f>IFERROR(__xludf.DUMMYFUNCTION("""COMPUTED_VALUE"""),45926.54273179398)</f>
        <v>45926.54273</v>
      </c>
      <c r="B66" s="106" t="str">
        <f>IFERROR(__xludf.DUMMYFUNCTION("""COMPUTED_VALUE"""),"Orpheus Wilson")</f>
        <v>Orpheus Wilson</v>
      </c>
      <c r="C66" s="71" t="b">
        <f>IFERROR(__xludf.DUMMYFUNCTION("""COMPUTED_VALUE"""),FALSE)</f>
        <v>0</v>
      </c>
      <c r="D66" s="71"/>
      <c r="E66" s="78"/>
      <c r="F66" s="71"/>
      <c r="G66" s="78"/>
      <c r="H66" s="107">
        <f>IFERROR(__xludf.DUMMYFUNCTION("""COMPUTED_VALUE"""),128.0)</f>
        <v>128</v>
      </c>
      <c r="I66" s="108"/>
      <c r="J66" s="106" t="str">
        <f>IFERROR(__xludf.DUMMYFUNCTION("""COMPUTED_VALUE"""),"Lunch")</f>
        <v>Lunch</v>
      </c>
      <c r="K66" s="106">
        <f>IFERROR(__xludf.DUMMYFUNCTION("""COMPUTED_VALUE"""),45926.0)</f>
        <v>45926</v>
      </c>
      <c r="L66" s="71" t="str">
        <f>IFERROR(__xludf.DUMMYFUNCTION("""COMPUTED_VALUE"""),"Friday")</f>
        <v>Friday</v>
      </c>
      <c r="M66" s="71" t="str">
        <f>IFERROR(__xludf.DUMMYFUNCTION("""COMPUTED_VALUE"""),"MF")</f>
        <v>MF</v>
      </c>
      <c r="N66" s="109"/>
      <c r="O66" s="110" t="str">
        <f>IFERROR(__xludf.DUMMYFUNCTION("""COMPUTED_VALUE"""),"")</f>
        <v/>
      </c>
      <c r="P66" s="71" t="str">
        <f>IFERROR(__xludf.DUMMYFUNCTION("""COMPUTED_VALUE"""),"")</f>
        <v/>
      </c>
      <c r="Q66" s="88"/>
      <c r="R66" s="88"/>
      <c r="S66" s="61"/>
      <c r="T66" s="61"/>
      <c r="U66" s="111" t="str">
        <f>IFERROR(__xludf.DUMMYFUNCTION("""COMPUTED_VALUE"""),"")</f>
        <v/>
      </c>
      <c r="V66" s="88"/>
      <c r="W66" s="111"/>
      <c r="X66" s="62"/>
      <c r="Y66" s="109"/>
      <c r="Z66" s="113" t="str">
        <f>IFERROR(__xludf.DUMMYFUNCTION("""COMPUTED_VALUE"""),"")</f>
        <v/>
      </c>
      <c r="AA66" s="113" t="str">
        <f>IFERROR(__xludf.DUMMYFUNCTION("""COMPUTED_VALUE"""),"")</f>
        <v/>
      </c>
      <c r="AB66" s="71" t="str">
        <f>IFERROR(__xludf.DUMMYFUNCTION("""COMPUTED_VALUE"""),"")</f>
        <v/>
      </c>
    </row>
    <row r="67">
      <c r="A67" s="118">
        <f>IFERROR(__xludf.DUMMYFUNCTION("""COMPUTED_VALUE"""),45926.59229166667)</f>
        <v>45926.59229</v>
      </c>
      <c r="B67" s="71" t="str">
        <f>IFERROR(__xludf.DUMMYFUNCTION("""COMPUTED_VALUE"""),"Greta Traynor")</f>
        <v>Greta Traynor</v>
      </c>
      <c r="C67" s="71" t="b">
        <f>IFERROR(__xludf.DUMMYFUNCTION("""COMPUTED_VALUE"""),FALSE)</f>
        <v>0</v>
      </c>
      <c r="D67" s="71"/>
      <c r="E67" s="78"/>
      <c r="F67" s="71"/>
      <c r="G67" s="78"/>
      <c r="H67" s="107">
        <f>IFERROR(__xludf.DUMMYFUNCTION("""COMPUTED_VALUE"""),50.0)</f>
        <v>50</v>
      </c>
      <c r="I67" s="108"/>
      <c r="J67" s="71" t="str">
        <f>IFERROR(__xludf.DUMMYFUNCTION("""COMPUTED_VALUE"""),"Lunch")</f>
        <v>Lunch</v>
      </c>
      <c r="K67" s="106">
        <f>IFERROR(__xludf.DUMMYFUNCTION("""COMPUTED_VALUE"""),45926.0)</f>
        <v>45926</v>
      </c>
      <c r="L67" s="71" t="str">
        <f>IFERROR(__xludf.DUMMYFUNCTION("""COMPUTED_VALUE"""),"Friday")</f>
        <v>Friday</v>
      </c>
      <c r="M67" s="71" t="str">
        <f>IFERROR(__xludf.DUMMYFUNCTION("""COMPUTED_VALUE"""),"BF")</f>
        <v>BF</v>
      </c>
      <c r="N67" s="109"/>
      <c r="O67" s="110" t="str">
        <f>IFERROR(__xludf.DUMMYFUNCTION("""COMPUTED_VALUE"""),"")</f>
        <v/>
      </c>
      <c r="P67" s="71" t="str">
        <f>IFERROR(__xludf.DUMMYFUNCTION("""COMPUTED_VALUE"""),"")</f>
        <v/>
      </c>
      <c r="Q67" s="88"/>
      <c r="R67" s="88"/>
      <c r="S67" s="61"/>
      <c r="T67" s="61"/>
      <c r="U67" s="111" t="str">
        <f>IFERROR(__xludf.DUMMYFUNCTION("""COMPUTED_VALUE"""),"")</f>
        <v/>
      </c>
      <c r="V67" s="88"/>
      <c r="W67" s="111"/>
      <c r="X67" s="62"/>
      <c r="Y67" s="109"/>
      <c r="Z67" s="113" t="str">
        <f>IFERROR(__xludf.DUMMYFUNCTION("""COMPUTED_VALUE"""),"")</f>
        <v/>
      </c>
      <c r="AA67" s="113" t="str">
        <f>IFERROR(__xludf.DUMMYFUNCTION("""COMPUTED_VALUE"""),"")</f>
        <v/>
      </c>
      <c r="AB67" s="71" t="str">
        <f>IFERROR(__xludf.DUMMYFUNCTION("""COMPUTED_VALUE"""),"")</f>
        <v/>
      </c>
    </row>
    <row r="68">
      <c r="A68" s="118">
        <f>IFERROR(__xludf.DUMMYFUNCTION("""COMPUTED_VALUE"""),45926.738599537035)</f>
        <v>45926.7386</v>
      </c>
      <c r="B68" s="71" t="str">
        <f>IFERROR(__xludf.DUMMYFUNCTION("""COMPUTED_VALUE"""),"Orpheus Wilson")</f>
        <v>Orpheus Wilson</v>
      </c>
      <c r="C68" s="71" t="b">
        <f>IFERROR(__xludf.DUMMYFUNCTION("""COMPUTED_VALUE"""),FALSE)</f>
        <v>0</v>
      </c>
      <c r="D68" s="71"/>
      <c r="E68" s="78"/>
      <c r="F68" s="71"/>
      <c r="G68" s="78"/>
      <c r="H68" s="107">
        <f>IFERROR(__xludf.DUMMYFUNCTION("""COMPUTED_VALUE"""),12.0)</f>
        <v>12</v>
      </c>
      <c r="I68" s="108"/>
      <c r="J68" s="71" t="str">
        <f>IFERROR(__xludf.DUMMYFUNCTION("""COMPUTED_VALUE"""),"Lunch")</f>
        <v>Lunch</v>
      </c>
      <c r="K68" s="106">
        <f>IFERROR(__xludf.DUMMYFUNCTION("""COMPUTED_VALUE"""),45926.0)</f>
        <v>45926</v>
      </c>
      <c r="L68" s="71" t="str">
        <f>IFERROR(__xludf.DUMMYFUNCTION("""COMPUTED_VALUE"""),"Friday")</f>
        <v>Friday</v>
      </c>
      <c r="M68" s="71" t="str">
        <f>IFERROR(__xludf.DUMMYFUNCTION("""COMPUTED_VALUE"""),"MF")</f>
        <v>MF</v>
      </c>
      <c r="N68" s="109"/>
      <c r="O68" s="110" t="str">
        <f>IFERROR(__xludf.DUMMYFUNCTION("""COMPUTED_VALUE"""),"")</f>
        <v/>
      </c>
      <c r="P68" s="71" t="str">
        <f>IFERROR(__xludf.DUMMYFUNCTION("""COMPUTED_VALUE"""),"")</f>
        <v/>
      </c>
      <c r="Q68" s="88"/>
      <c r="R68" s="88"/>
      <c r="S68" s="61"/>
      <c r="T68" s="61"/>
      <c r="U68" s="111" t="str">
        <f>IFERROR(__xludf.DUMMYFUNCTION("""COMPUTED_VALUE"""),"")</f>
        <v/>
      </c>
      <c r="V68" s="88"/>
      <c r="W68" s="111"/>
      <c r="X68" s="62"/>
      <c r="Y68" s="109"/>
      <c r="Z68" s="113" t="str">
        <f>IFERROR(__xludf.DUMMYFUNCTION("""COMPUTED_VALUE"""),"")</f>
        <v/>
      </c>
      <c r="AA68" s="113" t="str">
        <f>IFERROR(__xludf.DUMMYFUNCTION("""COMPUTED_VALUE"""),"")</f>
        <v/>
      </c>
      <c r="AB68" s="71" t="str">
        <f>IFERROR(__xludf.DUMMYFUNCTION("""COMPUTED_VALUE"""),"")</f>
        <v/>
      </c>
    </row>
    <row r="69">
      <c r="A69" s="118">
        <f>IFERROR(__xludf.DUMMYFUNCTION("""COMPUTED_VALUE"""),45926.766122685185)</f>
        <v>45926.76612</v>
      </c>
      <c r="B69" s="71" t="str">
        <f>IFERROR(__xludf.DUMMYFUNCTION("""COMPUTED_VALUE"""),"Emmett Khan")</f>
        <v>Emmett Khan</v>
      </c>
      <c r="C69" s="71" t="b">
        <f>IFERROR(__xludf.DUMMYFUNCTION("""COMPUTED_VALUE"""),FALSE)</f>
        <v>0</v>
      </c>
      <c r="D69" s="71"/>
      <c r="E69" s="78"/>
      <c r="F69" s="71"/>
      <c r="G69" s="78"/>
      <c r="H69" s="107">
        <f>IFERROR(__xludf.DUMMYFUNCTION("""COMPUTED_VALUE"""),121.0)</f>
        <v>121</v>
      </c>
      <c r="I69" s="108"/>
      <c r="J69" s="71" t="str">
        <f>IFERROR(__xludf.DUMMYFUNCTION("""COMPUTED_VALUE"""),"Dinner")</f>
        <v>Dinner</v>
      </c>
      <c r="K69" s="106">
        <f>IFERROR(__xludf.DUMMYFUNCTION("""COMPUTED_VALUE"""),45926.0)</f>
        <v>45926</v>
      </c>
      <c r="L69" s="71" t="str">
        <f>IFERROR(__xludf.DUMMYFUNCTION("""COMPUTED_VALUE"""),"Friday")</f>
        <v>Friday</v>
      </c>
      <c r="M69" s="71" t="str">
        <f>IFERROR(__xludf.DUMMYFUNCTION("""COMPUTED_VALUE"""),"BF")</f>
        <v>BF</v>
      </c>
      <c r="N69" s="109"/>
      <c r="O69" s="110">
        <f>IFERROR(__xludf.DUMMYFUNCTION("""COMPUTED_VALUE"""),140.0)</f>
        <v>140</v>
      </c>
      <c r="P69" s="71">
        <f>IFERROR(__xludf.DUMMYFUNCTION("""COMPUTED_VALUE"""),171.0)</f>
        <v>171</v>
      </c>
      <c r="Q69" s="88"/>
      <c r="R69" s="88"/>
      <c r="S69" s="61"/>
      <c r="T69" s="61"/>
      <c r="U69" s="111">
        <f>IFERROR(__xludf.DUMMYFUNCTION("""COMPUTED_VALUE"""),311.0)</f>
        <v>311</v>
      </c>
      <c r="V69" s="88"/>
      <c r="W69" s="111"/>
      <c r="X69" s="111"/>
      <c r="Y69" s="109"/>
      <c r="Z69" s="113">
        <f>IFERROR(__xludf.DUMMYFUNCTION("""COMPUTED_VALUE"""),3897.0)</f>
        <v>3897</v>
      </c>
      <c r="AA69" s="113">
        <f>IFERROR(__xludf.DUMMYFUNCTION("""COMPUTED_VALUE"""),2219.0)</f>
        <v>2219</v>
      </c>
      <c r="AB69" s="113">
        <f>IFERROR(__xludf.DUMMYFUNCTION("""COMPUTED_VALUE"""),6116.0)</f>
        <v>6116</v>
      </c>
    </row>
    <row r="70">
      <c r="A70" s="119">
        <f>IFERROR(__xludf.DUMMYFUNCTION("""COMPUTED_VALUE"""),45929.5878816551)</f>
        <v>45929.58788</v>
      </c>
      <c r="B70" s="71" t="str">
        <f>IFERROR(__xludf.DUMMYFUNCTION("""COMPUTED_VALUE"""),"Emma Korsu")</f>
        <v>Emma Korsu</v>
      </c>
      <c r="C70" s="120" t="b">
        <f>IFERROR(__xludf.DUMMYFUNCTION("""COMPUTED_VALUE"""),FALSE)</f>
        <v>0</v>
      </c>
      <c r="D70" s="121">
        <f>IFERROR(__xludf.DUMMYFUNCTION("""COMPUTED_VALUE"""),0.5006944444444444)</f>
        <v>0.5006944444</v>
      </c>
      <c r="E70" s="122">
        <f>IFERROR(__xludf.DUMMYFUNCTION("""COMPUTED_VALUE"""),0.0722222222197969)</f>
        <v>0.07222222222</v>
      </c>
      <c r="F70" s="123">
        <f>IFERROR(__xludf.DUMMYFUNCTION("""COMPUTED_VALUE"""),0.5729166666642413)</f>
        <v>0.5729166667</v>
      </c>
      <c r="G70" s="122">
        <f>IFERROR(__xludf.DUMMYFUNCTION("""COMPUTED_VALUE"""),0.0722222222197969)</f>
        <v>0.07222222222</v>
      </c>
      <c r="H70" s="124">
        <f>IFERROR(__xludf.DUMMYFUNCTION("""COMPUTED_VALUE"""),125.0)</f>
        <v>125</v>
      </c>
      <c r="I70" s="125">
        <f>IFERROR(__xludf.DUMMYFUNCTION("""COMPUTED_VALUE"""),72.11538461780634)</f>
        <v>72.11538462</v>
      </c>
      <c r="J70" s="126" t="str">
        <f>IFERROR(__xludf.DUMMYFUNCTION("""COMPUTED_VALUE"""),"Lunch")</f>
        <v>Lunch</v>
      </c>
      <c r="K70" s="127">
        <f>IFERROR(__xludf.DUMMYFUNCTION("""COMPUTED_VALUE"""),45929.0)</f>
        <v>45929</v>
      </c>
      <c r="L70" s="126" t="str">
        <f>IFERROR(__xludf.DUMMYFUNCTION("""COMPUTED_VALUE"""),"Monday")</f>
        <v>Monday</v>
      </c>
      <c r="M70" s="126" t="str">
        <f>IFERROR(__xludf.DUMMYFUNCTION("""COMPUTED_VALUE"""),"BF")</f>
        <v>BF</v>
      </c>
      <c r="N70" s="109">
        <f>IFERROR(__xludf.DUMMYFUNCTION("""COMPUTED_VALUE"""),1.8571729123244591)</f>
        <v>1.857172912</v>
      </c>
      <c r="O70" s="65" t="str">
        <f>IFERROR(__xludf.DUMMYFUNCTION("""COMPUTED_VALUE"""),"")</f>
        <v/>
      </c>
      <c r="P70" s="63" t="str">
        <f>IFERROR(__xludf.DUMMYFUNCTION("""COMPUTED_VALUE"""),"")</f>
        <v/>
      </c>
      <c r="Q70" s="128" t="str">
        <f>IFERROR(__xludf.DUMMYFUNCTION("""COMPUTED_VALUE"""),"")</f>
        <v/>
      </c>
      <c r="R70" s="128" t="str">
        <f>IFERROR(__xludf.DUMMYFUNCTION("""COMPUTED_VALUE"""),"")</f>
        <v/>
      </c>
      <c r="S70" s="86" t="str">
        <f>IFERROR(__xludf.DUMMYFUNCTION("""COMPUTED_VALUE"""),"")</f>
        <v/>
      </c>
      <c r="T70" s="86" t="str">
        <f>IFERROR(__xludf.DUMMYFUNCTION("""COMPUTED_VALUE"""),"")</f>
        <v/>
      </c>
      <c r="U70" s="129" t="str">
        <f>IFERROR(__xludf.DUMMYFUNCTION("""COMPUTED_VALUE"""),"")</f>
        <v/>
      </c>
      <c r="V70" s="128" t="str">
        <f>IFERROR(__xludf.DUMMYFUNCTION("""COMPUTED_VALUE"""),"")</f>
        <v/>
      </c>
      <c r="W70" s="129"/>
      <c r="X70" s="130" t="str">
        <f>IFERROR(__xludf.DUMMYFUNCTION("""COMPUTED_VALUE"""),"")</f>
        <v/>
      </c>
      <c r="Y70" s="131" t="str">
        <f>IFERROR(__xludf.DUMMYFUNCTION("""COMPUTED_VALUE"""),"")</f>
        <v/>
      </c>
      <c r="Z70" s="120" t="str">
        <f>IFERROR(__xludf.DUMMYFUNCTION("""COMPUTED_VALUE"""),"")</f>
        <v/>
      </c>
      <c r="AA70" s="120" t="str">
        <f>IFERROR(__xludf.DUMMYFUNCTION("""COMPUTED_VALUE"""),"")</f>
        <v/>
      </c>
      <c r="AB70" s="81" t="str">
        <f>IFERROR(__xludf.DUMMYFUNCTION("""COMPUTED_VALUE"""),"")</f>
        <v/>
      </c>
      <c r="AC70" s="120"/>
      <c r="AD70" s="120"/>
      <c r="AE70" s="120"/>
    </row>
    <row r="71">
      <c r="A71" s="105">
        <f>IFERROR(__xludf.DUMMYFUNCTION("""COMPUTED_VALUE"""),45929.60392553241)</f>
        <v>45929.60393</v>
      </c>
      <c r="B71" s="71" t="str">
        <f>IFERROR(__xludf.DUMMYFUNCTION("""COMPUTED_VALUE"""),"Orpheus Wilson")</f>
        <v>Orpheus Wilson</v>
      </c>
      <c r="C71" s="71" t="b">
        <f>IFERROR(__xludf.DUMMYFUNCTION("""COMPUTED_VALUE"""),FALSE)</f>
        <v>0</v>
      </c>
      <c r="D71" s="132">
        <f>IFERROR(__xludf.DUMMYFUNCTION("""COMPUTED_VALUE"""),0.47916666666424135)</f>
        <v>0.4791666667</v>
      </c>
      <c r="E71" s="78">
        <f>IFERROR(__xludf.DUMMYFUNCTION("""COMPUTED_VALUE"""),0.08333333333575865)</f>
        <v>0.08333333334</v>
      </c>
      <c r="F71" s="132">
        <f>IFERROR(__xludf.DUMMYFUNCTION("""COMPUTED_VALUE"""),0.5625)</f>
        <v>0.5625</v>
      </c>
      <c r="G71" s="78">
        <f>IFERROR(__xludf.DUMMYFUNCTION("""COMPUTED_VALUE"""),0.08333333333575865)</f>
        <v>0.08333333334</v>
      </c>
      <c r="H71" s="71">
        <f>IFERROR(__xludf.DUMMYFUNCTION("""COMPUTED_VALUE"""),131.0)</f>
        <v>131</v>
      </c>
      <c r="I71" s="108">
        <f>IFERROR(__xludf.DUMMYFUNCTION("""COMPUTED_VALUE"""),65.4999999980937)</f>
        <v>65.5</v>
      </c>
      <c r="J71" s="71" t="str">
        <f>IFERROR(__xludf.DUMMYFUNCTION("""COMPUTED_VALUE"""),"Lunch")</f>
        <v>Lunch</v>
      </c>
      <c r="K71" s="106">
        <f>IFERROR(__xludf.DUMMYFUNCTION("""COMPUTED_VALUE"""),45929.0)</f>
        <v>45929</v>
      </c>
      <c r="L71" s="71" t="str">
        <f>IFERROR(__xludf.DUMMYFUNCTION("""COMPUTED_VALUE"""),"Monday")</f>
        <v>Monday</v>
      </c>
      <c r="M71" s="71" t="str">
        <f>IFERROR(__xludf.DUMMYFUNCTION("""COMPUTED_VALUE"""),"MF")</f>
        <v>MF</v>
      </c>
      <c r="N71" s="109">
        <f>IFERROR(__xludf.DUMMYFUNCTION("""COMPUTED_VALUE"""),1.3620622316303916)</f>
        <v>1.362062232</v>
      </c>
      <c r="O71" s="110" t="str">
        <f>IFERROR(__xludf.DUMMYFUNCTION("""COMPUTED_VALUE"""),"")</f>
        <v/>
      </c>
      <c r="P71" s="71" t="str">
        <f>IFERROR(__xludf.DUMMYFUNCTION("""COMPUTED_VALUE"""),"")</f>
        <v/>
      </c>
      <c r="Q71" s="88" t="str">
        <f>IFERROR(__xludf.DUMMYFUNCTION("""COMPUTED_VALUE"""),"")</f>
        <v/>
      </c>
      <c r="R71" s="88" t="str">
        <f>IFERROR(__xludf.DUMMYFUNCTION("""COMPUTED_VALUE"""),"")</f>
        <v/>
      </c>
      <c r="S71" s="61" t="str">
        <f>IFERROR(__xludf.DUMMYFUNCTION("""COMPUTED_VALUE"""),"")</f>
        <v/>
      </c>
      <c r="T71" s="61" t="str">
        <f>IFERROR(__xludf.DUMMYFUNCTION("""COMPUTED_VALUE"""),"")</f>
        <v/>
      </c>
      <c r="U71" s="111" t="str">
        <f>IFERROR(__xludf.DUMMYFUNCTION("""COMPUTED_VALUE"""),"")</f>
        <v/>
      </c>
      <c r="V71" s="88" t="str">
        <f>IFERROR(__xludf.DUMMYFUNCTION("""COMPUTED_VALUE"""),"")</f>
        <v/>
      </c>
      <c r="W71" s="62"/>
      <c r="X71" s="61" t="str">
        <f>IFERROR(__xludf.DUMMYFUNCTION("""COMPUTED_VALUE"""),"")</f>
        <v/>
      </c>
      <c r="Y71" s="109" t="str">
        <f>IFERROR(__xludf.DUMMYFUNCTION("""COMPUTED_VALUE"""),"")</f>
        <v/>
      </c>
      <c r="Z71" s="113" t="str">
        <f>IFERROR(__xludf.DUMMYFUNCTION("""COMPUTED_VALUE"""),"")</f>
        <v/>
      </c>
      <c r="AA71" s="113" t="str">
        <f>IFERROR(__xludf.DUMMYFUNCTION("""COMPUTED_VALUE"""),"")</f>
        <v/>
      </c>
      <c r="AB71" s="71" t="str">
        <f>IFERROR(__xludf.DUMMYFUNCTION("""COMPUTED_VALUE"""),"")</f>
        <v/>
      </c>
    </row>
    <row r="72">
      <c r="A72" s="105">
        <f>IFERROR(__xludf.DUMMYFUNCTION("""COMPUTED_VALUE"""),45929.636537280094)</f>
        <v>45929.63654</v>
      </c>
      <c r="B72" s="71" t="str">
        <f>IFERROR(__xludf.DUMMYFUNCTION("""COMPUTED_VALUE"""),"Greta Traynor")</f>
        <v>Greta Traynor</v>
      </c>
      <c r="C72" s="71" t="b">
        <f>IFERROR(__xludf.DUMMYFUNCTION("""COMPUTED_VALUE"""),FALSE)</f>
        <v>0</v>
      </c>
      <c r="D72" s="132">
        <f>IFERROR(__xludf.DUMMYFUNCTION("""COMPUTED_VALUE"""),0.5625)</f>
        <v>0.5625</v>
      </c>
      <c r="E72" s="78">
        <f>IFERROR(__xludf.DUMMYFUNCTION("""COMPUTED_VALUE"""),0.06944444444525288)</f>
        <v>0.06944444445</v>
      </c>
      <c r="F72" s="132">
        <f>IFERROR(__xludf.DUMMYFUNCTION("""COMPUTED_VALUE"""),0.6319444444452529)</f>
        <v>0.6319444444</v>
      </c>
      <c r="G72" s="78">
        <f>IFERROR(__xludf.DUMMYFUNCTION("""COMPUTED_VALUE"""),0.06944444444525288)</f>
        <v>0.06944444445</v>
      </c>
      <c r="H72" s="110">
        <f>IFERROR(__xludf.DUMMYFUNCTION("""COMPUTED_VALUE"""),41.0)</f>
        <v>41</v>
      </c>
      <c r="I72" s="108">
        <f>IFERROR(__xludf.DUMMYFUNCTION("""COMPUTED_VALUE"""),24.599999999713617)</f>
        <v>24.6</v>
      </c>
      <c r="J72" s="71" t="str">
        <f>IFERROR(__xludf.DUMMYFUNCTION("""COMPUTED_VALUE"""),"Lunch")</f>
        <v>Lunch</v>
      </c>
      <c r="K72" s="106">
        <f>IFERROR(__xludf.DUMMYFUNCTION("""COMPUTED_VALUE"""),45929.0)</f>
        <v>45929</v>
      </c>
      <c r="L72" s="71" t="str">
        <f>IFERROR(__xludf.DUMMYFUNCTION("""COMPUTED_VALUE"""),"Monday")</f>
        <v>Monday</v>
      </c>
      <c r="M72" s="71" t="str">
        <f>IFERROR(__xludf.DUMMYFUNCTION("""COMPUTED_VALUE"""),"MF")</f>
        <v>MF</v>
      </c>
      <c r="N72" s="109">
        <f>IFERROR(__xludf.DUMMYFUNCTION("""COMPUTED_VALUE"""),0.5115531434914922)</f>
        <v>0.5115531435</v>
      </c>
      <c r="O72" s="110" t="str">
        <f>IFERROR(__xludf.DUMMYFUNCTION("""COMPUTED_VALUE"""),"")</f>
        <v/>
      </c>
      <c r="P72" s="71" t="str">
        <f>IFERROR(__xludf.DUMMYFUNCTION("""COMPUTED_VALUE"""),"")</f>
        <v/>
      </c>
      <c r="Q72" s="88" t="str">
        <f>IFERROR(__xludf.DUMMYFUNCTION("""COMPUTED_VALUE"""),"")</f>
        <v/>
      </c>
      <c r="R72" s="88" t="str">
        <f>IFERROR(__xludf.DUMMYFUNCTION("""COMPUTED_VALUE"""),"")</f>
        <v/>
      </c>
      <c r="S72" s="61" t="str">
        <f>IFERROR(__xludf.DUMMYFUNCTION("""COMPUTED_VALUE"""),"")</f>
        <v/>
      </c>
      <c r="T72" s="61" t="str">
        <f>IFERROR(__xludf.DUMMYFUNCTION("""COMPUTED_VALUE"""),"")</f>
        <v/>
      </c>
      <c r="U72" s="111" t="str">
        <f>IFERROR(__xludf.DUMMYFUNCTION("""COMPUTED_VALUE"""),"")</f>
        <v/>
      </c>
      <c r="V72" s="88" t="str">
        <f>IFERROR(__xludf.DUMMYFUNCTION("""COMPUTED_VALUE"""),"")</f>
        <v/>
      </c>
      <c r="W72" s="62"/>
      <c r="X72" s="62" t="str">
        <f>IFERROR(__xludf.DUMMYFUNCTION("""COMPUTED_VALUE"""),"")</f>
        <v/>
      </c>
      <c r="Y72" s="109" t="str">
        <f>IFERROR(__xludf.DUMMYFUNCTION("""COMPUTED_VALUE"""),"")</f>
        <v/>
      </c>
      <c r="Z72" s="113" t="str">
        <f>IFERROR(__xludf.DUMMYFUNCTION("""COMPUTED_VALUE"""),"")</f>
        <v/>
      </c>
      <c r="AA72" s="113" t="str">
        <f>IFERROR(__xludf.DUMMYFUNCTION("""COMPUTED_VALUE"""),"")</f>
        <v/>
      </c>
      <c r="AB72" s="71" t="str">
        <f>IFERROR(__xludf.DUMMYFUNCTION("""COMPUTED_VALUE"""),"")</f>
        <v/>
      </c>
    </row>
    <row r="73">
      <c r="A73" s="105">
        <f>IFERROR(__xludf.DUMMYFUNCTION("""COMPUTED_VALUE"""),45929.6543308449)</f>
        <v>45929.65433</v>
      </c>
      <c r="B73" s="71" t="str">
        <f>IFERROR(__xludf.DUMMYFUNCTION("""COMPUTED_VALUE"""),"Emma Korsu")</f>
        <v>Emma Korsu</v>
      </c>
      <c r="C73" s="71" t="b">
        <f>IFERROR(__xludf.DUMMYFUNCTION("""COMPUTED_VALUE"""),FALSE)</f>
        <v>0</v>
      </c>
      <c r="D73" s="132">
        <f>IFERROR(__xludf.DUMMYFUNCTION("""COMPUTED_VALUE"""),0.5743055555555555)</f>
        <v>0.5743055556</v>
      </c>
      <c r="E73" s="78">
        <f>IFERROR(__xludf.DUMMYFUNCTION("""COMPUTED_VALUE"""),0.07916666666666672)</f>
        <v>0.07916666667</v>
      </c>
      <c r="F73" s="132">
        <f>IFERROR(__xludf.DUMMYFUNCTION("""COMPUTED_VALUE"""),0.6534722222222222)</f>
        <v>0.6534722222</v>
      </c>
      <c r="G73" s="78">
        <f>IFERROR(__xludf.DUMMYFUNCTION("""COMPUTED_VALUE"""),0.07916666666666672)</f>
        <v>0.07916666667</v>
      </c>
      <c r="H73" s="110">
        <f>IFERROR(__xludf.DUMMYFUNCTION("""COMPUTED_VALUE"""),135.0)</f>
        <v>135</v>
      </c>
      <c r="I73" s="108">
        <f>IFERROR(__xludf.DUMMYFUNCTION("""COMPUTED_VALUE"""),71.05263157894733)</f>
        <v>71.05263158</v>
      </c>
      <c r="J73" s="71" t="str">
        <f>IFERROR(__xludf.DUMMYFUNCTION("""COMPUTED_VALUE"""),"Lunch")</f>
        <v>Lunch</v>
      </c>
      <c r="K73" s="106">
        <f>IFERROR(__xludf.DUMMYFUNCTION("""COMPUTED_VALUE"""),45929.0)</f>
        <v>45929</v>
      </c>
      <c r="L73" s="71" t="str">
        <f>IFERROR(__xludf.DUMMYFUNCTION("""COMPUTED_VALUE"""),"Monday")</f>
        <v>Monday</v>
      </c>
      <c r="M73" s="71" t="str">
        <f>IFERROR(__xludf.DUMMYFUNCTION("""COMPUTED_VALUE"""),"BF")</f>
        <v>BF</v>
      </c>
      <c r="N73" s="109">
        <f>IFERROR(__xludf.DUMMYFUNCTION("""COMPUTED_VALUE"""),1.8298040482919138)</f>
        <v>1.829804048</v>
      </c>
      <c r="O73" s="110" t="str">
        <f>IFERROR(__xludf.DUMMYFUNCTION("""COMPUTED_VALUE"""),"")</f>
        <v/>
      </c>
      <c r="P73" s="71" t="str">
        <f>IFERROR(__xludf.DUMMYFUNCTION("""COMPUTED_VALUE"""),"")</f>
        <v/>
      </c>
      <c r="Q73" s="88" t="str">
        <f>IFERROR(__xludf.DUMMYFUNCTION("""COMPUTED_VALUE"""),"")</f>
        <v/>
      </c>
      <c r="R73" s="88" t="str">
        <f>IFERROR(__xludf.DUMMYFUNCTION("""COMPUTED_VALUE"""),"")</f>
        <v/>
      </c>
      <c r="S73" s="61" t="str">
        <f>IFERROR(__xludf.DUMMYFUNCTION("""COMPUTED_VALUE"""),"")</f>
        <v/>
      </c>
      <c r="T73" s="61" t="str">
        <f>IFERROR(__xludf.DUMMYFUNCTION("""COMPUTED_VALUE"""),"")</f>
        <v/>
      </c>
      <c r="U73" s="111" t="str">
        <f>IFERROR(__xludf.DUMMYFUNCTION("""COMPUTED_VALUE"""),"")</f>
        <v/>
      </c>
      <c r="V73" s="88" t="str">
        <f>IFERROR(__xludf.DUMMYFUNCTION("""COMPUTED_VALUE"""),"")</f>
        <v/>
      </c>
      <c r="W73" s="62"/>
      <c r="X73" s="62" t="str">
        <f>IFERROR(__xludf.DUMMYFUNCTION("""COMPUTED_VALUE"""),"")</f>
        <v/>
      </c>
      <c r="Y73" s="109" t="str">
        <f>IFERROR(__xludf.DUMMYFUNCTION("""COMPUTED_VALUE"""),"")</f>
        <v/>
      </c>
      <c r="Z73" s="71" t="str">
        <f>IFERROR(__xludf.DUMMYFUNCTION("""COMPUTED_VALUE"""),"")</f>
        <v/>
      </c>
      <c r="AA73" s="113" t="str">
        <f>IFERROR(__xludf.DUMMYFUNCTION("""COMPUTED_VALUE"""),"")</f>
        <v/>
      </c>
      <c r="AB73" s="71" t="str">
        <f>IFERROR(__xludf.DUMMYFUNCTION("""COMPUTED_VALUE"""),"")</f>
        <v/>
      </c>
    </row>
    <row r="74">
      <c r="A74" s="105">
        <f>IFERROR(__xludf.DUMMYFUNCTION("""COMPUTED_VALUE"""),45929.76752918982)</f>
        <v>45929.76753</v>
      </c>
      <c r="B74" s="71" t="str">
        <f>IFERROR(__xludf.DUMMYFUNCTION("""COMPUTED_VALUE"""),"Maureen Surgot")</f>
        <v>Maureen Surgot</v>
      </c>
      <c r="C74" s="71" t="b">
        <f>IFERROR(__xludf.DUMMYFUNCTION("""COMPUTED_VALUE"""),FALSE)</f>
        <v>0</v>
      </c>
      <c r="D74" s="132">
        <f>IFERROR(__xludf.DUMMYFUNCTION("""COMPUTED_VALUE"""),0.6666666666642413)</f>
        <v>0.6666666667</v>
      </c>
      <c r="E74" s="78">
        <f>IFERROR(__xludf.DUMMYFUNCTION("""COMPUTED_VALUE"""),0.1041666666715173)</f>
        <v>0.1041666667</v>
      </c>
      <c r="F74" s="132">
        <f>IFERROR(__xludf.DUMMYFUNCTION("""COMPUTED_VALUE"""),0.7708333333357587)</f>
        <v>0.7708333333</v>
      </c>
      <c r="G74" s="78">
        <f>IFERROR(__xludf.DUMMYFUNCTION("""COMPUTED_VALUE"""),0.1041666666715173)</f>
        <v>0.1041666667</v>
      </c>
      <c r="H74" s="110">
        <f>IFERROR(__xludf.DUMMYFUNCTION("""COMPUTED_VALUE"""),72.0)</f>
        <v>72</v>
      </c>
      <c r="I74" s="108">
        <f>IFERROR(__xludf.DUMMYFUNCTION("""COMPUTED_VALUE"""),28.799999998658894)</f>
        <v>28.8</v>
      </c>
      <c r="J74" s="71" t="str">
        <f>IFERROR(__xludf.DUMMYFUNCTION("""COMPUTED_VALUE"""),"Dinner")</f>
        <v>Dinner</v>
      </c>
      <c r="K74" s="106">
        <f>IFERROR(__xludf.DUMMYFUNCTION("""COMPUTED_VALUE"""),45929.0)</f>
        <v>45929</v>
      </c>
      <c r="L74" s="71" t="str">
        <f>IFERROR(__xludf.DUMMYFUNCTION("""COMPUTED_VALUE"""),"Monday")</f>
        <v>Monday</v>
      </c>
      <c r="M74" s="71" t="str">
        <f>IFERROR(__xludf.DUMMYFUNCTION("""COMPUTED_VALUE"""),"MF")</f>
        <v>MF</v>
      </c>
      <c r="N74" s="109">
        <f>IFERROR(__xludf.DUMMYFUNCTION("""COMPUTED_VALUE"""),0.5675036012459851)</f>
        <v>0.5675036012</v>
      </c>
      <c r="O74" s="110" t="str">
        <f>IFERROR(__xludf.DUMMYFUNCTION("""COMPUTED_VALUE"""),"")</f>
        <v/>
      </c>
      <c r="P74" s="71" t="str">
        <f>IFERROR(__xludf.DUMMYFUNCTION("""COMPUTED_VALUE"""),"")</f>
        <v/>
      </c>
      <c r="Q74" s="88" t="str">
        <f>IFERROR(__xludf.DUMMYFUNCTION("""COMPUTED_VALUE"""),"")</f>
        <v/>
      </c>
      <c r="R74" s="88" t="str">
        <f>IFERROR(__xludf.DUMMYFUNCTION("""COMPUTED_VALUE"""),"")</f>
        <v/>
      </c>
      <c r="S74" s="61" t="str">
        <f>IFERROR(__xludf.DUMMYFUNCTION("""COMPUTED_VALUE"""),"")</f>
        <v/>
      </c>
      <c r="T74" s="61" t="str">
        <f>IFERROR(__xludf.DUMMYFUNCTION("""COMPUTED_VALUE"""),"")</f>
        <v/>
      </c>
      <c r="U74" s="111" t="str">
        <f>IFERROR(__xludf.DUMMYFUNCTION("""COMPUTED_VALUE"""),"")</f>
        <v/>
      </c>
      <c r="V74" s="88" t="str">
        <f>IFERROR(__xludf.DUMMYFUNCTION("""COMPUTED_VALUE"""),"")</f>
        <v/>
      </c>
      <c r="W74" s="62"/>
      <c r="X74" s="62" t="str">
        <f>IFERROR(__xludf.DUMMYFUNCTION("""COMPUTED_VALUE"""),"")</f>
        <v/>
      </c>
      <c r="Y74" s="109" t="str">
        <f>IFERROR(__xludf.DUMMYFUNCTION("""COMPUTED_VALUE"""),"")</f>
        <v/>
      </c>
      <c r="Z74" s="113" t="str">
        <f>IFERROR(__xludf.DUMMYFUNCTION("""COMPUTED_VALUE"""),"")</f>
        <v/>
      </c>
      <c r="AA74" s="113" t="str">
        <f>IFERROR(__xludf.DUMMYFUNCTION("""COMPUTED_VALUE"""),"")</f>
        <v/>
      </c>
      <c r="AB74" s="71" t="str">
        <f>IFERROR(__xludf.DUMMYFUNCTION("""COMPUTED_VALUE"""),"")</f>
        <v/>
      </c>
    </row>
    <row r="75">
      <c r="A75" s="105">
        <f>IFERROR(__xludf.DUMMYFUNCTION("""COMPUTED_VALUE"""),45929.86280107639)</f>
        <v>45929.8628</v>
      </c>
      <c r="B75" s="71" t="str">
        <f>IFERROR(__xludf.DUMMYFUNCTION("""COMPUTED_VALUE"""),"Kaylie Forgue")</f>
        <v>Kaylie Forgue</v>
      </c>
      <c r="C75" s="71" t="b">
        <f>IFERROR(__xludf.DUMMYFUNCTION("""COMPUTED_VALUE"""),FALSE)</f>
        <v>0</v>
      </c>
      <c r="D75" s="132">
        <f>IFERROR(__xludf.DUMMYFUNCTION("""COMPUTED_VALUE"""),0.6875)</f>
        <v>0.6875</v>
      </c>
      <c r="E75" s="78">
        <f>IFERROR(__xludf.DUMMYFUNCTION("""COMPUTED_VALUE"""),0.17013888889050577)</f>
        <v>0.1701388889</v>
      </c>
      <c r="F75" s="132">
        <f>IFERROR(__xludf.DUMMYFUNCTION("""COMPUTED_VALUE"""),0.8576388888905058)</f>
        <v>0.8576388889</v>
      </c>
      <c r="G75" s="78">
        <f>IFERROR(__xludf.DUMMYFUNCTION("""COMPUTED_VALUE"""),0.17013888889050577)</f>
        <v>0.1701388889</v>
      </c>
      <c r="H75" s="110">
        <f>IFERROR(__xludf.DUMMYFUNCTION("""COMPUTED_VALUE"""),174.0)</f>
        <v>174</v>
      </c>
      <c r="I75" s="108">
        <f>IFERROR(__xludf.DUMMYFUNCTION("""COMPUTED_VALUE"""),42.61224489755423)</f>
        <v>42.6122449</v>
      </c>
      <c r="J75" s="71" t="str">
        <f>IFERROR(__xludf.DUMMYFUNCTION("""COMPUTED_VALUE"""),"Dinner")</f>
        <v>Dinner</v>
      </c>
      <c r="K75" s="106">
        <f>IFERROR(__xludf.DUMMYFUNCTION("""COMPUTED_VALUE"""),45929.0)</f>
        <v>45929</v>
      </c>
      <c r="L75" s="71" t="str">
        <f>IFERROR(__xludf.DUMMYFUNCTION("""COMPUTED_VALUE"""),"Monday")</f>
        <v>Monday</v>
      </c>
      <c r="M75" s="71" t="str">
        <f>IFERROR(__xludf.DUMMYFUNCTION("""COMPUTED_VALUE"""),"BF")</f>
        <v>BF</v>
      </c>
      <c r="N75" s="109">
        <f>IFERROR(__xludf.DUMMYFUNCTION("""COMPUTED_VALUE"""),1.0056347003957662)</f>
        <v>1.0056347</v>
      </c>
      <c r="O75" s="110">
        <f>IFERROR(__xludf.DUMMYFUNCTION("""COMPUTED_VALUE"""),244.0)</f>
        <v>244</v>
      </c>
      <c r="P75" s="71">
        <f>IFERROR(__xludf.DUMMYFUNCTION("""COMPUTED_VALUE"""),434.0)</f>
        <v>434</v>
      </c>
      <c r="Q75" s="88">
        <f>IFERROR(__xludf.DUMMYFUNCTION("""COMPUTED_VALUE"""),0.25694444445252884)</f>
        <v>0.2569444445</v>
      </c>
      <c r="R75" s="88">
        <f>IFERROR(__xludf.DUMMYFUNCTION("""COMPUTED_VALUE"""),0.3215277777769694)</f>
        <v>0.3215277778</v>
      </c>
      <c r="S75" s="61">
        <f>IFERROR(__xludf.DUMMYFUNCTION("""COMPUTED_VALUE"""),39.6333333321554)</f>
        <v>39.63333333</v>
      </c>
      <c r="T75" s="61">
        <f>IFERROR(__xludf.DUMMYFUNCTION("""COMPUTED_VALUE"""),61.92675369810264)</f>
        <v>61.9267537</v>
      </c>
      <c r="U75" s="111">
        <f>IFERROR(__xludf.DUMMYFUNCTION("""COMPUTED_VALUE"""),678.0)</f>
        <v>678</v>
      </c>
      <c r="V75" s="88">
        <f>IFERROR(__xludf.DUMMYFUNCTION("""COMPUTED_VALUE"""),0.5784722222294982)</f>
        <v>0.5784722222</v>
      </c>
      <c r="W75" s="62">
        <f>IFERROR(__xludf.DUMMYFUNCTION("""COMPUTED_VALUE"""),48.83553421307122)</f>
        <v>48.83553421</v>
      </c>
      <c r="X75" s="62">
        <f>IFERROR(__xludf.DUMMYFUNCTION("""COMPUTED_VALUE"""),50.780043515129016)</f>
        <v>50.78004352</v>
      </c>
      <c r="Y75" s="109">
        <f>IFERROR(__xludf.DUMMYFUNCTION("""COMPUTED_VALUE"""),1.1268254785011442)</f>
        <v>1.126825479</v>
      </c>
      <c r="Z75" s="113">
        <f>IFERROR(__xludf.DUMMYFUNCTION("""COMPUTED_VALUE"""),4249.0)</f>
        <v>4249</v>
      </c>
      <c r="AA75" s="113">
        <f>IFERROR(__xludf.DUMMYFUNCTION("""COMPUTED_VALUE"""),4535.0)</f>
        <v>4535</v>
      </c>
      <c r="AB75" s="113">
        <f>IFERROR(__xludf.DUMMYFUNCTION("""COMPUTED_VALUE"""),8784.0)</f>
        <v>8784</v>
      </c>
    </row>
    <row r="76">
      <c r="A76" s="105">
        <f>IFERROR(__xludf.DUMMYFUNCTION("""COMPUTED_VALUE"""),45930.48107159723)</f>
        <v>45930.48107</v>
      </c>
      <c r="B76" s="71" t="str">
        <f>IFERROR(__xludf.DUMMYFUNCTION("""COMPUTED_VALUE"""),"Emmett Khan")</f>
        <v>Emmett Khan</v>
      </c>
      <c r="C76" s="71" t="b">
        <f>IFERROR(__xludf.DUMMYFUNCTION("""COMPUTED_VALUE"""),FALSE)</f>
        <v>0</v>
      </c>
      <c r="D76" s="132">
        <f>IFERROR(__xludf.DUMMYFUNCTION("""COMPUTED_VALUE"""),0.39583333333575865)</f>
        <v>0.3958333333</v>
      </c>
      <c r="E76" s="78">
        <f>IFERROR(__xludf.DUMMYFUNCTION("""COMPUTED_VALUE"""),0.0833333333284827)</f>
        <v>0.08333333333</v>
      </c>
      <c r="F76" s="132">
        <f>IFERROR(__xludf.DUMMYFUNCTION("""COMPUTED_VALUE"""),0.47916666666424135)</f>
        <v>0.4791666667</v>
      </c>
      <c r="G76" s="78">
        <f>IFERROR(__xludf.DUMMYFUNCTION("""COMPUTED_VALUE"""),0.0833333333284827)</f>
        <v>0.08333333333</v>
      </c>
      <c r="H76" s="110">
        <f>IFERROR(__xludf.DUMMYFUNCTION("""COMPUTED_VALUE"""),145.0)</f>
        <v>145</v>
      </c>
      <c r="I76" s="108">
        <f>IFERROR(__xludf.DUMMYFUNCTION("""COMPUTED_VALUE"""),72.50000000422006)</f>
        <v>72.5</v>
      </c>
      <c r="J76" s="71" t="str">
        <f>IFERROR(__xludf.DUMMYFUNCTION("""COMPUTED_VALUE"""),"Breakfast/Lunch")</f>
        <v>Breakfast/Lunch</v>
      </c>
      <c r="K76" s="106">
        <f>IFERROR(__xludf.DUMMYFUNCTION("""COMPUTED_VALUE"""),45930.0)</f>
        <v>45930</v>
      </c>
      <c r="L76" s="71" t="str">
        <f>IFERROR(__xludf.DUMMYFUNCTION("""COMPUTED_VALUE"""),"Tuesday")</f>
        <v>Tuesday</v>
      </c>
      <c r="M76" s="71" t="str">
        <f>IFERROR(__xludf.DUMMYFUNCTION("""COMPUTED_VALUE"""),"BF")</f>
        <v>BF</v>
      </c>
      <c r="N76" s="109">
        <f>IFERROR(__xludf.DUMMYFUNCTION("""COMPUTED_VALUE"""),1.273207137244001)</f>
        <v>1.273207137</v>
      </c>
      <c r="O76" s="110" t="str">
        <f>IFERROR(__xludf.DUMMYFUNCTION("""COMPUTED_VALUE"""),"")</f>
        <v/>
      </c>
      <c r="P76" s="71" t="str">
        <f>IFERROR(__xludf.DUMMYFUNCTION("""COMPUTED_VALUE"""),"")</f>
        <v/>
      </c>
      <c r="Q76" s="88" t="str">
        <f>IFERROR(__xludf.DUMMYFUNCTION("""COMPUTED_VALUE"""),"")</f>
        <v/>
      </c>
      <c r="R76" s="88" t="str">
        <f>IFERROR(__xludf.DUMMYFUNCTION("""COMPUTED_VALUE"""),"")</f>
        <v/>
      </c>
      <c r="S76" s="61" t="str">
        <f>IFERROR(__xludf.DUMMYFUNCTION("""COMPUTED_VALUE"""),"")</f>
        <v/>
      </c>
      <c r="T76" s="61" t="str">
        <f>IFERROR(__xludf.DUMMYFUNCTION("""COMPUTED_VALUE"""),"")</f>
        <v/>
      </c>
      <c r="U76" s="111" t="str">
        <f>IFERROR(__xludf.DUMMYFUNCTION("""COMPUTED_VALUE"""),"")</f>
        <v/>
      </c>
      <c r="V76" s="88" t="str">
        <f>IFERROR(__xludf.DUMMYFUNCTION("""COMPUTED_VALUE"""),"")</f>
        <v/>
      </c>
      <c r="W76" s="62" t="str">
        <f>IFERROR(__xludf.DUMMYFUNCTION("""COMPUTED_VALUE"""),"")</f>
        <v/>
      </c>
      <c r="X76" s="62" t="str">
        <f>IFERROR(__xludf.DUMMYFUNCTION("""COMPUTED_VALUE"""),"")</f>
        <v/>
      </c>
      <c r="Y76" s="109" t="str">
        <f>IFERROR(__xludf.DUMMYFUNCTION("""COMPUTED_VALUE"""),"")</f>
        <v/>
      </c>
      <c r="Z76" s="113" t="str">
        <f>IFERROR(__xludf.DUMMYFUNCTION("""COMPUTED_VALUE"""),"")</f>
        <v/>
      </c>
      <c r="AA76" s="113" t="str">
        <f>IFERROR(__xludf.DUMMYFUNCTION("""COMPUTED_VALUE"""),"")</f>
        <v/>
      </c>
      <c r="AB76" s="71" t="str">
        <f>IFERROR(__xludf.DUMMYFUNCTION("""COMPUTED_VALUE"""),"")</f>
        <v/>
      </c>
    </row>
    <row r="77">
      <c r="A77" s="105">
        <f>IFERROR(__xludf.DUMMYFUNCTION("""COMPUTED_VALUE"""),45930.63410646991)</f>
        <v>45930.63411</v>
      </c>
      <c r="B77" s="71" t="str">
        <f>IFERROR(__xludf.DUMMYFUNCTION("""COMPUTED_VALUE"""),"Maureen Surgot")</f>
        <v>Maureen Surgot</v>
      </c>
      <c r="C77" s="71" t="b">
        <f>IFERROR(__xludf.DUMMYFUNCTION("""COMPUTED_VALUE"""),FALSE)</f>
        <v>0</v>
      </c>
      <c r="D77" s="132">
        <f>IFERROR(__xludf.DUMMYFUNCTION("""COMPUTED_VALUE"""),0.47916666666424135)</f>
        <v>0.4791666667</v>
      </c>
      <c r="E77" s="78">
        <f>IFERROR(__xludf.DUMMYFUNCTION("""COMPUTED_VALUE"""),0.15625)</f>
        <v>0.15625</v>
      </c>
      <c r="F77" s="132">
        <f>IFERROR(__xludf.DUMMYFUNCTION("""COMPUTED_VALUE"""),0.6354166666642413)</f>
        <v>0.6354166667</v>
      </c>
      <c r="G77" s="78">
        <f>IFERROR(__xludf.DUMMYFUNCTION("""COMPUTED_VALUE"""),0.15625)</f>
        <v>0.15625</v>
      </c>
      <c r="H77" s="110">
        <f>IFERROR(__xludf.DUMMYFUNCTION("""COMPUTED_VALUE"""),154.0)</f>
        <v>154</v>
      </c>
      <c r="I77" s="108">
        <f>IFERROR(__xludf.DUMMYFUNCTION("""COMPUTED_VALUE"""),41.06666666666667)</f>
        <v>41.06666667</v>
      </c>
      <c r="J77" s="71" t="str">
        <f>IFERROR(__xludf.DUMMYFUNCTION("""COMPUTED_VALUE"""),"Lunch")</f>
        <v>Lunch</v>
      </c>
      <c r="K77" s="106">
        <f>IFERROR(__xludf.DUMMYFUNCTION("""COMPUTED_VALUE"""),45930.0)</f>
        <v>45930</v>
      </c>
      <c r="L77" s="71" t="str">
        <f>IFERROR(__xludf.DUMMYFUNCTION("""COMPUTED_VALUE"""),"Tuesday")</f>
        <v>Tuesday</v>
      </c>
      <c r="M77" s="71" t="str">
        <f>IFERROR(__xludf.DUMMYFUNCTION("""COMPUTED_VALUE"""),"MF")</f>
        <v>MF</v>
      </c>
      <c r="N77" s="109">
        <f>IFERROR(__xludf.DUMMYFUNCTION("""COMPUTED_VALUE"""),0.8539748953778528)</f>
        <v>0.8539748954</v>
      </c>
      <c r="O77" s="71" t="str">
        <f>IFERROR(__xludf.DUMMYFUNCTION("""COMPUTED_VALUE"""),"")</f>
        <v/>
      </c>
      <c r="P77" s="71" t="str">
        <f>IFERROR(__xludf.DUMMYFUNCTION("""COMPUTED_VALUE"""),"")</f>
        <v/>
      </c>
      <c r="Q77" s="88" t="str">
        <f>IFERROR(__xludf.DUMMYFUNCTION("""COMPUTED_VALUE"""),"")</f>
        <v/>
      </c>
      <c r="R77" s="88" t="str">
        <f>IFERROR(__xludf.DUMMYFUNCTION("""COMPUTED_VALUE"""),"")</f>
        <v/>
      </c>
      <c r="S77" s="61" t="str">
        <f>IFERROR(__xludf.DUMMYFUNCTION("""COMPUTED_VALUE"""),"")</f>
        <v/>
      </c>
      <c r="T77" s="61" t="str">
        <f>IFERROR(__xludf.DUMMYFUNCTION("""COMPUTED_VALUE"""),"")</f>
        <v/>
      </c>
      <c r="U77" s="111" t="str">
        <f>IFERROR(__xludf.DUMMYFUNCTION("""COMPUTED_VALUE"""),"")</f>
        <v/>
      </c>
      <c r="V77" s="88" t="str">
        <f>IFERROR(__xludf.DUMMYFUNCTION("""COMPUTED_VALUE"""),"")</f>
        <v/>
      </c>
      <c r="W77" s="62" t="str">
        <f>IFERROR(__xludf.DUMMYFUNCTION("""COMPUTED_VALUE"""),"")</f>
        <v/>
      </c>
      <c r="X77" s="62" t="str">
        <f>IFERROR(__xludf.DUMMYFUNCTION("""COMPUTED_VALUE"""),"")</f>
        <v/>
      </c>
      <c r="Y77" s="109" t="str">
        <f>IFERROR(__xludf.DUMMYFUNCTION("""COMPUTED_VALUE"""),"")</f>
        <v/>
      </c>
      <c r="Z77" s="113" t="str">
        <f>IFERROR(__xludf.DUMMYFUNCTION("""COMPUTED_VALUE"""),"")</f>
        <v/>
      </c>
      <c r="AA77" s="113" t="str">
        <f>IFERROR(__xludf.DUMMYFUNCTION("""COMPUTED_VALUE"""),"")</f>
        <v/>
      </c>
      <c r="AB77" s="71" t="str">
        <f>IFERROR(__xludf.DUMMYFUNCTION("""COMPUTED_VALUE"""),"")</f>
        <v/>
      </c>
    </row>
    <row r="78">
      <c r="A78" s="105">
        <f>IFERROR(__xludf.DUMMYFUNCTION("""COMPUTED_VALUE"""),45930.656473379626)</f>
        <v>45930.65647</v>
      </c>
      <c r="B78" s="71" t="str">
        <f>IFERROR(__xludf.DUMMYFUNCTION("""COMPUTED_VALUE"""),"Brynn Hornig")</f>
        <v>Brynn Hornig</v>
      </c>
      <c r="C78" s="71" t="b">
        <f>IFERROR(__xludf.DUMMYFUNCTION("""COMPUTED_VALUE"""),FALSE)</f>
        <v>0</v>
      </c>
      <c r="D78" s="132">
        <f>IFERROR(__xludf.DUMMYFUNCTION("""COMPUTED_VALUE"""),0.5208333333357587)</f>
        <v>0.5208333333</v>
      </c>
      <c r="E78" s="78">
        <f>IFERROR(__xludf.DUMMYFUNCTION("""COMPUTED_VALUE"""),0.13541666666424135)</f>
        <v>0.1354166667</v>
      </c>
      <c r="F78" s="132">
        <f>IFERROR(__xludf.DUMMYFUNCTION("""COMPUTED_VALUE"""),0.65625)</f>
        <v>0.65625</v>
      </c>
      <c r="G78" s="78">
        <f>IFERROR(__xludf.DUMMYFUNCTION("""COMPUTED_VALUE"""),0.13541666666424135)</f>
        <v>0.1354166667</v>
      </c>
      <c r="H78" s="110">
        <f>IFERROR(__xludf.DUMMYFUNCTION("""COMPUTED_VALUE"""),87.0)</f>
        <v>87</v>
      </c>
      <c r="I78" s="108">
        <f>IFERROR(__xludf.DUMMYFUNCTION("""COMPUTED_VALUE"""),26.76923076971021)</f>
        <v>26.76923077</v>
      </c>
      <c r="J78" s="53" t="str">
        <f>IFERROR(__xludf.DUMMYFUNCTION("""COMPUTED_VALUE"""),"Lunch")</f>
        <v>Lunch</v>
      </c>
      <c r="K78" s="53">
        <f>IFERROR(__xludf.DUMMYFUNCTION("""COMPUTED_VALUE"""),45930.0)</f>
        <v>45930</v>
      </c>
      <c r="L78" s="71" t="str">
        <f>IFERROR(__xludf.DUMMYFUNCTION("""COMPUTED_VALUE"""),"Tuesday")</f>
        <v>Tuesday</v>
      </c>
      <c r="M78" s="71" t="str">
        <f>IFERROR(__xludf.DUMMYFUNCTION("""COMPUTED_VALUE"""),"BF")</f>
        <v>BF</v>
      </c>
      <c r="N78" s="109">
        <f>IFERROR(__xludf.DUMMYFUNCTION("""COMPUTED_VALUE"""),0.6893825850440358)</f>
        <v>0.689382585</v>
      </c>
      <c r="O78" s="110" t="str">
        <f>IFERROR(__xludf.DUMMYFUNCTION("""COMPUTED_VALUE"""),"")</f>
        <v/>
      </c>
      <c r="P78" s="71" t="str">
        <f>IFERROR(__xludf.DUMMYFUNCTION("""COMPUTED_VALUE"""),"")</f>
        <v/>
      </c>
      <c r="Q78" s="88" t="str">
        <f>IFERROR(__xludf.DUMMYFUNCTION("""COMPUTED_VALUE"""),"")</f>
        <v/>
      </c>
      <c r="R78" s="88" t="str">
        <f>IFERROR(__xludf.DUMMYFUNCTION("""COMPUTED_VALUE"""),"")</f>
        <v/>
      </c>
      <c r="S78" s="61" t="str">
        <f>IFERROR(__xludf.DUMMYFUNCTION("""COMPUTED_VALUE"""),"")</f>
        <v/>
      </c>
      <c r="T78" s="61" t="str">
        <f>IFERROR(__xludf.DUMMYFUNCTION("""COMPUTED_VALUE"""),"")</f>
        <v/>
      </c>
      <c r="U78" s="111" t="str">
        <f>IFERROR(__xludf.DUMMYFUNCTION("""COMPUTED_VALUE"""),"")</f>
        <v/>
      </c>
      <c r="V78" s="88" t="str">
        <f>IFERROR(__xludf.DUMMYFUNCTION("""COMPUTED_VALUE"""),"")</f>
        <v/>
      </c>
      <c r="W78" s="62" t="str">
        <f>IFERROR(__xludf.DUMMYFUNCTION("""COMPUTED_VALUE"""),"")</f>
        <v/>
      </c>
      <c r="X78" s="62" t="str">
        <f>IFERROR(__xludf.DUMMYFUNCTION("""COMPUTED_VALUE"""),"")</f>
        <v/>
      </c>
      <c r="Y78" s="109" t="str">
        <f>IFERROR(__xludf.DUMMYFUNCTION("""COMPUTED_VALUE"""),"")</f>
        <v/>
      </c>
      <c r="Z78" s="113" t="str">
        <f>IFERROR(__xludf.DUMMYFUNCTION("""COMPUTED_VALUE"""),"")</f>
        <v/>
      </c>
      <c r="AA78" s="113" t="str">
        <f>IFERROR(__xludf.DUMMYFUNCTION("""COMPUTED_VALUE"""),"")</f>
        <v/>
      </c>
      <c r="AB78" s="71" t="str">
        <f>IFERROR(__xludf.DUMMYFUNCTION("""COMPUTED_VALUE"""),"")</f>
        <v/>
      </c>
    </row>
    <row r="79">
      <c r="A79" s="105">
        <f>IFERROR(__xludf.DUMMYFUNCTION("""COMPUTED_VALUE"""),45930.834974513884)</f>
        <v>45930.83497</v>
      </c>
      <c r="B79" s="71" t="str">
        <f>IFERROR(__xludf.DUMMYFUNCTION("""COMPUTED_VALUE"""),"Leisly Aceituno")</f>
        <v>Leisly Aceituno</v>
      </c>
      <c r="C79" s="71" t="b">
        <f>IFERROR(__xludf.DUMMYFUNCTION("""COMPUTED_VALUE"""),FALSE)</f>
        <v>0</v>
      </c>
      <c r="D79" s="132">
        <f>IFERROR(__xludf.DUMMYFUNCTION("""COMPUTED_VALUE"""),0.7083333333357587)</f>
        <v>0.7083333333</v>
      </c>
      <c r="E79" s="78">
        <f>IFERROR(__xludf.DUMMYFUNCTION("""COMPUTED_VALUE"""),0.04166666666424135)</f>
        <v>0.04166666666</v>
      </c>
      <c r="F79" s="132">
        <f>IFERROR(__xludf.DUMMYFUNCTION("""COMPUTED_VALUE"""),0.75)</f>
        <v>0.75</v>
      </c>
      <c r="G79" s="78">
        <f>IFERROR(__xludf.DUMMYFUNCTION("""COMPUTED_VALUE"""),0.04166666666424135)</f>
        <v>0.04166666666</v>
      </c>
      <c r="H79" s="110">
        <f>IFERROR(__xludf.DUMMYFUNCTION("""COMPUTED_VALUE"""),76.0)</f>
        <v>76</v>
      </c>
      <c r="I79" s="108">
        <f>IFERROR(__xludf.DUMMYFUNCTION("""COMPUTED_VALUE"""),76.00000000442378)</f>
        <v>76</v>
      </c>
      <c r="J79" s="71" t="str">
        <f>IFERROR(__xludf.DUMMYFUNCTION("""COMPUTED_VALUE"""),"Dinner")</f>
        <v>Dinner</v>
      </c>
      <c r="K79" s="106">
        <f>IFERROR(__xludf.DUMMYFUNCTION("""COMPUTED_VALUE"""),45930.0)</f>
        <v>45930</v>
      </c>
      <c r="L79" s="71" t="str">
        <f>IFERROR(__xludf.DUMMYFUNCTION("""COMPUTED_VALUE"""),"Tuesday")</f>
        <v>Tuesday</v>
      </c>
      <c r="M79" s="71" t="str">
        <f>IFERROR(__xludf.DUMMYFUNCTION("""COMPUTED_VALUE"""),"MF")</f>
        <v>MF</v>
      </c>
      <c r="N79" s="109">
        <f>IFERROR(__xludf.DUMMYFUNCTION("""COMPUTED_VALUE"""),1.4975789478893677)</f>
        <v>1.497578948</v>
      </c>
      <c r="O79" s="110" t="str">
        <f>IFERROR(__xludf.DUMMYFUNCTION("""COMPUTED_VALUE"""),"")</f>
        <v/>
      </c>
      <c r="P79" s="71" t="str">
        <f>IFERROR(__xludf.DUMMYFUNCTION("""COMPUTED_VALUE"""),"")</f>
        <v/>
      </c>
      <c r="Q79" s="88" t="str">
        <f>IFERROR(__xludf.DUMMYFUNCTION("""COMPUTED_VALUE"""),"")</f>
        <v/>
      </c>
      <c r="R79" s="88" t="str">
        <f>IFERROR(__xludf.DUMMYFUNCTION("""COMPUTED_VALUE"""),"")</f>
        <v/>
      </c>
      <c r="S79" s="61" t="str">
        <f>IFERROR(__xludf.DUMMYFUNCTION("""COMPUTED_VALUE"""),"")</f>
        <v/>
      </c>
      <c r="T79" s="61" t="str">
        <f>IFERROR(__xludf.DUMMYFUNCTION("""COMPUTED_VALUE"""),"")</f>
        <v/>
      </c>
      <c r="U79" s="111" t="str">
        <f>IFERROR(__xludf.DUMMYFUNCTION("""COMPUTED_VALUE"""),"")</f>
        <v/>
      </c>
      <c r="V79" s="88" t="str">
        <f>IFERROR(__xludf.DUMMYFUNCTION("""COMPUTED_VALUE"""),"")</f>
        <v/>
      </c>
      <c r="W79" s="62" t="str">
        <f>IFERROR(__xludf.DUMMYFUNCTION("""COMPUTED_VALUE"""),"")</f>
        <v/>
      </c>
      <c r="X79" s="62" t="str">
        <f>IFERROR(__xludf.DUMMYFUNCTION("""COMPUTED_VALUE"""),"")</f>
        <v/>
      </c>
      <c r="Y79" s="109" t="str">
        <f>IFERROR(__xludf.DUMMYFUNCTION("""COMPUTED_VALUE"""),"")</f>
        <v/>
      </c>
      <c r="Z79" s="113" t="str">
        <f>IFERROR(__xludf.DUMMYFUNCTION("""COMPUTED_VALUE"""),"")</f>
        <v/>
      </c>
      <c r="AA79" s="113" t="str">
        <f>IFERROR(__xludf.DUMMYFUNCTION("""COMPUTED_VALUE"""),"")</f>
        <v/>
      </c>
      <c r="AB79" s="71" t="str">
        <f>IFERROR(__xludf.DUMMYFUNCTION("""COMPUTED_VALUE"""),"")</f>
        <v/>
      </c>
    </row>
    <row r="80">
      <c r="A80" s="105">
        <f>IFERROR(__xludf.DUMMYFUNCTION("""COMPUTED_VALUE"""),45930.86365579861)</f>
        <v>45930.86366</v>
      </c>
      <c r="B80" s="71" t="str">
        <f>IFERROR(__xludf.DUMMYFUNCTION("""COMPUTED_VALUE"""),"Kaylie Forgue")</f>
        <v>Kaylie Forgue</v>
      </c>
      <c r="C80" s="71" t="b">
        <f>IFERROR(__xludf.DUMMYFUNCTION("""COMPUTED_VALUE"""),FALSE)</f>
        <v>0</v>
      </c>
      <c r="D80" s="132">
        <f>IFERROR(__xludf.DUMMYFUNCTION("""COMPUTED_VALUE"""),0.7881944444452529)</f>
        <v>0.7881944444</v>
      </c>
      <c r="E80" s="78">
        <f>IFERROR(__xludf.DUMMYFUNCTION("""COMPUTED_VALUE"""),0.07291666666424135)</f>
        <v>0.07291666666</v>
      </c>
      <c r="F80" s="132">
        <f>IFERROR(__xludf.DUMMYFUNCTION("""COMPUTED_VALUE"""),0.8611111111094942)</f>
        <v>0.8611111111</v>
      </c>
      <c r="G80" s="78">
        <f>IFERROR(__xludf.DUMMYFUNCTION("""COMPUTED_VALUE"""),0.07291666666424135)</f>
        <v>0.07291666666</v>
      </c>
      <c r="H80" s="110">
        <f>IFERROR(__xludf.DUMMYFUNCTION("""COMPUTED_VALUE"""),81.0)</f>
        <v>81</v>
      </c>
      <c r="I80" s="108">
        <f>IFERROR(__xludf.DUMMYFUNCTION("""COMPUTED_VALUE"""),46.28571428725382)</f>
        <v>46.28571429</v>
      </c>
      <c r="J80" s="71" t="str">
        <f>IFERROR(__xludf.DUMMYFUNCTION("""COMPUTED_VALUE"""),"Dinner")</f>
        <v>Dinner</v>
      </c>
      <c r="K80" s="106">
        <f>IFERROR(__xludf.DUMMYFUNCTION("""COMPUTED_VALUE"""),45930.0)</f>
        <v>45930</v>
      </c>
      <c r="L80" s="71" t="str">
        <f>IFERROR(__xludf.DUMMYFUNCTION("""COMPUTED_VALUE"""),"Tuesday")</f>
        <v>Tuesday</v>
      </c>
      <c r="M80" s="71" t="str">
        <f>IFERROR(__xludf.DUMMYFUNCTION("""COMPUTED_VALUE"""),"BF")</f>
        <v>BF</v>
      </c>
      <c r="N80" s="109">
        <f>IFERROR(__xludf.DUMMYFUNCTION("""COMPUTED_VALUE"""),1.0923273470283212)</f>
        <v>1.092327347</v>
      </c>
      <c r="O80" s="110">
        <f>IFERROR(__xludf.DUMMYFUNCTION("""COMPUTED_VALUE"""),230.0)</f>
        <v>230</v>
      </c>
      <c r="P80" s="71">
        <f>IFERROR(__xludf.DUMMYFUNCTION("""COMPUTED_VALUE"""),313.0)</f>
        <v>313</v>
      </c>
      <c r="Q80" s="88">
        <f>IFERROR(__xludf.DUMMYFUNCTION("""COMPUTED_VALUE"""),0.19791666666424135)</f>
        <v>0.1979166667</v>
      </c>
      <c r="R80" s="88">
        <f>IFERROR(__xludf.DUMMYFUNCTION("""COMPUTED_VALUE"""),0.2916666666569654)</f>
        <v>0.2916666667</v>
      </c>
      <c r="S80" s="61">
        <f>IFERROR(__xludf.DUMMYFUNCTION("""COMPUTED_VALUE"""),58.53333333554522)</f>
        <v>58.53333334</v>
      </c>
      <c r="T80" s="61">
        <f>IFERROR(__xludf.DUMMYFUNCTION("""COMPUTED_VALUE"""),48.51831502039469)</f>
        <v>48.51831502</v>
      </c>
      <c r="U80" s="111">
        <f>IFERROR(__xludf.DUMMYFUNCTION("""COMPUTED_VALUE"""),543.0)</f>
        <v>543</v>
      </c>
      <c r="V80" s="88">
        <f>IFERROR(__xludf.DUMMYFUNCTION("""COMPUTED_VALUE"""),0.48958333332120674)</f>
        <v>0.4895833333</v>
      </c>
      <c r="W80" s="62">
        <f>IFERROR(__xludf.DUMMYFUNCTION("""COMPUTED_VALUE"""),46.21276595859146)</f>
        <v>46.21276596</v>
      </c>
      <c r="X80" s="62">
        <f>IFERROR(__xludf.DUMMYFUNCTION("""COMPUTED_VALUE"""),52.5243223464549)</f>
        <v>52.52432235</v>
      </c>
      <c r="Y80" s="109">
        <f>IFERROR(__xludf.DUMMYFUNCTION("""COMPUTED_VALUE"""),1.0764030898893155)</f>
        <v>1.07640309</v>
      </c>
      <c r="Z80" s="113">
        <f>IFERROR(__xludf.DUMMYFUNCTION("""COMPUTED_VALUE"""),4587.0)</f>
        <v>4587</v>
      </c>
      <c r="AA80" s="113">
        <f>IFERROR(__xludf.DUMMYFUNCTION("""COMPUTED_VALUE"""),3747.0)</f>
        <v>3747</v>
      </c>
      <c r="AB80" s="113">
        <f>IFERROR(__xludf.DUMMYFUNCTION("""COMPUTED_VALUE"""),8334.0)</f>
        <v>8334</v>
      </c>
    </row>
    <row r="81">
      <c r="A81" s="105">
        <f>IFERROR(__xludf.DUMMYFUNCTION("""COMPUTED_VALUE"""),45931.63286474537)</f>
        <v>45931.63286</v>
      </c>
      <c r="B81" s="71" t="str">
        <f>IFERROR(__xludf.DUMMYFUNCTION("""COMPUTED_VALUE"""),"Greta Traynor")</f>
        <v>Greta Traynor</v>
      </c>
      <c r="C81" s="71" t="b">
        <f>IFERROR(__xludf.DUMMYFUNCTION("""COMPUTED_VALUE"""),FALSE)</f>
        <v>0</v>
      </c>
      <c r="D81" s="132">
        <f>IFERROR(__xludf.DUMMYFUNCTION("""COMPUTED_VALUE"""),0.5652777777795563)</f>
        <v>0.5652777778</v>
      </c>
      <c r="E81" s="78">
        <f>IFERROR(__xludf.DUMMYFUNCTION("""COMPUTED_VALUE"""),0.06666666666569654)</f>
        <v>0.06666666667</v>
      </c>
      <c r="F81" s="132">
        <f>IFERROR(__xludf.DUMMYFUNCTION("""COMPUTED_VALUE"""),0.6319444444452529)</f>
        <v>0.6319444444</v>
      </c>
      <c r="G81" s="78">
        <f>IFERROR(__xludf.DUMMYFUNCTION("""COMPUTED_VALUE"""),0.06666666666569654)</f>
        <v>0.06666666667</v>
      </c>
      <c r="H81" s="110">
        <f>IFERROR(__xludf.DUMMYFUNCTION("""COMPUTED_VALUE"""),65.0)</f>
        <v>65</v>
      </c>
      <c r="I81" s="108">
        <f>IFERROR(__xludf.DUMMYFUNCTION("""COMPUTED_VALUE"""),40.62500000059117)</f>
        <v>40.625</v>
      </c>
      <c r="J81" s="71" t="str">
        <f>IFERROR(__xludf.DUMMYFUNCTION("""COMPUTED_VALUE"""),"Lunch")</f>
        <v>Lunch</v>
      </c>
      <c r="K81" s="106">
        <f>IFERROR(__xludf.DUMMYFUNCTION("""COMPUTED_VALUE"""),45931.0)</f>
        <v>45931</v>
      </c>
      <c r="L81" s="71" t="str">
        <f>IFERROR(__xludf.DUMMYFUNCTION("""COMPUTED_VALUE"""),"Wednesday")</f>
        <v>Wednesday</v>
      </c>
      <c r="M81" s="71" t="str">
        <f>IFERROR(__xludf.DUMMYFUNCTION("""COMPUTED_VALUE"""),"MF")</f>
        <v>MF</v>
      </c>
      <c r="N81" s="109">
        <f>IFERROR(__xludf.DUMMYFUNCTION("""COMPUTED_VALUE"""),0.8447905062961878)</f>
        <v>0.8447905063</v>
      </c>
      <c r="O81" s="110" t="str">
        <f>IFERROR(__xludf.DUMMYFUNCTION("""COMPUTED_VALUE"""),"")</f>
        <v/>
      </c>
      <c r="P81" s="71" t="str">
        <f>IFERROR(__xludf.DUMMYFUNCTION("""COMPUTED_VALUE"""),"")</f>
        <v/>
      </c>
      <c r="Q81" s="88" t="str">
        <f>IFERROR(__xludf.DUMMYFUNCTION("""COMPUTED_VALUE"""),"")</f>
        <v/>
      </c>
      <c r="R81" s="88" t="str">
        <f>IFERROR(__xludf.DUMMYFUNCTION("""COMPUTED_VALUE"""),"")</f>
        <v/>
      </c>
      <c r="S81" s="61" t="str">
        <f>IFERROR(__xludf.DUMMYFUNCTION("""COMPUTED_VALUE"""),"")</f>
        <v/>
      </c>
      <c r="T81" s="61" t="str">
        <f>IFERROR(__xludf.DUMMYFUNCTION("""COMPUTED_VALUE"""),"")</f>
        <v/>
      </c>
      <c r="U81" s="111" t="str">
        <f>IFERROR(__xludf.DUMMYFUNCTION("""COMPUTED_VALUE"""),"")</f>
        <v/>
      </c>
      <c r="V81" s="88" t="str">
        <f>IFERROR(__xludf.DUMMYFUNCTION("""COMPUTED_VALUE"""),"")</f>
        <v/>
      </c>
      <c r="W81" s="62" t="str">
        <f>IFERROR(__xludf.DUMMYFUNCTION("""COMPUTED_VALUE"""),"")</f>
        <v/>
      </c>
      <c r="X81" s="62" t="str">
        <f>IFERROR(__xludf.DUMMYFUNCTION("""COMPUTED_VALUE"""),"")</f>
        <v/>
      </c>
      <c r="Y81" s="109" t="str">
        <f>IFERROR(__xludf.DUMMYFUNCTION("""COMPUTED_VALUE"""),"")</f>
        <v/>
      </c>
      <c r="Z81" s="113" t="str">
        <f>IFERROR(__xludf.DUMMYFUNCTION("""COMPUTED_VALUE"""),"")</f>
        <v/>
      </c>
      <c r="AA81" s="113" t="str">
        <f>IFERROR(__xludf.DUMMYFUNCTION("""COMPUTED_VALUE"""),"")</f>
        <v/>
      </c>
      <c r="AB81" s="71" t="str">
        <f>IFERROR(__xludf.DUMMYFUNCTION("""COMPUTED_VALUE"""),"")</f>
        <v/>
      </c>
    </row>
    <row r="82">
      <c r="A82" s="105">
        <f>IFERROR(__xludf.DUMMYFUNCTION("""COMPUTED_VALUE"""),45931.71469287037)</f>
        <v>45931.71469</v>
      </c>
      <c r="B82" s="71" t="str">
        <f>IFERROR(__xludf.DUMMYFUNCTION("""COMPUTED_VALUE"""),"Orpheus Wilson")</f>
        <v>Orpheus Wilson</v>
      </c>
      <c r="C82" s="71" t="b">
        <f>IFERROR(__xludf.DUMMYFUNCTION("""COMPUTED_VALUE"""),FALSE)</f>
        <v>0</v>
      </c>
      <c r="D82" s="132">
        <f>IFERROR(__xludf.DUMMYFUNCTION("""COMPUTED_VALUE"""),0.6909722222189885)</f>
        <v>0.6909722222</v>
      </c>
      <c r="E82" s="78">
        <f>IFERROR(__xludf.DUMMYFUNCTION("""COMPUTED_VALUE"""),0.022916666668606922)</f>
        <v>0.02291666667</v>
      </c>
      <c r="F82" s="132">
        <f>IFERROR(__xludf.DUMMYFUNCTION("""COMPUTED_VALUE"""),0.7138888888875954)</f>
        <v>0.7138888889</v>
      </c>
      <c r="G82" s="78">
        <f>IFERROR(__xludf.DUMMYFUNCTION("""COMPUTED_VALUE"""),0.05208333333575865)</f>
        <v>0.05208333334</v>
      </c>
      <c r="H82" s="110">
        <f>IFERROR(__xludf.DUMMYFUNCTION("""COMPUTED_VALUE"""),34.0)</f>
        <v>34</v>
      </c>
      <c r="I82" s="108">
        <f>IFERROR(__xludf.DUMMYFUNCTION("""COMPUTED_VALUE"""),27.1999999987334)</f>
        <v>27.2</v>
      </c>
      <c r="J82" s="71" t="str">
        <f>IFERROR(__xludf.DUMMYFUNCTION("""COMPUTED_VALUE"""),"Dinner")</f>
        <v>Dinner</v>
      </c>
      <c r="K82" s="106">
        <f>IFERROR(__xludf.DUMMYFUNCTION("""COMPUTED_VALUE"""),45931.0)</f>
        <v>45931</v>
      </c>
      <c r="L82" s="71" t="str">
        <f>IFERROR(__xludf.DUMMYFUNCTION("""COMPUTED_VALUE"""),"Wednesday")</f>
        <v>Wednesday</v>
      </c>
      <c r="M82" s="71" t="str">
        <f>IFERROR(__xludf.DUMMYFUNCTION("""COMPUTED_VALUE"""),"MF")</f>
        <v>MF</v>
      </c>
      <c r="N82" s="109">
        <f>IFERROR(__xludf.DUMMYFUNCTION("""COMPUTED_VALUE"""),0.5359756233989859)</f>
        <v>0.5359756234</v>
      </c>
      <c r="O82" s="110" t="str">
        <f>IFERROR(__xludf.DUMMYFUNCTION("""COMPUTED_VALUE"""),"")</f>
        <v/>
      </c>
      <c r="P82" s="71" t="str">
        <f>IFERROR(__xludf.DUMMYFUNCTION("""COMPUTED_VALUE"""),"")</f>
        <v/>
      </c>
      <c r="Q82" s="88" t="str">
        <f>IFERROR(__xludf.DUMMYFUNCTION("""COMPUTED_VALUE"""),"")</f>
        <v/>
      </c>
      <c r="R82" s="88" t="str">
        <f>IFERROR(__xludf.DUMMYFUNCTION("""COMPUTED_VALUE"""),"")</f>
        <v/>
      </c>
      <c r="S82" s="61" t="str">
        <f>IFERROR(__xludf.DUMMYFUNCTION("""COMPUTED_VALUE"""),"")</f>
        <v/>
      </c>
      <c r="T82" s="61" t="str">
        <f>IFERROR(__xludf.DUMMYFUNCTION("""COMPUTED_VALUE"""),"")</f>
        <v/>
      </c>
      <c r="U82" s="111" t="str">
        <f>IFERROR(__xludf.DUMMYFUNCTION("""COMPUTED_VALUE"""),"")</f>
        <v/>
      </c>
      <c r="V82" s="88" t="str">
        <f>IFERROR(__xludf.DUMMYFUNCTION("""COMPUTED_VALUE"""),"")</f>
        <v/>
      </c>
      <c r="W82" s="62" t="str">
        <f>IFERROR(__xludf.DUMMYFUNCTION("""COMPUTED_VALUE"""),"")</f>
        <v/>
      </c>
      <c r="X82" s="62" t="str">
        <f>IFERROR(__xludf.DUMMYFUNCTION("""COMPUTED_VALUE"""),"")</f>
        <v/>
      </c>
      <c r="Y82" s="109" t="str">
        <f>IFERROR(__xludf.DUMMYFUNCTION("""COMPUTED_VALUE"""),"")</f>
        <v/>
      </c>
      <c r="Z82" s="113" t="str">
        <f>IFERROR(__xludf.DUMMYFUNCTION("""COMPUTED_VALUE"""),"")</f>
        <v/>
      </c>
      <c r="AA82" s="113" t="str">
        <f>IFERROR(__xludf.DUMMYFUNCTION("""COMPUTED_VALUE"""),"")</f>
        <v/>
      </c>
      <c r="AB82" s="71" t="str">
        <f>IFERROR(__xludf.DUMMYFUNCTION("""COMPUTED_VALUE"""),"")</f>
        <v/>
      </c>
    </row>
    <row r="83">
      <c r="A83" s="105">
        <f>IFERROR(__xludf.DUMMYFUNCTION("""COMPUTED_VALUE"""),45931.74758456019)</f>
        <v>45931.74758</v>
      </c>
      <c r="B83" s="71" t="str">
        <f>IFERROR(__xludf.DUMMYFUNCTION("""COMPUTED_VALUE"""),"Orpheus Wilson")</f>
        <v>Orpheus Wilson</v>
      </c>
      <c r="C83" s="71" t="b">
        <f>IFERROR(__xludf.DUMMYFUNCTION("""COMPUTED_VALUE"""),TRUE)</f>
        <v>1</v>
      </c>
      <c r="D83" s="132">
        <f>IFERROR(__xludf.DUMMYFUNCTION("""COMPUTED_VALUE"""),0.7180555555532919)</f>
        <v>0.7180555556</v>
      </c>
      <c r="E83" s="78">
        <f>IFERROR(__xludf.DUMMYFUNCTION("""COMPUTED_VALUE"""),0.02916666666715173)</f>
        <v>0.02916666667</v>
      </c>
      <c r="F83" s="132">
        <f>IFERROR(__xludf.DUMMYFUNCTION("""COMPUTED_VALUE"""),0.7472222222204437)</f>
        <v>0.7472222222</v>
      </c>
      <c r="G83" s="78" t="str">
        <f>IFERROR(__xludf.DUMMYFUNCTION("""COMPUTED_VALUE"""),"")</f>
        <v/>
      </c>
      <c r="H83" s="110">
        <f>IFERROR(__xludf.DUMMYFUNCTION("""COMPUTED_VALUE"""),51.0)</f>
        <v>51</v>
      </c>
      <c r="I83" s="108" t="str">
        <f>IFERROR(__xludf.DUMMYFUNCTION("""COMPUTED_VALUE"""),"")</f>
        <v/>
      </c>
      <c r="J83" s="71" t="str">
        <f>IFERROR(__xludf.DUMMYFUNCTION("""COMPUTED_VALUE"""),"Dinner")</f>
        <v>Dinner</v>
      </c>
      <c r="K83" s="106">
        <f>IFERROR(__xludf.DUMMYFUNCTION("""COMPUTED_VALUE"""),45931.0)</f>
        <v>45931</v>
      </c>
      <c r="L83" s="71" t="str">
        <f>IFERROR(__xludf.DUMMYFUNCTION("""COMPUTED_VALUE"""),"Wednesday")</f>
        <v>Wednesday</v>
      </c>
      <c r="M83" s="71" t="str">
        <f>IFERROR(__xludf.DUMMYFUNCTION("""COMPUTED_VALUE"""),"MF")</f>
        <v>MF</v>
      </c>
      <c r="N83" s="109" t="str">
        <f>IFERROR(__xludf.DUMMYFUNCTION("""COMPUTED_VALUE"""),"")</f>
        <v/>
      </c>
      <c r="O83" s="71" t="str">
        <f>IFERROR(__xludf.DUMMYFUNCTION("""COMPUTED_VALUE"""),"")</f>
        <v/>
      </c>
      <c r="P83" s="71" t="str">
        <f>IFERROR(__xludf.DUMMYFUNCTION("""COMPUTED_VALUE"""),"")</f>
        <v/>
      </c>
      <c r="Q83" s="88" t="str">
        <f>IFERROR(__xludf.DUMMYFUNCTION("""COMPUTED_VALUE"""),"")</f>
        <v/>
      </c>
      <c r="R83" s="88" t="str">
        <f>IFERROR(__xludf.DUMMYFUNCTION("""COMPUTED_VALUE"""),"")</f>
        <v/>
      </c>
      <c r="S83" s="61" t="str">
        <f>IFERROR(__xludf.DUMMYFUNCTION("""COMPUTED_VALUE"""),"")</f>
        <v/>
      </c>
      <c r="T83" s="61" t="str">
        <f>IFERROR(__xludf.DUMMYFUNCTION("""COMPUTED_VALUE"""),"")</f>
        <v/>
      </c>
      <c r="U83" s="111" t="str">
        <f>IFERROR(__xludf.DUMMYFUNCTION("""COMPUTED_VALUE"""),"")</f>
        <v/>
      </c>
      <c r="V83" s="88" t="str">
        <f>IFERROR(__xludf.DUMMYFUNCTION("""COMPUTED_VALUE"""),"")</f>
        <v/>
      </c>
      <c r="W83" s="62" t="str">
        <f>IFERROR(__xludf.DUMMYFUNCTION("""COMPUTED_VALUE"""),"")</f>
        <v/>
      </c>
      <c r="X83" s="62" t="str">
        <f>IFERROR(__xludf.DUMMYFUNCTION("""COMPUTED_VALUE"""),"")</f>
        <v/>
      </c>
      <c r="Y83" s="109" t="str">
        <f>IFERROR(__xludf.DUMMYFUNCTION("""COMPUTED_VALUE"""),"")</f>
        <v/>
      </c>
      <c r="Z83" s="113" t="str">
        <f>IFERROR(__xludf.DUMMYFUNCTION("""COMPUTED_VALUE"""),"")</f>
        <v/>
      </c>
      <c r="AA83" s="113" t="str">
        <f>IFERROR(__xludf.DUMMYFUNCTION("""COMPUTED_VALUE"""),"")</f>
        <v/>
      </c>
      <c r="AB83" s="71" t="str">
        <f>IFERROR(__xludf.DUMMYFUNCTION("""COMPUTED_VALUE"""),"")</f>
        <v/>
      </c>
    </row>
    <row r="84">
      <c r="A84" s="105">
        <f>IFERROR(__xludf.DUMMYFUNCTION("""COMPUTED_VALUE"""),45931.7501309838)</f>
        <v>45931.75013</v>
      </c>
      <c r="B84" s="71" t="str">
        <f>IFERROR(__xludf.DUMMYFUNCTION("""COMPUTED_VALUE"""),"Sarah Wilme")</f>
        <v>Sarah Wilme</v>
      </c>
      <c r="C84" s="71" t="b">
        <f>IFERROR(__xludf.DUMMYFUNCTION("""COMPUTED_VALUE"""),FALSE)</f>
        <v>0</v>
      </c>
      <c r="D84" s="132">
        <f>IFERROR(__xludf.DUMMYFUNCTION("""COMPUTED_VALUE"""),0.5319444444444444)</f>
        <v>0.5319444444</v>
      </c>
      <c r="E84" s="78">
        <f>IFERROR(__xludf.DUMMYFUNCTION("""COMPUTED_VALUE"""),0.09305555555555556)</f>
        <v>0.09305555556</v>
      </c>
      <c r="F84" s="132">
        <f>IFERROR(__xludf.DUMMYFUNCTION("""COMPUTED_VALUE"""),0.625)</f>
        <v>0.625</v>
      </c>
      <c r="G84" s="78">
        <f>IFERROR(__xludf.DUMMYFUNCTION("""COMPUTED_VALUE"""),0.15555555555555556)</f>
        <v>0.1555555556</v>
      </c>
      <c r="H84" s="110">
        <f>IFERROR(__xludf.DUMMYFUNCTION("""COMPUTED_VALUE"""),75.0)</f>
        <v>75</v>
      </c>
      <c r="I84" s="108">
        <f>IFERROR(__xludf.DUMMYFUNCTION("""COMPUTED_VALUE"""),20.089285714285715)</f>
        <v>20.08928571</v>
      </c>
      <c r="J84" s="71" t="str">
        <f>IFERROR(__xludf.DUMMYFUNCTION("""COMPUTED_VALUE"""),"Lunch")</f>
        <v>Lunch</v>
      </c>
      <c r="K84" s="106">
        <f>IFERROR(__xludf.DUMMYFUNCTION("""COMPUTED_VALUE"""),45931.0)</f>
        <v>45931</v>
      </c>
      <c r="L84" s="71" t="str">
        <f>IFERROR(__xludf.DUMMYFUNCTION("""COMPUTED_VALUE"""),"Wednesday")</f>
        <v>Wednesday</v>
      </c>
      <c r="M84" s="71" t="str">
        <f>IFERROR(__xludf.DUMMYFUNCTION("""COMPUTED_VALUE"""),"BF")</f>
        <v>BF</v>
      </c>
      <c r="N84" s="109">
        <f>IFERROR(__xludf.DUMMYFUNCTION("""COMPUTED_VALUE"""),0.5173553112730116)</f>
        <v>0.5173553113</v>
      </c>
      <c r="O84" s="71" t="str">
        <f>IFERROR(__xludf.DUMMYFUNCTION("""COMPUTED_VALUE"""),"")</f>
        <v/>
      </c>
      <c r="P84" s="71" t="str">
        <f>IFERROR(__xludf.DUMMYFUNCTION("""COMPUTED_VALUE"""),"")</f>
        <v/>
      </c>
      <c r="Q84" s="88" t="str">
        <f>IFERROR(__xludf.DUMMYFUNCTION("""COMPUTED_VALUE"""),"")</f>
        <v/>
      </c>
      <c r="R84" s="88" t="str">
        <f>IFERROR(__xludf.DUMMYFUNCTION("""COMPUTED_VALUE"""),"")</f>
        <v/>
      </c>
      <c r="S84" s="61" t="str">
        <f>IFERROR(__xludf.DUMMYFUNCTION("""COMPUTED_VALUE"""),"")</f>
        <v/>
      </c>
      <c r="T84" s="61" t="str">
        <f>IFERROR(__xludf.DUMMYFUNCTION("""COMPUTED_VALUE"""),"")</f>
        <v/>
      </c>
      <c r="U84" s="111" t="str">
        <f>IFERROR(__xludf.DUMMYFUNCTION("""COMPUTED_VALUE"""),"")</f>
        <v/>
      </c>
      <c r="V84" s="78" t="str">
        <f>IFERROR(__xludf.DUMMYFUNCTION("""COMPUTED_VALUE"""),"")</f>
        <v/>
      </c>
      <c r="W84" s="62" t="str">
        <f>IFERROR(__xludf.DUMMYFUNCTION("""COMPUTED_VALUE"""),"")</f>
        <v/>
      </c>
      <c r="X84" s="62" t="str">
        <f>IFERROR(__xludf.DUMMYFUNCTION("""COMPUTED_VALUE"""),"")</f>
        <v/>
      </c>
      <c r="Y84" s="109" t="str">
        <f>IFERROR(__xludf.DUMMYFUNCTION("""COMPUTED_VALUE"""),"")</f>
        <v/>
      </c>
      <c r="Z84" s="113" t="str">
        <f>IFERROR(__xludf.DUMMYFUNCTION("""COMPUTED_VALUE"""),"")</f>
        <v/>
      </c>
      <c r="AA84" s="113" t="str">
        <f>IFERROR(__xludf.DUMMYFUNCTION("""COMPUTED_VALUE"""),"")</f>
        <v/>
      </c>
      <c r="AB84" s="71" t="str">
        <f>IFERROR(__xludf.DUMMYFUNCTION("""COMPUTED_VALUE"""),"")</f>
        <v/>
      </c>
    </row>
    <row r="85">
      <c r="A85" s="105">
        <f>IFERROR(__xludf.DUMMYFUNCTION("""COMPUTED_VALUE"""),45931.7501309838)</f>
        <v>45931.75013</v>
      </c>
      <c r="B85" s="71" t="str">
        <f>IFERROR(__xludf.DUMMYFUNCTION("""COMPUTED_VALUE"""),"Sarah Wilme")</f>
        <v>Sarah Wilme</v>
      </c>
      <c r="C85" s="71" t="b">
        <f>IFERROR(__xludf.DUMMYFUNCTION("""COMPUTED_VALUE"""),TRUE)</f>
        <v>1</v>
      </c>
      <c r="D85" s="132">
        <f>IFERROR(__xludf.DUMMYFUNCTION("""COMPUTED_VALUE"""),0.6875)</f>
        <v>0.6875</v>
      </c>
      <c r="E85" s="78">
        <f>IFERROR(__xludf.DUMMYFUNCTION("""COMPUTED_VALUE"""),0.0625)</f>
        <v>0.0625</v>
      </c>
      <c r="F85" s="132">
        <f>IFERROR(__xludf.DUMMYFUNCTION("""COMPUTED_VALUE"""),0.75)</f>
        <v>0.75</v>
      </c>
      <c r="G85" s="78" t="str">
        <f>IFERROR(__xludf.DUMMYFUNCTION("""COMPUTED_VALUE"""),"")</f>
        <v/>
      </c>
      <c r="H85" s="110">
        <f>IFERROR(__xludf.DUMMYFUNCTION("""COMPUTED_VALUE"""),75.0)</f>
        <v>75</v>
      </c>
      <c r="I85" s="108" t="str">
        <f>IFERROR(__xludf.DUMMYFUNCTION("""COMPUTED_VALUE"""),"")</f>
        <v/>
      </c>
      <c r="J85" s="71" t="str">
        <f>IFERROR(__xludf.DUMMYFUNCTION("""COMPUTED_VALUE"""),"Dinner")</f>
        <v>Dinner</v>
      </c>
      <c r="K85" s="106">
        <f>IFERROR(__xludf.DUMMYFUNCTION("""COMPUTED_VALUE"""),45931.0)</f>
        <v>45931</v>
      </c>
      <c r="L85" s="71" t="str">
        <f>IFERROR(__xludf.DUMMYFUNCTION("""COMPUTED_VALUE"""),"Wednesday")</f>
        <v>Wednesday</v>
      </c>
      <c r="M85" s="71" t="str">
        <f>IFERROR(__xludf.DUMMYFUNCTION("""COMPUTED_VALUE"""),"BF")</f>
        <v>BF</v>
      </c>
      <c r="N85" s="109" t="str">
        <f>IFERROR(__xludf.DUMMYFUNCTION("""COMPUTED_VALUE"""),"")</f>
        <v/>
      </c>
      <c r="O85" s="71" t="str">
        <f>IFERROR(__xludf.DUMMYFUNCTION("""COMPUTED_VALUE"""),"")</f>
        <v/>
      </c>
      <c r="P85" s="71" t="str">
        <f>IFERROR(__xludf.DUMMYFUNCTION("""COMPUTED_VALUE"""),"")</f>
        <v/>
      </c>
      <c r="Q85" s="88" t="str">
        <f>IFERROR(__xludf.DUMMYFUNCTION("""COMPUTED_VALUE"""),"")</f>
        <v/>
      </c>
      <c r="R85" s="88" t="str">
        <f>IFERROR(__xludf.DUMMYFUNCTION("""COMPUTED_VALUE"""),"")</f>
        <v/>
      </c>
      <c r="S85" s="61" t="str">
        <f>IFERROR(__xludf.DUMMYFUNCTION("""COMPUTED_VALUE"""),"")</f>
        <v/>
      </c>
      <c r="T85" s="61" t="str">
        <f>IFERROR(__xludf.DUMMYFUNCTION("""COMPUTED_VALUE"""),"")</f>
        <v/>
      </c>
      <c r="U85" s="111" t="str">
        <f>IFERROR(__xludf.DUMMYFUNCTION("""COMPUTED_VALUE"""),"")</f>
        <v/>
      </c>
      <c r="V85" s="78" t="str">
        <f>IFERROR(__xludf.DUMMYFUNCTION("""COMPUTED_VALUE"""),"")</f>
        <v/>
      </c>
      <c r="W85" s="62" t="str">
        <f>IFERROR(__xludf.DUMMYFUNCTION("""COMPUTED_VALUE"""),"")</f>
        <v/>
      </c>
      <c r="X85" s="62" t="str">
        <f>IFERROR(__xludf.DUMMYFUNCTION("""COMPUTED_VALUE"""),"")</f>
        <v/>
      </c>
      <c r="Y85" s="109" t="str">
        <f>IFERROR(__xludf.DUMMYFUNCTION("""COMPUTED_VALUE"""),"")</f>
        <v/>
      </c>
      <c r="Z85" s="113" t="str">
        <f>IFERROR(__xludf.DUMMYFUNCTION("""COMPUTED_VALUE"""),"")</f>
        <v/>
      </c>
      <c r="AA85" s="113" t="str">
        <f>IFERROR(__xludf.DUMMYFUNCTION("""COMPUTED_VALUE"""),"")</f>
        <v/>
      </c>
      <c r="AB85" s="71" t="str">
        <f>IFERROR(__xludf.DUMMYFUNCTION("""COMPUTED_VALUE"""),"")</f>
        <v/>
      </c>
    </row>
    <row r="86">
      <c r="A86" s="105">
        <f>IFERROR(__xludf.DUMMYFUNCTION("""COMPUTED_VALUE"""),45931.782387060186)</f>
        <v>45931.78239</v>
      </c>
      <c r="B86" s="71" t="str">
        <f>IFERROR(__xludf.DUMMYFUNCTION("""COMPUTED_VALUE"""),"Emma Korsu")</f>
        <v>Emma Korsu</v>
      </c>
      <c r="C86" s="71" t="b">
        <f>IFERROR(__xludf.DUMMYFUNCTION("""COMPUTED_VALUE"""),FALSE)</f>
        <v>0</v>
      </c>
      <c r="D86" s="132">
        <f>IFERROR(__xludf.DUMMYFUNCTION("""COMPUTED_VALUE"""),0.7493055555532919)</f>
        <v>0.7493055556</v>
      </c>
      <c r="E86" s="78">
        <f>IFERROR(__xludf.DUMMYFUNCTION("""COMPUTED_VALUE"""),0.031944444446708076)</f>
        <v>0.03194444445</v>
      </c>
      <c r="F86" s="132">
        <f>IFERROR(__xludf.DUMMYFUNCTION("""COMPUTED_VALUE"""),0.78125)</f>
        <v>0.78125</v>
      </c>
      <c r="G86" s="78">
        <f>IFERROR(__xludf.DUMMYFUNCTION("""COMPUTED_VALUE"""),0.10902777778327521)</f>
        <v>0.1090277778</v>
      </c>
      <c r="H86" s="110">
        <f>IFERROR(__xludf.DUMMYFUNCTION("""COMPUTED_VALUE"""),33.0)</f>
        <v>33</v>
      </c>
      <c r="I86" s="108">
        <f>IFERROR(__xludf.DUMMYFUNCTION("""COMPUTED_VALUE"""),12.611464967516966)</f>
        <v>12.61146497</v>
      </c>
      <c r="J86" s="71" t="str">
        <f>IFERROR(__xludf.DUMMYFUNCTION("""COMPUTED_VALUE"""),"Dinner")</f>
        <v>Dinner</v>
      </c>
      <c r="K86" s="106">
        <f>IFERROR(__xludf.DUMMYFUNCTION("""COMPUTED_VALUE"""),45931.0)</f>
        <v>45931</v>
      </c>
      <c r="L86" s="71" t="str">
        <f>IFERROR(__xludf.DUMMYFUNCTION("""COMPUTED_VALUE"""),"Wednesday")</f>
        <v>Wednesday</v>
      </c>
      <c r="M86" s="71" t="str">
        <f>IFERROR(__xludf.DUMMYFUNCTION("""COMPUTED_VALUE"""),"BF")</f>
        <v>BF</v>
      </c>
      <c r="N86" s="109">
        <f>IFERROR(__xludf.DUMMYFUNCTION("""COMPUTED_VALUE"""),0.297626347183801)</f>
        <v>0.2976263472</v>
      </c>
      <c r="O86" s="71" t="str">
        <f>IFERROR(__xludf.DUMMYFUNCTION("""COMPUTED_VALUE"""),"")</f>
        <v/>
      </c>
      <c r="P86" s="71" t="str">
        <f>IFERROR(__xludf.DUMMYFUNCTION("""COMPUTED_VALUE"""),"")</f>
        <v/>
      </c>
      <c r="Q86" s="88" t="str">
        <f>IFERROR(__xludf.DUMMYFUNCTION("""COMPUTED_VALUE"""),"")</f>
        <v/>
      </c>
      <c r="R86" s="88" t="str">
        <f>IFERROR(__xludf.DUMMYFUNCTION("""COMPUTED_VALUE"""),"")</f>
        <v/>
      </c>
      <c r="S86" s="61" t="str">
        <f>IFERROR(__xludf.DUMMYFUNCTION("""COMPUTED_VALUE"""),"")</f>
        <v/>
      </c>
      <c r="T86" s="61" t="str">
        <f>IFERROR(__xludf.DUMMYFUNCTION("""COMPUTED_VALUE"""),"")</f>
        <v/>
      </c>
      <c r="U86" s="111" t="str">
        <f>IFERROR(__xludf.DUMMYFUNCTION("""COMPUTED_VALUE"""),"")</f>
        <v/>
      </c>
      <c r="V86" s="78" t="str">
        <f>IFERROR(__xludf.DUMMYFUNCTION("""COMPUTED_VALUE"""),"")</f>
        <v/>
      </c>
      <c r="W86" s="62" t="str">
        <f>IFERROR(__xludf.DUMMYFUNCTION("""COMPUTED_VALUE"""),"")</f>
        <v/>
      </c>
      <c r="X86" s="62" t="str">
        <f>IFERROR(__xludf.DUMMYFUNCTION("""COMPUTED_VALUE"""),"")</f>
        <v/>
      </c>
      <c r="Y86" s="109" t="str">
        <f>IFERROR(__xludf.DUMMYFUNCTION("""COMPUTED_VALUE"""),"")</f>
        <v/>
      </c>
      <c r="Z86" s="113" t="str">
        <f>IFERROR(__xludf.DUMMYFUNCTION("""COMPUTED_VALUE"""),"")</f>
        <v/>
      </c>
      <c r="AA86" s="113" t="str">
        <f>IFERROR(__xludf.DUMMYFUNCTION("""COMPUTED_VALUE"""),"")</f>
        <v/>
      </c>
      <c r="AB86" s="71" t="str">
        <f>IFERROR(__xludf.DUMMYFUNCTION("""COMPUTED_VALUE"""),"")</f>
        <v/>
      </c>
    </row>
    <row r="87">
      <c r="A87" s="105">
        <f>IFERROR(__xludf.DUMMYFUNCTION("""COMPUTED_VALUE"""),45931.862662534724)</f>
        <v>45931.86266</v>
      </c>
      <c r="B87" s="71" t="str">
        <f>IFERROR(__xludf.DUMMYFUNCTION("""COMPUTED_VALUE"""),"Emma Korsu")</f>
        <v>Emma Korsu</v>
      </c>
      <c r="C87" s="71" t="b">
        <f>IFERROR(__xludf.DUMMYFUNCTION("""COMPUTED_VALUE"""),TRUE)</f>
        <v>1</v>
      </c>
      <c r="D87" s="132">
        <f>IFERROR(__xludf.DUMMYFUNCTION("""COMPUTED_VALUE"""),0.7847222222189885)</f>
        <v>0.7847222222</v>
      </c>
      <c r="E87" s="78">
        <f>IFERROR(__xludf.DUMMYFUNCTION("""COMPUTED_VALUE"""),0.07708333333656714)</f>
        <v>0.07708333334</v>
      </c>
      <c r="F87" s="132">
        <f>IFERROR(__xludf.DUMMYFUNCTION("""COMPUTED_VALUE"""),0.8618055555555556)</f>
        <v>0.8618055556</v>
      </c>
      <c r="G87" s="78" t="str">
        <f>IFERROR(__xludf.DUMMYFUNCTION("""COMPUTED_VALUE"""),"")</f>
        <v/>
      </c>
      <c r="H87" s="110">
        <f>IFERROR(__xludf.DUMMYFUNCTION("""COMPUTED_VALUE"""),65.0)</f>
        <v>65</v>
      </c>
      <c r="I87" s="108" t="str">
        <f>IFERROR(__xludf.DUMMYFUNCTION("""COMPUTED_VALUE"""),"")</f>
        <v/>
      </c>
      <c r="J87" s="71" t="str">
        <f>IFERROR(__xludf.DUMMYFUNCTION("""COMPUTED_VALUE"""),"Dinner")</f>
        <v>Dinner</v>
      </c>
      <c r="K87" s="106">
        <f>IFERROR(__xludf.DUMMYFUNCTION("""COMPUTED_VALUE"""),45931.0)</f>
        <v>45931</v>
      </c>
      <c r="L87" s="71" t="str">
        <f>IFERROR(__xludf.DUMMYFUNCTION("""COMPUTED_VALUE"""),"Wednesday")</f>
        <v>Wednesday</v>
      </c>
      <c r="M87" s="71" t="str">
        <f>IFERROR(__xludf.DUMMYFUNCTION("""COMPUTED_VALUE"""),"BF")</f>
        <v>BF</v>
      </c>
      <c r="N87" s="109" t="str">
        <f>IFERROR(__xludf.DUMMYFUNCTION("""COMPUTED_VALUE"""),"")</f>
        <v/>
      </c>
      <c r="O87" s="71" t="str">
        <f>IFERROR(__xludf.DUMMYFUNCTION("""COMPUTED_VALUE"""),"")</f>
        <v/>
      </c>
      <c r="P87" s="71" t="str">
        <f>IFERROR(__xludf.DUMMYFUNCTION("""COMPUTED_VALUE"""),"")</f>
        <v/>
      </c>
      <c r="Q87" s="88" t="str">
        <f>IFERROR(__xludf.DUMMYFUNCTION("""COMPUTED_VALUE"""),"")</f>
        <v/>
      </c>
      <c r="R87" s="88" t="str">
        <f>IFERROR(__xludf.DUMMYFUNCTION("""COMPUTED_VALUE"""),"")</f>
        <v/>
      </c>
      <c r="S87" s="61" t="str">
        <f>IFERROR(__xludf.DUMMYFUNCTION("""COMPUTED_VALUE"""),"")</f>
        <v/>
      </c>
      <c r="T87" s="61" t="str">
        <f>IFERROR(__xludf.DUMMYFUNCTION("""COMPUTED_VALUE"""),"")</f>
        <v/>
      </c>
      <c r="U87" s="111" t="str">
        <f>IFERROR(__xludf.DUMMYFUNCTION("""COMPUTED_VALUE"""),"")</f>
        <v/>
      </c>
      <c r="V87" s="88" t="str">
        <f>IFERROR(__xludf.DUMMYFUNCTION("""COMPUTED_VALUE"""),"")</f>
        <v/>
      </c>
      <c r="W87" s="62" t="str">
        <f>IFERROR(__xludf.DUMMYFUNCTION("""COMPUTED_VALUE"""),"")</f>
        <v/>
      </c>
      <c r="X87" s="62" t="str">
        <f>IFERROR(__xludf.DUMMYFUNCTION("""COMPUTED_VALUE"""),"")</f>
        <v/>
      </c>
      <c r="Y87" s="109" t="str">
        <f>IFERROR(__xludf.DUMMYFUNCTION("""COMPUTED_VALUE"""),"")</f>
        <v/>
      </c>
      <c r="Z87" s="113" t="str">
        <f>IFERROR(__xludf.DUMMYFUNCTION("""COMPUTED_VALUE"""),"")</f>
        <v/>
      </c>
      <c r="AA87" s="113" t="str">
        <f>IFERROR(__xludf.DUMMYFUNCTION("""COMPUTED_VALUE"""),"")</f>
        <v/>
      </c>
      <c r="AB87" s="71" t="str">
        <f>IFERROR(__xludf.DUMMYFUNCTION("""COMPUTED_VALUE"""),"")</f>
        <v/>
      </c>
      <c r="AC87" s="62"/>
      <c r="AD87" s="62"/>
      <c r="AE87" s="62"/>
    </row>
    <row r="88">
      <c r="A88" s="105">
        <f>IFERROR(__xludf.DUMMYFUNCTION("""COMPUTED_VALUE"""),45932.45394765046)</f>
        <v>45932.45395</v>
      </c>
      <c r="B88" s="71" t="str">
        <f>IFERROR(__xludf.DUMMYFUNCTION("""COMPUTED_VALUE"""),"Kaylie Forgue")</f>
        <v>Kaylie Forgue</v>
      </c>
      <c r="C88" s="71" t="b">
        <f>IFERROR(__xludf.DUMMYFUNCTION("""COMPUTED_VALUE"""),FALSE)</f>
        <v>0</v>
      </c>
      <c r="D88" s="132">
        <f>IFERROR(__xludf.DUMMYFUNCTION("""COMPUTED_VALUE"""),0.7465277777810115)</f>
        <v>0.7465277778</v>
      </c>
      <c r="E88" s="78">
        <f>IFERROR(__xludf.DUMMYFUNCTION("""COMPUTED_VALUE"""),0.12152777777373558)</f>
        <v>0.1215277778</v>
      </c>
      <c r="F88" s="132">
        <f>IFERROR(__xludf.DUMMYFUNCTION("""COMPUTED_VALUE"""),0.8680555555547471)</f>
        <v>0.8680555556</v>
      </c>
      <c r="G88" s="78">
        <f>IFERROR(__xludf.DUMMYFUNCTION("""COMPUTED_VALUE"""),0.12152777777373558)</f>
        <v>0.1215277778</v>
      </c>
      <c r="H88" s="110">
        <f>IFERROR(__xludf.DUMMYFUNCTION("""COMPUTED_VALUE"""),126.0)</f>
        <v>126</v>
      </c>
      <c r="I88" s="108">
        <f>IFERROR(__xludf.DUMMYFUNCTION("""COMPUTED_VALUE"""),43.2000000014369)</f>
        <v>43.2</v>
      </c>
      <c r="J88" s="71" t="str">
        <f>IFERROR(__xludf.DUMMYFUNCTION("""COMPUTED_VALUE"""),"Dinner")</f>
        <v>Dinner</v>
      </c>
      <c r="K88" s="106">
        <f>IFERROR(__xludf.DUMMYFUNCTION("""COMPUTED_VALUE"""),45931.0)</f>
        <v>45931</v>
      </c>
      <c r="L88" s="71" t="str">
        <f>IFERROR(__xludf.DUMMYFUNCTION("""COMPUTED_VALUE"""),"Wednesday")</f>
        <v>Wednesday</v>
      </c>
      <c r="M88" s="71" t="str">
        <f>IFERROR(__xludf.DUMMYFUNCTION("""COMPUTED_VALUE"""),"MF")</f>
        <v>MF</v>
      </c>
      <c r="N88" s="109">
        <f>IFERROR(__xludf.DUMMYFUNCTION("""COMPUTED_VALUE"""),0.8512554019369314)</f>
        <v>0.8512554019</v>
      </c>
      <c r="O88" s="71">
        <f>IFERROR(__xludf.DUMMYFUNCTION("""COMPUTED_VALUE"""),276.0)</f>
        <v>276</v>
      </c>
      <c r="P88" s="71">
        <f>IFERROR(__xludf.DUMMYFUNCTION("""COMPUTED_VALUE"""),248.0)</f>
        <v>248</v>
      </c>
      <c r="Q88" s="88">
        <f>IFERROR(__xludf.DUMMYFUNCTION("""COMPUTED_VALUE"""),0.24027777777519077)</f>
        <v>0.2402777778</v>
      </c>
      <c r="R88" s="88">
        <f>IFERROR(__xludf.DUMMYFUNCTION("""COMPUTED_VALUE"""),0.2645833333388308)</f>
        <v>0.2645833333</v>
      </c>
      <c r="S88" s="61">
        <f>IFERROR(__xludf.DUMMYFUNCTION("""COMPUTED_VALUE"""),37.00833333358716)</f>
        <v>37.00833333</v>
      </c>
      <c r="T88" s="61">
        <f>IFERROR(__xludf.DUMMYFUNCTION("""COMPUTED_VALUE"""),16.35037534090134)</f>
        <v>16.35037534</v>
      </c>
      <c r="U88" s="111">
        <f>IFERROR(__xludf.DUMMYFUNCTION("""COMPUTED_VALUE"""),524.0)</f>
        <v>524</v>
      </c>
      <c r="V88" s="78">
        <f>IFERROR(__xludf.DUMMYFUNCTION("""COMPUTED_VALUE"""),0.5048611111140215)</f>
        <v>0.5048611111</v>
      </c>
      <c r="W88" s="62">
        <f>IFERROR(__xludf.DUMMYFUNCTION("""COMPUTED_VALUE"""),43.24621733125001)</f>
        <v>43.24621733</v>
      </c>
      <c r="X88" s="62">
        <f>IFERROR(__xludf.DUMMYFUNCTION("""COMPUTED_VALUE"""),28.74515013651283)</f>
        <v>28.74515014</v>
      </c>
      <c r="Y88" s="109">
        <f>IFERROR(__xludf.DUMMYFUNCTION("""COMPUTED_VALUE"""),0.38993513853549366)</f>
        <v>0.3899351385</v>
      </c>
      <c r="Z88" s="113">
        <f>IFERROR(__xludf.DUMMYFUNCTION("""COMPUTED_VALUE"""),4566.0)</f>
        <v>4566</v>
      </c>
      <c r="AA88" s="113">
        <f>IFERROR(__xludf.DUMMYFUNCTION("""COMPUTED_VALUE"""),3778.0)</f>
        <v>3778</v>
      </c>
      <c r="AB88" s="113">
        <f>IFERROR(__xludf.DUMMYFUNCTION("""COMPUTED_VALUE"""),8344.0)</f>
        <v>8344</v>
      </c>
    </row>
    <row r="89">
      <c r="A89" s="105">
        <f>IFERROR(__xludf.DUMMYFUNCTION("""COMPUTED_VALUE"""),45932.44201378472)</f>
        <v>45932.44201</v>
      </c>
      <c r="B89" s="71" t="str">
        <f>IFERROR(__xludf.DUMMYFUNCTION("""COMPUTED_VALUE"""),"Evan Morgan")</f>
        <v>Evan Morgan</v>
      </c>
      <c r="C89" s="71" t="b">
        <f>IFERROR(__xludf.DUMMYFUNCTION("""COMPUTED_VALUE"""),FALSE)</f>
        <v>0</v>
      </c>
      <c r="D89" s="132">
        <f>IFERROR(__xludf.DUMMYFUNCTION("""COMPUTED_VALUE"""),0.29166666666424135)</f>
        <v>0.2916666667</v>
      </c>
      <c r="E89" s="78">
        <f>IFERROR(__xludf.DUMMYFUNCTION("""COMPUTED_VALUE"""),0.11805555555474712)</f>
        <v>0.1180555556</v>
      </c>
      <c r="F89" s="132">
        <f>IFERROR(__xludf.DUMMYFUNCTION("""COMPUTED_VALUE"""),0.40972222221898846)</f>
        <v>0.4097222222</v>
      </c>
      <c r="G89" s="78">
        <f>IFERROR(__xludf.DUMMYFUNCTION("""COMPUTED_VALUE"""),0.1354166666715173)</f>
        <v>0.1354166667</v>
      </c>
      <c r="H89" s="110">
        <f>IFERROR(__xludf.DUMMYFUNCTION("""COMPUTED_VALUE"""),78.0)</f>
        <v>78</v>
      </c>
      <c r="I89" s="108">
        <f>IFERROR(__xludf.DUMMYFUNCTION("""COMPUTED_VALUE"""),23.999999999140318)</f>
        <v>24</v>
      </c>
      <c r="J89" s="71" t="str">
        <f>IFERROR(__xludf.DUMMYFUNCTION("""COMPUTED_VALUE"""),"Breakfast")</f>
        <v>Breakfast</v>
      </c>
      <c r="K89" s="106">
        <f>IFERROR(__xludf.DUMMYFUNCTION("""COMPUTED_VALUE"""),45932.0)</f>
        <v>45932</v>
      </c>
      <c r="L89" s="71" t="str">
        <f>IFERROR(__xludf.DUMMYFUNCTION("""COMPUTED_VALUE"""),"Thursday")</f>
        <v>Thursday</v>
      </c>
      <c r="M89" s="71" t="str">
        <f>IFERROR(__xludf.DUMMYFUNCTION("""COMPUTED_VALUE"""),"BF")</f>
        <v>BF</v>
      </c>
      <c r="N89" s="109">
        <f>IFERROR(__xludf.DUMMYFUNCTION("""COMPUTED_VALUE"""),1.0164281745543278)</f>
        <v>1.016428175</v>
      </c>
      <c r="O89" s="71" t="str">
        <f>IFERROR(__xludf.DUMMYFUNCTION("""COMPUTED_VALUE"""),"")</f>
        <v/>
      </c>
      <c r="P89" s="71" t="str">
        <f>IFERROR(__xludf.DUMMYFUNCTION("""COMPUTED_VALUE"""),"")</f>
        <v/>
      </c>
      <c r="Q89" s="88" t="str">
        <f>IFERROR(__xludf.DUMMYFUNCTION("""COMPUTED_VALUE"""),"")</f>
        <v/>
      </c>
      <c r="R89" s="88" t="str">
        <f>IFERROR(__xludf.DUMMYFUNCTION("""COMPUTED_VALUE"""),"")</f>
        <v/>
      </c>
      <c r="S89" s="61" t="str">
        <f>IFERROR(__xludf.DUMMYFUNCTION("""COMPUTED_VALUE"""),"")</f>
        <v/>
      </c>
      <c r="T89" s="61" t="str">
        <f>IFERROR(__xludf.DUMMYFUNCTION("""COMPUTED_VALUE"""),"")</f>
        <v/>
      </c>
      <c r="U89" s="111" t="str">
        <f>IFERROR(__xludf.DUMMYFUNCTION("""COMPUTED_VALUE"""),"")</f>
        <v/>
      </c>
      <c r="V89" s="78" t="str">
        <f>IFERROR(__xludf.DUMMYFUNCTION("""COMPUTED_VALUE"""),"")</f>
        <v/>
      </c>
      <c r="W89" s="62" t="str">
        <f>IFERROR(__xludf.DUMMYFUNCTION("""COMPUTED_VALUE"""),"")</f>
        <v/>
      </c>
      <c r="X89" s="62" t="str">
        <f>IFERROR(__xludf.DUMMYFUNCTION("""COMPUTED_VALUE"""),"")</f>
        <v/>
      </c>
      <c r="Y89" s="109" t="str">
        <f>IFERROR(__xludf.DUMMYFUNCTION("""COMPUTED_VALUE"""),"")</f>
        <v/>
      </c>
      <c r="Z89" s="113" t="str">
        <f>IFERROR(__xludf.DUMMYFUNCTION("""COMPUTED_VALUE"""),"")</f>
        <v/>
      </c>
      <c r="AA89" s="113" t="str">
        <f>IFERROR(__xludf.DUMMYFUNCTION("""COMPUTED_VALUE"""),"")</f>
        <v/>
      </c>
      <c r="AB89" s="71" t="str">
        <f>IFERROR(__xludf.DUMMYFUNCTION("""COMPUTED_VALUE"""),"")</f>
        <v/>
      </c>
    </row>
    <row r="90">
      <c r="A90" s="105">
        <f>IFERROR(__xludf.DUMMYFUNCTION("""COMPUTED_VALUE"""),45932.44268378472)</f>
        <v>45932.44268</v>
      </c>
      <c r="B90" s="71" t="str">
        <f>IFERROR(__xludf.DUMMYFUNCTION("""COMPUTED_VALUE"""),"Evan Morgan")</f>
        <v>Evan Morgan</v>
      </c>
      <c r="C90" s="71" t="b">
        <f>IFERROR(__xludf.DUMMYFUNCTION("""COMPUTED_VALUE"""),TRUE)</f>
        <v>1</v>
      </c>
      <c r="D90" s="132">
        <f>IFERROR(__xludf.DUMMYFUNCTION("""COMPUTED_VALUE"""),0.41666666666424135)</f>
        <v>0.4166666667</v>
      </c>
      <c r="E90" s="78">
        <f>IFERROR(__xludf.DUMMYFUNCTION("""COMPUTED_VALUE"""),0.01736111111677019)</f>
        <v>0.01736111112</v>
      </c>
      <c r="F90" s="132">
        <f>IFERROR(__xludf.DUMMYFUNCTION("""COMPUTED_VALUE"""),0.43402777778101154)</f>
        <v>0.4340277778</v>
      </c>
      <c r="G90" s="78" t="str">
        <f>IFERROR(__xludf.DUMMYFUNCTION("""COMPUTED_VALUE"""),"")</f>
        <v/>
      </c>
      <c r="H90" s="110">
        <f>IFERROR(__xludf.DUMMYFUNCTION("""COMPUTED_VALUE"""),18.0)</f>
        <v>18</v>
      </c>
      <c r="I90" s="108" t="str">
        <f>IFERROR(__xludf.DUMMYFUNCTION("""COMPUTED_VALUE"""),"")</f>
        <v/>
      </c>
      <c r="J90" s="71" t="str">
        <f>IFERROR(__xludf.DUMMYFUNCTION("""COMPUTED_VALUE"""),"Breakfast")</f>
        <v>Breakfast</v>
      </c>
      <c r="K90" s="106">
        <f>IFERROR(__xludf.DUMMYFUNCTION("""COMPUTED_VALUE"""),45932.0)</f>
        <v>45932</v>
      </c>
      <c r="L90" s="71" t="str">
        <f>IFERROR(__xludf.DUMMYFUNCTION("""COMPUTED_VALUE"""),"Thursday")</f>
        <v>Thursday</v>
      </c>
      <c r="M90" s="71" t="str">
        <f>IFERROR(__xludf.DUMMYFUNCTION("""COMPUTED_VALUE"""),"BF")</f>
        <v>BF</v>
      </c>
      <c r="N90" s="109" t="str">
        <f>IFERROR(__xludf.DUMMYFUNCTION("""COMPUTED_VALUE"""),"")</f>
        <v/>
      </c>
      <c r="O90" s="71" t="str">
        <f>IFERROR(__xludf.DUMMYFUNCTION("""COMPUTED_VALUE"""),"")</f>
        <v/>
      </c>
      <c r="P90" s="71" t="str">
        <f>IFERROR(__xludf.DUMMYFUNCTION("""COMPUTED_VALUE"""),"")</f>
        <v/>
      </c>
      <c r="Q90" s="88" t="str">
        <f>IFERROR(__xludf.DUMMYFUNCTION("""COMPUTED_VALUE"""),"")</f>
        <v/>
      </c>
      <c r="R90" s="88" t="str">
        <f>IFERROR(__xludf.DUMMYFUNCTION("""COMPUTED_VALUE"""),"")</f>
        <v/>
      </c>
      <c r="S90" s="61" t="str">
        <f>IFERROR(__xludf.DUMMYFUNCTION("""COMPUTED_VALUE"""),"")</f>
        <v/>
      </c>
      <c r="T90" s="61" t="str">
        <f>IFERROR(__xludf.DUMMYFUNCTION("""COMPUTED_VALUE"""),"")</f>
        <v/>
      </c>
      <c r="U90" s="111" t="str">
        <f>IFERROR(__xludf.DUMMYFUNCTION("""COMPUTED_VALUE"""),"")</f>
        <v/>
      </c>
      <c r="V90" s="78" t="str">
        <f>IFERROR(__xludf.DUMMYFUNCTION("""COMPUTED_VALUE"""),"")</f>
        <v/>
      </c>
      <c r="W90" s="62" t="str">
        <f>IFERROR(__xludf.DUMMYFUNCTION("""COMPUTED_VALUE"""),"")</f>
        <v/>
      </c>
      <c r="X90" s="62" t="str">
        <f>IFERROR(__xludf.DUMMYFUNCTION("""COMPUTED_VALUE"""),"")</f>
        <v/>
      </c>
      <c r="Y90" s="109" t="str">
        <f>IFERROR(__xludf.DUMMYFUNCTION("""COMPUTED_VALUE"""),"")</f>
        <v/>
      </c>
      <c r="Z90" s="113" t="str">
        <f>IFERROR(__xludf.DUMMYFUNCTION("""COMPUTED_VALUE"""),"")</f>
        <v/>
      </c>
      <c r="AA90" s="113" t="str">
        <f>IFERROR(__xludf.DUMMYFUNCTION("""COMPUTED_VALUE"""),"")</f>
        <v/>
      </c>
      <c r="AB90" s="71" t="str">
        <f>IFERROR(__xludf.DUMMYFUNCTION("""COMPUTED_VALUE"""),"")</f>
        <v/>
      </c>
    </row>
    <row r="91">
      <c r="A91" s="105">
        <f>IFERROR(__xludf.DUMMYFUNCTION("""COMPUTED_VALUE"""),45932.560558032405)</f>
        <v>45932.56056</v>
      </c>
      <c r="B91" s="71" t="str">
        <f>IFERROR(__xludf.DUMMYFUNCTION("""COMPUTED_VALUE"""),"Maureen Surgot")</f>
        <v>Maureen Surgot</v>
      </c>
      <c r="C91" s="71" t="b">
        <f>IFERROR(__xludf.DUMMYFUNCTION("""COMPUTED_VALUE"""),FALSE)</f>
        <v>0</v>
      </c>
      <c r="D91" s="132">
        <f>IFERROR(__xludf.DUMMYFUNCTION("""COMPUTED_VALUE"""),0.47916666666424135)</f>
        <v>0.4791666667</v>
      </c>
      <c r="E91" s="78">
        <f>IFERROR(__xludf.DUMMYFUNCTION("""COMPUTED_VALUE"""),0.08333333333575865)</f>
        <v>0.08333333334</v>
      </c>
      <c r="F91" s="132">
        <f>IFERROR(__xludf.DUMMYFUNCTION("""COMPUTED_VALUE"""),0.5625)</f>
        <v>0.5625</v>
      </c>
      <c r="G91" s="78">
        <f>IFERROR(__xludf.DUMMYFUNCTION("""COMPUTED_VALUE"""),0.08333333333575865)</f>
        <v>0.08333333334</v>
      </c>
      <c r="H91" s="110">
        <f>IFERROR(__xludf.DUMMYFUNCTION("""COMPUTED_VALUE"""),83.0)</f>
        <v>83</v>
      </c>
      <c r="I91" s="108">
        <f>IFERROR(__xludf.DUMMYFUNCTION("""COMPUTED_VALUE"""),41.49999999879219)</f>
        <v>41.5</v>
      </c>
      <c r="J91" s="71" t="str">
        <f>IFERROR(__xludf.DUMMYFUNCTION("""COMPUTED_VALUE"""),"Lunch")</f>
        <v>Lunch</v>
      </c>
      <c r="K91" s="106">
        <f>IFERROR(__xludf.DUMMYFUNCTION("""COMPUTED_VALUE"""),45932.0)</f>
        <v>45932</v>
      </c>
      <c r="L91" s="71" t="str">
        <f>IFERROR(__xludf.DUMMYFUNCTION("""COMPUTED_VALUE"""),"Thursday")</f>
        <v>Thursday</v>
      </c>
      <c r="M91" s="71" t="str">
        <f>IFERROR(__xludf.DUMMYFUNCTION("""COMPUTED_VALUE"""),"MF")</f>
        <v>MF</v>
      </c>
      <c r="N91" s="109">
        <f>IFERROR(__xludf.DUMMYFUNCTION("""COMPUTED_VALUE"""),0.8629859940864314)</f>
        <v>0.8629859941</v>
      </c>
      <c r="O91" s="71" t="str">
        <f>IFERROR(__xludf.DUMMYFUNCTION("""COMPUTED_VALUE"""),"")</f>
        <v/>
      </c>
      <c r="P91" s="71" t="str">
        <f>IFERROR(__xludf.DUMMYFUNCTION("""COMPUTED_VALUE"""),"")</f>
        <v/>
      </c>
      <c r="Q91" s="88" t="str">
        <f>IFERROR(__xludf.DUMMYFUNCTION("""COMPUTED_VALUE"""),"")</f>
        <v/>
      </c>
      <c r="R91" s="88" t="str">
        <f>IFERROR(__xludf.DUMMYFUNCTION("""COMPUTED_VALUE"""),"")</f>
        <v/>
      </c>
      <c r="S91" s="61" t="str">
        <f>IFERROR(__xludf.DUMMYFUNCTION("""COMPUTED_VALUE"""),"")</f>
        <v/>
      </c>
      <c r="T91" s="61" t="str">
        <f>IFERROR(__xludf.DUMMYFUNCTION("""COMPUTED_VALUE"""),"")</f>
        <v/>
      </c>
      <c r="U91" s="111" t="str">
        <f>IFERROR(__xludf.DUMMYFUNCTION("""COMPUTED_VALUE"""),"")</f>
        <v/>
      </c>
      <c r="V91" s="88" t="str">
        <f>IFERROR(__xludf.DUMMYFUNCTION("""COMPUTED_VALUE"""),"")</f>
        <v/>
      </c>
      <c r="W91" s="62" t="str">
        <f>IFERROR(__xludf.DUMMYFUNCTION("""COMPUTED_VALUE"""),"")</f>
        <v/>
      </c>
      <c r="X91" s="62" t="str">
        <f>IFERROR(__xludf.DUMMYFUNCTION("""COMPUTED_VALUE"""),"")</f>
        <v/>
      </c>
      <c r="Y91" s="109" t="str">
        <f>IFERROR(__xludf.DUMMYFUNCTION("""COMPUTED_VALUE"""),"")</f>
        <v/>
      </c>
      <c r="Z91" s="113" t="str">
        <f>IFERROR(__xludf.DUMMYFUNCTION("""COMPUTED_VALUE"""),"")</f>
        <v/>
      </c>
      <c r="AA91" s="113" t="str">
        <f>IFERROR(__xludf.DUMMYFUNCTION("""COMPUTED_VALUE"""),"")</f>
        <v/>
      </c>
      <c r="AB91" s="71" t="str">
        <f>IFERROR(__xludf.DUMMYFUNCTION("""COMPUTED_VALUE"""),"")</f>
        <v/>
      </c>
    </row>
    <row r="92">
      <c r="A92" s="105">
        <f>IFERROR(__xludf.DUMMYFUNCTION("""COMPUTED_VALUE"""),45932.63620483797)</f>
        <v>45932.6362</v>
      </c>
      <c r="B92" s="71" t="str">
        <f>IFERROR(__xludf.DUMMYFUNCTION("""COMPUTED_VALUE"""),"Brynn Hornig")</f>
        <v>Brynn Hornig</v>
      </c>
      <c r="C92" s="71" t="b">
        <f>IFERROR(__xludf.DUMMYFUNCTION("""COMPUTED_VALUE"""),FALSE)</f>
        <v>0</v>
      </c>
      <c r="D92" s="132">
        <f>IFERROR(__xludf.DUMMYFUNCTION("""COMPUTED_VALUE"""),0.5625)</f>
        <v>0.5625</v>
      </c>
      <c r="E92" s="78">
        <f>IFERROR(__xludf.DUMMYFUNCTION("""COMPUTED_VALUE"""),0.07291666666424135)</f>
        <v>0.07291666666</v>
      </c>
      <c r="F92" s="132">
        <f>IFERROR(__xludf.DUMMYFUNCTION("""COMPUTED_VALUE"""),0.6354166666642413)</f>
        <v>0.6354166667</v>
      </c>
      <c r="G92" s="78">
        <f>IFERROR(__xludf.DUMMYFUNCTION("""COMPUTED_VALUE"""),0.07291666666424135)</f>
        <v>0.07291666666</v>
      </c>
      <c r="H92" s="110">
        <f>IFERROR(__xludf.DUMMYFUNCTION("""COMPUTED_VALUE"""),64.0)</f>
        <v>64</v>
      </c>
      <c r="I92" s="108">
        <f>IFERROR(__xludf.DUMMYFUNCTION("""COMPUTED_VALUE"""),36.57142857264499)</f>
        <v>36.57142857</v>
      </c>
      <c r="J92" s="71" t="str">
        <f>IFERROR(__xludf.DUMMYFUNCTION("""COMPUTED_VALUE"""),"Lunch")</f>
        <v>Lunch</v>
      </c>
      <c r="K92" s="106">
        <f>IFERROR(__xludf.DUMMYFUNCTION("""COMPUTED_VALUE"""),45932.0)</f>
        <v>45932</v>
      </c>
      <c r="L92" s="71" t="str">
        <f>IFERROR(__xludf.DUMMYFUNCTION("""COMPUTED_VALUE"""),"Thursday")</f>
        <v>Thursday</v>
      </c>
      <c r="M92" s="71" t="str">
        <f>IFERROR(__xludf.DUMMYFUNCTION("""COMPUTED_VALUE"""),"MF")</f>
        <v>MF</v>
      </c>
      <c r="N92" s="109">
        <f>IFERROR(__xludf.DUMMYFUNCTION("""COMPUTED_VALUE"""),0.7604971239239395)</f>
        <v>0.7604971239</v>
      </c>
      <c r="O92" s="71" t="str">
        <f>IFERROR(__xludf.DUMMYFUNCTION("""COMPUTED_VALUE"""),"")</f>
        <v/>
      </c>
      <c r="P92" s="71" t="str">
        <f>IFERROR(__xludf.DUMMYFUNCTION("""COMPUTED_VALUE"""),"")</f>
        <v/>
      </c>
      <c r="Q92" s="88" t="str">
        <f>IFERROR(__xludf.DUMMYFUNCTION("""COMPUTED_VALUE"""),"")</f>
        <v/>
      </c>
      <c r="R92" s="88" t="str">
        <f>IFERROR(__xludf.DUMMYFUNCTION("""COMPUTED_VALUE"""),"")</f>
        <v/>
      </c>
      <c r="S92" s="61" t="str">
        <f>IFERROR(__xludf.DUMMYFUNCTION("""COMPUTED_VALUE"""),"")</f>
        <v/>
      </c>
      <c r="T92" s="61" t="str">
        <f>IFERROR(__xludf.DUMMYFUNCTION("""COMPUTED_VALUE"""),"")</f>
        <v/>
      </c>
      <c r="U92" s="111" t="str">
        <f>IFERROR(__xludf.DUMMYFUNCTION("""COMPUTED_VALUE"""),"")</f>
        <v/>
      </c>
      <c r="V92" s="88" t="str">
        <f>IFERROR(__xludf.DUMMYFUNCTION("""COMPUTED_VALUE"""),"")</f>
        <v/>
      </c>
      <c r="W92" s="62" t="str">
        <f>IFERROR(__xludf.DUMMYFUNCTION("""COMPUTED_VALUE"""),"")</f>
        <v/>
      </c>
      <c r="X92" s="62" t="str">
        <f>IFERROR(__xludf.DUMMYFUNCTION("""COMPUTED_VALUE"""),"")</f>
        <v/>
      </c>
      <c r="Y92" s="109" t="str">
        <f>IFERROR(__xludf.DUMMYFUNCTION("""COMPUTED_VALUE"""),"")</f>
        <v/>
      </c>
      <c r="Z92" s="113" t="str">
        <f>IFERROR(__xludf.DUMMYFUNCTION("""COMPUTED_VALUE"""),"")</f>
        <v/>
      </c>
      <c r="AA92" s="113" t="str">
        <f>IFERROR(__xludf.DUMMYFUNCTION("""COMPUTED_VALUE"""),"")</f>
        <v/>
      </c>
      <c r="AB92" s="71" t="str">
        <f>IFERROR(__xludf.DUMMYFUNCTION("""COMPUTED_VALUE"""),"")</f>
        <v/>
      </c>
    </row>
    <row r="93">
      <c r="A93" s="105">
        <f>IFERROR(__xludf.DUMMYFUNCTION("""COMPUTED_VALUE"""),45932.65821011574)</f>
        <v>45932.65821</v>
      </c>
      <c r="B93" s="71" t="str">
        <f>IFERROR(__xludf.DUMMYFUNCTION("""COMPUTED_VALUE"""),"Emmett Khan")</f>
        <v>Emmett Khan</v>
      </c>
      <c r="C93" s="71" t="b">
        <f>IFERROR(__xludf.DUMMYFUNCTION("""COMPUTED_VALUE"""),FALSE)</f>
        <v>0</v>
      </c>
      <c r="D93" s="132">
        <f>IFERROR(__xludf.DUMMYFUNCTION("""COMPUTED_VALUE"""),0.5833333333357587)</f>
        <v>0.5833333333</v>
      </c>
      <c r="E93" s="78">
        <f>IFERROR(__xludf.DUMMYFUNCTION("""COMPUTED_VALUE"""),0.07291666666424135)</f>
        <v>0.07291666666</v>
      </c>
      <c r="F93" s="132">
        <f>IFERROR(__xludf.DUMMYFUNCTION("""COMPUTED_VALUE"""),0.65625)</f>
        <v>0.65625</v>
      </c>
      <c r="G93" s="78">
        <f>IFERROR(__xludf.DUMMYFUNCTION("""COMPUTED_VALUE"""),0.07291666666424135)</f>
        <v>0.07291666666</v>
      </c>
      <c r="H93" s="110">
        <f>IFERROR(__xludf.DUMMYFUNCTION("""COMPUTED_VALUE"""),77.0)</f>
        <v>77</v>
      </c>
      <c r="I93" s="108">
        <f>IFERROR(__xludf.DUMMYFUNCTION("""COMPUTED_VALUE"""),44.000000001463505)</f>
        <v>44</v>
      </c>
      <c r="J93" s="71" t="str">
        <f>IFERROR(__xludf.DUMMYFUNCTION("""COMPUTED_VALUE"""),"Lunch")</f>
        <v>Lunch</v>
      </c>
      <c r="K93" s="106">
        <f>IFERROR(__xludf.DUMMYFUNCTION("""COMPUTED_VALUE"""),45932.0)</f>
        <v>45932</v>
      </c>
      <c r="L93" s="71" t="str">
        <f>IFERROR(__xludf.DUMMYFUNCTION("""COMPUTED_VALUE"""),"Thursday")</f>
        <v>Thursday</v>
      </c>
      <c r="M93" s="71" t="str">
        <f>IFERROR(__xludf.DUMMYFUNCTION("""COMPUTED_VALUE"""),"BF")</f>
        <v>BF</v>
      </c>
      <c r="N93" s="109">
        <f>IFERROR(__xludf.DUMMYFUNCTION("""COMPUTED_VALUE"""),1.1331230995725343)</f>
        <v>1.1331231</v>
      </c>
      <c r="O93" s="71" t="str">
        <f>IFERROR(__xludf.DUMMYFUNCTION("""COMPUTED_VALUE"""),"")</f>
        <v/>
      </c>
      <c r="P93" s="71" t="str">
        <f>IFERROR(__xludf.DUMMYFUNCTION("""COMPUTED_VALUE"""),"")</f>
        <v/>
      </c>
      <c r="Q93" s="88" t="str">
        <f>IFERROR(__xludf.DUMMYFUNCTION("""COMPUTED_VALUE"""),"")</f>
        <v/>
      </c>
      <c r="R93" s="88" t="str">
        <f>IFERROR(__xludf.DUMMYFUNCTION("""COMPUTED_VALUE"""),"")</f>
        <v/>
      </c>
      <c r="S93" s="61" t="str">
        <f>IFERROR(__xludf.DUMMYFUNCTION("""COMPUTED_VALUE"""),"")</f>
        <v/>
      </c>
      <c r="T93" s="61" t="str">
        <f>IFERROR(__xludf.DUMMYFUNCTION("""COMPUTED_VALUE"""),"")</f>
        <v/>
      </c>
      <c r="U93" s="111" t="str">
        <f>IFERROR(__xludf.DUMMYFUNCTION("""COMPUTED_VALUE"""),"")</f>
        <v/>
      </c>
      <c r="V93" s="88" t="str">
        <f>IFERROR(__xludf.DUMMYFUNCTION("""COMPUTED_VALUE"""),"")</f>
        <v/>
      </c>
      <c r="W93" s="62" t="str">
        <f>IFERROR(__xludf.DUMMYFUNCTION("""COMPUTED_VALUE"""),"")</f>
        <v/>
      </c>
      <c r="X93" s="62" t="str">
        <f>IFERROR(__xludf.DUMMYFUNCTION("""COMPUTED_VALUE"""),"")</f>
        <v/>
      </c>
      <c r="Y93" s="109" t="str">
        <f>IFERROR(__xludf.DUMMYFUNCTION("""COMPUTED_VALUE"""),"")</f>
        <v/>
      </c>
      <c r="Z93" s="113" t="str">
        <f>IFERROR(__xludf.DUMMYFUNCTION("""COMPUTED_VALUE"""),"")</f>
        <v/>
      </c>
      <c r="AA93" s="113" t="str">
        <f>IFERROR(__xludf.DUMMYFUNCTION("""COMPUTED_VALUE"""),"")</f>
        <v/>
      </c>
      <c r="AB93" s="71" t="str">
        <f>IFERROR(__xludf.DUMMYFUNCTION("""COMPUTED_VALUE"""),"")</f>
        <v/>
      </c>
    </row>
    <row r="94">
      <c r="A94" s="105">
        <f>IFERROR(__xludf.DUMMYFUNCTION("""COMPUTED_VALUE"""),45932.67775912037)</f>
        <v>45932.67776</v>
      </c>
      <c r="B94" s="71" t="str">
        <f>IFERROR(__xludf.DUMMYFUNCTION("""COMPUTED_VALUE"""),"Greta Traynor")</f>
        <v>Greta Traynor</v>
      </c>
      <c r="C94" s="71" t="b">
        <f>IFERROR(__xludf.DUMMYFUNCTION("""COMPUTED_VALUE"""),FALSE)</f>
        <v>0</v>
      </c>
      <c r="D94" s="132">
        <f>IFERROR(__xludf.DUMMYFUNCTION("""COMPUTED_VALUE"""),0.5166666666627862)</f>
        <v>0.5166666667</v>
      </c>
      <c r="E94" s="78">
        <f>IFERROR(__xludf.DUMMYFUNCTION("""COMPUTED_VALUE"""),0.054861111115315)</f>
        <v>0.05486111112</v>
      </c>
      <c r="F94" s="132">
        <f>IFERROR(__xludf.DUMMYFUNCTION("""COMPUTED_VALUE"""),0.5715277777781012)</f>
        <v>0.5715277778</v>
      </c>
      <c r="G94" s="78">
        <f>IFERROR(__xludf.DUMMYFUNCTION("""COMPUTED_VALUE"""),0.054861111115315)</f>
        <v>0.05486111112</v>
      </c>
      <c r="H94" s="110">
        <f>IFERROR(__xludf.DUMMYFUNCTION("""COMPUTED_VALUE"""),38.0)</f>
        <v>38</v>
      </c>
      <c r="I94" s="108">
        <f>IFERROR(__xludf.DUMMYFUNCTION("""COMPUTED_VALUE"""),28.860759491459348)</f>
        <v>28.86075949</v>
      </c>
      <c r="J94" s="71" t="str">
        <f>IFERROR(__xludf.DUMMYFUNCTION("""COMPUTED_VALUE"""),"Lunch")</f>
        <v>Lunch</v>
      </c>
      <c r="K94" s="106">
        <f>IFERROR(__xludf.DUMMYFUNCTION("""COMPUTED_VALUE"""),45932.0)</f>
        <v>45932</v>
      </c>
      <c r="L94" s="71" t="str">
        <f>IFERROR(__xludf.DUMMYFUNCTION("""COMPUTED_VALUE"""),"Thursday")</f>
        <v>Thursday</v>
      </c>
      <c r="M94" s="71" t="str">
        <f>IFERROR(__xludf.DUMMYFUNCTION("""COMPUTED_VALUE"""),"BF")</f>
        <v>BF</v>
      </c>
      <c r="N94" s="109">
        <f>IFERROR(__xludf.DUMMYFUNCTION("""COMPUTED_VALUE"""),0.7432453011339116)</f>
        <v>0.7432453011</v>
      </c>
      <c r="O94" s="71" t="str">
        <f>IFERROR(__xludf.DUMMYFUNCTION("""COMPUTED_VALUE"""),"")</f>
        <v/>
      </c>
      <c r="P94" s="71" t="str">
        <f>IFERROR(__xludf.DUMMYFUNCTION("""COMPUTED_VALUE"""),"")</f>
        <v/>
      </c>
      <c r="Q94" s="88" t="str">
        <f>IFERROR(__xludf.DUMMYFUNCTION("""COMPUTED_VALUE"""),"")</f>
        <v/>
      </c>
      <c r="R94" s="88" t="str">
        <f>IFERROR(__xludf.DUMMYFUNCTION("""COMPUTED_VALUE"""),"")</f>
        <v/>
      </c>
      <c r="S94" s="61" t="str">
        <f>IFERROR(__xludf.DUMMYFUNCTION("""COMPUTED_VALUE"""),"")</f>
        <v/>
      </c>
      <c r="T94" s="61" t="str">
        <f>IFERROR(__xludf.DUMMYFUNCTION("""COMPUTED_VALUE"""),"")</f>
        <v/>
      </c>
      <c r="U94" s="111" t="str">
        <f>IFERROR(__xludf.DUMMYFUNCTION("""COMPUTED_VALUE"""),"")</f>
        <v/>
      </c>
      <c r="V94" s="88" t="str">
        <f>IFERROR(__xludf.DUMMYFUNCTION("""COMPUTED_VALUE"""),"")</f>
        <v/>
      </c>
      <c r="W94" s="62" t="str">
        <f>IFERROR(__xludf.DUMMYFUNCTION("""COMPUTED_VALUE"""),"")</f>
        <v/>
      </c>
      <c r="X94" s="62" t="str">
        <f>IFERROR(__xludf.DUMMYFUNCTION("""COMPUTED_VALUE"""),"")</f>
        <v/>
      </c>
      <c r="Y94" s="109" t="str">
        <f>IFERROR(__xludf.DUMMYFUNCTION("""COMPUTED_VALUE"""),"")</f>
        <v/>
      </c>
      <c r="Z94" s="113" t="str">
        <f>IFERROR(__xludf.DUMMYFUNCTION("""COMPUTED_VALUE"""),"")</f>
        <v/>
      </c>
      <c r="AA94" s="113" t="str">
        <f>IFERROR(__xludf.DUMMYFUNCTION("""COMPUTED_VALUE"""),"")</f>
        <v/>
      </c>
      <c r="AB94" s="71" t="str">
        <f>IFERROR(__xludf.DUMMYFUNCTION("""COMPUTED_VALUE"""),"")</f>
        <v/>
      </c>
    </row>
    <row r="95">
      <c r="A95" s="105">
        <f>IFERROR(__xludf.DUMMYFUNCTION("""COMPUTED_VALUE"""),45932.77572056713)</f>
        <v>45932.77572</v>
      </c>
      <c r="B95" s="71" t="str">
        <f>IFERROR(__xludf.DUMMYFUNCTION("""COMPUTED_VALUE"""),"Emmett Khan")</f>
        <v>Emmett Khan</v>
      </c>
      <c r="C95" s="71" t="b">
        <f>IFERROR(__xludf.DUMMYFUNCTION("""COMPUTED_VALUE"""),FALSE)</f>
        <v>0</v>
      </c>
      <c r="D95" s="132">
        <f>IFERROR(__xludf.DUMMYFUNCTION("""COMPUTED_VALUE"""),0.6875)</f>
        <v>0.6875</v>
      </c>
      <c r="E95" s="78">
        <f>IFERROR(__xludf.DUMMYFUNCTION("""COMPUTED_VALUE"""),0.08333333333575865)</f>
        <v>0.08333333334</v>
      </c>
      <c r="F95" s="132">
        <f>IFERROR(__xludf.DUMMYFUNCTION("""COMPUTED_VALUE"""),0.7708333333357587)</f>
        <v>0.7708333333</v>
      </c>
      <c r="G95" s="78">
        <f>IFERROR(__xludf.DUMMYFUNCTION("""COMPUTED_VALUE"""),0.08333333333575865)</f>
        <v>0.08333333334</v>
      </c>
      <c r="H95" s="110">
        <f>IFERROR(__xludf.DUMMYFUNCTION("""COMPUTED_VALUE"""),80.0)</f>
        <v>80</v>
      </c>
      <c r="I95" s="108">
        <f>IFERROR(__xludf.DUMMYFUNCTION("""COMPUTED_VALUE"""),39.99999999883585)</f>
        <v>40</v>
      </c>
      <c r="J95" s="71" t="str">
        <f>IFERROR(__xludf.DUMMYFUNCTION("""COMPUTED_VALUE"""),"Dinner")</f>
        <v>Dinner</v>
      </c>
      <c r="K95" s="106">
        <f>IFERROR(__xludf.DUMMYFUNCTION("""COMPUTED_VALUE"""),45932.0)</f>
        <v>45932</v>
      </c>
      <c r="L95" s="71" t="str">
        <f>IFERROR(__xludf.DUMMYFUNCTION("""COMPUTED_VALUE"""),"Thursday")</f>
        <v>Thursday</v>
      </c>
      <c r="M95" s="71" t="str">
        <f>IFERROR(__xludf.DUMMYFUNCTION("""COMPUTED_VALUE"""),"BF")</f>
        <v>BF</v>
      </c>
      <c r="N95" s="109">
        <f>IFERROR(__xludf.DUMMYFUNCTION("""COMPUTED_VALUE"""),0.9439865961384427)</f>
        <v>0.9439865961</v>
      </c>
      <c r="O95" s="71">
        <f>IFERROR(__xludf.DUMMYFUNCTION("""COMPUTED_VALUE"""),147.0)</f>
        <v>147</v>
      </c>
      <c r="P95" s="71">
        <f>IFERROR(__xludf.DUMMYFUNCTION("""COMPUTED_VALUE"""),291.0)</f>
        <v>291</v>
      </c>
      <c r="Q95" s="88">
        <f>IFERROR(__xludf.DUMMYFUNCTION("""COMPUTED_VALUE"""),0.15625)</f>
        <v>0.15625</v>
      </c>
      <c r="R95" s="88">
        <f>IFERROR(__xludf.DUMMYFUNCTION("""COMPUTED_VALUE"""),0.3465277777868323)</f>
        <v>0.3465277778</v>
      </c>
      <c r="S95" s="61">
        <f>IFERROR(__xludf.DUMMYFUNCTION("""COMPUTED_VALUE"""),39.03571428571859)</f>
        <v>39.03571429</v>
      </c>
      <c r="T95" s="61">
        <f>IFERROR(__xludf.DUMMYFUNCTION("""COMPUTED_VALUE"""),34.21518987272475)</f>
        <v>34.21518987</v>
      </c>
      <c r="U95" s="111">
        <f>IFERROR(__xludf.DUMMYFUNCTION("""COMPUTED_VALUE"""),438.0)</f>
        <v>438</v>
      </c>
      <c r="V95" s="88">
        <f>IFERROR(__xludf.DUMMYFUNCTION("""COMPUTED_VALUE"""),0.5027777777868323)</f>
        <v>0.5027777778</v>
      </c>
      <c r="W95" s="62">
        <f>IFERROR(__xludf.DUMMYFUNCTION("""COMPUTED_VALUE"""),36.29834254078277)</f>
        <v>36.29834254</v>
      </c>
      <c r="X95" s="62">
        <f>IFERROR(__xludf.DUMMYFUNCTION("""COMPUTED_VALUE"""),35.8220313437227)</f>
        <v>35.82203134</v>
      </c>
      <c r="Y95" s="109">
        <f>IFERROR(__xludf.DUMMYFUNCTION("""COMPUTED_VALUE"""),0.7514289285837898)</f>
        <v>0.7514289286</v>
      </c>
      <c r="Z95" s="113">
        <f>IFERROR(__xludf.DUMMYFUNCTION("""COMPUTED_VALUE"""),4060.0)</f>
        <v>4060</v>
      </c>
      <c r="AA95" s="113">
        <f>IFERROR(__xludf.DUMMYFUNCTION("""COMPUTED_VALUE"""),3802.0)</f>
        <v>3802</v>
      </c>
      <c r="AB95" s="113">
        <f>IFERROR(__xludf.DUMMYFUNCTION("""COMPUTED_VALUE"""),7862.0)</f>
        <v>7862</v>
      </c>
    </row>
    <row r="96">
      <c r="A96" s="105">
        <f>IFERROR(__xludf.DUMMYFUNCTION("""COMPUTED_VALUE"""),45933.55223048611)</f>
        <v>45933.55223</v>
      </c>
      <c r="B96" s="71" t="str">
        <f>IFERROR(__xludf.DUMMYFUNCTION("""COMPUTED_VALUE"""),"Orpheus Wilson")</f>
        <v>Orpheus Wilson</v>
      </c>
      <c r="C96" s="71" t="b">
        <f>IFERROR(__xludf.DUMMYFUNCTION("""COMPUTED_VALUE"""),FALSE)</f>
        <v>0</v>
      </c>
      <c r="D96" s="132">
        <f>IFERROR(__xludf.DUMMYFUNCTION("""COMPUTED_VALUE"""),0.47916666666424135)</f>
        <v>0.4791666667</v>
      </c>
      <c r="E96" s="78">
        <f>IFERROR(__xludf.DUMMYFUNCTION("""COMPUTED_VALUE"""),0.07083333333866904)</f>
        <v>0.07083333334</v>
      </c>
      <c r="F96" s="132">
        <f>IFERROR(__xludf.DUMMYFUNCTION("""COMPUTED_VALUE"""),0.5500000000029104)</f>
        <v>0.55</v>
      </c>
      <c r="G96" s="78">
        <f>IFERROR(__xludf.DUMMYFUNCTION("""COMPUTED_VALUE"""),0.07083333333866904)</f>
        <v>0.07083333334</v>
      </c>
      <c r="H96" s="110">
        <f>IFERROR(__xludf.DUMMYFUNCTION("""COMPUTED_VALUE"""),102.0)</f>
        <v>102</v>
      </c>
      <c r="I96" s="108">
        <f>IFERROR(__xludf.DUMMYFUNCTION("""COMPUTED_VALUE"""),59.999999995480344)</f>
        <v>60</v>
      </c>
      <c r="J96" s="71" t="str">
        <f>IFERROR(__xludf.DUMMYFUNCTION("""COMPUTED_VALUE"""),"Lunch")</f>
        <v>Lunch</v>
      </c>
      <c r="K96" s="106">
        <f>IFERROR(__xludf.DUMMYFUNCTION("""COMPUTED_VALUE"""),45933.0)</f>
        <v>45933</v>
      </c>
      <c r="L96" s="71" t="str">
        <f>IFERROR(__xludf.DUMMYFUNCTION("""COMPUTED_VALUE"""),"Friday")</f>
        <v>Friday</v>
      </c>
      <c r="M96" s="71" t="str">
        <f>IFERROR(__xludf.DUMMYFUNCTION("""COMPUTED_VALUE"""),"MF")</f>
        <v>MF</v>
      </c>
      <c r="N96" s="109">
        <f>IFERROR(__xludf.DUMMYFUNCTION("""COMPUTED_VALUE"""),1.2476905938022278)</f>
        <v>1.247690594</v>
      </c>
      <c r="O96" s="71" t="str">
        <f>IFERROR(__xludf.DUMMYFUNCTION("""COMPUTED_VALUE"""),"")</f>
        <v/>
      </c>
      <c r="P96" s="71" t="str">
        <f>IFERROR(__xludf.DUMMYFUNCTION("""COMPUTED_VALUE"""),"")</f>
        <v/>
      </c>
      <c r="Q96" s="88" t="str">
        <f>IFERROR(__xludf.DUMMYFUNCTION("""COMPUTED_VALUE"""),"")</f>
        <v/>
      </c>
      <c r="R96" s="88" t="str">
        <f>IFERROR(__xludf.DUMMYFUNCTION("""COMPUTED_VALUE"""),"")</f>
        <v/>
      </c>
      <c r="S96" s="61" t="str">
        <f>IFERROR(__xludf.DUMMYFUNCTION("""COMPUTED_VALUE"""),"")</f>
        <v/>
      </c>
      <c r="T96" s="61" t="str">
        <f>IFERROR(__xludf.DUMMYFUNCTION("""COMPUTED_VALUE"""),"")</f>
        <v/>
      </c>
      <c r="U96" s="111" t="str">
        <f>IFERROR(__xludf.DUMMYFUNCTION("""COMPUTED_VALUE"""),"")</f>
        <v/>
      </c>
      <c r="V96" s="88" t="str">
        <f>IFERROR(__xludf.DUMMYFUNCTION("""COMPUTED_VALUE"""),"")</f>
        <v/>
      </c>
      <c r="W96" s="62" t="str">
        <f>IFERROR(__xludf.DUMMYFUNCTION("""COMPUTED_VALUE"""),"")</f>
        <v/>
      </c>
      <c r="X96" s="62" t="str">
        <f>IFERROR(__xludf.DUMMYFUNCTION("""COMPUTED_VALUE"""),"")</f>
        <v/>
      </c>
      <c r="Y96" s="109" t="str">
        <f>IFERROR(__xludf.DUMMYFUNCTION("""COMPUTED_VALUE"""),"")</f>
        <v/>
      </c>
      <c r="Z96" s="113" t="str">
        <f>IFERROR(__xludf.DUMMYFUNCTION("""COMPUTED_VALUE"""),"")</f>
        <v/>
      </c>
      <c r="AA96" s="113" t="str">
        <f>IFERROR(__xludf.DUMMYFUNCTION("""COMPUTED_VALUE"""),"")</f>
        <v/>
      </c>
      <c r="AB96" s="71" t="str">
        <f>IFERROR(__xludf.DUMMYFUNCTION("""COMPUTED_VALUE"""),"")</f>
        <v/>
      </c>
    </row>
    <row r="97">
      <c r="A97" s="105">
        <f>IFERROR(__xludf.DUMMYFUNCTION("""COMPUTED_VALUE"""),45933.597855659726)</f>
        <v>45933.59786</v>
      </c>
      <c r="B97" s="71" t="str">
        <f>IFERROR(__xludf.DUMMYFUNCTION("""COMPUTED_VALUE"""),"Greta Traynor")</f>
        <v>Greta Traynor</v>
      </c>
      <c r="C97" s="71" t="b">
        <f>IFERROR(__xludf.DUMMYFUNCTION("""COMPUTED_VALUE"""),FALSE)</f>
        <v>0</v>
      </c>
      <c r="D97" s="132">
        <f>IFERROR(__xludf.DUMMYFUNCTION("""COMPUTED_VALUE"""),0.538888888884685)</f>
        <v>0.5388888889</v>
      </c>
      <c r="E97" s="78">
        <f>IFERROR(__xludf.DUMMYFUNCTION("""COMPUTED_VALUE"""),0.05277777778246673)</f>
        <v>0.05277777778</v>
      </c>
      <c r="F97" s="132">
        <f>IFERROR(__xludf.DUMMYFUNCTION("""COMPUTED_VALUE"""),0.5916666666671517)</f>
        <v>0.5916666667</v>
      </c>
      <c r="G97" s="78">
        <f>IFERROR(__xludf.DUMMYFUNCTION("""COMPUTED_VALUE"""),0.05277777778246673)</f>
        <v>0.05277777778</v>
      </c>
      <c r="H97" s="110">
        <f>IFERROR(__xludf.DUMMYFUNCTION("""COMPUTED_VALUE"""),47.0)</f>
        <v>47</v>
      </c>
      <c r="I97" s="108">
        <f>IFERROR(__xludf.DUMMYFUNCTION("""COMPUTED_VALUE"""),37.105263154598184)</f>
        <v>37.10526315</v>
      </c>
      <c r="J97" s="71" t="str">
        <f>IFERROR(__xludf.DUMMYFUNCTION("""COMPUTED_VALUE"""),"Lunch")</f>
        <v>Lunch</v>
      </c>
      <c r="K97" s="106">
        <f>IFERROR(__xludf.DUMMYFUNCTION("""COMPUTED_VALUE"""),45933.0)</f>
        <v>45933</v>
      </c>
      <c r="L97" s="71" t="str">
        <f>IFERROR(__xludf.DUMMYFUNCTION("""COMPUTED_VALUE"""),"Friday")</f>
        <v>Friday</v>
      </c>
      <c r="M97" s="71" t="str">
        <f>IFERROR(__xludf.DUMMYFUNCTION("""COMPUTED_VALUE"""),"BF")</f>
        <v>BF</v>
      </c>
      <c r="N97" s="109">
        <f>IFERROR(__xludf.DUMMYFUNCTION("""COMPUTED_VALUE"""),0.9555643362453267)</f>
        <v>0.9555643362</v>
      </c>
      <c r="O97" s="71" t="str">
        <f>IFERROR(__xludf.DUMMYFUNCTION("""COMPUTED_VALUE"""),"")</f>
        <v/>
      </c>
      <c r="P97" s="71" t="str">
        <f>IFERROR(__xludf.DUMMYFUNCTION("""COMPUTED_VALUE"""),"")</f>
        <v/>
      </c>
      <c r="Q97" s="88" t="str">
        <f>IFERROR(__xludf.DUMMYFUNCTION("""COMPUTED_VALUE"""),"")</f>
        <v/>
      </c>
      <c r="R97" s="88" t="str">
        <f>IFERROR(__xludf.DUMMYFUNCTION("""COMPUTED_VALUE"""),"")</f>
        <v/>
      </c>
      <c r="S97" s="61" t="str">
        <f>IFERROR(__xludf.DUMMYFUNCTION("""COMPUTED_VALUE"""),"")</f>
        <v/>
      </c>
      <c r="T97" s="61" t="str">
        <f>IFERROR(__xludf.DUMMYFUNCTION("""COMPUTED_VALUE"""),"")</f>
        <v/>
      </c>
      <c r="U97" s="111" t="str">
        <f>IFERROR(__xludf.DUMMYFUNCTION("""COMPUTED_VALUE"""),"")</f>
        <v/>
      </c>
      <c r="V97" s="88" t="str">
        <f>IFERROR(__xludf.DUMMYFUNCTION("""COMPUTED_VALUE"""),"")</f>
        <v/>
      </c>
      <c r="W97" s="62" t="str">
        <f>IFERROR(__xludf.DUMMYFUNCTION("""COMPUTED_VALUE"""),"")</f>
        <v/>
      </c>
      <c r="X97" s="62" t="str">
        <f>IFERROR(__xludf.DUMMYFUNCTION("""COMPUTED_VALUE"""),"")</f>
        <v/>
      </c>
      <c r="Y97" s="109" t="str">
        <f>IFERROR(__xludf.DUMMYFUNCTION("""COMPUTED_VALUE"""),"")</f>
        <v/>
      </c>
      <c r="Z97" s="113" t="str">
        <f>IFERROR(__xludf.DUMMYFUNCTION("""COMPUTED_VALUE"""),"")</f>
        <v/>
      </c>
      <c r="AA97" s="113" t="str">
        <f>IFERROR(__xludf.DUMMYFUNCTION("""COMPUTED_VALUE"""),"")</f>
        <v/>
      </c>
      <c r="AB97" s="71" t="str">
        <f>IFERROR(__xludf.DUMMYFUNCTION("""COMPUTED_VALUE"""),"")</f>
        <v/>
      </c>
    </row>
    <row r="98">
      <c r="A98" s="105">
        <f>IFERROR(__xludf.DUMMYFUNCTION("""COMPUTED_VALUE"""),45933.6249044213)</f>
        <v>45933.6249</v>
      </c>
      <c r="B98" s="71" t="str">
        <f>IFERROR(__xludf.DUMMYFUNCTION("""COMPUTED_VALUE"""),"Brynn Hornig")</f>
        <v>Brynn Hornig</v>
      </c>
      <c r="C98" s="71" t="b">
        <f>IFERROR(__xludf.DUMMYFUNCTION("""COMPUTED_VALUE"""),FALSE)</f>
        <v>0</v>
      </c>
      <c r="D98" s="132">
        <f>IFERROR(__xludf.DUMMYFUNCTION("""COMPUTED_VALUE"""),0.5520833333357587)</f>
        <v>0.5520833333</v>
      </c>
      <c r="E98" s="78">
        <f>IFERROR(__xludf.DUMMYFUNCTION("""COMPUTED_VALUE"""),0.04166666666424135)</f>
        <v>0.04166666666</v>
      </c>
      <c r="F98" s="132">
        <f>IFERROR(__xludf.DUMMYFUNCTION("""COMPUTED_VALUE"""),0.59375)</f>
        <v>0.59375</v>
      </c>
      <c r="G98" s="78">
        <f>IFERROR(__xludf.DUMMYFUNCTION("""COMPUTED_VALUE"""),0.0833333333284827)</f>
        <v>0.08333333333</v>
      </c>
      <c r="H98" s="110">
        <f>IFERROR(__xludf.DUMMYFUNCTION("""COMPUTED_VALUE"""),40.0)</f>
        <v>40</v>
      </c>
      <c r="I98" s="108">
        <f>IFERROR(__xludf.DUMMYFUNCTION("""COMPUTED_VALUE"""),20.000000001164153)</f>
        <v>20</v>
      </c>
      <c r="J98" s="71" t="str">
        <f>IFERROR(__xludf.DUMMYFUNCTION("""COMPUTED_VALUE"""),"Lunch")</f>
        <v>Lunch</v>
      </c>
      <c r="K98" s="106">
        <f>IFERROR(__xludf.DUMMYFUNCTION("""COMPUTED_VALUE"""),45933.0)</f>
        <v>45933</v>
      </c>
      <c r="L98" s="71" t="str">
        <f>IFERROR(__xludf.DUMMYFUNCTION("""COMPUTED_VALUE"""),"Friday")</f>
        <v>Friday</v>
      </c>
      <c r="M98" s="71" t="str">
        <f>IFERROR(__xludf.DUMMYFUNCTION("""COMPUTED_VALUE"""),"MF")</f>
        <v>MF</v>
      </c>
      <c r="N98" s="109">
        <f>IFERROR(__xludf.DUMMYFUNCTION("""COMPUTED_VALUE"""),0.4158968646562795)</f>
        <v>0.4158968647</v>
      </c>
      <c r="O98" s="71" t="str">
        <f>IFERROR(__xludf.DUMMYFUNCTION("""COMPUTED_VALUE"""),"")</f>
        <v/>
      </c>
      <c r="P98" s="71" t="str">
        <f>IFERROR(__xludf.DUMMYFUNCTION("""COMPUTED_VALUE"""),"")</f>
        <v/>
      </c>
      <c r="Q98" s="88" t="str">
        <f>IFERROR(__xludf.DUMMYFUNCTION("""COMPUTED_VALUE"""),"")</f>
        <v/>
      </c>
      <c r="R98" s="88" t="str">
        <f>IFERROR(__xludf.DUMMYFUNCTION("""COMPUTED_VALUE"""),"")</f>
        <v/>
      </c>
      <c r="S98" s="61" t="str">
        <f>IFERROR(__xludf.DUMMYFUNCTION("""COMPUTED_VALUE"""),"")</f>
        <v/>
      </c>
      <c r="T98" s="61" t="str">
        <f>IFERROR(__xludf.DUMMYFUNCTION("""COMPUTED_VALUE"""),"")</f>
        <v/>
      </c>
      <c r="U98" s="111" t="str">
        <f>IFERROR(__xludf.DUMMYFUNCTION("""COMPUTED_VALUE"""),"")</f>
        <v/>
      </c>
      <c r="V98" s="88" t="str">
        <f>IFERROR(__xludf.DUMMYFUNCTION("""COMPUTED_VALUE"""),"")</f>
        <v/>
      </c>
      <c r="W98" s="62" t="str">
        <f>IFERROR(__xludf.DUMMYFUNCTION("""COMPUTED_VALUE"""),"")</f>
        <v/>
      </c>
      <c r="X98" s="62" t="str">
        <f>IFERROR(__xludf.DUMMYFUNCTION("""COMPUTED_VALUE"""),"")</f>
        <v/>
      </c>
      <c r="Y98" s="109" t="str">
        <f>IFERROR(__xludf.DUMMYFUNCTION("""COMPUTED_VALUE"""),"")</f>
        <v/>
      </c>
      <c r="Z98" s="113" t="str">
        <f>IFERROR(__xludf.DUMMYFUNCTION("""COMPUTED_VALUE"""),"")</f>
        <v/>
      </c>
      <c r="AA98" s="113" t="str">
        <f>IFERROR(__xludf.DUMMYFUNCTION("""COMPUTED_VALUE"""),"")</f>
        <v/>
      </c>
      <c r="AB98" s="71" t="str">
        <f>IFERROR(__xludf.DUMMYFUNCTION("""COMPUTED_VALUE"""),"")</f>
        <v/>
      </c>
    </row>
    <row r="99">
      <c r="A99" s="105">
        <f>IFERROR(__xludf.DUMMYFUNCTION("""COMPUTED_VALUE"""),45933.630705578704)</f>
        <v>45933.63071</v>
      </c>
      <c r="B99" s="71" t="str">
        <f>IFERROR(__xludf.DUMMYFUNCTION("""COMPUTED_VALUE"""),"Brynn Hornig")</f>
        <v>Brynn Hornig</v>
      </c>
      <c r="C99" s="71" t="b">
        <f>IFERROR(__xludf.DUMMYFUNCTION("""COMPUTED_VALUE"""),TRUE)</f>
        <v>1</v>
      </c>
      <c r="D99" s="132">
        <f>IFERROR(__xludf.DUMMYFUNCTION("""COMPUTED_VALUE"""),0.59375)</f>
        <v>0.59375</v>
      </c>
      <c r="E99" s="78">
        <f>IFERROR(__xludf.DUMMYFUNCTION("""COMPUTED_VALUE"""),0.04166666666424135)</f>
        <v>0.04166666666</v>
      </c>
      <c r="F99" s="132">
        <f>IFERROR(__xludf.DUMMYFUNCTION("""COMPUTED_VALUE"""),0.6354166666642413)</f>
        <v>0.6354166667</v>
      </c>
      <c r="G99" s="78" t="str">
        <f>IFERROR(__xludf.DUMMYFUNCTION("""COMPUTED_VALUE"""),"")</f>
        <v/>
      </c>
      <c r="H99" s="110">
        <f>IFERROR(__xludf.DUMMYFUNCTION("""COMPUTED_VALUE"""),41.0)</f>
        <v>41</v>
      </c>
      <c r="I99" s="108" t="str">
        <f>IFERROR(__xludf.DUMMYFUNCTION("""COMPUTED_VALUE"""),"")</f>
        <v/>
      </c>
      <c r="J99" s="71" t="str">
        <f>IFERROR(__xludf.DUMMYFUNCTION("""COMPUTED_VALUE"""),"Lunch")</f>
        <v>Lunch</v>
      </c>
      <c r="K99" s="106">
        <f>IFERROR(__xludf.DUMMYFUNCTION("""COMPUTED_VALUE"""),45933.0)</f>
        <v>45933</v>
      </c>
      <c r="L99" s="71" t="str">
        <f>IFERROR(__xludf.DUMMYFUNCTION("""COMPUTED_VALUE"""),"Friday")</f>
        <v>Friday</v>
      </c>
      <c r="M99" s="71" t="str">
        <f>IFERROR(__xludf.DUMMYFUNCTION("""COMPUTED_VALUE"""),"MF")</f>
        <v>MF</v>
      </c>
      <c r="N99" s="109" t="str">
        <f>IFERROR(__xludf.DUMMYFUNCTION("""COMPUTED_VALUE"""),"")</f>
        <v/>
      </c>
      <c r="O99" s="71" t="str">
        <f>IFERROR(__xludf.DUMMYFUNCTION("""COMPUTED_VALUE"""),"")</f>
        <v/>
      </c>
      <c r="P99" s="71" t="str">
        <f>IFERROR(__xludf.DUMMYFUNCTION("""COMPUTED_VALUE"""),"")</f>
        <v/>
      </c>
      <c r="Q99" s="88" t="str">
        <f>IFERROR(__xludf.DUMMYFUNCTION("""COMPUTED_VALUE"""),"")</f>
        <v/>
      </c>
      <c r="R99" s="88" t="str">
        <f>IFERROR(__xludf.DUMMYFUNCTION("""COMPUTED_VALUE"""),"")</f>
        <v/>
      </c>
      <c r="S99" s="61" t="str">
        <f>IFERROR(__xludf.DUMMYFUNCTION("""COMPUTED_VALUE"""),"")</f>
        <v/>
      </c>
      <c r="T99" s="61" t="str">
        <f>IFERROR(__xludf.DUMMYFUNCTION("""COMPUTED_VALUE"""),"")</f>
        <v/>
      </c>
      <c r="U99" s="111" t="str">
        <f>IFERROR(__xludf.DUMMYFUNCTION("""COMPUTED_VALUE"""),"")</f>
        <v/>
      </c>
      <c r="V99" s="88" t="str">
        <f>IFERROR(__xludf.DUMMYFUNCTION("""COMPUTED_VALUE"""),"")</f>
        <v/>
      </c>
      <c r="W99" s="62" t="str">
        <f>IFERROR(__xludf.DUMMYFUNCTION("""COMPUTED_VALUE"""),"")</f>
        <v/>
      </c>
      <c r="X99" s="62" t="str">
        <f>IFERROR(__xludf.DUMMYFUNCTION("""COMPUTED_VALUE"""),"")</f>
        <v/>
      </c>
      <c r="Y99" s="109" t="str">
        <f>IFERROR(__xludf.DUMMYFUNCTION("""COMPUTED_VALUE"""),"")</f>
        <v/>
      </c>
      <c r="Z99" s="113" t="str">
        <f>IFERROR(__xludf.DUMMYFUNCTION("""COMPUTED_VALUE"""),"")</f>
        <v/>
      </c>
      <c r="AA99" s="113" t="str">
        <f>IFERROR(__xludf.DUMMYFUNCTION("""COMPUTED_VALUE"""),"")</f>
        <v/>
      </c>
      <c r="AB99" s="71" t="str">
        <f>IFERROR(__xludf.DUMMYFUNCTION("""COMPUTED_VALUE"""),"")</f>
        <v/>
      </c>
    </row>
    <row r="100">
      <c r="A100" s="105">
        <f>IFERROR(__xludf.DUMMYFUNCTION("""COMPUTED_VALUE"""),45933.74145747685)</f>
        <v>45933.74146</v>
      </c>
      <c r="B100" s="71" t="str">
        <f>IFERROR(__xludf.DUMMYFUNCTION("""COMPUTED_VALUE"""),"Emmett Khan")</f>
        <v>Emmett Khan</v>
      </c>
      <c r="C100" s="71" t="b">
        <f>IFERROR(__xludf.DUMMYFUNCTION("""COMPUTED_VALUE"""),FALSE)</f>
        <v>0</v>
      </c>
      <c r="D100" s="132">
        <f>IFERROR(__xludf.DUMMYFUNCTION("""COMPUTED_VALUE"""),0.6666666666642413)</f>
        <v>0.6666666667</v>
      </c>
      <c r="E100" s="78">
        <f>IFERROR(__xludf.DUMMYFUNCTION("""COMPUTED_VALUE"""),0.0729166666715173)</f>
        <v>0.07291666667</v>
      </c>
      <c r="F100" s="132">
        <f>IFERROR(__xludf.DUMMYFUNCTION("""COMPUTED_VALUE"""),0.7395833333357587)</f>
        <v>0.7395833333</v>
      </c>
      <c r="G100" s="78">
        <f>IFERROR(__xludf.DUMMYFUNCTION("""COMPUTED_VALUE"""),0.09375)</f>
        <v>0.09375</v>
      </c>
      <c r="H100" s="110">
        <f>IFERROR(__xludf.DUMMYFUNCTION("""COMPUTED_VALUE"""),157.0)</f>
        <v>157</v>
      </c>
      <c r="I100" s="108">
        <f>IFERROR(__xludf.DUMMYFUNCTION("""COMPUTED_VALUE"""),69.77777777777777)</f>
        <v>69.77777778</v>
      </c>
      <c r="J100" s="71" t="str">
        <f>IFERROR(__xludf.DUMMYFUNCTION("""COMPUTED_VALUE"""),"Dinner")</f>
        <v>Dinner</v>
      </c>
      <c r="K100" s="106">
        <f>IFERROR(__xludf.DUMMYFUNCTION("""COMPUTED_VALUE"""),45933.0)</f>
        <v>45933</v>
      </c>
      <c r="L100" s="71" t="str">
        <f>IFERROR(__xludf.DUMMYFUNCTION("""COMPUTED_VALUE"""),"Friday")</f>
        <v>Friday</v>
      </c>
      <c r="M100" s="71" t="str">
        <f>IFERROR(__xludf.DUMMYFUNCTION("""COMPUTED_VALUE"""),"BF")</f>
        <v>BF</v>
      </c>
      <c r="N100" s="109">
        <f>IFERROR(__xludf.DUMMYFUNCTION("""COMPUTED_VALUE"""),1.6467321733116538)</f>
        <v>1.646732173</v>
      </c>
      <c r="O100" s="71" t="str">
        <f>IFERROR(__xludf.DUMMYFUNCTION("""COMPUTED_VALUE"""),"")</f>
        <v/>
      </c>
      <c r="P100" s="71" t="str">
        <f>IFERROR(__xludf.DUMMYFUNCTION("""COMPUTED_VALUE"""),"")</f>
        <v/>
      </c>
      <c r="Q100" s="88" t="str">
        <f>IFERROR(__xludf.DUMMYFUNCTION("""COMPUTED_VALUE"""),"")</f>
        <v/>
      </c>
      <c r="R100" s="88" t="str">
        <f>IFERROR(__xludf.DUMMYFUNCTION("""COMPUTED_VALUE"""),"")</f>
        <v/>
      </c>
      <c r="S100" s="61" t="str">
        <f>IFERROR(__xludf.DUMMYFUNCTION("""COMPUTED_VALUE"""),"")</f>
        <v/>
      </c>
      <c r="T100" s="61" t="str">
        <f>IFERROR(__xludf.DUMMYFUNCTION("""COMPUTED_VALUE"""),"")</f>
        <v/>
      </c>
      <c r="U100" s="111" t="str">
        <f>IFERROR(__xludf.DUMMYFUNCTION("""COMPUTED_VALUE"""),"")</f>
        <v/>
      </c>
      <c r="V100" s="88" t="str">
        <f>IFERROR(__xludf.DUMMYFUNCTION("""COMPUTED_VALUE"""),"")</f>
        <v/>
      </c>
      <c r="W100" s="62" t="str">
        <f>IFERROR(__xludf.DUMMYFUNCTION("""COMPUTED_VALUE"""),"")</f>
        <v/>
      </c>
      <c r="X100" s="62" t="str">
        <f>IFERROR(__xludf.DUMMYFUNCTION("""COMPUTED_VALUE"""),"")</f>
        <v/>
      </c>
      <c r="Y100" s="109" t="str">
        <f>IFERROR(__xludf.DUMMYFUNCTION("""COMPUTED_VALUE"""),"")</f>
        <v/>
      </c>
      <c r="Z100" s="113" t="str">
        <f>IFERROR(__xludf.DUMMYFUNCTION("""COMPUTED_VALUE"""),"")</f>
        <v/>
      </c>
      <c r="AA100" s="113" t="str">
        <f>IFERROR(__xludf.DUMMYFUNCTION("""COMPUTED_VALUE"""),"")</f>
        <v/>
      </c>
      <c r="AB100" s="71" t="str">
        <f>IFERROR(__xludf.DUMMYFUNCTION("""COMPUTED_VALUE"""),"")</f>
        <v/>
      </c>
    </row>
    <row r="101">
      <c r="A101" s="105">
        <f>IFERROR(__xludf.DUMMYFUNCTION("""COMPUTED_VALUE"""),45933.763813171296)</f>
        <v>45933.76381</v>
      </c>
      <c r="B101" s="71" t="str">
        <f>IFERROR(__xludf.DUMMYFUNCTION("""COMPUTED_VALUE"""),"Emmett Khan")</f>
        <v>Emmett Khan</v>
      </c>
      <c r="C101" s="71" t="b">
        <f>IFERROR(__xludf.DUMMYFUNCTION("""COMPUTED_VALUE"""),TRUE)</f>
        <v>1</v>
      </c>
      <c r="D101" s="132">
        <f>IFERROR(__xludf.DUMMYFUNCTION("""COMPUTED_VALUE"""),0.7395833333357587)</f>
        <v>0.7395833333</v>
      </c>
      <c r="E101" s="78">
        <f>IFERROR(__xludf.DUMMYFUNCTION("""COMPUTED_VALUE"""),0.020833333328482695)</f>
        <v>0.02083333333</v>
      </c>
      <c r="F101" s="132">
        <f>IFERROR(__xludf.DUMMYFUNCTION("""COMPUTED_VALUE"""),0.7604166666642413)</f>
        <v>0.7604166667</v>
      </c>
      <c r="G101" s="78" t="str">
        <f>IFERROR(__xludf.DUMMYFUNCTION("""COMPUTED_VALUE"""),"")</f>
        <v/>
      </c>
      <c r="H101" s="110">
        <f>IFERROR(__xludf.DUMMYFUNCTION("""COMPUTED_VALUE"""),67.0)</f>
        <v>67</v>
      </c>
      <c r="I101" s="108" t="str">
        <f>IFERROR(__xludf.DUMMYFUNCTION("""COMPUTED_VALUE"""),"")</f>
        <v/>
      </c>
      <c r="J101" s="71" t="str">
        <f>IFERROR(__xludf.DUMMYFUNCTION("""COMPUTED_VALUE"""),"Dinner")</f>
        <v>Dinner</v>
      </c>
      <c r="K101" s="106">
        <f>IFERROR(__xludf.DUMMYFUNCTION("""COMPUTED_VALUE"""),45933.0)</f>
        <v>45933</v>
      </c>
      <c r="L101" s="71" t="str">
        <f>IFERROR(__xludf.DUMMYFUNCTION("""COMPUTED_VALUE"""),"Friday")</f>
        <v>Friday</v>
      </c>
      <c r="M101" s="71" t="str">
        <f>IFERROR(__xludf.DUMMYFUNCTION("""COMPUTED_VALUE"""),"MF")</f>
        <v>MF</v>
      </c>
      <c r="N101" s="109" t="str">
        <f>IFERROR(__xludf.DUMMYFUNCTION("""COMPUTED_VALUE"""),"")</f>
        <v/>
      </c>
      <c r="O101" s="71">
        <f>IFERROR(__xludf.DUMMYFUNCTION("""COMPUTED_VALUE"""),250.0)</f>
        <v>250</v>
      </c>
      <c r="P101" s="71">
        <f>IFERROR(__xludf.DUMMYFUNCTION("""COMPUTED_VALUE"""),204.0)</f>
        <v>204</v>
      </c>
      <c r="Q101" s="88">
        <f>IFERROR(__xludf.DUMMYFUNCTION("""COMPUTED_VALUE"""),0.17499999999563443)</f>
        <v>0.175</v>
      </c>
      <c r="R101" s="88">
        <f>IFERROR(__xludf.DUMMYFUNCTION("""COMPUTED_VALUE"""),0.12569444445398403)</f>
        <v>0.1256944445</v>
      </c>
      <c r="S101" s="61">
        <f>IFERROR(__xludf.DUMMYFUNCTION("""COMPUTED_VALUE"""),39.99999999832225)</f>
        <v>40</v>
      </c>
      <c r="T101" s="61">
        <f>IFERROR(__xludf.DUMMYFUNCTION("""COMPUTED_VALUE"""),53.44152046618798)</f>
        <v>53.44152047</v>
      </c>
      <c r="U101" s="111">
        <f>IFERROR(__xludf.DUMMYFUNCTION("""COMPUTED_VALUE"""),454.0)</f>
        <v>454</v>
      </c>
      <c r="V101" s="88">
        <f>IFERROR(__xludf.DUMMYFUNCTION("""COMPUTED_VALUE"""),0.30069444444961846)</f>
        <v>0.3006944444</v>
      </c>
      <c r="W101" s="62">
        <f>IFERROR(__xludf.DUMMYFUNCTION("""COMPUTED_VALUE"""),62.90993071485285)</f>
        <v>62.90993071</v>
      </c>
      <c r="X101" s="62">
        <f>IFERROR(__xludf.DUMMYFUNCTION("""COMPUTED_VALUE"""),46.72076023225512)</f>
        <v>46.72076023</v>
      </c>
      <c r="Y101" s="109">
        <f>IFERROR(__xludf.DUMMYFUNCTION("""COMPUTED_VALUE"""),0.6850359474993896)</f>
        <v>0.6850359475</v>
      </c>
      <c r="Z101" s="113">
        <f>IFERROR(__xludf.DUMMYFUNCTION("""COMPUTED_VALUE"""),3554.0)</f>
        <v>3554</v>
      </c>
      <c r="AA101" s="113">
        <f>IFERROR(__xludf.DUMMYFUNCTION("""COMPUTED_VALUE"""),2293.0)</f>
        <v>2293</v>
      </c>
      <c r="AB101" s="113">
        <f>IFERROR(__xludf.DUMMYFUNCTION("""COMPUTED_VALUE"""),5847.0)</f>
        <v>5847</v>
      </c>
    </row>
    <row r="102">
      <c r="A102" s="105">
        <f>IFERROR(__xludf.DUMMYFUNCTION("""COMPUTED_VALUE"""),45936.43606253472)</f>
        <v>45936.43606</v>
      </c>
      <c r="B102" s="71" t="str">
        <f>IFERROR(__xludf.DUMMYFUNCTION("""COMPUTED_VALUE"""),"Sarah Wilme")</f>
        <v>Sarah Wilme</v>
      </c>
      <c r="C102" s="71" t="b">
        <f>IFERROR(__xludf.DUMMYFUNCTION("""COMPUTED_VALUE"""),FALSE)</f>
        <v>0</v>
      </c>
      <c r="D102" s="132">
        <f>IFERROR(__xludf.DUMMYFUNCTION("""COMPUTED_VALUE"""),0.36458333333575865)</f>
        <v>0.3645833333</v>
      </c>
      <c r="E102" s="78">
        <f>IFERROR(__xludf.DUMMYFUNCTION("""COMPUTED_VALUE"""),0.07291666666424135)</f>
        <v>0.07291666666</v>
      </c>
      <c r="F102" s="132">
        <f>IFERROR(__xludf.DUMMYFUNCTION("""COMPUTED_VALUE"""),0.4375)</f>
        <v>0.4375</v>
      </c>
      <c r="G102" s="78">
        <f>IFERROR(__xludf.DUMMYFUNCTION("""COMPUTED_VALUE"""),0.07291666666424135)</f>
        <v>0.07291666666</v>
      </c>
      <c r="H102" s="110">
        <f>IFERROR(__xludf.DUMMYFUNCTION("""COMPUTED_VALUE"""),42.0)</f>
        <v>42</v>
      </c>
      <c r="I102" s="108">
        <f>IFERROR(__xludf.DUMMYFUNCTION("""COMPUTED_VALUE"""),24.000000000798277)</f>
        <v>24</v>
      </c>
      <c r="J102" s="71" t="str">
        <f>IFERROR(__xludf.DUMMYFUNCTION("""COMPUTED_VALUE"""),"Breakfast")</f>
        <v>Breakfast</v>
      </c>
      <c r="K102" s="106">
        <f>IFERROR(__xludf.DUMMYFUNCTION("""COMPUTED_VALUE"""),45936.0)</f>
        <v>45936</v>
      </c>
      <c r="L102" s="71" t="str">
        <f>IFERROR(__xludf.DUMMYFUNCTION("""COMPUTED_VALUE"""),"Monday")</f>
        <v>Monday</v>
      </c>
      <c r="M102" s="71" t="str">
        <f>IFERROR(__xludf.DUMMYFUNCTION("""COMPUTED_VALUE"""),"BF")</f>
        <v>BF</v>
      </c>
      <c r="N102" s="109">
        <f>IFERROR(__xludf.DUMMYFUNCTION("""COMPUTED_VALUE"""),1.0164281746245443)</f>
        <v>1.016428175</v>
      </c>
      <c r="O102" s="71" t="str">
        <f>IFERROR(__xludf.DUMMYFUNCTION("""COMPUTED_VALUE"""),"")</f>
        <v/>
      </c>
      <c r="P102" s="71" t="str">
        <f>IFERROR(__xludf.DUMMYFUNCTION("""COMPUTED_VALUE"""),"")</f>
        <v/>
      </c>
      <c r="Q102" s="88" t="str">
        <f>IFERROR(__xludf.DUMMYFUNCTION("""COMPUTED_VALUE"""),"")</f>
        <v/>
      </c>
      <c r="R102" s="88" t="str">
        <f>IFERROR(__xludf.DUMMYFUNCTION("""COMPUTED_VALUE"""),"")</f>
        <v/>
      </c>
      <c r="S102" s="61" t="str">
        <f>IFERROR(__xludf.DUMMYFUNCTION("""COMPUTED_VALUE"""),"")</f>
        <v/>
      </c>
      <c r="T102" s="61" t="str">
        <f>IFERROR(__xludf.DUMMYFUNCTION("""COMPUTED_VALUE"""),"")</f>
        <v/>
      </c>
      <c r="U102" s="111" t="str">
        <f>IFERROR(__xludf.DUMMYFUNCTION("""COMPUTED_VALUE"""),"")</f>
        <v/>
      </c>
      <c r="V102" s="88" t="str">
        <f>IFERROR(__xludf.DUMMYFUNCTION("""COMPUTED_VALUE"""),"")</f>
        <v/>
      </c>
      <c r="W102" s="62" t="str">
        <f>IFERROR(__xludf.DUMMYFUNCTION("""COMPUTED_VALUE"""),"")</f>
        <v/>
      </c>
      <c r="X102" s="62" t="str">
        <f>IFERROR(__xludf.DUMMYFUNCTION("""COMPUTED_VALUE"""),"")</f>
        <v/>
      </c>
      <c r="Y102" s="109" t="str">
        <f>IFERROR(__xludf.DUMMYFUNCTION("""COMPUTED_VALUE"""),"")</f>
        <v/>
      </c>
      <c r="Z102" s="113" t="str">
        <f>IFERROR(__xludf.DUMMYFUNCTION("""COMPUTED_VALUE"""),"")</f>
        <v/>
      </c>
      <c r="AA102" s="113" t="str">
        <f>IFERROR(__xludf.DUMMYFUNCTION("""COMPUTED_VALUE"""),"")</f>
        <v/>
      </c>
      <c r="AB102" s="71" t="str">
        <f>IFERROR(__xludf.DUMMYFUNCTION("""COMPUTED_VALUE"""),"")</f>
        <v/>
      </c>
    </row>
    <row r="103">
      <c r="A103" s="105">
        <f>IFERROR(__xludf.DUMMYFUNCTION("""COMPUTED_VALUE"""),45936.56094407407)</f>
        <v>45936.56094</v>
      </c>
      <c r="B103" s="71" t="str">
        <f>IFERROR(__xludf.DUMMYFUNCTION("""COMPUTED_VALUE"""),"Orpheus Wilson")</f>
        <v>Orpheus Wilson</v>
      </c>
      <c r="C103" s="71" t="b">
        <f>IFERROR(__xludf.DUMMYFUNCTION("""COMPUTED_VALUE"""),FALSE)</f>
        <v>0</v>
      </c>
      <c r="D103" s="132">
        <f>IFERROR(__xludf.DUMMYFUNCTION("""COMPUTED_VALUE"""),0.48958333333575865)</f>
        <v>0.4895833333</v>
      </c>
      <c r="E103" s="78">
        <f>IFERROR(__xludf.DUMMYFUNCTION("""COMPUTED_VALUE"""),0.06597222221898846)</f>
        <v>0.06597222222</v>
      </c>
      <c r="F103" s="132">
        <f>IFERROR(__xludf.DUMMYFUNCTION("""COMPUTED_VALUE"""),0.5555555555547471)</f>
        <v>0.5555555556</v>
      </c>
      <c r="G103" s="78">
        <f>IFERROR(__xludf.DUMMYFUNCTION("""COMPUTED_VALUE"""),0.06597222221898846)</f>
        <v>0.06597222222</v>
      </c>
      <c r="H103" s="110">
        <f>IFERROR(__xludf.DUMMYFUNCTION("""COMPUTED_VALUE"""),148.0)</f>
        <v>148</v>
      </c>
      <c r="I103" s="108">
        <f>IFERROR(__xludf.DUMMYFUNCTION("""COMPUTED_VALUE"""),93.47368421510811)</f>
        <v>93.47368422</v>
      </c>
      <c r="J103" s="71" t="str">
        <f>IFERROR(__xludf.DUMMYFUNCTION("""COMPUTED_VALUE"""),"Lunch")</f>
        <v>Lunch</v>
      </c>
      <c r="K103" s="106">
        <f>IFERROR(__xludf.DUMMYFUNCTION("""COMPUTED_VALUE"""),45936.0)</f>
        <v>45936</v>
      </c>
      <c r="L103" s="71" t="str">
        <f>IFERROR(__xludf.DUMMYFUNCTION("""COMPUTED_VALUE"""),"Monday")</f>
        <v>Monday</v>
      </c>
      <c r="M103" s="71" t="str">
        <f>IFERROR(__xludf.DUMMYFUNCTION("""COMPUTED_VALUE"""),"MF")</f>
        <v>MF</v>
      </c>
      <c r="N103" s="109">
        <f>IFERROR(__xludf.DUMMYFUNCTION("""COMPUTED_VALUE"""),1.943770609533589)</f>
        <v>1.94377061</v>
      </c>
      <c r="O103" s="71" t="str">
        <f>IFERROR(__xludf.DUMMYFUNCTION("""COMPUTED_VALUE"""),"")</f>
        <v/>
      </c>
      <c r="P103" s="71" t="str">
        <f>IFERROR(__xludf.DUMMYFUNCTION("""COMPUTED_VALUE"""),"")</f>
        <v/>
      </c>
      <c r="Q103" s="88" t="str">
        <f>IFERROR(__xludf.DUMMYFUNCTION("""COMPUTED_VALUE"""),"")</f>
        <v/>
      </c>
      <c r="R103" s="88" t="str">
        <f>IFERROR(__xludf.DUMMYFUNCTION("""COMPUTED_VALUE"""),"")</f>
        <v/>
      </c>
      <c r="S103" s="61" t="str">
        <f>IFERROR(__xludf.DUMMYFUNCTION("""COMPUTED_VALUE"""),"")</f>
        <v/>
      </c>
      <c r="T103" s="61" t="str">
        <f>IFERROR(__xludf.DUMMYFUNCTION("""COMPUTED_VALUE"""),"")</f>
        <v/>
      </c>
      <c r="U103" s="111" t="str">
        <f>IFERROR(__xludf.DUMMYFUNCTION("""COMPUTED_VALUE"""),"")</f>
        <v/>
      </c>
      <c r="V103" s="88" t="str">
        <f>IFERROR(__xludf.DUMMYFUNCTION("""COMPUTED_VALUE"""),"")</f>
        <v/>
      </c>
      <c r="W103" s="62" t="str">
        <f>IFERROR(__xludf.DUMMYFUNCTION("""COMPUTED_VALUE"""),"")</f>
        <v/>
      </c>
      <c r="X103" s="62" t="str">
        <f>IFERROR(__xludf.DUMMYFUNCTION("""COMPUTED_VALUE"""),"")</f>
        <v/>
      </c>
      <c r="Y103" s="109" t="str">
        <f>IFERROR(__xludf.DUMMYFUNCTION("""COMPUTED_VALUE"""),"")</f>
        <v/>
      </c>
      <c r="Z103" s="113" t="str">
        <f>IFERROR(__xludf.DUMMYFUNCTION("""COMPUTED_VALUE"""),"")</f>
        <v/>
      </c>
      <c r="AA103" s="113" t="str">
        <f>IFERROR(__xludf.DUMMYFUNCTION("""COMPUTED_VALUE"""),"")</f>
        <v/>
      </c>
      <c r="AB103" s="71" t="str">
        <f>IFERROR(__xludf.DUMMYFUNCTION("""COMPUTED_VALUE"""),"")</f>
        <v/>
      </c>
    </row>
    <row r="104">
      <c r="A104" s="105">
        <f>IFERROR(__xludf.DUMMYFUNCTION("""COMPUTED_VALUE"""),45936.629170636574)</f>
        <v>45936.62917</v>
      </c>
      <c r="B104" s="71" t="str">
        <f>IFERROR(__xludf.DUMMYFUNCTION("""COMPUTED_VALUE"""),"Greta Traynor")</f>
        <v>Greta Traynor</v>
      </c>
      <c r="C104" s="71" t="b">
        <f>IFERROR(__xludf.DUMMYFUNCTION("""COMPUTED_VALUE"""),FALSE)</f>
        <v>0</v>
      </c>
      <c r="D104" s="132">
        <f>IFERROR(__xludf.DUMMYFUNCTION("""COMPUTED_VALUE"""),0.5659722222189885)</f>
        <v>0.5659722222</v>
      </c>
      <c r="E104" s="78">
        <f>IFERROR(__xludf.DUMMYFUNCTION("""COMPUTED_VALUE"""),0.06527777777955635)</f>
        <v>0.06527777778</v>
      </c>
      <c r="F104" s="132">
        <f>IFERROR(__xludf.DUMMYFUNCTION("""COMPUTED_VALUE"""),0.6312499999985448)</f>
        <v>0.63125</v>
      </c>
      <c r="G104" s="78">
        <f>IFERROR(__xludf.DUMMYFUNCTION("""COMPUTED_VALUE"""),0.06527777777955635)</f>
        <v>0.06527777778</v>
      </c>
      <c r="H104" s="110">
        <f>IFERROR(__xludf.DUMMYFUNCTION("""COMPUTED_VALUE"""),56.0)</f>
        <v>56</v>
      </c>
      <c r="I104" s="108">
        <f>IFERROR(__xludf.DUMMYFUNCTION("""COMPUTED_VALUE"""),35.74468085008993)</f>
        <v>35.74468085</v>
      </c>
      <c r="J104" s="71" t="str">
        <f>IFERROR(__xludf.DUMMYFUNCTION("""COMPUTED_VALUE"""),"Lunch")</f>
        <v>Lunch</v>
      </c>
      <c r="K104" s="106">
        <f>IFERROR(__xludf.DUMMYFUNCTION("""COMPUTED_VALUE"""),45936.0)</f>
        <v>45936</v>
      </c>
      <c r="L104" s="71" t="str">
        <f>IFERROR(__xludf.DUMMYFUNCTION("""COMPUTED_VALUE"""),"Monday")</f>
        <v>Monday</v>
      </c>
      <c r="M104" s="71" t="str">
        <f>IFERROR(__xludf.DUMMYFUNCTION("""COMPUTED_VALUE"""),"MF")</f>
        <v>MF</v>
      </c>
      <c r="N104" s="109">
        <f>IFERROR(__xludf.DUMMYFUNCTION("""COMPUTED_VALUE"""),0.7433050346413218)</f>
        <v>0.7433050346</v>
      </c>
      <c r="O104" s="71" t="str">
        <f>IFERROR(__xludf.DUMMYFUNCTION("""COMPUTED_VALUE"""),"")</f>
        <v/>
      </c>
      <c r="P104" s="71" t="str">
        <f>IFERROR(__xludf.DUMMYFUNCTION("""COMPUTED_VALUE"""),"")</f>
        <v/>
      </c>
      <c r="Q104" s="88" t="str">
        <f>IFERROR(__xludf.DUMMYFUNCTION("""COMPUTED_VALUE"""),"")</f>
        <v/>
      </c>
      <c r="R104" s="88" t="str">
        <f>IFERROR(__xludf.DUMMYFUNCTION("""COMPUTED_VALUE"""),"")</f>
        <v/>
      </c>
      <c r="S104" s="61" t="str">
        <f>IFERROR(__xludf.DUMMYFUNCTION("""COMPUTED_VALUE"""),"")</f>
        <v/>
      </c>
      <c r="T104" s="61" t="str">
        <f>IFERROR(__xludf.DUMMYFUNCTION("""COMPUTED_VALUE"""),"")</f>
        <v/>
      </c>
      <c r="U104" s="111" t="str">
        <f>IFERROR(__xludf.DUMMYFUNCTION("""COMPUTED_VALUE"""),"")</f>
        <v/>
      </c>
      <c r="V104" s="88" t="str">
        <f>IFERROR(__xludf.DUMMYFUNCTION("""COMPUTED_VALUE"""),"")</f>
        <v/>
      </c>
      <c r="W104" s="62" t="str">
        <f>IFERROR(__xludf.DUMMYFUNCTION("""COMPUTED_VALUE"""),"")</f>
        <v/>
      </c>
      <c r="X104" s="62" t="str">
        <f>IFERROR(__xludf.DUMMYFUNCTION("""COMPUTED_VALUE"""),"")</f>
        <v/>
      </c>
      <c r="Y104" s="109" t="str">
        <f>IFERROR(__xludf.DUMMYFUNCTION("""COMPUTED_VALUE"""),"")</f>
        <v/>
      </c>
      <c r="Z104" s="113" t="str">
        <f>IFERROR(__xludf.DUMMYFUNCTION("""COMPUTED_VALUE"""),"")</f>
        <v/>
      </c>
      <c r="AA104" s="113" t="str">
        <f>IFERROR(__xludf.DUMMYFUNCTION("""COMPUTED_VALUE"""),"")</f>
        <v/>
      </c>
      <c r="AB104" s="71" t="str">
        <f>IFERROR(__xludf.DUMMYFUNCTION("""COMPUTED_VALUE"""),"")</f>
        <v/>
      </c>
    </row>
    <row r="105">
      <c r="A105" s="105">
        <f>IFERROR(__xludf.DUMMYFUNCTION("""COMPUTED_VALUE"""),45936.65410201389)</f>
        <v>45936.6541</v>
      </c>
      <c r="B105" s="71" t="str">
        <f>IFERROR(__xludf.DUMMYFUNCTION("""COMPUTED_VALUE"""),"Emma Korsu")</f>
        <v>Emma Korsu</v>
      </c>
      <c r="C105" s="71" t="b">
        <f>IFERROR(__xludf.DUMMYFUNCTION("""COMPUTED_VALUE"""),FALSE)</f>
        <v>0</v>
      </c>
      <c r="D105" s="132">
        <f>IFERROR(__xludf.DUMMYFUNCTION("""COMPUTED_VALUE"""),0.5041666666656965)</f>
        <v>0.5041666667</v>
      </c>
      <c r="E105" s="78">
        <f>IFERROR(__xludf.DUMMYFUNCTION("""COMPUTED_VALUE"""),0.148611111115315)</f>
        <v>0.1486111111</v>
      </c>
      <c r="F105" s="132">
        <f>IFERROR(__xludf.DUMMYFUNCTION("""COMPUTED_VALUE"""),0.6527777777810115)</f>
        <v>0.6527777778</v>
      </c>
      <c r="G105" s="78">
        <f>IFERROR(__xludf.DUMMYFUNCTION("""COMPUTED_VALUE"""),0.148611111115315)</f>
        <v>0.1486111111</v>
      </c>
      <c r="H105" s="110">
        <f>IFERROR(__xludf.DUMMYFUNCTION("""COMPUTED_VALUE"""),156.0)</f>
        <v>156</v>
      </c>
      <c r="I105" s="108">
        <f>IFERROR(__xludf.DUMMYFUNCTION("""COMPUTED_VALUE"""),43.73831775577208)</f>
        <v>43.73831776</v>
      </c>
      <c r="J105" s="71" t="str">
        <f>IFERROR(__xludf.DUMMYFUNCTION("""COMPUTED_VALUE"""),"Lunch")</f>
        <v>Lunch</v>
      </c>
      <c r="K105" s="106">
        <f>IFERROR(__xludf.DUMMYFUNCTION("""COMPUTED_VALUE"""),45936.0)</f>
        <v>45936</v>
      </c>
      <c r="L105" s="71" t="str">
        <f>IFERROR(__xludf.DUMMYFUNCTION("""COMPUTED_VALUE"""),"Monday")</f>
        <v>Monday</v>
      </c>
      <c r="M105" s="71" t="str">
        <f>IFERROR(__xludf.DUMMYFUNCTION("""COMPUTED_VALUE"""),"BF")</f>
        <v>BF</v>
      </c>
      <c r="N105" s="109">
        <f>IFERROR(__xludf.DUMMYFUNCTION("""COMPUTED_VALUE"""),1.126384049633191)</f>
        <v>1.12638405</v>
      </c>
      <c r="O105" s="71" t="str">
        <f>IFERROR(__xludf.DUMMYFUNCTION("""COMPUTED_VALUE"""),"")</f>
        <v/>
      </c>
      <c r="P105" s="71" t="str">
        <f>IFERROR(__xludf.DUMMYFUNCTION("""COMPUTED_VALUE"""),"")</f>
        <v/>
      </c>
      <c r="Q105" s="78" t="str">
        <f>IFERROR(__xludf.DUMMYFUNCTION("""COMPUTED_VALUE"""),"")</f>
        <v/>
      </c>
      <c r="R105" s="78" t="str">
        <f>IFERROR(__xludf.DUMMYFUNCTION("""COMPUTED_VALUE"""),"")</f>
        <v/>
      </c>
      <c r="S105" s="61" t="str">
        <f>IFERROR(__xludf.DUMMYFUNCTION("""COMPUTED_VALUE"""),"")</f>
        <v/>
      </c>
      <c r="T105" s="61" t="str">
        <f>IFERROR(__xludf.DUMMYFUNCTION("""COMPUTED_VALUE"""),"")</f>
        <v/>
      </c>
      <c r="U105" s="133" t="str">
        <f>IFERROR(__xludf.DUMMYFUNCTION("""COMPUTED_VALUE"""),"")</f>
        <v/>
      </c>
      <c r="V105" s="78" t="str">
        <f>IFERROR(__xludf.DUMMYFUNCTION("""COMPUTED_VALUE"""),"")</f>
        <v/>
      </c>
      <c r="W105" s="62" t="str">
        <f>IFERROR(__xludf.DUMMYFUNCTION("""COMPUTED_VALUE"""),"")</f>
        <v/>
      </c>
      <c r="X105" s="62" t="str">
        <f>IFERROR(__xludf.DUMMYFUNCTION("""COMPUTED_VALUE"""),"")</f>
        <v/>
      </c>
      <c r="Y105" s="109" t="str">
        <f>IFERROR(__xludf.DUMMYFUNCTION("""COMPUTED_VALUE"""),"")</f>
        <v/>
      </c>
      <c r="Z105" s="113" t="str">
        <f>IFERROR(__xludf.DUMMYFUNCTION("""COMPUTED_VALUE"""),"")</f>
        <v/>
      </c>
      <c r="AA105" s="113" t="str">
        <f>IFERROR(__xludf.DUMMYFUNCTION("""COMPUTED_VALUE"""),"")</f>
        <v/>
      </c>
      <c r="AB105" s="71" t="str">
        <f>IFERROR(__xludf.DUMMYFUNCTION("""COMPUTED_VALUE"""),"")</f>
        <v/>
      </c>
    </row>
    <row r="106">
      <c r="A106" s="105">
        <f>IFERROR(__xludf.DUMMYFUNCTION("""COMPUTED_VALUE"""),45936.76222462963)</f>
        <v>45936.76222</v>
      </c>
      <c r="B106" s="71" t="str">
        <f>IFERROR(__xludf.DUMMYFUNCTION("""COMPUTED_VALUE"""),"Kaylie Forgue")</f>
        <v>Kaylie Forgue</v>
      </c>
      <c r="C106" s="71" t="b">
        <f>IFERROR(__xludf.DUMMYFUNCTION("""COMPUTED_VALUE"""),FALSE)</f>
        <v>0</v>
      </c>
      <c r="D106" s="132">
        <f>IFERROR(__xludf.DUMMYFUNCTION("""COMPUTED_VALUE"""),0.6868055555532919)</f>
        <v>0.6868055556</v>
      </c>
      <c r="E106" s="78">
        <f>IFERROR(__xludf.DUMMYFUNCTION("""COMPUTED_VALUE"""),0.0743055555576575)</f>
        <v>0.07430555556</v>
      </c>
      <c r="F106" s="132">
        <f>IFERROR(__xludf.DUMMYFUNCTION("""COMPUTED_VALUE"""),0.7611111111109494)</f>
        <v>0.7611111111</v>
      </c>
      <c r="G106" s="78">
        <f>IFERROR(__xludf.DUMMYFUNCTION("""COMPUTED_VALUE"""),0.0743055555576575)</f>
        <v>0.07430555556</v>
      </c>
      <c r="H106" s="110">
        <f>IFERROR(__xludf.DUMMYFUNCTION("""COMPUTED_VALUE"""),175.0)</f>
        <v>175</v>
      </c>
      <c r="I106" s="108">
        <f>IFERROR(__xludf.DUMMYFUNCTION("""COMPUTED_VALUE"""),98.13084111871942)</f>
        <v>98.13084112</v>
      </c>
      <c r="J106" s="71" t="str">
        <f>IFERROR(__xludf.DUMMYFUNCTION("""COMPUTED_VALUE"""),"Dinner")</f>
        <v>Dinner</v>
      </c>
      <c r="K106" s="106">
        <f>IFERROR(__xludf.DUMMYFUNCTION("""COMPUTED_VALUE"""),45936.0)</f>
        <v>45936</v>
      </c>
      <c r="L106" s="71" t="str">
        <f>IFERROR(__xludf.DUMMYFUNCTION("""COMPUTED_VALUE"""),"Monday")</f>
        <v>Monday</v>
      </c>
      <c r="M106" s="71" t="str">
        <f>IFERROR(__xludf.DUMMYFUNCTION("""COMPUTED_VALUE"""),"BF")</f>
        <v>BF</v>
      </c>
      <c r="N106" s="109">
        <f>IFERROR(__xludf.DUMMYFUNCTION("""COMPUTED_VALUE"""),2.315854967163957)</f>
        <v>2.315854967</v>
      </c>
      <c r="O106" s="71" t="str">
        <f>IFERROR(__xludf.DUMMYFUNCTION("""COMPUTED_VALUE"""),"")</f>
        <v/>
      </c>
      <c r="P106" s="71" t="str">
        <f>IFERROR(__xludf.DUMMYFUNCTION("""COMPUTED_VALUE"""),"")</f>
        <v/>
      </c>
      <c r="Q106" s="88" t="str">
        <f>IFERROR(__xludf.DUMMYFUNCTION("""COMPUTED_VALUE"""),"")</f>
        <v/>
      </c>
      <c r="R106" s="88" t="str">
        <f>IFERROR(__xludf.DUMMYFUNCTION("""COMPUTED_VALUE"""),"")</f>
        <v/>
      </c>
      <c r="S106" s="61" t="str">
        <f>IFERROR(__xludf.DUMMYFUNCTION("""COMPUTED_VALUE"""),"")</f>
        <v/>
      </c>
      <c r="T106" s="61" t="str">
        <f>IFERROR(__xludf.DUMMYFUNCTION("""COMPUTED_VALUE"""),"")</f>
        <v/>
      </c>
      <c r="U106" s="111" t="str">
        <f>IFERROR(__xludf.DUMMYFUNCTION("""COMPUTED_VALUE"""),"")</f>
        <v/>
      </c>
      <c r="V106" s="88" t="str">
        <f>IFERROR(__xludf.DUMMYFUNCTION("""COMPUTED_VALUE"""),"")</f>
        <v/>
      </c>
      <c r="W106" s="62" t="str">
        <f>IFERROR(__xludf.DUMMYFUNCTION("""COMPUTED_VALUE"""),"")</f>
        <v/>
      </c>
      <c r="X106" s="62" t="str">
        <f>IFERROR(__xludf.DUMMYFUNCTION("""COMPUTED_VALUE"""),"")</f>
        <v/>
      </c>
      <c r="Y106" s="109" t="str">
        <f>IFERROR(__xludf.DUMMYFUNCTION("""COMPUTED_VALUE"""),"")</f>
        <v/>
      </c>
      <c r="Z106" s="113" t="str">
        <f>IFERROR(__xludf.DUMMYFUNCTION("""COMPUTED_VALUE"""),"")</f>
        <v/>
      </c>
      <c r="AA106" s="113" t="str">
        <f>IFERROR(__xludf.DUMMYFUNCTION("""COMPUTED_VALUE"""),"")</f>
        <v/>
      </c>
      <c r="AB106" s="71" t="str">
        <f>IFERROR(__xludf.DUMMYFUNCTION("""COMPUTED_VALUE"""),"")</f>
        <v/>
      </c>
    </row>
    <row r="107">
      <c r="A107" s="105">
        <f>IFERROR(__xludf.DUMMYFUNCTION("""COMPUTED_VALUE"""),45936.7672503125)</f>
        <v>45936.76725</v>
      </c>
      <c r="B107" s="71" t="str">
        <f>IFERROR(__xludf.DUMMYFUNCTION("""COMPUTED_VALUE"""),"Maureen Surgot")</f>
        <v>Maureen Surgot</v>
      </c>
      <c r="C107" s="71" t="b">
        <f>IFERROR(__xludf.DUMMYFUNCTION("""COMPUTED_VALUE"""),FALSE)</f>
        <v>0</v>
      </c>
      <c r="D107" s="132">
        <f>IFERROR(__xludf.DUMMYFUNCTION("""COMPUTED_VALUE"""),0.6666666666642413)</f>
        <v>0.6666666667</v>
      </c>
      <c r="E107" s="78">
        <f>IFERROR(__xludf.DUMMYFUNCTION("""COMPUTED_VALUE"""),0.1041666666715173)</f>
        <v>0.1041666667</v>
      </c>
      <c r="F107" s="132">
        <f>IFERROR(__xludf.DUMMYFUNCTION("""COMPUTED_VALUE"""),0.7708333333357587)</f>
        <v>0.7708333333</v>
      </c>
      <c r="G107" s="78">
        <f>IFERROR(__xludf.DUMMYFUNCTION("""COMPUTED_VALUE"""),0.1041666666715173)</f>
        <v>0.1041666667</v>
      </c>
      <c r="H107" s="110">
        <f>IFERROR(__xludf.DUMMYFUNCTION("""COMPUTED_VALUE"""),84.0)</f>
        <v>84</v>
      </c>
      <c r="I107" s="108">
        <f>IFERROR(__xludf.DUMMYFUNCTION("""COMPUTED_VALUE"""),33.59999999843538)</f>
        <v>33.6</v>
      </c>
      <c r="J107" s="71" t="str">
        <f>IFERROR(__xludf.DUMMYFUNCTION("""COMPUTED_VALUE"""),"Dinner")</f>
        <v>Dinner</v>
      </c>
      <c r="K107" s="106">
        <f>IFERROR(__xludf.DUMMYFUNCTION("""COMPUTED_VALUE"""),45936.0)</f>
        <v>45936</v>
      </c>
      <c r="L107" s="71" t="str">
        <f>IFERROR(__xludf.DUMMYFUNCTION("""COMPUTED_VALUE"""),"Monday")</f>
        <v>Monday</v>
      </c>
      <c r="M107" s="71" t="str">
        <f>IFERROR(__xludf.DUMMYFUNCTION("""COMPUTED_VALUE"""),"MF")</f>
        <v>MF</v>
      </c>
      <c r="N107" s="109">
        <f>IFERROR(__xludf.DUMMYFUNCTION("""COMPUTED_VALUE"""),0.6620875347869826)</f>
        <v>0.6620875348</v>
      </c>
      <c r="O107" s="71">
        <f>IFERROR(__xludf.DUMMYFUNCTION("""COMPUTED_VALUE"""),288.0)</f>
        <v>288</v>
      </c>
      <c r="P107" s="71">
        <f>IFERROR(__xludf.DUMMYFUNCTION("""COMPUTED_VALUE"""),373.0)</f>
        <v>373</v>
      </c>
      <c r="Q107" s="88">
        <f>IFERROR(__xludf.DUMMYFUNCTION("""COMPUTED_VALUE"""),0.2354166666700621)</f>
        <v>0.2354166667</v>
      </c>
      <c r="R107" s="88">
        <f>IFERROR(__xludf.DUMMYFUNCTION("""COMPUTED_VALUE"""),0.29583333333721384)</f>
        <v>0.2958333333</v>
      </c>
      <c r="S107" s="61">
        <f>IFERROR(__xludf.DUMMYFUNCTION("""COMPUTED_VALUE"""),54.272788354544474)</f>
        <v>54.27278835</v>
      </c>
      <c r="T107" s="61">
        <f>IFERROR(__xludf.DUMMYFUNCTION("""COMPUTED_VALUE"""),55.28971962509659)</f>
        <v>55.28971963</v>
      </c>
      <c r="U107" s="111">
        <f>IFERROR(__xludf.DUMMYFUNCTION("""COMPUTED_VALUE"""),661.0)</f>
        <v>661</v>
      </c>
      <c r="V107" s="88">
        <f>IFERROR(__xludf.DUMMYFUNCTION("""COMPUTED_VALUE"""),0.531250000007276)</f>
        <v>0.53125</v>
      </c>
      <c r="W107" s="62">
        <f>IFERROR(__xludf.DUMMYFUNCTION("""COMPUTED_VALUE"""),51.84313725419192)</f>
        <v>51.84313725</v>
      </c>
      <c r="X107" s="62">
        <f>IFERROR(__xludf.DUMMYFUNCTION("""COMPUTED_VALUE"""),54.78125398982053)</f>
        <v>54.78125399</v>
      </c>
      <c r="Y107" s="109">
        <f>IFERROR(__xludf.DUMMYFUNCTION("""COMPUTED_VALUE"""),1.2820230438092295)</f>
        <v>1.282023044</v>
      </c>
      <c r="Z107" s="113">
        <f>IFERROR(__xludf.DUMMYFUNCTION("""COMPUTED_VALUE"""),4014.0)</f>
        <v>4014</v>
      </c>
      <c r="AA107" s="113">
        <f>IFERROR(__xludf.DUMMYFUNCTION("""COMPUTED_VALUE"""),4629.0)</f>
        <v>4629</v>
      </c>
      <c r="AB107" s="113">
        <f>IFERROR(__xludf.DUMMYFUNCTION("""COMPUTED_VALUE"""),8643.0)</f>
        <v>8643</v>
      </c>
    </row>
    <row r="108">
      <c r="A108" s="105">
        <f>IFERROR(__xludf.DUMMYFUNCTION("""COMPUTED_VALUE"""),45937.47956061343)</f>
        <v>45937.47956</v>
      </c>
      <c r="B108" s="71" t="str">
        <f>IFERROR(__xludf.DUMMYFUNCTION("""COMPUTED_VALUE"""),"Emmett Khan")</f>
        <v>Emmett Khan</v>
      </c>
      <c r="C108" s="71" t="b">
        <f>IFERROR(__xludf.DUMMYFUNCTION("""COMPUTED_VALUE"""),FALSE)</f>
        <v>0</v>
      </c>
      <c r="D108" s="132">
        <f>IFERROR(__xludf.DUMMYFUNCTION("""COMPUTED_VALUE"""),0.39583333333575865)</f>
        <v>0.3958333333</v>
      </c>
      <c r="E108" s="78">
        <f>IFERROR(__xludf.DUMMYFUNCTION("""COMPUTED_VALUE"""),0.0833333333284827)</f>
        <v>0.08333333333</v>
      </c>
      <c r="F108" s="132">
        <f>IFERROR(__xludf.DUMMYFUNCTION("""COMPUTED_VALUE"""),0.47916666666424135)</f>
        <v>0.4791666667</v>
      </c>
      <c r="G108" s="78">
        <f>IFERROR(__xludf.DUMMYFUNCTION("""COMPUTED_VALUE"""),0.0833333333284827)</f>
        <v>0.08333333333</v>
      </c>
      <c r="H108" s="110">
        <f>IFERROR(__xludf.DUMMYFUNCTION("""COMPUTED_VALUE"""),145.0)</f>
        <v>145</v>
      </c>
      <c r="I108" s="108">
        <f>IFERROR(__xludf.DUMMYFUNCTION("""COMPUTED_VALUE"""),72.50000000422006)</f>
        <v>72.5</v>
      </c>
      <c r="J108" s="71" t="str">
        <f>IFERROR(__xludf.DUMMYFUNCTION("""COMPUTED_VALUE"""),"Breakfast/Lunch")</f>
        <v>Breakfast/Lunch</v>
      </c>
      <c r="K108" s="106">
        <f>IFERROR(__xludf.DUMMYFUNCTION("""COMPUTED_VALUE"""),45937.0)</f>
        <v>45937</v>
      </c>
      <c r="L108" s="71" t="str">
        <f>IFERROR(__xludf.DUMMYFUNCTION("""COMPUTED_VALUE"""),"Tuesday")</f>
        <v>Tuesday</v>
      </c>
      <c r="M108" s="71" t="str">
        <f>IFERROR(__xludf.DUMMYFUNCTION("""COMPUTED_VALUE"""),"BF")</f>
        <v>BF</v>
      </c>
      <c r="N108" s="109">
        <f>IFERROR(__xludf.DUMMYFUNCTION("""COMPUTED_VALUE"""),1.273207137244001)</f>
        <v>1.273207137</v>
      </c>
      <c r="O108" s="71" t="str">
        <f>IFERROR(__xludf.DUMMYFUNCTION("""COMPUTED_VALUE"""),"")</f>
        <v/>
      </c>
      <c r="P108" s="71" t="str">
        <f>IFERROR(__xludf.DUMMYFUNCTION("""COMPUTED_VALUE"""),"")</f>
        <v/>
      </c>
      <c r="Q108" s="88" t="str">
        <f>IFERROR(__xludf.DUMMYFUNCTION("""COMPUTED_VALUE"""),"")</f>
        <v/>
      </c>
      <c r="R108" s="88" t="str">
        <f>IFERROR(__xludf.DUMMYFUNCTION("""COMPUTED_VALUE"""),"")</f>
        <v/>
      </c>
      <c r="S108" s="61" t="str">
        <f>IFERROR(__xludf.DUMMYFUNCTION("""COMPUTED_VALUE"""),"")</f>
        <v/>
      </c>
      <c r="T108" s="61" t="str">
        <f>IFERROR(__xludf.DUMMYFUNCTION("""COMPUTED_VALUE"""),"")</f>
        <v/>
      </c>
      <c r="U108" s="111" t="str">
        <f>IFERROR(__xludf.DUMMYFUNCTION("""COMPUTED_VALUE"""),"")</f>
        <v/>
      </c>
      <c r="V108" s="88" t="str">
        <f>IFERROR(__xludf.DUMMYFUNCTION("""COMPUTED_VALUE"""),"")</f>
        <v/>
      </c>
      <c r="W108" s="62" t="str">
        <f>IFERROR(__xludf.DUMMYFUNCTION("""COMPUTED_VALUE"""),"")</f>
        <v/>
      </c>
      <c r="X108" s="62" t="str">
        <f>IFERROR(__xludf.DUMMYFUNCTION("""COMPUTED_VALUE"""),"")</f>
        <v/>
      </c>
      <c r="Y108" s="109" t="str">
        <f>IFERROR(__xludf.DUMMYFUNCTION("""COMPUTED_VALUE"""),"")</f>
        <v/>
      </c>
      <c r="Z108" s="113" t="str">
        <f>IFERROR(__xludf.DUMMYFUNCTION("""COMPUTED_VALUE"""),"")</f>
        <v/>
      </c>
      <c r="AA108" s="113" t="str">
        <f>IFERROR(__xludf.DUMMYFUNCTION("""COMPUTED_VALUE"""),"")</f>
        <v/>
      </c>
      <c r="AB108" s="71" t="str">
        <f>IFERROR(__xludf.DUMMYFUNCTION("""COMPUTED_VALUE"""),"")</f>
        <v/>
      </c>
    </row>
    <row r="109">
      <c r="A109" s="105">
        <f>IFERROR(__xludf.DUMMYFUNCTION("""COMPUTED_VALUE"""),45937.63082925926)</f>
        <v>45937.63083</v>
      </c>
      <c r="B109" s="71" t="str">
        <f>IFERROR(__xludf.DUMMYFUNCTION("""COMPUTED_VALUE"""),"Maureen Surgot")</f>
        <v>Maureen Surgot</v>
      </c>
      <c r="C109" s="71" t="b">
        <f>IFERROR(__xludf.DUMMYFUNCTION("""COMPUTED_VALUE"""),FALSE)</f>
        <v>0</v>
      </c>
      <c r="D109" s="132">
        <f>IFERROR(__xludf.DUMMYFUNCTION("""COMPUTED_VALUE"""),0.47916666666424135)</f>
        <v>0.4791666667</v>
      </c>
      <c r="E109" s="78">
        <f>IFERROR(__xludf.DUMMYFUNCTION("""COMPUTED_VALUE"""),0.15625)</f>
        <v>0.15625</v>
      </c>
      <c r="F109" s="132">
        <f>IFERROR(__xludf.DUMMYFUNCTION("""COMPUTED_VALUE"""),0.6354166666642413)</f>
        <v>0.6354166667</v>
      </c>
      <c r="G109" s="78">
        <f>IFERROR(__xludf.DUMMYFUNCTION("""COMPUTED_VALUE"""),0.15625)</f>
        <v>0.15625</v>
      </c>
      <c r="H109" s="110">
        <f>IFERROR(__xludf.DUMMYFUNCTION("""COMPUTED_VALUE"""),176.0)</f>
        <v>176</v>
      </c>
      <c r="I109" s="108">
        <f>IFERROR(__xludf.DUMMYFUNCTION("""COMPUTED_VALUE"""),46.93333333333333)</f>
        <v>46.93333333</v>
      </c>
      <c r="J109" s="71" t="str">
        <f>IFERROR(__xludf.DUMMYFUNCTION("""COMPUTED_VALUE"""),"Lunch")</f>
        <v>Lunch</v>
      </c>
      <c r="K109" s="106">
        <f>IFERROR(__xludf.DUMMYFUNCTION("""COMPUTED_VALUE"""),45937.0)</f>
        <v>45937</v>
      </c>
      <c r="L109" s="71" t="str">
        <f>IFERROR(__xludf.DUMMYFUNCTION("""COMPUTED_VALUE"""),"Tuesday")</f>
        <v>Tuesday</v>
      </c>
      <c r="M109" s="71" t="str">
        <f>IFERROR(__xludf.DUMMYFUNCTION("""COMPUTED_VALUE"""),"MF")</f>
        <v>MF</v>
      </c>
      <c r="N109" s="109">
        <f>IFERROR(__xludf.DUMMYFUNCTION("""COMPUTED_VALUE"""),0.9759713090032601)</f>
        <v>0.975971309</v>
      </c>
      <c r="O109" s="71" t="str">
        <f>IFERROR(__xludf.DUMMYFUNCTION("""COMPUTED_VALUE"""),"")</f>
        <v/>
      </c>
      <c r="P109" s="71" t="str">
        <f>IFERROR(__xludf.DUMMYFUNCTION("""COMPUTED_VALUE"""),"")</f>
        <v/>
      </c>
      <c r="Q109" s="88" t="str">
        <f>IFERROR(__xludf.DUMMYFUNCTION("""COMPUTED_VALUE"""),"")</f>
        <v/>
      </c>
      <c r="R109" s="88" t="str">
        <f>IFERROR(__xludf.DUMMYFUNCTION("""COMPUTED_VALUE"""),"")</f>
        <v/>
      </c>
      <c r="S109" s="61" t="str">
        <f>IFERROR(__xludf.DUMMYFUNCTION("""COMPUTED_VALUE"""),"")</f>
        <v/>
      </c>
      <c r="T109" s="61" t="str">
        <f>IFERROR(__xludf.DUMMYFUNCTION("""COMPUTED_VALUE"""),"")</f>
        <v/>
      </c>
      <c r="U109" s="111" t="str">
        <f>IFERROR(__xludf.DUMMYFUNCTION("""COMPUTED_VALUE"""),"")</f>
        <v/>
      </c>
      <c r="V109" s="88" t="str">
        <f>IFERROR(__xludf.DUMMYFUNCTION("""COMPUTED_VALUE"""),"")</f>
        <v/>
      </c>
      <c r="W109" s="62" t="str">
        <f>IFERROR(__xludf.DUMMYFUNCTION("""COMPUTED_VALUE"""),"")</f>
        <v/>
      </c>
      <c r="X109" s="62" t="str">
        <f>IFERROR(__xludf.DUMMYFUNCTION("""COMPUTED_VALUE"""),"")</f>
        <v/>
      </c>
      <c r="Y109" s="109" t="str">
        <f>IFERROR(__xludf.DUMMYFUNCTION("""COMPUTED_VALUE"""),"")</f>
        <v/>
      </c>
      <c r="Z109" s="113" t="str">
        <f>IFERROR(__xludf.DUMMYFUNCTION("""COMPUTED_VALUE"""),"")</f>
        <v/>
      </c>
      <c r="AA109" s="113" t="str">
        <f>IFERROR(__xludf.DUMMYFUNCTION("""COMPUTED_VALUE"""),"")</f>
        <v/>
      </c>
      <c r="AB109" s="71" t="str">
        <f>IFERROR(__xludf.DUMMYFUNCTION("""COMPUTED_VALUE"""),"")</f>
        <v/>
      </c>
    </row>
    <row r="110">
      <c r="A110" s="105">
        <f>IFERROR(__xludf.DUMMYFUNCTION("""COMPUTED_VALUE"""),45937.654800000004)</f>
        <v>45937.6548</v>
      </c>
      <c r="B110" s="71" t="str">
        <f>IFERROR(__xludf.DUMMYFUNCTION("""COMPUTED_VALUE"""),"Brynn Hornig")</f>
        <v>Brynn Hornig</v>
      </c>
      <c r="C110" s="71" t="b">
        <f>IFERROR(__xludf.DUMMYFUNCTION("""COMPUTED_VALUE"""),FALSE)</f>
        <v>0</v>
      </c>
      <c r="D110" s="132">
        <f>IFERROR(__xludf.DUMMYFUNCTION("""COMPUTED_VALUE"""),0.5208333333357587)</f>
        <v>0.5208333333</v>
      </c>
      <c r="E110" s="78">
        <f>IFERROR(__xludf.DUMMYFUNCTION("""COMPUTED_VALUE"""),0.13541666666424135)</f>
        <v>0.1354166667</v>
      </c>
      <c r="F110" s="132">
        <f>IFERROR(__xludf.DUMMYFUNCTION("""COMPUTED_VALUE"""),0.65625)</f>
        <v>0.65625</v>
      </c>
      <c r="G110" s="78">
        <f>IFERROR(__xludf.DUMMYFUNCTION("""COMPUTED_VALUE"""),0.13541666666424135)</f>
        <v>0.1354166667</v>
      </c>
      <c r="H110" s="110">
        <f>IFERROR(__xludf.DUMMYFUNCTION("""COMPUTED_VALUE"""),107.0)</f>
        <v>107</v>
      </c>
      <c r="I110" s="108">
        <f>IFERROR(__xludf.DUMMYFUNCTION("""COMPUTED_VALUE"""),32.92307692366658)</f>
        <v>32.92307692</v>
      </c>
      <c r="J110" s="71" t="str">
        <f>IFERROR(__xludf.DUMMYFUNCTION("""COMPUTED_VALUE"""),"Lunch")</f>
        <v>Lunch</v>
      </c>
      <c r="K110" s="106">
        <f>IFERROR(__xludf.DUMMYFUNCTION("""COMPUTED_VALUE"""),45937.0)</f>
        <v>45937</v>
      </c>
      <c r="L110" s="71" t="str">
        <f>IFERROR(__xludf.DUMMYFUNCTION("""COMPUTED_VALUE"""),"Tuesday")</f>
        <v>Tuesday</v>
      </c>
      <c r="M110" s="71" t="str">
        <f>IFERROR(__xludf.DUMMYFUNCTION("""COMPUTED_VALUE"""),"BF")</f>
        <v>BF</v>
      </c>
      <c r="N110" s="109">
        <f>IFERROR(__xludf.DUMMYFUNCTION("""COMPUTED_VALUE"""),0.8478613402265728)</f>
        <v>0.8478613402</v>
      </c>
      <c r="O110" s="71" t="str">
        <f>IFERROR(__xludf.DUMMYFUNCTION("""COMPUTED_VALUE"""),"")</f>
        <v/>
      </c>
      <c r="P110" s="71" t="str">
        <f>IFERROR(__xludf.DUMMYFUNCTION("""COMPUTED_VALUE"""),"")</f>
        <v/>
      </c>
      <c r="Q110" s="88" t="str">
        <f>IFERROR(__xludf.DUMMYFUNCTION("""COMPUTED_VALUE"""),"")</f>
        <v/>
      </c>
      <c r="R110" s="88" t="str">
        <f>IFERROR(__xludf.DUMMYFUNCTION("""COMPUTED_VALUE"""),"")</f>
        <v/>
      </c>
      <c r="S110" s="61" t="str">
        <f>IFERROR(__xludf.DUMMYFUNCTION("""COMPUTED_VALUE"""),"")</f>
        <v/>
      </c>
      <c r="T110" s="61" t="str">
        <f>IFERROR(__xludf.DUMMYFUNCTION("""COMPUTED_VALUE"""),"")</f>
        <v/>
      </c>
      <c r="U110" s="111" t="str">
        <f>IFERROR(__xludf.DUMMYFUNCTION("""COMPUTED_VALUE"""),"")</f>
        <v/>
      </c>
      <c r="V110" s="88" t="str">
        <f>IFERROR(__xludf.DUMMYFUNCTION("""COMPUTED_VALUE"""),"")</f>
        <v/>
      </c>
      <c r="W110" s="62" t="str">
        <f>IFERROR(__xludf.DUMMYFUNCTION("""COMPUTED_VALUE"""),"")</f>
        <v/>
      </c>
      <c r="X110" s="62" t="str">
        <f>IFERROR(__xludf.DUMMYFUNCTION("""COMPUTED_VALUE"""),"")</f>
        <v/>
      </c>
      <c r="Y110" s="109" t="str">
        <f>IFERROR(__xludf.DUMMYFUNCTION("""COMPUTED_VALUE"""),"")</f>
        <v/>
      </c>
      <c r="Z110" s="113" t="str">
        <f>IFERROR(__xludf.DUMMYFUNCTION("""COMPUTED_VALUE"""),"")</f>
        <v/>
      </c>
      <c r="AA110" s="113" t="str">
        <f>IFERROR(__xludf.DUMMYFUNCTION("""COMPUTED_VALUE"""),"")</f>
        <v/>
      </c>
      <c r="AB110" s="71" t="str">
        <f>IFERROR(__xludf.DUMMYFUNCTION("""COMPUTED_VALUE"""),"")</f>
        <v/>
      </c>
    </row>
    <row r="111">
      <c r="A111" s="105">
        <f>IFERROR(__xludf.DUMMYFUNCTION("""COMPUTED_VALUE"""),45937.97319269676)</f>
        <v>45937.97319</v>
      </c>
      <c r="B111" s="71" t="str">
        <f>IFERROR(__xludf.DUMMYFUNCTION("""COMPUTED_VALUE"""),"Kaylie Forgue")</f>
        <v>Kaylie Forgue</v>
      </c>
      <c r="C111" s="71" t="b">
        <f>IFERROR(__xludf.DUMMYFUNCTION("""COMPUTED_VALUE"""),FALSE)</f>
        <v>0</v>
      </c>
      <c r="D111" s="132">
        <f>IFERROR(__xludf.DUMMYFUNCTION("""COMPUTED_VALUE"""),0.788888888884685)</f>
        <v>0.7888888889</v>
      </c>
      <c r="E111" s="78">
        <f>IFERROR(__xludf.DUMMYFUNCTION("""COMPUTED_VALUE"""),0.07222222222480923)</f>
        <v>0.07222222222</v>
      </c>
      <c r="F111" s="132">
        <f>IFERROR(__xludf.DUMMYFUNCTION("""COMPUTED_VALUE"""),0.8611111111094942)</f>
        <v>0.8611111111</v>
      </c>
      <c r="G111" s="78">
        <f>IFERROR(__xludf.DUMMYFUNCTION("""COMPUTED_VALUE"""),0.07222222222480923)</f>
        <v>0.07222222222</v>
      </c>
      <c r="H111" s="110">
        <f>IFERROR(__xludf.DUMMYFUNCTION("""COMPUTED_VALUE"""),84.0)</f>
        <v>84</v>
      </c>
      <c r="I111" s="108">
        <f>IFERROR(__xludf.DUMMYFUNCTION("""COMPUTED_VALUE"""),48.46153845980256)</f>
        <v>48.46153846</v>
      </c>
      <c r="J111" s="71" t="str">
        <f>IFERROR(__xludf.DUMMYFUNCTION("""COMPUTED_VALUE"""),"Dinner")</f>
        <v>Dinner</v>
      </c>
      <c r="K111" s="106">
        <f>IFERROR(__xludf.DUMMYFUNCTION("""COMPUTED_VALUE"""),45937.0)</f>
        <v>45937</v>
      </c>
      <c r="L111" s="71" t="str">
        <f>IFERROR(__xludf.DUMMYFUNCTION("""COMPUTED_VALUE"""),"Tuesday")</f>
        <v>Tuesday</v>
      </c>
      <c r="M111" s="71" t="str">
        <f>IFERROR(__xludf.DUMMYFUNCTION("""COMPUTED_VALUE"""),"BF")</f>
        <v>BF</v>
      </c>
      <c r="N111" s="109">
        <f>IFERROR(__xludf.DUMMYFUNCTION("""COMPUTED_VALUE"""),1.1436760683908165)</f>
        <v>1.143676068</v>
      </c>
      <c r="O111" s="71">
        <f>IFERROR(__xludf.DUMMYFUNCTION("""COMPUTED_VALUE"""),176.0)</f>
        <v>176</v>
      </c>
      <c r="P111" s="71">
        <f>IFERROR(__xludf.DUMMYFUNCTION("""COMPUTED_VALUE"""),336.0)</f>
        <v>336</v>
      </c>
      <c r="Q111" s="78">
        <f>IFERROR(__xludf.DUMMYFUNCTION("""COMPUTED_VALUE"""),0.15625)</f>
        <v>0.15625</v>
      </c>
      <c r="R111" s="78">
        <f>IFERROR(__xludf.DUMMYFUNCTION("""COMPUTED_VALUE"""),0.29097222221753327)</f>
        <v>0.2909722222</v>
      </c>
      <c r="S111" s="61">
        <f>IFERROR(__xludf.DUMMYFUNCTION("""COMPUTED_VALUE"""),46.93333333333333)</f>
        <v>46.93333333</v>
      </c>
      <c r="T111" s="61">
        <f>IFERROR(__xludf.DUMMYFUNCTION("""COMPUTED_VALUE"""),51.2948717958964)</f>
        <v>51.2948718</v>
      </c>
      <c r="U111" s="133">
        <f>IFERROR(__xludf.DUMMYFUNCTION("""COMPUTED_VALUE"""),512.0)</f>
        <v>512</v>
      </c>
      <c r="V111" s="78">
        <f>IFERROR(__xludf.DUMMYFUNCTION("""COMPUTED_VALUE"""),0.44722222221753327)</f>
        <v>0.4472222222</v>
      </c>
      <c r="W111" s="62">
        <f>IFERROR(__xludf.DUMMYFUNCTION("""COMPUTED_VALUE"""),47.7018633545374)</f>
        <v>47.70186335</v>
      </c>
      <c r="X111" s="62">
        <f>IFERROR(__xludf.DUMMYFUNCTION("""COMPUTED_VALUE"""),50.20448718025563)</f>
        <v>50.20448718</v>
      </c>
      <c r="Y111" s="109">
        <f>IFERROR(__xludf.DUMMYFUNCTION("""COMPUTED_VALUE"""),1.0236476879853393)</f>
        <v>1.023647688</v>
      </c>
      <c r="Z111" s="113">
        <f>IFERROR(__xludf.DUMMYFUNCTION("""COMPUTED_VALUE"""),4212.0)</f>
        <v>4212</v>
      </c>
      <c r="AA111" s="113">
        <f>IFERROR(__xludf.DUMMYFUNCTION("""COMPUTED_VALUE"""),4155.0)</f>
        <v>4155</v>
      </c>
      <c r="AB111" s="113">
        <f>IFERROR(__xludf.DUMMYFUNCTION("""COMPUTED_VALUE"""),8367.0)</f>
        <v>8367</v>
      </c>
    </row>
    <row r="112">
      <c r="A112" s="105">
        <f>IFERROR(__xludf.DUMMYFUNCTION("""COMPUTED_VALUE"""),45938.63412379629)</f>
        <v>45938.63412</v>
      </c>
      <c r="B112" s="71" t="str">
        <f>IFERROR(__xludf.DUMMYFUNCTION("""COMPUTED_VALUE"""),"Greta Traynor")</f>
        <v>Greta Traynor</v>
      </c>
      <c r="C112" s="71" t="b">
        <f>IFERROR(__xludf.DUMMYFUNCTION("""COMPUTED_VALUE"""),FALSE)</f>
        <v>0</v>
      </c>
      <c r="D112" s="132">
        <f>IFERROR(__xludf.DUMMYFUNCTION("""COMPUTED_VALUE"""),0.5638888888934162)</f>
        <v>0.5638888889</v>
      </c>
      <c r="E112" s="78">
        <f>IFERROR(__xludf.DUMMYFUNCTION("""COMPUTED_VALUE"""),0.06874999999126885)</f>
        <v>0.06874999999</v>
      </c>
      <c r="F112" s="132">
        <f>IFERROR(__xludf.DUMMYFUNCTION("""COMPUTED_VALUE"""),0.632638888884685)</f>
        <v>0.6326388889</v>
      </c>
      <c r="G112" s="78">
        <f>IFERROR(__xludf.DUMMYFUNCTION("""COMPUTED_VALUE"""),0.06874999999126885)</f>
        <v>0.06874999999</v>
      </c>
      <c r="H112" s="110">
        <f>IFERROR(__xludf.DUMMYFUNCTION("""COMPUTED_VALUE"""),55.0)</f>
        <v>55</v>
      </c>
      <c r="I112" s="108">
        <f>IFERROR(__xludf.DUMMYFUNCTION("""COMPUTED_VALUE"""),33.333333337566614)</f>
        <v>33.33333334</v>
      </c>
      <c r="J112" s="71" t="str">
        <f>IFERROR(__xludf.DUMMYFUNCTION("""COMPUTED_VALUE"""),"Lunch")</f>
        <v>Lunch</v>
      </c>
      <c r="K112" s="106">
        <f>IFERROR(__xludf.DUMMYFUNCTION("""COMPUTED_VALUE"""),45938.0)</f>
        <v>45938</v>
      </c>
      <c r="L112" s="71" t="str">
        <f>IFERROR(__xludf.DUMMYFUNCTION("""COMPUTED_VALUE"""),"Wednesday")</f>
        <v>Wednesday</v>
      </c>
      <c r="M112" s="71" t="str">
        <f>IFERROR(__xludf.DUMMYFUNCTION("""COMPUTED_VALUE"""),"MF")</f>
        <v>MF</v>
      </c>
      <c r="N112" s="109">
        <f>IFERROR(__xludf.DUMMYFUNCTION("""COMPUTED_VALUE"""),0.6931614411414823)</f>
        <v>0.6931614411</v>
      </c>
      <c r="O112" s="71" t="str">
        <f>IFERROR(__xludf.DUMMYFUNCTION("""COMPUTED_VALUE"""),"")</f>
        <v/>
      </c>
      <c r="P112" s="71" t="str">
        <f>IFERROR(__xludf.DUMMYFUNCTION("""COMPUTED_VALUE"""),"")</f>
        <v/>
      </c>
      <c r="Q112" s="88" t="str">
        <f>IFERROR(__xludf.DUMMYFUNCTION("""COMPUTED_VALUE"""),"")</f>
        <v/>
      </c>
      <c r="R112" s="88" t="str">
        <f>IFERROR(__xludf.DUMMYFUNCTION("""COMPUTED_VALUE"""),"")</f>
        <v/>
      </c>
      <c r="S112" s="61" t="str">
        <f>IFERROR(__xludf.DUMMYFUNCTION("""COMPUTED_VALUE"""),"")</f>
        <v/>
      </c>
      <c r="T112" s="61" t="str">
        <f>IFERROR(__xludf.DUMMYFUNCTION("""COMPUTED_VALUE"""),"")</f>
        <v/>
      </c>
      <c r="U112" s="111" t="str">
        <f>IFERROR(__xludf.DUMMYFUNCTION("""COMPUTED_VALUE"""),"")</f>
        <v/>
      </c>
      <c r="V112" s="88" t="str">
        <f>IFERROR(__xludf.DUMMYFUNCTION("""COMPUTED_VALUE"""),"")</f>
        <v/>
      </c>
      <c r="W112" s="62" t="str">
        <f>IFERROR(__xludf.DUMMYFUNCTION("""COMPUTED_VALUE"""),"")</f>
        <v/>
      </c>
      <c r="X112" s="62" t="str">
        <f>IFERROR(__xludf.DUMMYFUNCTION("""COMPUTED_VALUE"""),"")</f>
        <v/>
      </c>
      <c r="Y112" s="109" t="str">
        <f>IFERROR(__xludf.DUMMYFUNCTION("""COMPUTED_VALUE"""),"")</f>
        <v/>
      </c>
      <c r="Z112" s="113" t="str">
        <f>IFERROR(__xludf.DUMMYFUNCTION("""COMPUTED_VALUE"""),"")</f>
        <v/>
      </c>
      <c r="AA112" s="113" t="str">
        <f>IFERROR(__xludf.DUMMYFUNCTION("""COMPUTED_VALUE"""),"")</f>
        <v/>
      </c>
      <c r="AB112" s="71" t="str">
        <f>IFERROR(__xludf.DUMMYFUNCTION("""COMPUTED_VALUE"""),"")</f>
        <v/>
      </c>
    </row>
    <row r="113">
      <c r="A113" s="105">
        <f>IFERROR(__xludf.DUMMYFUNCTION("""COMPUTED_VALUE"""),45938.747564641206)</f>
        <v>45938.74756</v>
      </c>
      <c r="B113" s="71" t="str">
        <f>IFERROR(__xludf.DUMMYFUNCTION("""COMPUTED_VALUE"""),"Orpheus Wilson")</f>
        <v>Orpheus Wilson</v>
      </c>
      <c r="C113" s="71" t="b">
        <f>IFERROR(__xludf.DUMMYFUNCTION("""COMPUTED_VALUE"""),FALSE)</f>
        <v>0</v>
      </c>
      <c r="D113" s="132">
        <f>IFERROR(__xludf.DUMMYFUNCTION("""COMPUTED_VALUE"""),0.6909722222189885)</f>
        <v>0.6909722222</v>
      </c>
      <c r="E113" s="78">
        <f>IFERROR(__xludf.DUMMYFUNCTION("""COMPUTED_VALUE"""),0.05555555556202307)</f>
        <v>0.05555555556</v>
      </c>
      <c r="F113" s="132">
        <f>IFERROR(__xludf.DUMMYFUNCTION("""COMPUTED_VALUE"""),0.7465277777810115)</f>
        <v>0.7465277778</v>
      </c>
      <c r="G113" s="78">
        <f>IFERROR(__xludf.DUMMYFUNCTION("""COMPUTED_VALUE"""),0.05555555556202307)</f>
        <v>0.05555555556</v>
      </c>
      <c r="H113" s="110">
        <f>IFERROR(__xludf.DUMMYFUNCTION("""COMPUTED_VALUE"""),104.0)</f>
        <v>104</v>
      </c>
      <c r="I113" s="108">
        <f>IFERROR(__xludf.DUMMYFUNCTION("""COMPUTED_VALUE"""),77.9999999909196)</f>
        <v>77.99999999</v>
      </c>
      <c r="J113" s="71" t="str">
        <f>IFERROR(__xludf.DUMMYFUNCTION("""COMPUTED_VALUE"""),"Dinner")</f>
        <v>Dinner</v>
      </c>
      <c r="K113" s="106">
        <f>IFERROR(__xludf.DUMMYFUNCTION("""COMPUTED_VALUE"""),45938.0)</f>
        <v>45938</v>
      </c>
      <c r="L113" s="71" t="str">
        <f>IFERROR(__xludf.DUMMYFUNCTION("""COMPUTED_VALUE"""),"Wednesday")</f>
        <v>Wednesday</v>
      </c>
      <c r="M113" s="71" t="str">
        <f>IFERROR(__xludf.DUMMYFUNCTION("""COMPUTED_VALUE"""),"MF")</f>
        <v>MF</v>
      </c>
      <c r="N113" s="109">
        <f>IFERROR(__xludf.DUMMYFUNCTION("""COMPUTED_VALUE"""),1.5369889199338522)</f>
        <v>1.53698892</v>
      </c>
      <c r="O113" s="71" t="str">
        <f>IFERROR(__xludf.DUMMYFUNCTION("""COMPUTED_VALUE"""),"")</f>
        <v/>
      </c>
      <c r="P113" s="71" t="str">
        <f>IFERROR(__xludf.DUMMYFUNCTION("""COMPUTED_VALUE"""),"")</f>
        <v/>
      </c>
      <c r="Q113" s="88" t="str">
        <f>IFERROR(__xludf.DUMMYFUNCTION("""COMPUTED_VALUE"""),"")</f>
        <v/>
      </c>
      <c r="R113" s="88" t="str">
        <f>IFERROR(__xludf.DUMMYFUNCTION("""COMPUTED_VALUE"""),"")</f>
        <v/>
      </c>
      <c r="S113" s="61" t="str">
        <f>IFERROR(__xludf.DUMMYFUNCTION("""COMPUTED_VALUE"""),"")</f>
        <v/>
      </c>
      <c r="T113" s="61" t="str">
        <f>IFERROR(__xludf.DUMMYFUNCTION("""COMPUTED_VALUE"""),"")</f>
        <v/>
      </c>
      <c r="U113" s="111" t="str">
        <f>IFERROR(__xludf.DUMMYFUNCTION("""COMPUTED_VALUE"""),"")</f>
        <v/>
      </c>
      <c r="V113" s="88" t="str">
        <f>IFERROR(__xludf.DUMMYFUNCTION("""COMPUTED_VALUE"""),"")</f>
        <v/>
      </c>
      <c r="W113" s="62" t="str">
        <f>IFERROR(__xludf.DUMMYFUNCTION("""COMPUTED_VALUE"""),"")</f>
        <v/>
      </c>
      <c r="X113" s="62" t="str">
        <f>IFERROR(__xludf.DUMMYFUNCTION("""COMPUTED_VALUE"""),"")</f>
        <v/>
      </c>
      <c r="Y113" s="109" t="str">
        <f>IFERROR(__xludf.DUMMYFUNCTION("""COMPUTED_VALUE"""),"")</f>
        <v/>
      </c>
      <c r="Z113" s="113" t="str">
        <f>IFERROR(__xludf.DUMMYFUNCTION("""COMPUTED_VALUE"""),"")</f>
        <v/>
      </c>
      <c r="AA113" s="113" t="str">
        <f>IFERROR(__xludf.DUMMYFUNCTION("""COMPUTED_VALUE"""),"")</f>
        <v/>
      </c>
      <c r="AB113" s="71" t="str">
        <f>IFERROR(__xludf.DUMMYFUNCTION("""COMPUTED_VALUE"""),"")</f>
        <v/>
      </c>
    </row>
    <row r="114">
      <c r="A114" s="105">
        <f>IFERROR(__xludf.DUMMYFUNCTION("""COMPUTED_VALUE"""),45938.87846684028)</f>
        <v>45938.87847</v>
      </c>
      <c r="B114" s="71" t="str">
        <f>IFERROR(__xludf.DUMMYFUNCTION("""COMPUTED_VALUE"""),"Leisly Aceituno")</f>
        <v>Leisly Aceituno</v>
      </c>
      <c r="C114" s="71" t="b">
        <f>IFERROR(__xludf.DUMMYFUNCTION("""COMPUTED_VALUE"""),FALSE)</f>
        <v>0</v>
      </c>
      <c r="D114" s="132">
        <f>IFERROR(__xludf.DUMMYFUNCTION("""COMPUTED_VALUE"""),0.29166666666424135)</f>
        <v>0.2916666667</v>
      </c>
      <c r="E114" s="78">
        <f>IFERROR(__xludf.DUMMYFUNCTION("""COMPUTED_VALUE"""),0.0625)</f>
        <v>0.0625</v>
      </c>
      <c r="F114" s="132">
        <f>IFERROR(__xludf.DUMMYFUNCTION("""COMPUTED_VALUE"""),0.35416666666424135)</f>
        <v>0.3541666667</v>
      </c>
      <c r="G114" s="78">
        <f>IFERROR(__xludf.DUMMYFUNCTION("""COMPUTED_VALUE"""),0.0625)</f>
        <v>0.0625</v>
      </c>
      <c r="H114" s="110">
        <f>IFERROR(__xludf.DUMMYFUNCTION("""COMPUTED_VALUE"""),13.0)</f>
        <v>13</v>
      </c>
      <c r="I114" s="108">
        <f>IFERROR(__xludf.DUMMYFUNCTION("""COMPUTED_VALUE"""),8.666666666666666)</f>
        <v>8.666666667</v>
      </c>
      <c r="J114" s="71" t="str">
        <f>IFERROR(__xludf.DUMMYFUNCTION("""COMPUTED_VALUE"""),"Breakfast")</f>
        <v>Breakfast</v>
      </c>
      <c r="K114" s="106">
        <f>IFERROR(__xludf.DUMMYFUNCTION("""COMPUTED_VALUE"""),45938.0)</f>
        <v>45938</v>
      </c>
      <c r="L114" s="71" t="str">
        <f>IFERROR(__xludf.DUMMYFUNCTION("""COMPUTED_VALUE"""),"Wednesday")</f>
        <v>Wednesday</v>
      </c>
      <c r="M114" s="71" t="str">
        <f>IFERROR(__xludf.DUMMYFUNCTION("""COMPUTED_VALUE"""),"BF")</f>
        <v>BF</v>
      </c>
      <c r="N114" s="109">
        <f>IFERROR(__xludf.DUMMYFUNCTION("""COMPUTED_VALUE"""),0.3670435074910992)</f>
        <v>0.3670435075</v>
      </c>
      <c r="O114" s="71" t="str">
        <f>IFERROR(__xludf.DUMMYFUNCTION("""COMPUTED_VALUE"""),"")</f>
        <v/>
      </c>
      <c r="P114" s="71" t="str">
        <f>IFERROR(__xludf.DUMMYFUNCTION("""COMPUTED_VALUE"""),"")</f>
        <v/>
      </c>
      <c r="Q114" s="88" t="str">
        <f>IFERROR(__xludf.DUMMYFUNCTION("""COMPUTED_VALUE"""),"")</f>
        <v/>
      </c>
      <c r="R114" s="88" t="str">
        <f>IFERROR(__xludf.DUMMYFUNCTION("""COMPUTED_VALUE"""),"")</f>
        <v/>
      </c>
      <c r="S114" s="61" t="str">
        <f>IFERROR(__xludf.DUMMYFUNCTION("""COMPUTED_VALUE"""),"")</f>
        <v/>
      </c>
      <c r="T114" s="61" t="str">
        <f>IFERROR(__xludf.DUMMYFUNCTION("""COMPUTED_VALUE"""),"")</f>
        <v/>
      </c>
      <c r="U114" s="111" t="str">
        <f>IFERROR(__xludf.DUMMYFUNCTION("""COMPUTED_VALUE"""),"")</f>
        <v/>
      </c>
      <c r="V114" s="88" t="str">
        <f>IFERROR(__xludf.DUMMYFUNCTION("""COMPUTED_VALUE"""),"")</f>
        <v/>
      </c>
      <c r="W114" s="62" t="str">
        <f>IFERROR(__xludf.DUMMYFUNCTION("""COMPUTED_VALUE"""),"")</f>
        <v/>
      </c>
      <c r="X114" s="62" t="str">
        <f>IFERROR(__xludf.DUMMYFUNCTION("""COMPUTED_VALUE"""),"")</f>
        <v/>
      </c>
      <c r="Y114" s="109" t="str">
        <f>IFERROR(__xludf.DUMMYFUNCTION("""COMPUTED_VALUE"""),"")</f>
        <v/>
      </c>
      <c r="Z114" s="113" t="str">
        <f>IFERROR(__xludf.DUMMYFUNCTION("""COMPUTED_VALUE"""),"")</f>
        <v/>
      </c>
      <c r="AA114" s="113" t="str">
        <f>IFERROR(__xludf.DUMMYFUNCTION("""COMPUTED_VALUE"""),"")</f>
        <v/>
      </c>
      <c r="AB114" s="71" t="str">
        <f>IFERROR(__xludf.DUMMYFUNCTION("""COMPUTED_VALUE"""),"")</f>
        <v/>
      </c>
    </row>
    <row r="115">
      <c r="A115" s="105">
        <f>IFERROR(__xludf.DUMMYFUNCTION("""COMPUTED_VALUE"""),45945.75335380787)</f>
        <v>45945.75335</v>
      </c>
      <c r="B115" s="71" t="str">
        <f>IFERROR(__xludf.DUMMYFUNCTION("""COMPUTED_VALUE"""),"Sarah Wilme")</f>
        <v>Sarah Wilme</v>
      </c>
      <c r="C115" s="71" t="b">
        <f>IFERROR(__xludf.DUMMYFUNCTION("""COMPUTED_VALUE"""),FALSE)</f>
        <v>0</v>
      </c>
      <c r="D115" s="132">
        <f>IFERROR(__xludf.DUMMYFUNCTION("""COMPUTED_VALUE"""),0.5625)</f>
        <v>0.5625</v>
      </c>
      <c r="E115" s="78">
        <f>IFERROR(__xludf.DUMMYFUNCTION("""COMPUTED_VALUE"""),0.09375)</f>
        <v>0.09375</v>
      </c>
      <c r="F115" s="132">
        <f>IFERROR(__xludf.DUMMYFUNCTION("""COMPUTED_VALUE"""),0.65625)</f>
        <v>0.65625</v>
      </c>
      <c r="G115" s="78">
        <f>IFERROR(__xludf.DUMMYFUNCTION("""COMPUTED_VALUE"""),0.2152777777777778)</f>
        <v>0.2152777778</v>
      </c>
      <c r="H115" s="110">
        <f>IFERROR(__xludf.DUMMYFUNCTION("""COMPUTED_VALUE"""),71.0)</f>
        <v>71</v>
      </c>
      <c r="I115" s="108">
        <f>IFERROR(__xludf.DUMMYFUNCTION("""COMPUTED_VALUE"""),13.741935483870966)</f>
        <v>13.74193548</v>
      </c>
      <c r="J115" s="71" t="str">
        <f>IFERROR(__xludf.DUMMYFUNCTION("""COMPUTED_VALUE"""),"Lunch")</f>
        <v>Lunch</v>
      </c>
      <c r="K115" s="106">
        <f>IFERROR(__xludf.DUMMYFUNCTION("""COMPUTED_VALUE"""),45938.0)</f>
        <v>45938</v>
      </c>
      <c r="L115" s="71" t="str">
        <f>IFERROR(__xludf.DUMMYFUNCTION("""COMPUTED_VALUE"""),"Wednesday")</f>
        <v>Wednesday</v>
      </c>
      <c r="M115" s="71" t="str">
        <f>IFERROR(__xludf.DUMMYFUNCTION("""COMPUTED_VALUE"""),"BF")</f>
        <v>BF</v>
      </c>
      <c r="N115" s="109">
        <f>IFERROR(__xludf.DUMMYFUNCTION("""COMPUTED_VALUE"""),0.353893284752085)</f>
        <v>0.3538932848</v>
      </c>
      <c r="O115" s="71" t="str">
        <f>IFERROR(__xludf.DUMMYFUNCTION("""COMPUTED_VALUE"""),"")</f>
        <v/>
      </c>
      <c r="P115" s="71" t="str">
        <f>IFERROR(__xludf.DUMMYFUNCTION("""COMPUTED_VALUE"""),"")</f>
        <v/>
      </c>
      <c r="Q115" s="88" t="str">
        <f>IFERROR(__xludf.DUMMYFUNCTION("""COMPUTED_VALUE"""),"")</f>
        <v/>
      </c>
      <c r="R115" s="88" t="str">
        <f>IFERROR(__xludf.DUMMYFUNCTION("""COMPUTED_VALUE"""),"")</f>
        <v/>
      </c>
      <c r="S115" s="61" t="str">
        <f>IFERROR(__xludf.DUMMYFUNCTION("""COMPUTED_VALUE"""),"")</f>
        <v/>
      </c>
      <c r="T115" s="61" t="str">
        <f>IFERROR(__xludf.DUMMYFUNCTION("""COMPUTED_VALUE"""),"")</f>
        <v/>
      </c>
      <c r="U115" s="111" t="str">
        <f>IFERROR(__xludf.DUMMYFUNCTION("""COMPUTED_VALUE"""),"")</f>
        <v/>
      </c>
      <c r="V115" s="88" t="str">
        <f>IFERROR(__xludf.DUMMYFUNCTION("""COMPUTED_VALUE"""),"")</f>
        <v/>
      </c>
      <c r="W115" s="62" t="str">
        <f>IFERROR(__xludf.DUMMYFUNCTION("""COMPUTED_VALUE"""),"")</f>
        <v/>
      </c>
      <c r="X115" s="62" t="str">
        <f>IFERROR(__xludf.DUMMYFUNCTION("""COMPUTED_VALUE"""),"")</f>
        <v/>
      </c>
      <c r="Y115" s="109" t="str">
        <f>IFERROR(__xludf.DUMMYFUNCTION("""COMPUTED_VALUE"""),"")</f>
        <v/>
      </c>
      <c r="Z115" s="113" t="str">
        <f>IFERROR(__xludf.DUMMYFUNCTION("""COMPUTED_VALUE"""),"")</f>
        <v/>
      </c>
      <c r="AA115" s="113" t="str">
        <f>IFERROR(__xludf.DUMMYFUNCTION("""COMPUTED_VALUE"""),"")</f>
        <v/>
      </c>
      <c r="AB115" s="71" t="str">
        <f>IFERROR(__xludf.DUMMYFUNCTION("""COMPUTED_VALUE"""),"")</f>
        <v/>
      </c>
    </row>
    <row r="116">
      <c r="A116" s="105">
        <f>IFERROR(__xludf.DUMMYFUNCTION("""COMPUTED_VALUE"""),45945.75335380787)</f>
        <v>45945.75335</v>
      </c>
      <c r="B116" s="71" t="str">
        <f>IFERROR(__xludf.DUMMYFUNCTION("""COMPUTED_VALUE"""),"Sarah Wilme")</f>
        <v>Sarah Wilme</v>
      </c>
      <c r="C116" s="71" t="b">
        <f>IFERROR(__xludf.DUMMYFUNCTION("""COMPUTED_VALUE"""),TRUE)</f>
        <v>1</v>
      </c>
      <c r="D116" s="132">
        <f>IFERROR(__xludf.DUMMYFUNCTION("""COMPUTED_VALUE"""),0.6875)</f>
        <v>0.6875</v>
      </c>
      <c r="E116" s="78">
        <f>IFERROR(__xludf.DUMMYFUNCTION("""COMPUTED_VALUE"""),0.12152777777777779)</f>
        <v>0.1215277778</v>
      </c>
      <c r="F116" s="132">
        <f>IFERROR(__xludf.DUMMYFUNCTION("""COMPUTED_VALUE"""),0.8090277777777778)</f>
        <v>0.8090277778</v>
      </c>
      <c r="G116" s="78" t="str">
        <f>IFERROR(__xludf.DUMMYFUNCTION("""COMPUTED_VALUE"""),"")</f>
        <v/>
      </c>
      <c r="H116" s="110">
        <f>IFERROR(__xludf.DUMMYFUNCTION("""COMPUTED_VALUE"""),71.0)</f>
        <v>71</v>
      </c>
      <c r="I116" s="108" t="str">
        <f>IFERROR(__xludf.DUMMYFUNCTION("""COMPUTED_VALUE"""),"")</f>
        <v/>
      </c>
      <c r="J116" s="71" t="str">
        <f>IFERROR(__xludf.DUMMYFUNCTION("""COMPUTED_VALUE"""),"Dinner")</f>
        <v>Dinner</v>
      </c>
      <c r="K116" s="106">
        <f>IFERROR(__xludf.DUMMYFUNCTION("""COMPUTED_VALUE"""),45938.0)</f>
        <v>45938</v>
      </c>
      <c r="L116" s="71" t="str">
        <f>IFERROR(__xludf.DUMMYFUNCTION("""COMPUTED_VALUE"""),"Wednesday")</f>
        <v>Wednesday</v>
      </c>
      <c r="M116" s="71" t="str">
        <f>IFERROR(__xludf.DUMMYFUNCTION("""COMPUTED_VALUE"""),"BF")</f>
        <v>BF</v>
      </c>
      <c r="N116" s="109" t="str">
        <f>IFERROR(__xludf.DUMMYFUNCTION("""COMPUTED_VALUE"""),"")</f>
        <v/>
      </c>
      <c r="O116" s="71" t="str">
        <f>IFERROR(__xludf.DUMMYFUNCTION("""COMPUTED_VALUE"""),"")</f>
        <v/>
      </c>
      <c r="P116" s="71" t="str">
        <f>IFERROR(__xludf.DUMMYFUNCTION("""COMPUTED_VALUE"""),"")</f>
        <v/>
      </c>
      <c r="Q116" s="88" t="str">
        <f>IFERROR(__xludf.DUMMYFUNCTION("""COMPUTED_VALUE"""),"")</f>
        <v/>
      </c>
      <c r="R116" s="88" t="str">
        <f>IFERROR(__xludf.DUMMYFUNCTION("""COMPUTED_VALUE"""),"")</f>
        <v/>
      </c>
      <c r="S116" s="61" t="str">
        <f>IFERROR(__xludf.DUMMYFUNCTION("""COMPUTED_VALUE"""),"")</f>
        <v/>
      </c>
      <c r="T116" s="61" t="str">
        <f>IFERROR(__xludf.DUMMYFUNCTION("""COMPUTED_VALUE"""),"")</f>
        <v/>
      </c>
      <c r="U116" s="111" t="str">
        <f>IFERROR(__xludf.DUMMYFUNCTION("""COMPUTED_VALUE"""),"")</f>
        <v/>
      </c>
      <c r="V116" s="88" t="str">
        <f>IFERROR(__xludf.DUMMYFUNCTION("""COMPUTED_VALUE"""),"")</f>
        <v/>
      </c>
      <c r="W116" s="62" t="str">
        <f>IFERROR(__xludf.DUMMYFUNCTION("""COMPUTED_VALUE"""),"")</f>
        <v/>
      </c>
      <c r="X116" s="62" t="str">
        <f>IFERROR(__xludf.DUMMYFUNCTION("""COMPUTED_VALUE"""),"")</f>
        <v/>
      </c>
      <c r="Y116" s="109" t="str">
        <f>IFERROR(__xludf.DUMMYFUNCTION("""COMPUTED_VALUE"""),"")</f>
        <v/>
      </c>
      <c r="Z116" s="113" t="str">
        <f>IFERROR(__xludf.DUMMYFUNCTION("""COMPUTED_VALUE"""),"")</f>
        <v/>
      </c>
      <c r="AA116" s="113" t="str">
        <f>IFERROR(__xludf.DUMMYFUNCTION("""COMPUTED_VALUE"""),"")</f>
        <v/>
      </c>
      <c r="AB116" s="71" t="str">
        <f>IFERROR(__xludf.DUMMYFUNCTION("""COMPUTED_VALUE"""),"")</f>
        <v/>
      </c>
    </row>
    <row r="117">
      <c r="A117" s="105">
        <f>IFERROR(__xludf.DUMMYFUNCTION("""COMPUTED_VALUE"""),45938.909593530094)</f>
        <v>45938.90959</v>
      </c>
      <c r="B117" s="71" t="str">
        <f>IFERROR(__xludf.DUMMYFUNCTION("""COMPUTED_VALUE"""),"Kaylie Forgue")</f>
        <v>Kaylie Forgue</v>
      </c>
      <c r="C117" s="71" t="b">
        <f>IFERROR(__xludf.DUMMYFUNCTION("""COMPUTED_VALUE"""),FALSE)</f>
        <v>0</v>
      </c>
      <c r="D117" s="132">
        <f>IFERROR(__xludf.DUMMYFUNCTION("""COMPUTED_VALUE"""),0.7465277777810115)</f>
        <v>0.7465277778</v>
      </c>
      <c r="E117" s="78">
        <f>IFERROR(__xludf.DUMMYFUNCTION("""COMPUTED_VALUE"""),0.12013888888759539)</f>
        <v>0.1201388889</v>
      </c>
      <c r="F117" s="132">
        <f>IFERROR(__xludf.DUMMYFUNCTION("""COMPUTED_VALUE"""),0.8666666666686069)</f>
        <v>0.8666666667</v>
      </c>
      <c r="G117" s="78">
        <f>IFERROR(__xludf.DUMMYFUNCTION("""COMPUTED_VALUE"""),0.12013888888759539)</f>
        <v>0.1201388889</v>
      </c>
      <c r="H117" s="110">
        <f>IFERROR(__xludf.DUMMYFUNCTION("""COMPUTED_VALUE"""),167.0)</f>
        <v>167</v>
      </c>
      <c r="I117" s="108">
        <f>IFERROR(__xludf.DUMMYFUNCTION("""COMPUTED_VALUE"""),57.91907514513227)</f>
        <v>57.91907515</v>
      </c>
      <c r="J117" s="71" t="str">
        <f>IFERROR(__xludf.DUMMYFUNCTION("""COMPUTED_VALUE"""),"Dinner")</f>
        <v>Dinner</v>
      </c>
      <c r="K117" s="106">
        <f>IFERROR(__xludf.DUMMYFUNCTION("""COMPUTED_VALUE"""),45938.0)</f>
        <v>45938</v>
      </c>
      <c r="L117" s="71" t="str">
        <f>IFERROR(__xludf.DUMMYFUNCTION("""COMPUTED_VALUE"""),"Wednesday")</f>
        <v>Wednesday</v>
      </c>
      <c r="M117" s="71" t="str">
        <f>IFERROR(__xludf.DUMMYFUNCTION("""COMPUTED_VALUE"""),"MF")</f>
        <v>MF</v>
      </c>
      <c r="N117" s="109">
        <f>IFERROR(__xludf.DUMMYFUNCTION("""COMPUTED_VALUE"""),1.1412945738621523)</f>
        <v>1.141294574</v>
      </c>
      <c r="O117" s="71">
        <f>IFERROR(__xludf.DUMMYFUNCTION("""COMPUTED_VALUE"""),326.0)</f>
        <v>326</v>
      </c>
      <c r="P117" s="71">
        <f>IFERROR(__xludf.DUMMYFUNCTION("""COMPUTED_VALUE"""),155.0)</f>
        <v>155</v>
      </c>
      <c r="Q117" s="88">
        <f>IFERROR(__xludf.DUMMYFUNCTION("""COMPUTED_VALUE"""),0.2444444444408873)</f>
        <v>0.2444444444</v>
      </c>
      <c r="R117" s="88">
        <f>IFERROR(__xludf.DUMMYFUNCTION("""COMPUTED_VALUE"""),0.2777777777777778)</f>
        <v>0.2777777778</v>
      </c>
      <c r="S117" s="61">
        <f>IFERROR(__xludf.DUMMYFUNCTION("""COMPUTED_VALUE"""),56.41746949120616)</f>
        <v>56.41746949</v>
      </c>
      <c r="T117" s="61">
        <f>IFERROR(__xludf.DUMMYFUNCTION("""COMPUTED_VALUE"""),11.204301075268816)</f>
        <v>11.20430108</v>
      </c>
      <c r="U117" s="111">
        <f>IFERROR(__xludf.DUMMYFUNCTION("""COMPUTED_VALUE"""),481.0)</f>
        <v>481</v>
      </c>
      <c r="V117" s="88">
        <f>IFERROR(__xludf.DUMMYFUNCTION("""COMPUTED_VALUE"""),0.5222222222186651)</f>
        <v>0.5222222222</v>
      </c>
      <c r="W117" s="62">
        <f>IFERROR(__xludf.DUMMYFUNCTION("""COMPUTED_VALUE"""),38.37765957472949)</f>
        <v>38.37765957</v>
      </c>
      <c r="X117" s="62">
        <f>IFERROR(__xludf.DUMMYFUNCTION("""COMPUTED_VALUE"""),38.33220212483123)</f>
        <v>38.33220212</v>
      </c>
      <c r="Y117" s="109">
        <f>IFERROR(__xludf.DUMMYFUNCTION("""COMPUTED_VALUE"""),0.7160043959303392)</f>
        <v>0.7160043959</v>
      </c>
      <c r="Z117" s="113">
        <f>IFERROR(__xludf.DUMMYFUNCTION("""COMPUTED_VALUE"""),3801.0)</f>
        <v>3801</v>
      </c>
      <c r="AA117" s="113">
        <f>IFERROR(__xludf.DUMMYFUNCTION("""COMPUTED_VALUE"""),4111.0)</f>
        <v>4111</v>
      </c>
      <c r="AB117" s="113">
        <f>IFERROR(__xludf.DUMMYFUNCTION("""COMPUTED_VALUE"""),7912.0)</f>
        <v>7912</v>
      </c>
    </row>
    <row r="118">
      <c r="A118" s="105">
        <f>IFERROR(__xludf.DUMMYFUNCTION("""COMPUTED_VALUE"""),45939.56121175926)</f>
        <v>45939.56121</v>
      </c>
      <c r="B118" s="71" t="str">
        <f>IFERROR(__xludf.DUMMYFUNCTION("""COMPUTED_VALUE"""),"Maureen Surgot")</f>
        <v>Maureen Surgot</v>
      </c>
      <c r="C118" s="71" t="b">
        <f>IFERROR(__xludf.DUMMYFUNCTION("""COMPUTED_VALUE"""),FALSE)</f>
        <v>0</v>
      </c>
      <c r="D118" s="132">
        <f>IFERROR(__xludf.DUMMYFUNCTION("""COMPUTED_VALUE"""),0.47916666666424135)</f>
        <v>0.4791666667</v>
      </c>
      <c r="E118" s="78">
        <f>IFERROR(__xludf.DUMMYFUNCTION("""COMPUTED_VALUE"""),0.08333333333575865)</f>
        <v>0.08333333334</v>
      </c>
      <c r="F118" s="132">
        <f>IFERROR(__xludf.DUMMYFUNCTION("""COMPUTED_VALUE"""),0.5625)</f>
        <v>0.5625</v>
      </c>
      <c r="G118" s="78">
        <f>IFERROR(__xludf.DUMMYFUNCTION("""COMPUTED_VALUE"""),0.08333333333575865)</f>
        <v>0.08333333334</v>
      </c>
      <c r="H118" s="110">
        <f>IFERROR(__xludf.DUMMYFUNCTION("""COMPUTED_VALUE"""),63.0)</f>
        <v>63</v>
      </c>
      <c r="I118" s="108">
        <f>IFERROR(__xludf.DUMMYFUNCTION("""COMPUTED_VALUE"""),31.49999999908323)</f>
        <v>31.5</v>
      </c>
      <c r="J118" s="71" t="str">
        <f>IFERROR(__xludf.DUMMYFUNCTION("""COMPUTED_VALUE"""),"Lunch")</f>
        <v>Lunch</v>
      </c>
      <c r="K118" s="106">
        <f>IFERROR(__xludf.DUMMYFUNCTION("""COMPUTED_VALUE"""),45939.0)</f>
        <v>45939</v>
      </c>
      <c r="L118" s="71" t="str">
        <f>IFERROR(__xludf.DUMMYFUNCTION("""COMPUTED_VALUE"""),"Thursday")</f>
        <v>Thursday</v>
      </c>
      <c r="M118" s="71" t="str">
        <f>IFERROR(__xludf.DUMMYFUNCTION("""COMPUTED_VALUE"""),"MF")</f>
        <v>MF</v>
      </c>
      <c r="N118" s="109">
        <f>IFERROR(__xludf.DUMMYFUNCTION("""COMPUTED_VALUE"""),0.6550375617764479)</f>
        <v>0.6550375618</v>
      </c>
      <c r="O118" s="71" t="str">
        <f>IFERROR(__xludf.DUMMYFUNCTION("""COMPUTED_VALUE"""),"")</f>
        <v/>
      </c>
      <c r="P118" s="71" t="str">
        <f>IFERROR(__xludf.DUMMYFUNCTION("""COMPUTED_VALUE"""),"")</f>
        <v/>
      </c>
      <c r="Q118" s="88" t="str">
        <f>IFERROR(__xludf.DUMMYFUNCTION("""COMPUTED_VALUE"""),"")</f>
        <v/>
      </c>
      <c r="R118" s="88" t="str">
        <f>IFERROR(__xludf.DUMMYFUNCTION("""COMPUTED_VALUE"""),"")</f>
        <v/>
      </c>
      <c r="S118" s="61" t="str">
        <f>IFERROR(__xludf.DUMMYFUNCTION("""COMPUTED_VALUE"""),"")</f>
        <v/>
      </c>
      <c r="T118" s="61" t="str">
        <f>IFERROR(__xludf.DUMMYFUNCTION("""COMPUTED_VALUE"""),"")</f>
        <v/>
      </c>
      <c r="U118" s="111" t="str">
        <f>IFERROR(__xludf.DUMMYFUNCTION("""COMPUTED_VALUE"""),"")</f>
        <v/>
      </c>
      <c r="V118" s="88" t="str">
        <f>IFERROR(__xludf.DUMMYFUNCTION("""COMPUTED_VALUE"""),"")</f>
        <v/>
      </c>
      <c r="W118" s="62" t="str">
        <f>IFERROR(__xludf.DUMMYFUNCTION("""COMPUTED_VALUE"""),"")</f>
        <v/>
      </c>
      <c r="X118" s="62" t="str">
        <f>IFERROR(__xludf.DUMMYFUNCTION("""COMPUTED_VALUE"""),"")</f>
        <v/>
      </c>
      <c r="Y118" s="109" t="str">
        <f>IFERROR(__xludf.DUMMYFUNCTION("""COMPUTED_VALUE"""),"")</f>
        <v/>
      </c>
      <c r="Z118" s="113" t="str">
        <f>IFERROR(__xludf.DUMMYFUNCTION("""COMPUTED_VALUE"""),"")</f>
        <v/>
      </c>
      <c r="AA118" s="113" t="str">
        <f>IFERROR(__xludf.DUMMYFUNCTION("""COMPUTED_VALUE"""),"")</f>
        <v/>
      </c>
      <c r="AB118" s="71" t="str">
        <f>IFERROR(__xludf.DUMMYFUNCTION("""COMPUTED_VALUE"""),"")</f>
        <v/>
      </c>
    </row>
    <row r="119">
      <c r="A119" s="105">
        <f>IFERROR(__xludf.DUMMYFUNCTION("""COMPUTED_VALUE"""),45939.57257959491)</f>
        <v>45939.57258</v>
      </c>
      <c r="B119" s="71" t="str">
        <f>IFERROR(__xludf.DUMMYFUNCTION("""COMPUTED_VALUE"""),"Greta Traynor")</f>
        <v>Greta Traynor</v>
      </c>
      <c r="C119" s="71" t="b">
        <f>IFERROR(__xludf.DUMMYFUNCTION("""COMPUTED_VALUE"""),FALSE)</f>
        <v>0</v>
      </c>
      <c r="D119" s="132">
        <f>IFERROR(__xludf.DUMMYFUNCTION("""COMPUTED_VALUE"""),0.5201388888890506)</f>
        <v>0.5201388889</v>
      </c>
      <c r="E119" s="78">
        <f>IFERROR(__xludf.DUMMYFUNCTION("""COMPUTED_VALUE"""),0.0506944444423425)</f>
        <v>0.05069444444</v>
      </c>
      <c r="F119" s="132">
        <f>IFERROR(__xludf.DUMMYFUNCTION("""COMPUTED_VALUE"""),0.5708333333313931)</f>
        <v>0.5708333333</v>
      </c>
      <c r="G119" s="78">
        <f>IFERROR(__xludf.DUMMYFUNCTION("""COMPUTED_VALUE"""),0.0506944444423425)</f>
        <v>0.05069444444</v>
      </c>
      <c r="H119" s="110">
        <f>IFERROR(__xludf.DUMMYFUNCTION("""COMPUTED_VALUE"""),51.0)</f>
        <v>51</v>
      </c>
      <c r="I119" s="108">
        <f>IFERROR(__xludf.DUMMYFUNCTION("""COMPUTED_VALUE"""),41.91780822091612)</f>
        <v>41.91780822</v>
      </c>
      <c r="J119" s="71" t="str">
        <f>IFERROR(__xludf.DUMMYFUNCTION("""COMPUTED_VALUE"""),"Lunch")</f>
        <v>Lunch</v>
      </c>
      <c r="K119" s="106">
        <f>IFERROR(__xludf.DUMMYFUNCTION("""COMPUTED_VALUE"""),45939.0)</f>
        <v>45939</v>
      </c>
      <c r="L119" s="71" t="str">
        <f>IFERROR(__xludf.DUMMYFUNCTION("""COMPUTED_VALUE"""),"Thursday")</f>
        <v>Thursday</v>
      </c>
      <c r="M119" s="71" t="str">
        <f>IFERROR(__xludf.DUMMYFUNCTION("""COMPUTED_VALUE"""),"BF")</f>
        <v>BF</v>
      </c>
      <c r="N119" s="109">
        <f>IFERROR(__xludf.DUMMYFUNCTION("""COMPUTED_VALUE"""),1.07950083584072)</f>
        <v>1.079500836</v>
      </c>
      <c r="O119" s="71" t="str">
        <f>IFERROR(__xludf.DUMMYFUNCTION("""COMPUTED_VALUE"""),"")</f>
        <v/>
      </c>
      <c r="P119" s="71" t="str">
        <f>IFERROR(__xludf.DUMMYFUNCTION("""COMPUTED_VALUE"""),"")</f>
        <v/>
      </c>
      <c r="Q119" s="88" t="str">
        <f>IFERROR(__xludf.DUMMYFUNCTION("""COMPUTED_VALUE"""),"")</f>
        <v/>
      </c>
      <c r="R119" s="88" t="str">
        <f>IFERROR(__xludf.DUMMYFUNCTION("""COMPUTED_VALUE"""),"")</f>
        <v/>
      </c>
      <c r="S119" s="61" t="str">
        <f>IFERROR(__xludf.DUMMYFUNCTION("""COMPUTED_VALUE"""),"")</f>
        <v/>
      </c>
      <c r="T119" s="61" t="str">
        <f>IFERROR(__xludf.DUMMYFUNCTION("""COMPUTED_VALUE"""),"")</f>
        <v/>
      </c>
      <c r="U119" s="111" t="str">
        <f>IFERROR(__xludf.DUMMYFUNCTION("""COMPUTED_VALUE"""),"")</f>
        <v/>
      </c>
      <c r="V119" s="88" t="str">
        <f>IFERROR(__xludf.DUMMYFUNCTION("""COMPUTED_VALUE"""),"")</f>
        <v/>
      </c>
      <c r="W119" s="62" t="str">
        <f>IFERROR(__xludf.DUMMYFUNCTION("""COMPUTED_VALUE"""),"")</f>
        <v/>
      </c>
      <c r="X119" s="62" t="str">
        <f>IFERROR(__xludf.DUMMYFUNCTION("""COMPUTED_VALUE"""),"")</f>
        <v/>
      </c>
      <c r="Y119" s="109" t="str">
        <f>IFERROR(__xludf.DUMMYFUNCTION("""COMPUTED_VALUE"""),"")</f>
        <v/>
      </c>
      <c r="Z119" s="113" t="str">
        <f>IFERROR(__xludf.DUMMYFUNCTION("""COMPUTED_VALUE"""),"")</f>
        <v/>
      </c>
      <c r="AA119" s="113" t="str">
        <f>IFERROR(__xludf.DUMMYFUNCTION("""COMPUTED_VALUE"""),"")</f>
        <v/>
      </c>
      <c r="AB119" s="71" t="str">
        <f>IFERROR(__xludf.DUMMYFUNCTION("""COMPUTED_VALUE"""),"")</f>
        <v/>
      </c>
    </row>
    <row r="120">
      <c r="A120" s="105">
        <f>IFERROR(__xludf.DUMMYFUNCTION("""COMPUTED_VALUE"""),45939.633101099535)</f>
        <v>45939.6331</v>
      </c>
      <c r="B120" s="71" t="str">
        <f>IFERROR(__xludf.DUMMYFUNCTION("""COMPUTED_VALUE"""),"Brynn Hornig")</f>
        <v>Brynn Hornig</v>
      </c>
      <c r="C120" s="71" t="b">
        <f>IFERROR(__xludf.DUMMYFUNCTION("""COMPUTED_VALUE"""),FALSE)</f>
        <v>0</v>
      </c>
      <c r="D120" s="132">
        <f>IFERROR(__xludf.DUMMYFUNCTION("""COMPUTED_VALUE"""),0.5625)</f>
        <v>0.5625</v>
      </c>
      <c r="E120" s="78">
        <f>IFERROR(__xludf.DUMMYFUNCTION("""COMPUTED_VALUE"""),0.07291666666424135)</f>
        <v>0.07291666666</v>
      </c>
      <c r="F120" s="132">
        <f>IFERROR(__xludf.DUMMYFUNCTION("""COMPUTED_VALUE"""),0.6354166666642413)</f>
        <v>0.6354166667</v>
      </c>
      <c r="G120" s="78">
        <f>IFERROR(__xludf.DUMMYFUNCTION("""COMPUTED_VALUE"""),0.07291666666424135)</f>
        <v>0.07291666666</v>
      </c>
      <c r="H120" s="110">
        <f>IFERROR(__xludf.DUMMYFUNCTION("""COMPUTED_VALUE"""),71.0)</f>
        <v>71</v>
      </c>
      <c r="I120" s="108">
        <f>IFERROR(__xludf.DUMMYFUNCTION("""COMPUTED_VALUE"""),40.57142857277804)</f>
        <v>40.57142857</v>
      </c>
      <c r="J120" s="71" t="str">
        <f>IFERROR(__xludf.DUMMYFUNCTION("""COMPUTED_VALUE"""),"Lunch")</f>
        <v>Lunch</v>
      </c>
      <c r="K120" s="106">
        <f>IFERROR(__xludf.DUMMYFUNCTION("""COMPUTED_VALUE"""),45939.0)</f>
        <v>45939</v>
      </c>
      <c r="L120" s="71" t="str">
        <f>IFERROR(__xludf.DUMMYFUNCTION("""COMPUTED_VALUE"""),"Thursday")</f>
        <v>Thursday</v>
      </c>
      <c r="M120" s="71" t="str">
        <f>IFERROR(__xludf.DUMMYFUNCTION("""COMPUTED_VALUE"""),"MF")</f>
        <v>MF</v>
      </c>
      <c r="N120" s="109">
        <f>IFERROR(__xludf.DUMMYFUNCTION("""COMPUTED_VALUE"""),0.8436764968531205)</f>
        <v>0.8436764969</v>
      </c>
      <c r="O120" s="71" t="str">
        <f>IFERROR(__xludf.DUMMYFUNCTION("""COMPUTED_VALUE"""),"")</f>
        <v/>
      </c>
      <c r="P120" s="71" t="str">
        <f>IFERROR(__xludf.DUMMYFUNCTION("""COMPUTED_VALUE"""),"")</f>
        <v/>
      </c>
      <c r="Q120" s="88" t="str">
        <f>IFERROR(__xludf.DUMMYFUNCTION("""COMPUTED_VALUE"""),"")</f>
        <v/>
      </c>
      <c r="R120" s="88" t="str">
        <f>IFERROR(__xludf.DUMMYFUNCTION("""COMPUTED_VALUE"""),"")</f>
        <v/>
      </c>
      <c r="S120" s="61" t="str">
        <f>IFERROR(__xludf.DUMMYFUNCTION("""COMPUTED_VALUE"""),"")</f>
        <v/>
      </c>
      <c r="T120" s="61" t="str">
        <f>IFERROR(__xludf.DUMMYFUNCTION("""COMPUTED_VALUE"""),"")</f>
        <v/>
      </c>
      <c r="U120" s="111" t="str">
        <f>IFERROR(__xludf.DUMMYFUNCTION("""COMPUTED_VALUE"""),"")</f>
        <v/>
      </c>
      <c r="V120" s="88" t="str">
        <f>IFERROR(__xludf.DUMMYFUNCTION("""COMPUTED_VALUE"""),"")</f>
        <v/>
      </c>
      <c r="W120" s="62" t="str">
        <f>IFERROR(__xludf.DUMMYFUNCTION("""COMPUTED_VALUE"""),"")</f>
        <v/>
      </c>
      <c r="X120" s="62" t="str">
        <f>IFERROR(__xludf.DUMMYFUNCTION("""COMPUTED_VALUE"""),"")</f>
        <v/>
      </c>
      <c r="Y120" s="109" t="str">
        <f>IFERROR(__xludf.DUMMYFUNCTION("""COMPUTED_VALUE"""),"")</f>
        <v/>
      </c>
      <c r="Z120" s="113" t="str">
        <f>IFERROR(__xludf.DUMMYFUNCTION("""COMPUTED_VALUE"""),"")</f>
        <v/>
      </c>
      <c r="AA120" s="113" t="str">
        <f>IFERROR(__xludf.DUMMYFUNCTION("""COMPUTED_VALUE"""),"")</f>
        <v/>
      </c>
      <c r="AB120" s="71" t="str">
        <f>IFERROR(__xludf.DUMMYFUNCTION("""COMPUTED_VALUE"""),"")</f>
        <v/>
      </c>
    </row>
    <row r="121">
      <c r="A121" s="105">
        <f>IFERROR(__xludf.DUMMYFUNCTION("""COMPUTED_VALUE"""),45939.65675591435)</f>
        <v>45939.65676</v>
      </c>
      <c r="B121" s="71" t="str">
        <f>IFERROR(__xludf.DUMMYFUNCTION("""COMPUTED_VALUE"""),"Emmett Khan")</f>
        <v>Emmett Khan</v>
      </c>
      <c r="C121" s="71" t="b">
        <f>IFERROR(__xludf.DUMMYFUNCTION("""COMPUTED_VALUE"""),FALSE)</f>
        <v>0</v>
      </c>
      <c r="D121" s="132">
        <f>IFERROR(__xludf.DUMMYFUNCTION("""COMPUTED_VALUE"""),0.5833333333357587)</f>
        <v>0.5833333333</v>
      </c>
      <c r="E121" s="78">
        <f>IFERROR(__xludf.DUMMYFUNCTION("""COMPUTED_VALUE"""),0.07291666666424135)</f>
        <v>0.07291666666</v>
      </c>
      <c r="F121" s="132">
        <f>IFERROR(__xludf.DUMMYFUNCTION("""COMPUTED_VALUE"""),0.65625)</f>
        <v>0.65625</v>
      </c>
      <c r="G121" s="78">
        <f>IFERROR(__xludf.DUMMYFUNCTION("""COMPUTED_VALUE"""),0.15625)</f>
        <v>0.15625</v>
      </c>
      <c r="H121" s="110">
        <f>IFERROR(__xludf.DUMMYFUNCTION("""COMPUTED_VALUE"""),77.0)</f>
        <v>77</v>
      </c>
      <c r="I121" s="108">
        <f>IFERROR(__xludf.DUMMYFUNCTION("""COMPUTED_VALUE"""),20.533333333333335)</f>
        <v>20.53333333</v>
      </c>
      <c r="J121" s="71" t="str">
        <f>IFERROR(__xludf.DUMMYFUNCTION("""COMPUTED_VALUE"""),"Lunch")</f>
        <v>Lunch</v>
      </c>
      <c r="K121" s="106">
        <f>IFERROR(__xludf.DUMMYFUNCTION("""COMPUTED_VALUE"""),45939.0)</f>
        <v>45939</v>
      </c>
      <c r="L121" s="71" t="str">
        <f>IFERROR(__xludf.DUMMYFUNCTION("""COMPUTED_VALUE"""),"Thursday")</f>
        <v>Thursday</v>
      </c>
      <c r="M121" s="71" t="str">
        <f>IFERROR(__xludf.DUMMYFUNCTION("""COMPUTED_VALUE"""),"BF")</f>
        <v>BF</v>
      </c>
      <c r="N121" s="109">
        <f>IFERROR(__xludf.DUMMYFUNCTION("""COMPUTED_VALUE"""),0.5287907797829278)</f>
        <v>0.5287907798</v>
      </c>
      <c r="O121" s="71" t="str">
        <f>IFERROR(__xludf.DUMMYFUNCTION("""COMPUTED_VALUE"""),"")</f>
        <v/>
      </c>
      <c r="P121" s="71" t="str">
        <f>IFERROR(__xludf.DUMMYFUNCTION("""COMPUTED_VALUE"""),"")</f>
        <v/>
      </c>
      <c r="Q121" s="88" t="str">
        <f>IFERROR(__xludf.DUMMYFUNCTION("""COMPUTED_VALUE"""),"")</f>
        <v/>
      </c>
      <c r="R121" s="88" t="str">
        <f>IFERROR(__xludf.DUMMYFUNCTION("""COMPUTED_VALUE"""),"")</f>
        <v/>
      </c>
      <c r="S121" s="61" t="str">
        <f>IFERROR(__xludf.DUMMYFUNCTION("""COMPUTED_VALUE"""),"")</f>
        <v/>
      </c>
      <c r="T121" s="61" t="str">
        <f>IFERROR(__xludf.DUMMYFUNCTION("""COMPUTED_VALUE"""),"")</f>
        <v/>
      </c>
      <c r="U121" s="111" t="str">
        <f>IFERROR(__xludf.DUMMYFUNCTION("""COMPUTED_VALUE"""),"")</f>
        <v/>
      </c>
      <c r="V121" s="88" t="str">
        <f>IFERROR(__xludf.DUMMYFUNCTION("""COMPUTED_VALUE"""),"")</f>
        <v/>
      </c>
      <c r="W121" s="62" t="str">
        <f>IFERROR(__xludf.DUMMYFUNCTION("""COMPUTED_VALUE"""),"")</f>
        <v/>
      </c>
      <c r="X121" s="62" t="str">
        <f>IFERROR(__xludf.DUMMYFUNCTION("""COMPUTED_VALUE"""),"")</f>
        <v/>
      </c>
      <c r="Y121" s="109" t="str">
        <f>IFERROR(__xludf.DUMMYFUNCTION("""COMPUTED_VALUE"""),"")</f>
        <v/>
      </c>
      <c r="Z121" s="113" t="str">
        <f>IFERROR(__xludf.DUMMYFUNCTION("""COMPUTED_VALUE"""),"")</f>
        <v/>
      </c>
      <c r="AA121" s="113" t="str">
        <f>IFERROR(__xludf.DUMMYFUNCTION("""COMPUTED_VALUE"""),"")</f>
        <v/>
      </c>
      <c r="AB121" s="71" t="str">
        <f>IFERROR(__xludf.DUMMYFUNCTION("""COMPUTED_VALUE"""),"")</f>
        <v/>
      </c>
    </row>
    <row r="122">
      <c r="A122" s="105">
        <f>IFERROR(__xludf.DUMMYFUNCTION("""COMPUTED_VALUE"""),45939.76831175926)</f>
        <v>45939.76831</v>
      </c>
      <c r="B122" s="71" t="str">
        <f>IFERROR(__xludf.DUMMYFUNCTION("""COMPUTED_VALUE"""),"Emmett Khan")</f>
        <v>Emmett Khan</v>
      </c>
      <c r="C122" s="71" t="b">
        <f>IFERROR(__xludf.DUMMYFUNCTION("""COMPUTED_VALUE"""),TRUE)</f>
        <v>1</v>
      </c>
      <c r="D122" s="132">
        <f>IFERROR(__xludf.DUMMYFUNCTION("""COMPUTED_VALUE"""),0.6875)</f>
        <v>0.6875</v>
      </c>
      <c r="E122" s="78">
        <f>IFERROR(__xludf.DUMMYFUNCTION("""COMPUTED_VALUE"""),0.08333333333575865)</f>
        <v>0.08333333334</v>
      </c>
      <c r="F122" s="132">
        <f>IFERROR(__xludf.DUMMYFUNCTION("""COMPUTED_VALUE"""),0.7708333333357587)</f>
        <v>0.7708333333</v>
      </c>
      <c r="G122" s="78" t="str">
        <f>IFERROR(__xludf.DUMMYFUNCTION("""COMPUTED_VALUE"""),"")</f>
        <v/>
      </c>
      <c r="H122" s="110">
        <f>IFERROR(__xludf.DUMMYFUNCTION("""COMPUTED_VALUE"""),104.0)</f>
        <v>104</v>
      </c>
      <c r="I122" s="108" t="str">
        <f>IFERROR(__xludf.DUMMYFUNCTION("""COMPUTED_VALUE"""),"")</f>
        <v/>
      </c>
      <c r="J122" s="71" t="str">
        <f>IFERROR(__xludf.DUMMYFUNCTION("""COMPUTED_VALUE"""),"Dinner")</f>
        <v>Dinner</v>
      </c>
      <c r="K122" s="106">
        <f>IFERROR(__xludf.DUMMYFUNCTION("""COMPUTED_VALUE"""),45939.0)</f>
        <v>45939</v>
      </c>
      <c r="L122" s="71" t="str">
        <f>IFERROR(__xludf.DUMMYFUNCTION("""COMPUTED_VALUE"""),"Thursday")</f>
        <v>Thursday</v>
      </c>
      <c r="M122" s="71" t="str">
        <f>IFERROR(__xludf.DUMMYFUNCTION("""COMPUTED_VALUE"""),"BF")</f>
        <v>BF</v>
      </c>
      <c r="N122" s="109" t="str">
        <f>IFERROR(__xludf.DUMMYFUNCTION("""COMPUTED_VALUE"""),"")</f>
        <v/>
      </c>
      <c r="O122" s="71">
        <f>IFERROR(__xludf.DUMMYFUNCTION("""COMPUTED_VALUE"""),134.0)</f>
        <v>134</v>
      </c>
      <c r="P122" s="71">
        <f>IFERROR(__xludf.DUMMYFUNCTION("""COMPUTED_VALUE"""),232.0)</f>
        <v>232</v>
      </c>
      <c r="Q122" s="88">
        <f>IFERROR(__xludf.DUMMYFUNCTION("""COMPUTED_VALUE"""),0.15625)</f>
        <v>0.15625</v>
      </c>
      <c r="R122" s="88">
        <f>IFERROR(__xludf.DUMMYFUNCTION("""COMPUTED_VALUE"""),0.2069444444423425)</f>
        <v>0.2069444444</v>
      </c>
      <c r="S122" s="61">
        <f>IFERROR(__xludf.DUMMYFUNCTION("""COMPUTED_VALUE"""),36.03571428593064)</f>
        <v>36.03571429</v>
      </c>
      <c r="T122" s="61">
        <f>IFERROR(__xludf.DUMMYFUNCTION("""COMPUTED_VALUE"""),31.22557077712473)</f>
        <v>31.22557078</v>
      </c>
      <c r="U122" s="111">
        <f>IFERROR(__xludf.DUMMYFUNCTION("""COMPUTED_VALUE"""),366.0)</f>
        <v>366</v>
      </c>
      <c r="V122" s="88">
        <f>IFERROR(__xludf.DUMMYFUNCTION("""COMPUTED_VALUE"""),0.3631944444423425)</f>
        <v>0.3631944444</v>
      </c>
      <c r="W122" s="62">
        <f>IFERROR(__xludf.DUMMYFUNCTION("""COMPUTED_VALUE"""),41.988527724908394)</f>
        <v>41.98852772</v>
      </c>
      <c r="X122" s="62">
        <f>IFERROR(__xludf.DUMMYFUNCTION("""COMPUTED_VALUE"""),33.630642531527684)</f>
        <v>33.63064253</v>
      </c>
      <c r="Y122" s="109">
        <f>IFERROR(__xludf.DUMMYFUNCTION("""COMPUTED_VALUE"""),0.6059485968615792)</f>
        <v>0.6059485969</v>
      </c>
      <c r="Z122" s="113">
        <f>IFERROR(__xludf.DUMMYFUNCTION("""COMPUTED_VALUE"""),3520.0)</f>
        <v>3520</v>
      </c>
      <c r="AA122" s="113">
        <f>IFERROR(__xludf.DUMMYFUNCTION("""COMPUTED_VALUE"""),4107.0)</f>
        <v>4107</v>
      </c>
      <c r="AB122" s="113">
        <f>IFERROR(__xludf.DUMMYFUNCTION("""COMPUTED_VALUE"""),7627.0)</f>
        <v>7627</v>
      </c>
    </row>
    <row r="123">
      <c r="A123" s="105">
        <f>IFERROR(__xludf.DUMMYFUNCTION("""COMPUTED_VALUE"""),45940.55012901621)</f>
        <v>45940.55013</v>
      </c>
      <c r="B123" s="71" t="str">
        <f>IFERROR(__xludf.DUMMYFUNCTION("""COMPUTED_VALUE"""),"Orpheus Wilson")</f>
        <v>Orpheus Wilson</v>
      </c>
      <c r="C123" s="71" t="b">
        <f>IFERROR(__xludf.DUMMYFUNCTION("""COMPUTED_VALUE"""),FALSE)</f>
        <v>0</v>
      </c>
      <c r="D123" s="132">
        <f>IFERROR(__xludf.DUMMYFUNCTION("""COMPUTED_VALUE"""),0.48402777777664596)</f>
        <v>0.4840277778</v>
      </c>
      <c r="E123" s="78">
        <f>IFERROR(__xludf.DUMMYFUNCTION("""COMPUTED_VALUE"""),0.06527777777955635)</f>
        <v>0.06527777778</v>
      </c>
      <c r="F123" s="132">
        <f>IFERROR(__xludf.DUMMYFUNCTION("""COMPUTED_VALUE"""),0.5493055555562023)</f>
        <v>0.5493055556</v>
      </c>
      <c r="G123" s="78">
        <f>IFERROR(__xludf.DUMMYFUNCTION("""COMPUTED_VALUE"""),0.06527777777955635)</f>
        <v>0.06527777778</v>
      </c>
      <c r="H123" s="110">
        <f>IFERROR(__xludf.DUMMYFUNCTION("""COMPUTED_VALUE"""),76.0)</f>
        <v>76</v>
      </c>
      <c r="I123" s="108">
        <f>IFERROR(__xludf.DUMMYFUNCTION("""COMPUTED_VALUE"""),48.51063829655061)</f>
        <v>48.5106383</v>
      </c>
      <c r="J123" s="71" t="str">
        <f>IFERROR(__xludf.DUMMYFUNCTION("""COMPUTED_VALUE"""),"Lunch")</f>
        <v>Lunch</v>
      </c>
      <c r="K123" s="106">
        <f>IFERROR(__xludf.DUMMYFUNCTION("""COMPUTED_VALUE"""),45940.0)</f>
        <v>45940</v>
      </c>
      <c r="L123" s="71" t="str">
        <f>IFERROR(__xludf.DUMMYFUNCTION("""COMPUTED_VALUE"""),"Friday")</f>
        <v>Friday</v>
      </c>
      <c r="M123" s="71" t="str">
        <f>IFERROR(__xludf.DUMMYFUNCTION("""COMPUTED_VALUE"""),"MF")</f>
        <v>MF</v>
      </c>
      <c r="N123" s="109">
        <f>IFERROR(__xludf.DUMMYFUNCTION("""COMPUTED_VALUE"""),1.0087711184417938)</f>
        <v>1.008771118</v>
      </c>
      <c r="O123" s="71" t="str">
        <f>IFERROR(__xludf.DUMMYFUNCTION("""COMPUTED_VALUE"""),"")</f>
        <v/>
      </c>
      <c r="P123" s="71" t="str">
        <f>IFERROR(__xludf.DUMMYFUNCTION("""COMPUTED_VALUE"""),"")</f>
        <v/>
      </c>
      <c r="Q123" s="88" t="str">
        <f>IFERROR(__xludf.DUMMYFUNCTION("""COMPUTED_VALUE"""),"")</f>
        <v/>
      </c>
      <c r="R123" s="88" t="str">
        <f>IFERROR(__xludf.DUMMYFUNCTION("""COMPUTED_VALUE"""),"")</f>
        <v/>
      </c>
      <c r="S123" s="61" t="str">
        <f>IFERROR(__xludf.DUMMYFUNCTION("""COMPUTED_VALUE"""),"")</f>
        <v/>
      </c>
      <c r="T123" s="61" t="str">
        <f>IFERROR(__xludf.DUMMYFUNCTION("""COMPUTED_VALUE"""),"")</f>
        <v/>
      </c>
      <c r="U123" s="111" t="str">
        <f>IFERROR(__xludf.DUMMYFUNCTION("""COMPUTED_VALUE"""),"")</f>
        <v/>
      </c>
      <c r="V123" s="88" t="str">
        <f>IFERROR(__xludf.DUMMYFUNCTION("""COMPUTED_VALUE"""),"")</f>
        <v/>
      </c>
      <c r="W123" s="62" t="str">
        <f>IFERROR(__xludf.DUMMYFUNCTION("""COMPUTED_VALUE"""),"")</f>
        <v/>
      </c>
      <c r="X123" s="62" t="str">
        <f>IFERROR(__xludf.DUMMYFUNCTION("""COMPUTED_VALUE"""),"")</f>
        <v/>
      </c>
      <c r="Y123" s="109" t="str">
        <f>IFERROR(__xludf.DUMMYFUNCTION("""COMPUTED_VALUE"""),"")</f>
        <v/>
      </c>
      <c r="Z123" s="113" t="str">
        <f>IFERROR(__xludf.DUMMYFUNCTION("""COMPUTED_VALUE"""),"")</f>
        <v/>
      </c>
      <c r="AA123" s="113" t="str">
        <f>IFERROR(__xludf.DUMMYFUNCTION("""COMPUTED_VALUE"""),"")</f>
        <v/>
      </c>
      <c r="AB123" s="71" t="str">
        <f>IFERROR(__xludf.DUMMYFUNCTION("""COMPUTED_VALUE"""),"")</f>
        <v/>
      </c>
    </row>
    <row r="124">
      <c r="A124" s="105">
        <f>IFERROR(__xludf.DUMMYFUNCTION("""COMPUTED_VALUE"""),45940.631562800925)</f>
        <v>45940.63156</v>
      </c>
      <c r="B124" s="71" t="str">
        <f>IFERROR(__xludf.DUMMYFUNCTION("""COMPUTED_VALUE"""),"Brynn Hornig")</f>
        <v>Brynn Hornig</v>
      </c>
      <c r="C124" s="71" t="b">
        <f>IFERROR(__xludf.DUMMYFUNCTION("""COMPUTED_VALUE"""),FALSE)</f>
        <v>0</v>
      </c>
      <c r="D124" s="132">
        <f>IFERROR(__xludf.DUMMYFUNCTION("""COMPUTED_VALUE"""),0.5520833333357587)</f>
        <v>0.5520833333</v>
      </c>
      <c r="E124" s="78">
        <f>IFERROR(__xludf.DUMMYFUNCTION("""COMPUTED_VALUE"""),0.0833333333284827)</f>
        <v>0.08333333333</v>
      </c>
      <c r="F124" s="132">
        <f>IFERROR(__xludf.DUMMYFUNCTION("""COMPUTED_VALUE"""),0.6354166666642413)</f>
        <v>0.6354166667</v>
      </c>
      <c r="G124" s="78">
        <f>IFERROR(__xludf.DUMMYFUNCTION("""COMPUTED_VALUE"""),0.0833333333284827)</f>
        <v>0.08333333333</v>
      </c>
      <c r="H124" s="110">
        <f>IFERROR(__xludf.DUMMYFUNCTION("""COMPUTED_VALUE"""),65.0)</f>
        <v>65</v>
      </c>
      <c r="I124" s="108">
        <f>IFERROR(__xludf.DUMMYFUNCTION("""COMPUTED_VALUE"""),32.50000000189175)</f>
        <v>32.5</v>
      </c>
      <c r="J124" s="71" t="str">
        <f>IFERROR(__xludf.DUMMYFUNCTION("""COMPUTED_VALUE"""),"Lunch")</f>
        <v>Lunch</v>
      </c>
      <c r="K124" s="106">
        <f>IFERROR(__xludf.DUMMYFUNCTION("""COMPUTED_VALUE"""),45940.0)</f>
        <v>45940</v>
      </c>
      <c r="L124" s="71" t="str">
        <f>IFERROR(__xludf.DUMMYFUNCTION("""COMPUTED_VALUE"""),"Friday")</f>
        <v>Friday</v>
      </c>
      <c r="M124" s="71" t="str">
        <f>IFERROR(__xludf.DUMMYFUNCTION("""COMPUTED_VALUE"""),"MF")</f>
        <v>MF</v>
      </c>
      <c r="N124" s="109">
        <f>IFERROR(__xludf.DUMMYFUNCTION("""COMPUTED_VALUE"""),0.6758324050664541)</f>
        <v>0.6758324051</v>
      </c>
      <c r="O124" s="71" t="str">
        <f>IFERROR(__xludf.DUMMYFUNCTION("""COMPUTED_VALUE"""),"")</f>
        <v/>
      </c>
      <c r="P124" s="71" t="str">
        <f>IFERROR(__xludf.DUMMYFUNCTION("""COMPUTED_VALUE"""),"")</f>
        <v/>
      </c>
      <c r="Q124" s="88" t="str">
        <f>IFERROR(__xludf.DUMMYFUNCTION("""COMPUTED_VALUE"""),"")</f>
        <v/>
      </c>
      <c r="R124" s="88" t="str">
        <f>IFERROR(__xludf.DUMMYFUNCTION("""COMPUTED_VALUE"""),"")</f>
        <v/>
      </c>
      <c r="S124" s="61" t="str">
        <f>IFERROR(__xludf.DUMMYFUNCTION("""COMPUTED_VALUE"""),"")</f>
        <v/>
      </c>
      <c r="T124" s="61" t="str">
        <f>IFERROR(__xludf.DUMMYFUNCTION("""COMPUTED_VALUE"""),"")</f>
        <v/>
      </c>
      <c r="U124" s="111" t="str">
        <f>IFERROR(__xludf.DUMMYFUNCTION("""COMPUTED_VALUE"""),"")</f>
        <v/>
      </c>
      <c r="V124" s="88" t="str">
        <f>IFERROR(__xludf.DUMMYFUNCTION("""COMPUTED_VALUE"""),"")</f>
        <v/>
      </c>
      <c r="W124" s="62" t="str">
        <f>IFERROR(__xludf.DUMMYFUNCTION("""COMPUTED_VALUE"""),"")</f>
        <v/>
      </c>
      <c r="X124" s="62" t="str">
        <f>IFERROR(__xludf.DUMMYFUNCTION("""COMPUTED_VALUE"""),"")</f>
        <v/>
      </c>
      <c r="Y124" s="109" t="str">
        <f>IFERROR(__xludf.DUMMYFUNCTION("""COMPUTED_VALUE"""),"")</f>
        <v/>
      </c>
      <c r="Z124" s="113" t="str">
        <f>IFERROR(__xludf.DUMMYFUNCTION("""COMPUTED_VALUE"""),"")</f>
        <v/>
      </c>
      <c r="AA124" s="113" t="str">
        <f>IFERROR(__xludf.DUMMYFUNCTION("""COMPUTED_VALUE"""),"")</f>
        <v/>
      </c>
      <c r="AB124" s="71" t="str">
        <f>IFERROR(__xludf.DUMMYFUNCTION("""COMPUTED_VALUE"""),"")</f>
        <v/>
      </c>
    </row>
    <row r="125">
      <c r="A125" s="105">
        <f>IFERROR(__xludf.DUMMYFUNCTION("""COMPUTED_VALUE"""),45940.70780268518)</f>
        <v>45940.7078</v>
      </c>
      <c r="B125" s="71" t="str">
        <f>IFERROR(__xludf.DUMMYFUNCTION("""COMPUTED_VALUE"""),"Emmett Khan")</f>
        <v>Emmett Khan</v>
      </c>
      <c r="C125" s="71" t="b">
        <f>IFERROR(__xludf.DUMMYFUNCTION("""COMPUTED_VALUE"""),FALSE)</f>
        <v>0</v>
      </c>
      <c r="D125" s="132">
        <f>IFERROR(__xludf.DUMMYFUNCTION("""COMPUTED_VALUE"""),0.6666666666642413)</f>
        <v>0.6666666667</v>
      </c>
      <c r="E125" s="78">
        <f>IFERROR(__xludf.DUMMYFUNCTION("""COMPUTED_VALUE"""),0.041666666671517305)</f>
        <v>0.04166666667</v>
      </c>
      <c r="F125" s="132">
        <f>IFERROR(__xludf.DUMMYFUNCTION("""COMPUTED_VALUE"""),0.7083333333357587)</f>
        <v>0.7083333333</v>
      </c>
      <c r="G125" s="78">
        <f>IFERROR(__xludf.DUMMYFUNCTION("""COMPUTED_VALUE"""),0.041666666671517305)</f>
        <v>0.04166666667</v>
      </c>
      <c r="H125" s="110">
        <f>IFERROR(__xludf.DUMMYFUNCTION("""COMPUTED_VALUE"""),37.0)</f>
        <v>37</v>
      </c>
      <c r="I125" s="108">
        <f>IFERROR(__xludf.DUMMYFUNCTION("""COMPUTED_VALUE"""),36.99999999569263)</f>
        <v>37</v>
      </c>
      <c r="J125" s="71" t="str">
        <f>IFERROR(__xludf.DUMMYFUNCTION("""COMPUTED_VALUE"""),"Dinner")</f>
        <v>Dinner</v>
      </c>
      <c r="K125" s="106">
        <f>IFERROR(__xludf.DUMMYFUNCTION("""COMPUTED_VALUE"""),45940.0)</f>
        <v>45940</v>
      </c>
      <c r="L125" s="71" t="str">
        <f>IFERROR(__xludf.DUMMYFUNCTION("""COMPUTED_VALUE"""),"Friday")</f>
        <v>Friday</v>
      </c>
      <c r="M125" s="71" t="str">
        <f>IFERROR(__xludf.DUMMYFUNCTION("""COMPUTED_VALUE"""),"MF")</f>
        <v>MF</v>
      </c>
      <c r="N125" s="109">
        <f>IFERROR(__xludf.DUMMYFUNCTION("""COMPUTED_VALUE"""),0.7290844876609298)</f>
        <v>0.7290844877</v>
      </c>
      <c r="O125" s="71">
        <f>IFERROR(__xludf.DUMMYFUNCTION("""COMPUTED_VALUE"""),178.0)</f>
        <v>178</v>
      </c>
      <c r="P125" s="71" t="str">
        <f>IFERROR(__xludf.DUMMYFUNCTION("""COMPUTED_VALUE"""),"")</f>
        <v/>
      </c>
      <c r="Q125" s="88">
        <f>IFERROR(__xludf.DUMMYFUNCTION("""COMPUTED_VALUE"""),0.19027777777955635)</f>
        <v>0.1902777778</v>
      </c>
      <c r="R125" s="88" t="str">
        <f>IFERROR(__xludf.DUMMYFUNCTION("""COMPUTED_VALUE"""),"")</f>
        <v/>
      </c>
      <c r="S125" s="61">
        <f>IFERROR(__xludf.DUMMYFUNCTION("""COMPUTED_VALUE"""),39.33687943137833)</f>
        <v>39.33687943</v>
      </c>
      <c r="T125" s="61" t="str">
        <f>IFERROR(__xludf.DUMMYFUNCTION("""COMPUTED_VALUE"""),"")</f>
        <v/>
      </c>
      <c r="U125" s="111">
        <f>IFERROR(__xludf.DUMMYFUNCTION("""COMPUTED_VALUE"""),178.0)</f>
        <v>178</v>
      </c>
      <c r="V125" s="88">
        <f>IFERROR(__xludf.DUMMYFUNCTION("""COMPUTED_VALUE"""),0.19027777777955635)</f>
        <v>0.1902777778</v>
      </c>
      <c r="W125" s="62">
        <f>IFERROR(__xludf.DUMMYFUNCTION("""COMPUTED_VALUE"""),38.97810218941669)</f>
        <v>38.97810219</v>
      </c>
      <c r="X125" s="62">
        <f>IFERROR(__xludf.DUMMYFUNCTION("""COMPUTED_VALUE"""),39.33687943137833)</f>
        <v>39.33687943</v>
      </c>
      <c r="Y125" s="109">
        <f>IFERROR(__xludf.DUMMYFUNCTION("""COMPUTED_VALUE"""),0.8684896781793544)</f>
        <v>0.8684896782</v>
      </c>
      <c r="Z125" s="113">
        <f>IFERROR(__xludf.DUMMYFUNCTION("""COMPUTED_VALUE"""),2496.0)</f>
        <v>2496</v>
      </c>
      <c r="AA125" s="113">
        <f>IFERROR(__xludf.DUMMYFUNCTION("""COMPUTED_VALUE"""),2084.0)</f>
        <v>2084</v>
      </c>
      <c r="AB125" s="113">
        <f>IFERROR(__xludf.DUMMYFUNCTION("""COMPUTED_VALUE"""),4580.0)</f>
        <v>4580</v>
      </c>
    </row>
    <row r="126">
      <c r="A126" s="105">
        <f>IFERROR(__xludf.DUMMYFUNCTION("""COMPUTED_VALUE"""),45943.56081454861)</f>
        <v>45943.56081</v>
      </c>
      <c r="B126" s="71" t="str">
        <f>IFERROR(__xludf.DUMMYFUNCTION("""COMPUTED_VALUE"""),"Orpheus Wilson")</f>
        <v>Orpheus Wilson</v>
      </c>
      <c r="C126" s="71" t="b">
        <f>IFERROR(__xludf.DUMMYFUNCTION("""COMPUTED_VALUE"""),FALSE)</f>
        <v>0</v>
      </c>
      <c r="D126" s="132">
        <f>IFERROR(__xludf.DUMMYFUNCTION("""COMPUTED_VALUE"""),0.4875000000029104)</f>
        <v>0.4875</v>
      </c>
      <c r="E126" s="78">
        <f>IFERROR(__xludf.DUMMYFUNCTION("""COMPUTED_VALUE"""),0.07291666666424135)</f>
        <v>0.07291666666</v>
      </c>
      <c r="F126" s="132">
        <f>IFERROR(__xludf.DUMMYFUNCTION("""COMPUTED_VALUE"""),0.5604166666671517)</f>
        <v>0.5604166667</v>
      </c>
      <c r="G126" s="78">
        <f>IFERROR(__xludf.DUMMYFUNCTION("""COMPUTED_VALUE"""),0.07291666666424135)</f>
        <v>0.07291666666</v>
      </c>
      <c r="H126" s="110">
        <f>IFERROR(__xludf.DUMMYFUNCTION("""COMPUTED_VALUE"""),62.0)</f>
        <v>62</v>
      </c>
      <c r="I126" s="108">
        <f>IFERROR(__xludf.DUMMYFUNCTION("""COMPUTED_VALUE"""),35.42857142974984)</f>
        <v>35.42857143</v>
      </c>
      <c r="J126" s="71" t="str">
        <f>IFERROR(__xludf.DUMMYFUNCTION("""COMPUTED_VALUE"""),"Lunch")</f>
        <v>Lunch</v>
      </c>
      <c r="K126" s="106">
        <f>IFERROR(__xludf.DUMMYFUNCTION("""COMPUTED_VALUE"""),45943.0)</f>
        <v>45943</v>
      </c>
      <c r="L126" s="71" t="str">
        <f>IFERROR(__xludf.DUMMYFUNCTION("""COMPUTED_VALUE"""),"Monday")</f>
        <v>Monday</v>
      </c>
      <c r="M126" s="71" t="str">
        <f>IFERROR(__xludf.DUMMYFUNCTION("""COMPUTED_VALUE"""),"MF")</f>
        <v>MF</v>
      </c>
      <c r="N126" s="109">
        <f>IFERROR(__xludf.DUMMYFUNCTION("""COMPUTED_VALUE"""),0.7367315888013165)</f>
        <v>0.7367315888</v>
      </c>
      <c r="O126" s="71">
        <f>IFERROR(__xludf.DUMMYFUNCTION("""COMPUTED_VALUE"""),62.0)</f>
        <v>62</v>
      </c>
      <c r="P126" s="71" t="str">
        <f>IFERROR(__xludf.DUMMYFUNCTION("""COMPUTED_VALUE"""),"")</f>
        <v/>
      </c>
      <c r="Q126" s="88">
        <f>IFERROR(__xludf.DUMMYFUNCTION("""COMPUTED_VALUE"""),0.07291666666424135)</f>
        <v>0.07291666666</v>
      </c>
      <c r="R126" s="88" t="str">
        <f>IFERROR(__xludf.DUMMYFUNCTION("""COMPUTED_VALUE"""),"")</f>
        <v/>
      </c>
      <c r="S126" s="61">
        <f>IFERROR(__xludf.DUMMYFUNCTION("""COMPUTED_VALUE"""),35.42857142974984)</f>
        <v>35.42857143</v>
      </c>
      <c r="T126" s="61" t="str">
        <f>IFERROR(__xludf.DUMMYFUNCTION("""COMPUTED_VALUE"""),"")</f>
        <v/>
      </c>
      <c r="U126" s="111">
        <f>IFERROR(__xludf.DUMMYFUNCTION("""COMPUTED_VALUE"""),62.0)</f>
        <v>62</v>
      </c>
      <c r="V126" s="88">
        <f>IFERROR(__xludf.DUMMYFUNCTION("""COMPUTED_VALUE"""),0.07291666666424135)</f>
        <v>0.07291666666</v>
      </c>
      <c r="W126" s="62">
        <f>IFERROR(__xludf.DUMMYFUNCTION("""COMPUTED_VALUE"""),35.42857142974984)</f>
        <v>35.42857143</v>
      </c>
      <c r="X126" s="62">
        <f>IFERROR(__xludf.DUMMYFUNCTION("""COMPUTED_VALUE"""),35.42857142974984)</f>
        <v>35.42857143</v>
      </c>
      <c r="Y126" s="109">
        <f>IFERROR(__xludf.DUMMYFUNCTION("""COMPUTED_VALUE"""),0.7979290436742944)</f>
        <v>0.7979290437</v>
      </c>
      <c r="Z126" s="113">
        <f>IFERROR(__xludf.DUMMYFUNCTION("""COMPUTED_VALUE"""),2704.0)</f>
        <v>2704</v>
      </c>
      <c r="AA126" s="113" t="str">
        <f>IFERROR(__xludf.DUMMYFUNCTION("""COMPUTED_VALUE"""),"")</f>
        <v/>
      </c>
      <c r="AB126" s="113">
        <f>IFERROR(__xludf.DUMMYFUNCTION("""COMPUTED_VALUE"""),2704.0)</f>
        <v>2704</v>
      </c>
    </row>
    <row r="127">
      <c r="A127" s="105">
        <f>IFERROR(__xludf.DUMMYFUNCTION("""COMPUTED_VALUE"""),45944.47824283565)</f>
        <v>45944.47824</v>
      </c>
      <c r="B127" s="71" t="str">
        <f>IFERROR(__xludf.DUMMYFUNCTION("""COMPUTED_VALUE"""),"Emmett Khan")</f>
        <v>Emmett Khan</v>
      </c>
      <c r="C127" s="71" t="b">
        <f>IFERROR(__xludf.DUMMYFUNCTION("""COMPUTED_VALUE"""),FALSE)</f>
        <v>0</v>
      </c>
      <c r="D127" s="132">
        <f>IFERROR(__xludf.DUMMYFUNCTION("""COMPUTED_VALUE"""),0.39583333333575865)</f>
        <v>0.3958333333</v>
      </c>
      <c r="E127" s="78">
        <f>IFERROR(__xludf.DUMMYFUNCTION("""COMPUTED_VALUE"""),0.0833333333284827)</f>
        <v>0.08333333333</v>
      </c>
      <c r="F127" s="132">
        <f>IFERROR(__xludf.DUMMYFUNCTION("""COMPUTED_VALUE"""),0.47916666666424135)</f>
        <v>0.4791666667</v>
      </c>
      <c r="G127" s="78">
        <f>IFERROR(__xludf.DUMMYFUNCTION("""COMPUTED_VALUE"""),0.0833333333284827)</f>
        <v>0.08333333333</v>
      </c>
      <c r="H127" s="110">
        <f>IFERROR(__xludf.DUMMYFUNCTION("""COMPUTED_VALUE"""),122.0)</f>
        <v>122</v>
      </c>
      <c r="I127" s="108">
        <f>IFERROR(__xludf.DUMMYFUNCTION("""COMPUTED_VALUE"""),61.00000000355067)</f>
        <v>61</v>
      </c>
      <c r="J127" s="71" t="str">
        <f>IFERROR(__xludf.DUMMYFUNCTION("""COMPUTED_VALUE"""),"Breakfast/Lunch")</f>
        <v>Breakfast/Lunch</v>
      </c>
      <c r="K127" s="106">
        <f>IFERROR(__xludf.DUMMYFUNCTION("""COMPUTED_VALUE"""),45944.0)</f>
        <v>45944</v>
      </c>
      <c r="L127" s="71" t="str">
        <f>IFERROR(__xludf.DUMMYFUNCTION("""COMPUTED_VALUE"""),"Tuesday")</f>
        <v>Tuesday</v>
      </c>
      <c r="M127" s="71" t="str">
        <f>IFERROR(__xludf.DUMMYFUNCTION("""COMPUTED_VALUE"""),"BF")</f>
        <v>BF</v>
      </c>
      <c r="N127" s="109">
        <f>IFERROR(__xludf.DUMMYFUNCTION("""COMPUTED_VALUE"""),1.07125014306047)</f>
        <v>1.071250143</v>
      </c>
      <c r="O127" s="71" t="str">
        <f>IFERROR(__xludf.DUMMYFUNCTION("""COMPUTED_VALUE"""),"")</f>
        <v/>
      </c>
      <c r="P127" s="71" t="str">
        <f>IFERROR(__xludf.DUMMYFUNCTION("""COMPUTED_VALUE"""),"")</f>
        <v/>
      </c>
      <c r="Q127" s="88" t="str">
        <f>IFERROR(__xludf.DUMMYFUNCTION("""COMPUTED_VALUE"""),"")</f>
        <v/>
      </c>
      <c r="R127" s="88" t="str">
        <f>IFERROR(__xludf.DUMMYFUNCTION("""COMPUTED_VALUE"""),"")</f>
        <v/>
      </c>
      <c r="S127" s="61" t="str">
        <f>IFERROR(__xludf.DUMMYFUNCTION("""COMPUTED_VALUE"""),"")</f>
        <v/>
      </c>
      <c r="T127" s="61" t="str">
        <f>IFERROR(__xludf.DUMMYFUNCTION("""COMPUTED_VALUE"""),"")</f>
        <v/>
      </c>
      <c r="U127" s="111" t="str">
        <f>IFERROR(__xludf.DUMMYFUNCTION("""COMPUTED_VALUE"""),"")</f>
        <v/>
      </c>
      <c r="V127" s="88" t="str">
        <f>IFERROR(__xludf.DUMMYFUNCTION("""COMPUTED_VALUE"""),"")</f>
        <v/>
      </c>
      <c r="W127" s="62" t="str">
        <f>IFERROR(__xludf.DUMMYFUNCTION("""COMPUTED_VALUE"""),"")</f>
        <v/>
      </c>
      <c r="X127" s="62" t="str">
        <f>IFERROR(__xludf.DUMMYFUNCTION("""COMPUTED_VALUE"""),"")</f>
        <v/>
      </c>
      <c r="Y127" s="109" t="str">
        <f>IFERROR(__xludf.DUMMYFUNCTION("""COMPUTED_VALUE"""),"")</f>
        <v/>
      </c>
      <c r="Z127" s="113" t="str">
        <f>IFERROR(__xludf.DUMMYFUNCTION("""COMPUTED_VALUE"""),"")</f>
        <v/>
      </c>
      <c r="AA127" s="113" t="str">
        <f>IFERROR(__xludf.DUMMYFUNCTION("""COMPUTED_VALUE"""),"")</f>
        <v/>
      </c>
      <c r="AB127" s="71" t="str">
        <f>IFERROR(__xludf.DUMMYFUNCTION("""COMPUTED_VALUE"""),"")</f>
        <v/>
      </c>
    </row>
    <row r="128">
      <c r="A128" s="105">
        <f>IFERROR(__xludf.DUMMYFUNCTION("""COMPUTED_VALUE"""),45944.62631511574)</f>
        <v>45944.62632</v>
      </c>
      <c r="B128" s="71" t="str">
        <f>IFERROR(__xludf.DUMMYFUNCTION("""COMPUTED_VALUE"""),"Maureen Surgot")</f>
        <v>Maureen Surgot</v>
      </c>
      <c r="C128" s="71" t="b">
        <f>IFERROR(__xludf.DUMMYFUNCTION("""COMPUTED_VALUE"""),FALSE)</f>
        <v>0</v>
      </c>
      <c r="D128" s="132">
        <f>IFERROR(__xludf.DUMMYFUNCTION("""COMPUTED_VALUE"""),0.47916666666424135)</f>
        <v>0.4791666667</v>
      </c>
      <c r="E128" s="78">
        <f>IFERROR(__xludf.DUMMYFUNCTION("""COMPUTED_VALUE"""),0.15625)</f>
        <v>0.15625</v>
      </c>
      <c r="F128" s="132">
        <f>IFERROR(__xludf.DUMMYFUNCTION("""COMPUTED_VALUE"""),0.6354166666642413)</f>
        <v>0.6354166667</v>
      </c>
      <c r="G128" s="78">
        <f>IFERROR(__xludf.DUMMYFUNCTION("""COMPUTED_VALUE"""),0.15625)</f>
        <v>0.15625</v>
      </c>
      <c r="H128" s="110">
        <f>IFERROR(__xludf.DUMMYFUNCTION("""COMPUTED_VALUE"""),157.0)</f>
        <v>157</v>
      </c>
      <c r="I128" s="108">
        <f>IFERROR(__xludf.DUMMYFUNCTION("""COMPUTED_VALUE"""),41.86666666666667)</f>
        <v>41.86666667</v>
      </c>
      <c r="J128" s="71" t="str">
        <f>IFERROR(__xludf.DUMMYFUNCTION("""COMPUTED_VALUE"""),"Lunch")</f>
        <v>Lunch</v>
      </c>
      <c r="K128" s="106">
        <f>IFERROR(__xludf.DUMMYFUNCTION("""COMPUTED_VALUE"""),45944.0)</f>
        <v>45944</v>
      </c>
      <c r="L128" s="71" t="str">
        <f>IFERROR(__xludf.DUMMYFUNCTION("""COMPUTED_VALUE"""),"Tuesday")</f>
        <v>Tuesday</v>
      </c>
      <c r="M128" s="71" t="str">
        <f>IFERROR(__xludf.DUMMYFUNCTION("""COMPUTED_VALUE"""),"MF")</f>
        <v>MF</v>
      </c>
      <c r="N128" s="109">
        <f>IFERROR(__xludf.DUMMYFUNCTION("""COMPUTED_VALUE"""),0.8706107699631356)</f>
        <v>0.87061077</v>
      </c>
      <c r="O128" s="71" t="str">
        <f>IFERROR(__xludf.DUMMYFUNCTION("""COMPUTED_VALUE"""),"")</f>
        <v/>
      </c>
      <c r="P128" s="71" t="str">
        <f>IFERROR(__xludf.DUMMYFUNCTION("""COMPUTED_VALUE"""),"")</f>
        <v/>
      </c>
      <c r="Q128" s="88" t="str">
        <f>IFERROR(__xludf.DUMMYFUNCTION("""COMPUTED_VALUE"""),"")</f>
        <v/>
      </c>
      <c r="R128" s="88" t="str">
        <f>IFERROR(__xludf.DUMMYFUNCTION("""COMPUTED_VALUE"""),"")</f>
        <v/>
      </c>
      <c r="S128" s="61" t="str">
        <f>IFERROR(__xludf.DUMMYFUNCTION("""COMPUTED_VALUE"""),"")</f>
        <v/>
      </c>
      <c r="T128" s="61" t="str">
        <f>IFERROR(__xludf.DUMMYFUNCTION("""COMPUTED_VALUE"""),"")</f>
        <v/>
      </c>
      <c r="U128" s="111" t="str">
        <f>IFERROR(__xludf.DUMMYFUNCTION("""COMPUTED_VALUE"""),"")</f>
        <v/>
      </c>
      <c r="V128" s="88" t="str">
        <f>IFERROR(__xludf.DUMMYFUNCTION("""COMPUTED_VALUE"""),"")</f>
        <v/>
      </c>
      <c r="W128" s="62" t="str">
        <f>IFERROR(__xludf.DUMMYFUNCTION("""COMPUTED_VALUE"""),"")</f>
        <v/>
      </c>
      <c r="X128" s="62" t="str">
        <f>IFERROR(__xludf.DUMMYFUNCTION("""COMPUTED_VALUE"""),"")</f>
        <v/>
      </c>
      <c r="Y128" s="109" t="str">
        <f>IFERROR(__xludf.DUMMYFUNCTION("""COMPUTED_VALUE"""),"")</f>
        <v/>
      </c>
      <c r="Z128" s="113" t="str">
        <f>IFERROR(__xludf.DUMMYFUNCTION("""COMPUTED_VALUE"""),"")</f>
        <v/>
      </c>
      <c r="AA128" s="113" t="str">
        <f>IFERROR(__xludf.DUMMYFUNCTION("""COMPUTED_VALUE"""),"")</f>
        <v/>
      </c>
      <c r="AB128" s="71" t="str">
        <f>IFERROR(__xludf.DUMMYFUNCTION("""COMPUTED_VALUE"""),"")</f>
        <v/>
      </c>
    </row>
    <row r="129">
      <c r="A129" s="105">
        <f>IFERROR(__xludf.DUMMYFUNCTION("""COMPUTED_VALUE"""),45944.654169988426)</f>
        <v>45944.65417</v>
      </c>
      <c r="B129" s="71" t="str">
        <f>IFERROR(__xludf.DUMMYFUNCTION("""COMPUTED_VALUE"""),"Brynn Hornig")</f>
        <v>Brynn Hornig</v>
      </c>
      <c r="C129" s="71" t="b">
        <f>IFERROR(__xludf.DUMMYFUNCTION("""COMPUTED_VALUE"""),FALSE)</f>
        <v>0</v>
      </c>
      <c r="D129" s="132">
        <f>IFERROR(__xludf.DUMMYFUNCTION("""COMPUTED_VALUE"""),0.5208333333357587)</f>
        <v>0.5208333333</v>
      </c>
      <c r="E129" s="78">
        <f>IFERROR(__xludf.DUMMYFUNCTION("""COMPUTED_VALUE"""),0.13541666666424135)</f>
        <v>0.1354166667</v>
      </c>
      <c r="F129" s="132">
        <f>IFERROR(__xludf.DUMMYFUNCTION("""COMPUTED_VALUE"""),0.65625)</f>
        <v>0.65625</v>
      </c>
      <c r="G129" s="78">
        <f>IFERROR(__xludf.DUMMYFUNCTION("""COMPUTED_VALUE"""),0.13541666666424135)</f>
        <v>0.1354166667</v>
      </c>
      <c r="H129" s="110">
        <f>IFERROR(__xludf.DUMMYFUNCTION("""COMPUTED_VALUE"""),81.0)</f>
        <v>81</v>
      </c>
      <c r="I129" s="108">
        <f>IFERROR(__xludf.DUMMYFUNCTION("""COMPUTED_VALUE"""),24.923076923523297)</f>
        <v>24.92307692</v>
      </c>
      <c r="J129" s="71" t="str">
        <f>IFERROR(__xludf.DUMMYFUNCTION("""COMPUTED_VALUE"""),"Lunch")</f>
        <v>Lunch</v>
      </c>
      <c r="K129" s="106">
        <f>IFERROR(__xludf.DUMMYFUNCTION("""COMPUTED_VALUE"""),45944.0)</f>
        <v>45944</v>
      </c>
      <c r="L129" s="71" t="str">
        <f>IFERROR(__xludf.DUMMYFUNCTION("""COMPUTED_VALUE"""),"Tuesday")</f>
        <v>Tuesday</v>
      </c>
      <c r="M129" s="71" t="str">
        <f>IFERROR(__xludf.DUMMYFUNCTION("""COMPUTED_VALUE"""),"BF")</f>
        <v>BF</v>
      </c>
      <c r="N129" s="109">
        <f>IFERROR(__xludf.DUMMYFUNCTION("""COMPUTED_VALUE"""),0.6418389584892747)</f>
        <v>0.6418389585</v>
      </c>
      <c r="O129" s="71" t="str">
        <f>IFERROR(__xludf.DUMMYFUNCTION("""COMPUTED_VALUE"""),"")</f>
        <v/>
      </c>
      <c r="P129" s="71" t="str">
        <f>IFERROR(__xludf.DUMMYFUNCTION("""COMPUTED_VALUE"""),"")</f>
        <v/>
      </c>
      <c r="Q129" s="88" t="str">
        <f>IFERROR(__xludf.DUMMYFUNCTION("""COMPUTED_VALUE"""),"")</f>
        <v/>
      </c>
      <c r="R129" s="88" t="str">
        <f>IFERROR(__xludf.DUMMYFUNCTION("""COMPUTED_VALUE"""),"")</f>
        <v/>
      </c>
      <c r="S129" s="61" t="str">
        <f>IFERROR(__xludf.DUMMYFUNCTION("""COMPUTED_VALUE"""),"")</f>
        <v/>
      </c>
      <c r="T129" s="61" t="str">
        <f>IFERROR(__xludf.DUMMYFUNCTION("""COMPUTED_VALUE"""),"")</f>
        <v/>
      </c>
      <c r="U129" s="111" t="str">
        <f>IFERROR(__xludf.DUMMYFUNCTION("""COMPUTED_VALUE"""),"")</f>
        <v/>
      </c>
      <c r="V129" s="88" t="str">
        <f>IFERROR(__xludf.DUMMYFUNCTION("""COMPUTED_VALUE"""),"")</f>
        <v/>
      </c>
      <c r="W129" s="62" t="str">
        <f>IFERROR(__xludf.DUMMYFUNCTION("""COMPUTED_VALUE"""),"")</f>
        <v/>
      </c>
      <c r="X129" s="62" t="str">
        <f>IFERROR(__xludf.DUMMYFUNCTION("""COMPUTED_VALUE"""),"")</f>
        <v/>
      </c>
      <c r="Y129" s="109" t="str">
        <f>IFERROR(__xludf.DUMMYFUNCTION("""COMPUTED_VALUE"""),"")</f>
        <v/>
      </c>
      <c r="Z129" s="113" t="str">
        <f>IFERROR(__xludf.DUMMYFUNCTION("""COMPUTED_VALUE"""),"")</f>
        <v/>
      </c>
      <c r="AA129" s="113" t="str">
        <f>IFERROR(__xludf.DUMMYFUNCTION("""COMPUTED_VALUE"""),"")</f>
        <v/>
      </c>
      <c r="AB129" s="71" t="str">
        <f>IFERROR(__xludf.DUMMYFUNCTION("""COMPUTED_VALUE"""),"")</f>
        <v/>
      </c>
    </row>
    <row r="130">
      <c r="A130" s="105">
        <f>IFERROR(__xludf.DUMMYFUNCTION("""COMPUTED_VALUE"""),45944.86104481481)</f>
        <v>45944.86104</v>
      </c>
      <c r="B130" s="71" t="str">
        <f>IFERROR(__xludf.DUMMYFUNCTION("""COMPUTED_VALUE"""),"Kaylie Forgue")</f>
        <v>Kaylie Forgue</v>
      </c>
      <c r="C130" s="71" t="b">
        <f>IFERROR(__xludf.DUMMYFUNCTION("""COMPUTED_VALUE"""),FALSE)</f>
        <v>0</v>
      </c>
      <c r="D130" s="132">
        <f>IFERROR(__xludf.DUMMYFUNCTION("""COMPUTED_VALUE"""),0.788888888884685)</f>
        <v>0.7888888889</v>
      </c>
      <c r="E130" s="78">
        <f>IFERROR(__xludf.DUMMYFUNCTION("""COMPUTED_VALUE"""),0.07152777777810115)</f>
        <v>0.07152777778</v>
      </c>
      <c r="F130" s="132">
        <f>IFERROR(__xludf.DUMMYFUNCTION("""COMPUTED_VALUE"""),0.8604166666627862)</f>
        <v>0.8604166667</v>
      </c>
      <c r="G130" s="78">
        <f>IFERROR(__xludf.DUMMYFUNCTION("""COMPUTED_VALUE"""),0.07152777777810115)</f>
        <v>0.07152777778</v>
      </c>
      <c r="H130" s="110">
        <f>IFERROR(__xludf.DUMMYFUNCTION("""COMPUTED_VALUE"""),50.0)</f>
        <v>50</v>
      </c>
      <c r="I130" s="108">
        <f>IFERROR(__xludf.DUMMYFUNCTION("""COMPUTED_VALUE"""),29.12621359210133)</f>
        <v>29.12621359</v>
      </c>
      <c r="J130" s="71" t="str">
        <f>IFERROR(__xludf.DUMMYFUNCTION("""COMPUTED_VALUE"""),"Dinner")</f>
        <v>Dinner</v>
      </c>
      <c r="K130" s="106">
        <f>IFERROR(__xludf.DUMMYFUNCTION("""COMPUTED_VALUE"""),45944.0)</f>
        <v>45944</v>
      </c>
      <c r="L130" s="71" t="str">
        <f>IFERROR(__xludf.DUMMYFUNCTION("""COMPUTED_VALUE"""),"Tuesday")</f>
        <v>Tuesday</v>
      </c>
      <c r="M130" s="71" t="str">
        <f>IFERROR(__xludf.DUMMYFUNCTION("""COMPUTED_VALUE"""),"BF")</f>
        <v>BF</v>
      </c>
      <c r="N130" s="109">
        <f>IFERROR(__xludf.DUMMYFUNCTION("""COMPUTED_VALUE"""),0.6873688807002295)</f>
        <v>0.6873688807</v>
      </c>
      <c r="O130" s="71">
        <f>IFERROR(__xludf.DUMMYFUNCTION("""COMPUTED_VALUE"""),157.0)</f>
        <v>157</v>
      </c>
      <c r="P130" s="71">
        <f>IFERROR(__xludf.DUMMYFUNCTION("""COMPUTED_VALUE"""),253.0)</f>
        <v>253</v>
      </c>
      <c r="Q130" s="88">
        <f>IFERROR(__xludf.DUMMYFUNCTION("""COMPUTED_VALUE"""),0.15625)</f>
        <v>0.15625</v>
      </c>
      <c r="R130" s="88">
        <f>IFERROR(__xludf.DUMMYFUNCTION("""COMPUTED_VALUE"""),0.2902777777708252)</f>
        <v>0.2902777778</v>
      </c>
      <c r="S130" s="61">
        <f>IFERROR(__xludf.DUMMYFUNCTION("""COMPUTED_VALUE"""),41.86666666666667)</f>
        <v>41.86666667</v>
      </c>
      <c r="T130" s="61">
        <f>IFERROR(__xludf.DUMMYFUNCTION("""COMPUTED_VALUE"""),38.34976350639176)</f>
        <v>38.34976351</v>
      </c>
      <c r="U130" s="111">
        <f>IFERROR(__xludf.DUMMYFUNCTION("""COMPUTED_VALUE"""),410.0)</f>
        <v>410</v>
      </c>
      <c r="V130" s="88">
        <f>IFERROR(__xludf.DUMMYFUNCTION("""COMPUTED_VALUE"""),0.4465277777708252)</f>
        <v>0.4465277778</v>
      </c>
      <c r="W130" s="62">
        <f>IFERROR(__xludf.DUMMYFUNCTION("""COMPUTED_VALUE"""),38.25816485285075)</f>
        <v>38.25816485</v>
      </c>
      <c r="X130" s="62">
        <f>IFERROR(__xludf.DUMMYFUNCTION("""COMPUTED_VALUE"""),39.22898929646049)</f>
        <v>39.2289893</v>
      </c>
      <c r="Y130" s="109">
        <f>IFERROR(__xludf.DUMMYFUNCTION("""COMPUTED_VALUE"""),0.7975618033532526)</f>
        <v>0.7975618034</v>
      </c>
      <c r="Z130" s="113">
        <f>IFERROR(__xludf.DUMMYFUNCTION("""COMPUTED_VALUE"""),4063.0)</f>
        <v>4063</v>
      </c>
      <c r="AA130" s="113">
        <f>IFERROR(__xludf.DUMMYFUNCTION("""COMPUTED_VALUE"""),3757.0)</f>
        <v>3757</v>
      </c>
      <c r="AB130" s="113">
        <f>IFERROR(__xludf.DUMMYFUNCTION("""COMPUTED_VALUE"""),7820.0)</f>
        <v>7820</v>
      </c>
    </row>
    <row r="131">
      <c r="A131" s="105">
        <f>IFERROR(__xludf.DUMMYFUNCTION("""COMPUTED_VALUE"""),45945.63374638889)</f>
        <v>45945.63375</v>
      </c>
      <c r="B131" s="71" t="str">
        <f>IFERROR(__xludf.DUMMYFUNCTION("""COMPUTED_VALUE"""),"Greta Traynor")</f>
        <v>Greta Traynor</v>
      </c>
      <c r="C131" s="71" t="b">
        <f>IFERROR(__xludf.DUMMYFUNCTION("""COMPUTED_VALUE"""),FALSE)</f>
        <v>0</v>
      </c>
      <c r="D131" s="132">
        <f>IFERROR(__xludf.DUMMYFUNCTION("""COMPUTED_VALUE"""),0.5708333333313931)</f>
        <v>0.5708333333</v>
      </c>
      <c r="E131" s="78">
        <f>IFERROR(__xludf.DUMMYFUNCTION("""COMPUTED_VALUE"""),0.06041666666715173)</f>
        <v>0.06041666667</v>
      </c>
      <c r="F131" s="132">
        <f>IFERROR(__xludf.DUMMYFUNCTION("""COMPUTED_VALUE"""),0.6312499999985448)</f>
        <v>0.63125</v>
      </c>
      <c r="G131" s="78">
        <f>IFERROR(__xludf.DUMMYFUNCTION("""COMPUTED_VALUE"""),0.06041666666715173)</f>
        <v>0.06041666667</v>
      </c>
      <c r="H131" s="110">
        <f>IFERROR(__xludf.DUMMYFUNCTION("""COMPUTED_VALUE"""),74.0)</f>
        <v>74</v>
      </c>
      <c r="I131" s="108">
        <f>IFERROR(__xludf.DUMMYFUNCTION("""COMPUTED_VALUE"""),51.03448275821095)</f>
        <v>51.03448276</v>
      </c>
      <c r="J131" s="71" t="str">
        <f>IFERROR(__xludf.DUMMYFUNCTION("""COMPUTED_VALUE"""),"Lunch")</f>
        <v>Lunch</v>
      </c>
      <c r="K131" s="106">
        <f>IFERROR(__xludf.DUMMYFUNCTION("""COMPUTED_VALUE"""),45945.0)</f>
        <v>45945</v>
      </c>
      <c r="L131" s="71" t="str">
        <f>IFERROR(__xludf.DUMMYFUNCTION("""COMPUTED_VALUE"""),"Wednesday")</f>
        <v>Wednesday</v>
      </c>
      <c r="M131" s="71" t="str">
        <f>IFERROR(__xludf.DUMMYFUNCTION("""COMPUTED_VALUE"""),"MF")</f>
        <v>MF</v>
      </c>
      <c r="N131" s="109">
        <f>IFERROR(__xludf.DUMMYFUNCTION("""COMPUTED_VALUE"""),1.0612540683629714)</f>
        <v>1.061254068</v>
      </c>
      <c r="O131" s="71" t="str">
        <f>IFERROR(__xludf.DUMMYFUNCTION("""COMPUTED_VALUE"""),"")</f>
        <v/>
      </c>
      <c r="P131" s="71" t="str">
        <f>IFERROR(__xludf.DUMMYFUNCTION("""COMPUTED_VALUE"""),"")</f>
        <v/>
      </c>
      <c r="Q131" s="88" t="str">
        <f>IFERROR(__xludf.DUMMYFUNCTION("""COMPUTED_VALUE"""),"")</f>
        <v/>
      </c>
      <c r="R131" s="88" t="str">
        <f>IFERROR(__xludf.DUMMYFUNCTION("""COMPUTED_VALUE"""),"")</f>
        <v/>
      </c>
      <c r="S131" s="61" t="str">
        <f>IFERROR(__xludf.DUMMYFUNCTION("""COMPUTED_VALUE"""),"")</f>
        <v/>
      </c>
      <c r="T131" s="61" t="str">
        <f>IFERROR(__xludf.DUMMYFUNCTION("""COMPUTED_VALUE"""),"")</f>
        <v/>
      </c>
      <c r="U131" s="111" t="str">
        <f>IFERROR(__xludf.DUMMYFUNCTION("""COMPUTED_VALUE"""),"")</f>
        <v/>
      </c>
      <c r="V131" s="88" t="str">
        <f>IFERROR(__xludf.DUMMYFUNCTION("""COMPUTED_VALUE"""),"")</f>
        <v/>
      </c>
      <c r="W131" s="62" t="str">
        <f>IFERROR(__xludf.DUMMYFUNCTION("""COMPUTED_VALUE"""),"")</f>
        <v/>
      </c>
      <c r="X131" s="62" t="str">
        <f>IFERROR(__xludf.DUMMYFUNCTION("""COMPUTED_VALUE"""),"")</f>
        <v/>
      </c>
      <c r="Y131" s="109" t="str">
        <f>IFERROR(__xludf.DUMMYFUNCTION("""COMPUTED_VALUE"""),"")</f>
        <v/>
      </c>
      <c r="Z131" s="113" t="str">
        <f>IFERROR(__xludf.DUMMYFUNCTION("""COMPUTED_VALUE"""),"")</f>
        <v/>
      </c>
      <c r="AA131" s="113" t="str">
        <f>IFERROR(__xludf.DUMMYFUNCTION("""COMPUTED_VALUE"""),"")</f>
        <v/>
      </c>
      <c r="AB131" s="71" t="str">
        <f>IFERROR(__xludf.DUMMYFUNCTION("""COMPUTED_VALUE"""),"")</f>
        <v/>
      </c>
    </row>
    <row r="132">
      <c r="A132" s="105">
        <f>IFERROR(__xludf.DUMMYFUNCTION("""COMPUTED_VALUE"""),45945.72305697917)</f>
        <v>45945.72306</v>
      </c>
      <c r="B132" s="71" t="str">
        <f>IFERROR(__xludf.DUMMYFUNCTION("""COMPUTED_VALUE"""),"Orpheus Wilson")</f>
        <v>Orpheus Wilson</v>
      </c>
      <c r="C132" s="71" t="b">
        <f>IFERROR(__xludf.DUMMYFUNCTION("""COMPUTED_VALUE"""),FALSE)</f>
        <v>0</v>
      </c>
      <c r="D132" s="132">
        <f>IFERROR(__xludf.DUMMYFUNCTION("""COMPUTED_VALUE"""),0.6916666666656965)</f>
        <v>0.6916666667</v>
      </c>
      <c r="E132" s="78">
        <f>IFERROR(__xludf.DUMMYFUNCTION("""COMPUTED_VALUE"""),0.030555555553291924)</f>
        <v>0.03055555555</v>
      </c>
      <c r="F132" s="132">
        <f>IFERROR(__xludf.DUMMYFUNCTION("""COMPUTED_VALUE"""),0.7222222222189885)</f>
        <v>0.7222222222</v>
      </c>
      <c r="G132" s="78">
        <f>IFERROR(__xludf.DUMMYFUNCTION("""COMPUTED_VALUE"""),0.0506944444423425)</f>
        <v>0.05069444444</v>
      </c>
      <c r="H132" s="110">
        <f>IFERROR(__xludf.DUMMYFUNCTION("""COMPUTED_VALUE"""),90.0)</f>
        <v>90</v>
      </c>
      <c r="I132" s="108">
        <f>IFERROR(__xludf.DUMMYFUNCTION("""COMPUTED_VALUE"""),73.97260274279316)</f>
        <v>73.97260274</v>
      </c>
      <c r="J132" s="71" t="str">
        <f>IFERROR(__xludf.DUMMYFUNCTION("""COMPUTED_VALUE"""),"Dinner")</f>
        <v>Dinner</v>
      </c>
      <c r="K132" s="106">
        <f>IFERROR(__xludf.DUMMYFUNCTION("""COMPUTED_VALUE"""),45945.0)</f>
        <v>45945</v>
      </c>
      <c r="L132" s="71" t="str">
        <f>IFERROR(__xludf.DUMMYFUNCTION("""COMPUTED_VALUE"""),"Wednesday")</f>
        <v>Wednesday</v>
      </c>
      <c r="M132" s="71" t="str">
        <f>IFERROR(__xludf.DUMMYFUNCTION("""COMPUTED_VALUE"""),"MF")</f>
        <v>MF</v>
      </c>
      <c r="N132" s="109">
        <f>IFERROR(__xludf.DUMMYFUNCTION("""COMPUTED_VALUE"""),1.457629112917659)</f>
        <v>1.457629113</v>
      </c>
      <c r="O132" s="71" t="str">
        <f>IFERROR(__xludf.DUMMYFUNCTION("""COMPUTED_VALUE"""),"")</f>
        <v/>
      </c>
      <c r="P132" s="71" t="str">
        <f>IFERROR(__xludf.DUMMYFUNCTION("""COMPUTED_VALUE"""),"")</f>
        <v/>
      </c>
      <c r="Q132" s="88" t="str">
        <f>IFERROR(__xludf.DUMMYFUNCTION("""COMPUTED_VALUE"""),"")</f>
        <v/>
      </c>
      <c r="R132" s="88" t="str">
        <f>IFERROR(__xludf.DUMMYFUNCTION("""COMPUTED_VALUE"""),"")</f>
        <v/>
      </c>
      <c r="S132" s="61" t="str">
        <f>IFERROR(__xludf.DUMMYFUNCTION("""COMPUTED_VALUE"""),"")</f>
        <v/>
      </c>
      <c r="T132" s="61" t="str">
        <f>IFERROR(__xludf.DUMMYFUNCTION("""COMPUTED_VALUE"""),"")</f>
        <v/>
      </c>
      <c r="U132" s="111" t="str">
        <f>IFERROR(__xludf.DUMMYFUNCTION("""COMPUTED_VALUE"""),"")</f>
        <v/>
      </c>
      <c r="V132" s="88" t="str">
        <f>IFERROR(__xludf.DUMMYFUNCTION("""COMPUTED_VALUE"""),"")</f>
        <v/>
      </c>
      <c r="W132" s="62" t="str">
        <f>IFERROR(__xludf.DUMMYFUNCTION("""COMPUTED_VALUE"""),"")</f>
        <v/>
      </c>
      <c r="X132" s="62" t="str">
        <f>IFERROR(__xludf.DUMMYFUNCTION("""COMPUTED_VALUE"""),"")</f>
        <v/>
      </c>
      <c r="Y132" s="109" t="str">
        <f>IFERROR(__xludf.DUMMYFUNCTION("""COMPUTED_VALUE"""),"")</f>
        <v/>
      </c>
      <c r="Z132" s="113" t="str">
        <f>IFERROR(__xludf.DUMMYFUNCTION("""COMPUTED_VALUE"""),"")</f>
        <v/>
      </c>
      <c r="AA132" s="113" t="str">
        <f>IFERROR(__xludf.DUMMYFUNCTION("""COMPUTED_VALUE"""),"")</f>
        <v/>
      </c>
      <c r="AB132" s="71" t="str">
        <f>IFERROR(__xludf.DUMMYFUNCTION("""COMPUTED_VALUE"""),"")</f>
        <v/>
      </c>
    </row>
    <row r="133">
      <c r="A133" s="105">
        <f>IFERROR(__xludf.DUMMYFUNCTION("""COMPUTED_VALUE"""),45945.74721886574)</f>
        <v>45945.74722</v>
      </c>
      <c r="B133" s="71" t="str">
        <f>IFERROR(__xludf.DUMMYFUNCTION("""COMPUTED_VALUE"""),"Orpheus Wilson")</f>
        <v>Orpheus Wilson</v>
      </c>
      <c r="C133" s="71" t="b">
        <f>IFERROR(__xludf.DUMMYFUNCTION("""COMPUTED_VALUE"""),TRUE)</f>
        <v>1</v>
      </c>
      <c r="D133" s="132">
        <f>IFERROR(__xludf.DUMMYFUNCTION("""COMPUTED_VALUE"""),0.7256944444452529)</f>
        <v>0.7256944444</v>
      </c>
      <c r="E133" s="78">
        <f>IFERROR(__xludf.DUMMYFUNCTION("""COMPUTED_VALUE"""),0.020138888889050577)</f>
        <v>0.02013888889</v>
      </c>
      <c r="F133" s="132">
        <f>IFERROR(__xludf.DUMMYFUNCTION("""COMPUTED_VALUE"""),0.7458333333343035)</f>
        <v>0.7458333333</v>
      </c>
      <c r="G133" s="78" t="str">
        <f>IFERROR(__xludf.DUMMYFUNCTION("""COMPUTED_VALUE"""),"")</f>
        <v/>
      </c>
      <c r="H133" s="110">
        <f>IFERROR(__xludf.DUMMYFUNCTION("""COMPUTED_VALUE"""),76.0)</f>
        <v>76</v>
      </c>
      <c r="I133" s="108" t="str">
        <f>IFERROR(__xludf.DUMMYFUNCTION("""COMPUTED_VALUE"""),"")</f>
        <v/>
      </c>
      <c r="J133" s="71" t="str">
        <f>IFERROR(__xludf.DUMMYFUNCTION("""COMPUTED_VALUE"""),"Dinner")</f>
        <v>Dinner</v>
      </c>
      <c r="K133" s="106">
        <f>IFERROR(__xludf.DUMMYFUNCTION("""COMPUTED_VALUE"""),45945.0)</f>
        <v>45945</v>
      </c>
      <c r="L133" s="71" t="str">
        <f>IFERROR(__xludf.DUMMYFUNCTION("""COMPUTED_VALUE"""),"Wednesday")</f>
        <v>Wednesday</v>
      </c>
      <c r="M133" s="71" t="str">
        <f>IFERROR(__xludf.DUMMYFUNCTION("""COMPUTED_VALUE"""),"MF")</f>
        <v>MF</v>
      </c>
      <c r="N133" s="109" t="str">
        <f>IFERROR(__xludf.DUMMYFUNCTION("""COMPUTED_VALUE"""),"")</f>
        <v/>
      </c>
      <c r="O133" s="71" t="str">
        <f>IFERROR(__xludf.DUMMYFUNCTION("""COMPUTED_VALUE"""),"")</f>
        <v/>
      </c>
      <c r="P133" s="71" t="str">
        <f>IFERROR(__xludf.DUMMYFUNCTION("""COMPUTED_VALUE"""),"")</f>
        <v/>
      </c>
      <c r="Q133" s="78" t="str">
        <f>IFERROR(__xludf.DUMMYFUNCTION("""COMPUTED_VALUE"""),"")</f>
        <v/>
      </c>
      <c r="R133" s="78" t="str">
        <f>IFERROR(__xludf.DUMMYFUNCTION("""COMPUTED_VALUE"""),"")</f>
        <v/>
      </c>
      <c r="S133" s="61" t="str">
        <f>IFERROR(__xludf.DUMMYFUNCTION("""COMPUTED_VALUE"""),"")</f>
        <v/>
      </c>
      <c r="T133" s="61" t="str">
        <f>IFERROR(__xludf.DUMMYFUNCTION("""COMPUTED_VALUE"""),"")</f>
        <v/>
      </c>
      <c r="U133" s="133" t="str">
        <f>IFERROR(__xludf.DUMMYFUNCTION("""COMPUTED_VALUE"""),"")</f>
        <v/>
      </c>
      <c r="V133" s="78" t="str">
        <f>IFERROR(__xludf.DUMMYFUNCTION("""COMPUTED_VALUE"""),"")</f>
        <v/>
      </c>
      <c r="W133" s="62" t="str">
        <f>IFERROR(__xludf.DUMMYFUNCTION("""COMPUTED_VALUE"""),"")</f>
        <v/>
      </c>
      <c r="X133" s="62" t="str">
        <f>IFERROR(__xludf.DUMMYFUNCTION("""COMPUTED_VALUE"""),"")</f>
        <v/>
      </c>
      <c r="Y133" s="109" t="str">
        <f>IFERROR(__xludf.DUMMYFUNCTION("""COMPUTED_VALUE"""),"")</f>
        <v/>
      </c>
      <c r="Z133" s="113" t="str">
        <f>IFERROR(__xludf.DUMMYFUNCTION("""COMPUTED_VALUE"""),"")</f>
        <v/>
      </c>
      <c r="AA133" s="113" t="str">
        <f>IFERROR(__xludf.DUMMYFUNCTION("""COMPUTED_VALUE"""),"")</f>
        <v/>
      </c>
      <c r="AB133" s="71" t="str">
        <f>IFERROR(__xludf.DUMMYFUNCTION("""COMPUTED_VALUE"""),"")</f>
        <v/>
      </c>
    </row>
    <row r="134">
      <c r="A134" s="105">
        <f>IFERROR(__xludf.DUMMYFUNCTION("""COMPUTED_VALUE"""),45945.75388866898)</f>
        <v>45945.75389</v>
      </c>
      <c r="B134" s="71" t="str">
        <f>IFERROR(__xludf.DUMMYFUNCTION("""COMPUTED_VALUE"""),"Sarah Wilme")</f>
        <v>Sarah Wilme</v>
      </c>
      <c r="C134" s="71" t="b">
        <f>IFERROR(__xludf.DUMMYFUNCTION("""COMPUTED_VALUE"""),FALSE)</f>
        <v>0</v>
      </c>
      <c r="D134" s="132">
        <f>IFERROR(__xludf.DUMMYFUNCTION("""COMPUTED_VALUE"""),0.5173611111094942)</f>
        <v>0.5173611111</v>
      </c>
      <c r="E134" s="78">
        <f>IFERROR(__xludf.DUMMYFUNCTION("""COMPUTED_VALUE"""),0.13888888889050577)</f>
        <v>0.1388888889</v>
      </c>
      <c r="F134" s="132">
        <f>IFERROR(__xludf.DUMMYFUNCTION("""COMPUTED_VALUE"""),0.65625)</f>
        <v>0.65625</v>
      </c>
      <c r="G134" s="78">
        <f>IFERROR(__xludf.DUMMYFUNCTION("""COMPUTED_VALUE"""),0.20486111110949423)</f>
        <v>0.2048611111</v>
      </c>
      <c r="H134" s="110">
        <f>IFERROR(__xludf.DUMMYFUNCTION("""COMPUTED_VALUE"""),83.5)</f>
        <v>83.5</v>
      </c>
      <c r="I134" s="108">
        <f>IFERROR(__xludf.DUMMYFUNCTION("""COMPUTED_VALUE"""),16.983050847591667)</f>
        <v>16.98305085</v>
      </c>
      <c r="J134" s="71" t="str">
        <f>IFERROR(__xludf.DUMMYFUNCTION("""COMPUTED_VALUE"""),"Lunch")</f>
        <v>Lunch</v>
      </c>
      <c r="K134" s="106">
        <f>IFERROR(__xludf.DUMMYFUNCTION("""COMPUTED_VALUE"""),45945.0)</f>
        <v>45945</v>
      </c>
      <c r="L134" s="71" t="str">
        <f>IFERROR(__xludf.DUMMYFUNCTION("""COMPUTED_VALUE"""),"Wednesday")</f>
        <v>Wednesday</v>
      </c>
      <c r="M134" s="71" t="str">
        <f>IFERROR(__xludf.DUMMYFUNCTION("""COMPUTED_VALUE"""),"BF")</f>
        <v>BF</v>
      </c>
      <c r="N134" s="109">
        <f>IFERROR(__xludf.DUMMYFUNCTION("""COMPUTED_VALUE"""),0.43736107309047606)</f>
        <v>0.4373610731</v>
      </c>
      <c r="O134" s="71" t="str">
        <f>IFERROR(__xludf.DUMMYFUNCTION("""COMPUTED_VALUE"""),"")</f>
        <v/>
      </c>
      <c r="P134" s="71" t="str">
        <f>IFERROR(__xludf.DUMMYFUNCTION("""COMPUTED_VALUE"""),"")</f>
        <v/>
      </c>
      <c r="Q134" s="88" t="str">
        <f>IFERROR(__xludf.DUMMYFUNCTION("""COMPUTED_VALUE"""),"")</f>
        <v/>
      </c>
      <c r="R134" s="88" t="str">
        <f>IFERROR(__xludf.DUMMYFUNCTION("""COMPUTED_VALUE"""),"")</f>
        <v/>
      </c>
      <c r="S134" s="61" t="str">
        <f>IFERROR(__xludf.DUMMYFUNCTION("""COMPUTED_VALUE"""),"")</f>
        <v/>
      </c>
      <c r="T134" s="61" t="str">
        <f>IFERROR(__xludf.DUMMYFUNCTION("""COMPUTED_VALUE"""),"")</f>
        <v/>
      </c>
      <c r="U134" s="111" t="str">
        <f>IFERROR(__xludf.DUMMYFUNCTION("""COMPUTED_VALUE"""),"")</f>
        <v/>
      </c>
      <c r="V134" s="88" t="str">
        <f>IFERROR(__xludf.DUMMYFUNCTION("""COMPUTED_VALUE"""),"")</f>
        <v/>
      </c>
      <c r="W134" s="62" t="str">
        <f>IFERROR(__xludf.DUMMYFUNCTION("""COMPUTED_VALUE"""),"")</f>
        <v/>
      </c>
      <c r="X134" s="62" t="str">
        <f>IFERROR(__xludf.DUMMYFUNCTION("""COMPUTED_VALUE"""),"")</f>
        <v/>
      </c>
      <c r="Y134" s="109" t="str">
        <f>IFERROR(__xludf.DUMMYFUNCTION("""COMPUTED_VALUE"""),"")</f>
        <v/>
      </c>
      <c r="Z134" s="113" t="str">
        <f>IFERROR(__xludf.DUMMYFUNCTION("""COMPUTED_VALUE"""),"")</f>
        <v/>
      </c>
      <c r="AA134" s="113" t="str">
        <f>IFERROR(__xludf.DUMMYFUNCTION("""COMPUTED_VALUE"""),"")</f>
        <v/>
      </c>
      <c r="AB134" s="71" t="str">
        <f>IFERROR(__xludf.DUMMYFUNCTION("""COMPUTED_VALUE"""),"")</f>
        <v/>
      </c>
    </row>
    <row r="135">
      <c r="A135" s="105">
        <f>IFERROR(__xludf.DUMMYFUNCTION("""COMPUTED_VALUE"""),45945.75388866898)</f>
        <v>45945.75389</v>
      </c>
      <c r="B135" s="71" t="str">
        <f>IFERROR(__xludf.DUMMYFUNCTION("""COMPUTED_VALUE"""),"Sarah Wilme")</f>
        <v>Sarah Wilme</v>
      </c>
      <c r="C135" s="71" t="b">
        <f>IFERROR(__xludf.DUMMYFUNCTION("""COMPUTED_VALUE"""),TRUE)</f>
        <v>1</v>
      </c>
      <c r="D135" s="132">
        <f>IFERROR(__xludf.DUMMYFUNCTION("""COMPUTED_VALUE"""),0.6875)</f>
        <v>0.6875</v>
      </c>
      <c r="E135" s="78">
        <f>IFERROR(__xludf.DUMMYFUNCTION("""COMPUTED_VALUE"""),0.06597222221898846)</f>
        <v>0.06597222222</v>
      </c>
      <c r="F135" s="132">
        <f>IFERROR(__xludf.DUMMYFUNCTION("""COMPUTED_VALUE"""),0.7534722222189885)</f>
        <v>0.7534722222</v>
      </c>
      <c r="G135" s="78" t="str">
        <f>IFERROR(__xludf.DUMMYFUNCTION("""COMPUTED_VALUE"""),"")</f>
        <v/>
      </c>
      <c r="H135" s="110">
        <f>IFERROR(__xludf.DUMMYFUNCTION("""COMPUTED_VALUE"""),83.5)</f>
        <v>83.5</v>
      </c>
      <c r="I135" s="108" t="str">
        <f>IFERROR(__xludf.DUMMYFUNCTION("""COMPUTED_VALUE"""),"")</f>
        <v/>
      </c>
      <c r="J135" s="71" t="str">
        <f>IFERROR(__xludf.DUMMYFUNCTION("""COMPUTED_VALUE"""),"Dinner")</f>
        <v>Dinner</v>
      </c>
      <c r="K135" s="106">
        <f>IFERROR(__xludf.DUMMYFUNCTION("""COMPUTED_VALUE"""),45945.0)</f>
        <v>45945</v>
      </c>
      <c r="L135" s="71" t="str">
        <f>IFERROR(__xludf.DUMMYFUNCTION("""COMPUTED_VALUE"""),"Wednesday")</f>
        <v>Wednesday</v>
      </c>
      <c r="M135" s="71" t="str">
        <f>IFERROR(__xludf.DUMMYFUNCTION("""COMPUTED_VALUE"""),"BF")</f>
        <v>BF</v>
      </c>
      <c r="N135" s="109" t="str">
        <f>IFERROR(__xludf.DUMMYFUNCTION("""COMPUTED_VALUE"""),"")</f>
        <v/>
      </c>
      <c r="O135" s="71" t="str">
        <f>IFERROR(__xludf.DUMMYFUNCTION("""COMPUTED_VALUE"""),"")</f>
        <v/>
      </c>
      <c r="P135" s="71" t="str">
        <f>IFERROR(__xludf.DUMMYFUNCTION("""COMPUTED_VALUE"""),"")</f>
        <v/>
      </c>
      <c r="Q135" s="88" t="str">
        <f>IFERROR(__xludf.DUMMYFUNCTION("""COMPUTED_VALUE"""),"")</f>
        <v/>
      </c>
      <c r="R135" s="88" t="str">
        <f>IFERROR(__xludf.DUMMYFUNCTION("""COMPUTED_VALUE"""),"")</f>
        <v/>
      </c>
      <c r="S135" s="61" t="str">
        <f>IFERROR(__xludf.DUMMYFUNCTION("""COMPUTED_VALUE"""),"")</f>
        <v/>
      </c>
      <c r="T135" s="61" t="str">
        <f>IFERROR(__xludf.DUMMYFUNCTION("""COMPUTED_VALUE"""),"")</f>
        <v/>
      </c>
      <c r="U135" s="111" t="str">
        <f>IFERROR(__xludf.DUMMYFUNCTION("""COMPUTED_VALUE"""),"")</f>
        <v/>
      </c>
      <c r="V135" s="88" t="str">
        <f>IFERROR(__xludf.DUMMYFUNCTION("""COMPUTED_VALUE"""),"")</f>
        <v/>
      </c>
      <c r="W135" s="62" t="str">
        <f>IFERROR(__xludf.DUMMYFUNCTION("""COMPUTED_VALUE"""),"")</f>
        <v/>
      </c>
      <c r="X135" s="62" t="str">
        <f>IFERROR(__xludf.DUMMYFUNCTION("""COMPUTED_VALUE"""),"")</f>
        <v/>
      </c>
      <c r="Y135" s="109" t="str">
        <f>IFERROR(__xludf.DUMMYFUNCTION("""COMPUTED_VALUE"""),"")</f>
        <v/>
      </c>
      <c r="Z135" s="113" t="str">
        <f>IFERROR(__xludf.DUMMYFUNCTION("""COMPUTED_VALUE"""),"")</f>
        <v/>
      </c>
      <c r="AA135" s="113" t="str">
        <f>IFERROR(__xludf.DUMMYFUNCTION("""COMPUTED_VALUE"""),"")</f>
        <v/>
      </c>
      <c r="AB135" s="71" t="str">
        <f>IFERROR(__xludf.DUMMYFUNCTION("""COMPUTED_VALUE"""),"")</f>
        <v/>
      </c>
    </row>
    <row r="136">
      <c r="A136" s="105">
        <f>IFERROR(__xludf.DUMMYFUNCTION("""COMPUTED_VALUE"""),45945.86198869213)</f>
        <v>45945.86199</v>
      </c>
      <c r="B136" s="71" t="str">
        <f>IFERROR(__xludf.DUMMYFUNCTION("""COMPUTED_VALUE"""),"Emma Korsu")</f>
        <v>Emma Korsu</v>
      </c>
      <c r="C136" s="71" t="b">
        <f>IFERROR(__xludf.DUMMYFUNCTION("""COMPUTED_VALUE"""),FALSE)</f>
        <v>0</v>
      </c>
      <c r="D136" s="132">
        <f>IFERROR(__xludf.DUMMYFUNCTION("""COMPUTED_VALUE"""),0.7506944444467081)</f>
        <v>0.7506944444</v>
      </c>
      <c r="E136" s="78">
        <f>IFERROR(__xludf.DUMMYFUNCTION("""COMPUTED_VALUE"""),0.11041666666278616)</f>
        <v>0.1104166667</v>
      </c>
      <c r="F136" s="132">
        <f>IFERROR(__xludf.DUMMYFUNCTION("""COMPUTED_VALUE"""),0.8611111111094942)</f>
        <v>0.8611111111</v>
      </c>
      <c r="G136" s="78">
        <f>IFERROR(__xludf.DUMMYFUNCTION("""COMPUTED_VALUE"""),0.11041666666278616)</f>
        <v>0.1104166667</v>
      </c>
      <c r="H136" s="110">
        <f>IFERROR(__xludf.DUMMYFUNCTION("""COMPUTED_VALUE"""),147.0)</f>
        <v>147</v>
      </c>
      <c r="I136" s="108">
        <f>IFERROR(__xludf.DUMMYFUNCTION("""COMPUTED_VALUE"""),55.47169811515706)</f>
        <v>55.47169812</v>
      </c>
      <c r="J136" s="71" t="str">
        <f>IFERROR(__xludf.DUMMYFUNCTION("""COMPUTED_VALUE"""),"Dinner")</f>
        <v>Dinner</v>
      </c>
      <c r="K136" s="106">
        <f>IFERROR(__xludf.DUMMYFUNCTION("""COMPUTED_VALUE"""),45945.0)</f>
        <v>45945</v>
      </c>
      <c r="L136" s="71" t="str">
        <f>IFERROR(__xludf.DUMMYFUNCTION("""COMPUTED_VALUE"""),"Wednesday")</f>
        <v>Wednesday</v>
      </c>
      <c r="M136" s="71" t="str">
        <f>IFERROR(__xludf.DUMMYFUNCTION("""COMPUTED_VALUE"""),"BF")</f>
        <v>BF</v>
      </c>
      <c r="N136" s="109">
        <f>IFERROR(__xludf.DUMMYFUNCTION("""COMPUTED_VALUE"""),1.3091134871817598)</f>
        <v>1.309113487</v>
      </c>
      <c r="O136" s="71" t="str">
        <f>IFERROR(__xludf.DUMMYFUNCTION("""COMPUTED_VALUE"""),"")</f>
        <v/>
      </c>
      <c r="P136" s="71" t="str">
        <f>IFERROR(__xludf.DUMMYFUNCTION("""COMPUTED_VALUE"""),"")</f>
        <v/>
      </c>
      <c r="Q136" s="88" t="str">
        <f>IFERROR(__xludf.DUMMYFUNCTION("""COMPUTED_VALUE"""),"")</f>
        <v/>
      </c>
      <c r="R136" s="88" t="str">
        <f>IFERROR(__xludf.DUMMYFUNCTION("""COMPUTED_VALUE"""),"")</f>
        <v/>
      </c>
      <c r="S136" s="61" t="str">
        <f>IFERROR(__xludf.DUMMYFUNCTION("""COMPUTED_VALUE"""),"")</f>
        <v/>
      </c>
      <c r="T136" s="61" t="str">
        <f>IFERROR(__xludf.DUMMYFUNCTION("""COMPUTED_VALUE"""),"")</f>
        <v/>
      </c>
      <c r="U136" s="111" t="str">
        <f>IFERROR(__xludf.DUMMYFUNCTION("""COMPUTED_VALUE"""),"")</f>
        <v/>
      </c>
      <c r="V136" s="88" t="str">
        <f>IFERROR(__xludf.DUMMYFUNCTION("""COMPUTED_VALUE"""),"")</f>
        <v/>
      </c>
      <c r="W136" s="62" t="str">
        <f>IFERROR(__xludf.DUMMYFUNCTION("""COMPUTED_VALUE"""),"")</f>
        <v/>
      </c>
      <c r="X136" s="62" t="str">
        <f>IFERROR(__xludf.DUMMYFUNCTION("""COMPUTED_VALUE"""),"")</f>
        <v/>
      </c>
      <c r="Y136" s="109" t="str">
        <f>IFERROR(__xludf.DUMMYFUNCTION("""COMPUTED_VALUE"""),"")</f>
        <v/>
      </c>
      <c r="Z136" s="113" t="str">
        <f>IFERROR(__xludf.DUMMYFUNCTION("""COMPUTED_VALUE"""),"")</f>
        <v/>
      </c>
      <c r="AA136" s="113" t="str">
        <f>IFERROR(__xludf.DUMMYFUNCTION("""COMPUTED_VALUE"""),"")</f>
        <v/>
      </c>
      <c r="AB136" s="71" t="str">
        <f>IFERROR(__xludf.DUMMYFUNCTION("""COMPUTED_VALUE"""),"")</f>
        <v/>
      </c>
    </row>
    <row r="137">
      <c r="A137" s="105">
        <f>IFERROR(__xludf.DUMMYFUNCTION("""COMPUTED_VALUE"""),45945.872763217594)</f>
        <v>45945.87276</v>
      </c>
      <c r="B137" s="71" t="str">
        <f>IFERROR(__xludf.DUMMYFUNCTION("""COMPUTED_VALUE"""),"Kaylie Forgue")</f>
        <v>Kaylie Forgue</v>
      </c>
      <c r="C137" s="71" t="b">
        <f>IFERROR(__xludf.DUMMYFUNCTION("""COMPUTED_VALUE"""),FALSE)</f>
        <v>0</v>
      </c>
      <c r="D137" s="132">
        <f>IFERROR(__xludf.DUMMYFUNCTION("""COMPUTED_VALUE"""),0.7479166666671517)</f>
        <v>0.7479166667</v>
      </c>
      <c r="E137" s="78">
        <f>IFERROR(__xludf.DUMMYFUNCTION("""COMPUTED_VALUE"""),0.11944444444816327)</f>
        <v>0.1194444444</v>
      </c>
      <c r="F137" s="132">
        <f>IFERROR(__xludf.DUMMYFUNCTION("""COMPUTED_VALUE"""),0.867361111115315)</f>
        <v>0.8673611111</v>
      </c>
      <c r="G137" s="78">
        <f>IFERROR(__xludf.DUMMYFUNCTION("""COMPUTED_VALUE"""),0.11944444444816327)</f>
        <v>0.1194444444</v>
      </c>
      <c r="H137" s="110">
        <f>IFERROR(__xludf.DUMMYFUNCTION("""COMPUTED_VALUE"""),175.0)</f>
        <v>175</v>
      </c>
      <c r="I137" s="108">
        <f>IFERROR(__xludf.DUMMYFUNCTION("""COMPUTED_VALUE"""),61.046511626006335)</f>
        <v>61.04651163</v>
      </c>
      <c r="J137" s="71" t="str">
        <f>IFERROR(__xludf.DUMMYFUNCTION("""COMPUTED_VALUE"""),"Dinner")</f>
        <v>Dinner</v>
      </c>
      <c r="K137" s="106">
        <f>IFERROR(__xludf.DUMMYFUNCTION("""COMPUTED_VALUE"""),45945.0)</f>
        <v>45945</v>
      </c>
      <c r="L137" s="71" t="str">
        <f>IFERROR(__xludf.DUMMYFUNCTION("""COMPUTED_VALUE"""),"Wednesday")</f>
        <v>Wednesday</v>
      </c>
      <c r="M137" s="71" t="str">
        <f>IFERROR(__xludf.DUMMYFUNCTION("""COMPUTED_VALUE"""),"MF")</f>
        <v>MF</v>
      </c>
      <c r="N137" s="109">
        <f>IFERROR(__xludf.DUMMYFUNCTION("""COMPUTED_VALUE"""),1.202920666419331)</f>
        <v>1.202920666</v>
      </c>
      <c r="O137" s="71">
        <f>IFERROR(__xludf.DUMMYFUNCTION("""COMPUTED_VALUE"""),415.0)</f>
        <v>415</v>
      </c>
      <c r="P137" s="71">
        <f>IFERROR(__xludf.DUMMYFUNCTION("""COMPUTED_VALUE"""),314.0)</f>
        <v>314</v>
      </c>
      <c r="Q137" s="88">
        <f>IFERROR(__xludf.DUMMYFUNCTION("""COMPUTED_VALUE"""),0.2305555555576575)</f>
        <v>0.2305555556</v>
      </c>
      <c r="R137" s="88">
        <f>IFERROR(__xludf.DUMMYFUNCTION("""COMPUTED_VALUE"""),0.3152777777722804)</f>
        <v>0.3152777778</v>
      </c>
      <c r="S137" s="61">
        <f>IFERROR(__xludf.DUMMYFUNCTION("""COMPUTED_VALUE"""),62.01786570900348)</f>
        <v>62.01786571</v>
      </c>
      <c r="T137" s="61">
        <f>IFERROR(__xludf.DUMMYFUNCTION("""COMPUTED_VALUE"""),36.22737448137436)</f>
        <v>36.22737448</v>
      </c>
      <c r="U137" s="111">
        <f>IFERROR(__xludf.DUMMYFUNCTION("""COMPUTED_VALUE"""),729.0)</f>
        <v>729</v>
      </c>
      <c r="V137" s="88">
        <f>IFERROR(__xludf.DUMMYFUNCTION("""COMPUTED_VALUE"""),0.5458333333299379)</f>
        <v>0.5458333333</v>
      </c>
      <c r="W137" s="62">
        <f>IFERROR(__xludf.DUMMYFUNCTION("""COMPUTED_VALUE"""),55.648854962178234)</f>
        <v>55.64885496</v>
      </c>
      <c r="X137" s="62">
        <f>IFERROR(__xludf.DUMMYFUNCTION("""COMPUTED_VALUE"""),51.70166921795184)</f>
        <v>51.70166922</v>
      </c>
      <c r="Y137" s="109">
        <f>IFERROR(__xludf.DUMMYFUNCTION("""COMPUTED_VALUE"""),0.7932077667938238)</f>
        <v>0.7932077668</v>
      </c>
      <c r="Z137" s="113">
        <f>IFERROR(__xludf.DUMMYFUNCTION("""COMPUTED_VALUE"""),4131.0)</f>
        <v>4131</v>
      </c>
      <c r="AA137" s="113">
        <f>IFERROR(__xludf.DUMMYFUNCTION("""COMPUTED_VALUE"""),4052.0)</f>
        <v>4052</v>
      </c>
      <c r="AB137" s="113">
        <f>IFERROR(__xludf.DUMMYFUNCTION("""COMPUTED_VALUE"""),8183.0)</f>
        <v>8183</v>
      </c>
    </row>
    <row r="138">
      <c r="A138" s="105">
        <f>IFERROR(__xludf.DUMMYFUNCTION("""COMPUTED_VALUE"""),45946.562111956024)</f>
        <v>45946.56211</v>
      </c>
      <c r="B138" s="71" t="str">
        <f>IFERROR(__xludf.DUMMYFUNCTION("""COMPUTED_VALUE"""),"Maureen Surgot")</f>
        <v>Maureen Surgot</v>
      </c>
      <c r="C138" s="71" t="b">
        <f>IFERROR(__xludf.DUMMYFUNCTION("""COMPUTED_VALUE"""),FALSE)</f>
        <v>0</v>
      </c>
      <c r="D138" s="132">
        <f>IFERROR(__xludf.DUMMYFUNCTION("""COMPUTED_VALUE"""),0.47916666666424135)</f>
        <v>0.4791666667</v>
      </c>
      <c r="E138" s="78">
        <f>IFERROR(__xludf.DUMMYFUNCTION("""COMPUTED_VALUE"""),0.08333333333575865)</f>
        <v>0.08333333334</v>
      </c>
      <c r="F138" s="132">
        <f>IFERROR(__xludf.DUMMYFUNCTION("""COMPUTED_VALUE"""),0.5625)</f>
        <v>0.5625</v>
      </c>
      <c r="G138" s="78">
        <f>IFERROR(__xludf.DUMMYFUNCTION("""COMPUTED_VALUE"""),0.08333333333575865)</f>
        <v>0.08333333334</v>
      </c>
      <c r="H138" s="110">
        <f>IFERROR(__xludf.DUMMYFUNCTION("""COMPUTED_VALUE"""),101.0)</f>
        <v>101</v>
      </c>
      <c r="I138" s="108">
        <f>IFERROR(__xludf.DUMMYFUNCTION("""COMPUTED_VALUE"""),50.49999999853026)</f>
        <v>50.5</v>
      </c>
      <c r="J138" s="71" t="str">
        <f>IFERROR(__xludf.DUMMYFUNCTION("""COMPUTED_VALUE"""),"Lunch")</f>
        <v>Lunch</v>
      </c>
      <c r="K138" s="106">
        <f>IFERROR(__xludf.DUMMYFUNCTION("""COMPUTED_VALUE"""),45946.0)</f>
        <v>45946</v>
      </c>
      <c r="L138" s="71" t="str">
        <f>IFERROR(__xludf.DUMMYFUNCTION("""COMPUTED_VALUE"""),"Thursday")</f>
        <v>Thursday</v>
      </c>
      <c r="M138" s="71" t="str">
        <f>IFERROR(__xludf.DUMMYFUNCTION("""COMPUTED_VALUE"""),"MF")</f>
        <v>MF</v>
      </c>
      <c r="N138" s="109">
        <f>IFERROR(__xludf.DUMMYFUNCTION("""COMPUTED_VALUE"""),1.0501395831654166)</f>
        <v>1.050139583</v>
      </c>
      <c r="O138" s="71" t="str">
        <f>IFERROR(__xludf.DUMMYFUNCTION("""COMPUTED_VALUE"""),"")</f>
        <v/>
      </c>
      <c r="P138" s="71" t="str">
        <f>IFERROR(__xludf.DUMMYFUNCTION("""COMPUTED_VALUE"""),"")</f>
        <v/>
      </c>
      <c r="Q138" s="88" t="str">
        <f>IFERROR(__xludf.DUMMYFUNCTION("""COMPUTED_VALUE"""),"")</f>
        <v/>
      </c>
      <c r="R138" s="88" t="str">
        <f>IFERROR(__xludf.DUMMYFUNCTION("""COMPUTED_VALUE"""),"")</f>
        <v/>
      </c>
      <c r="S138" s="61" t="str">
        <f>IFERROR(__xludf.DUMMYFUNCTION("""COMPUTED_VALUE"""),"")</f>
        <v/>
      </c>
      <c r="T138" s="61" t="str">
        <f>IFERROR(__xludf.DUMMYFUNCTION("""COMPUTED_VALUE"""),"")</f>
        <v/>
      </c>
      <c r="U138" s="111" t="str">
        <f>IFERROR(__xludf.DUMMYFUNCTION("""COMPUTED_VALUE"""),"")</f>
        <v/>
      </c>
      <c r="V138" s="88" t="str">
        <f>IFERROR(__xludf.DUMMYFUNCTION("""COMPUTED_VALUE"""),"")</f>
        <v/>
      </c>
      <c r="W138" s="62" t="str">
        <f>IFERROR(__xludf.DUMMYFUNCTION("""COMPUTED_VALUE"""),"")</f>
        <v/>
      </c>
      <c r="X138" s="62" t="str">
        <f>IFERROR(__xludf.DUMMYFUNCTION("""COMPUTED_VALUE"""),"")</f>
        <v/>
      </c>
      <c r="Y138" s="109" t="str">
        <f>IFERROR(__xludf.DUMMYFUNCTION("""COMPUTED_VALUE"""),"")</f>
        <v/>
      </c>
      <c r="Z138" s="113" t="str">
        <f>IFERROR(__xludf.DUMMYFUNCTION("""COMPUTED_VALUE"""),"")</f>
        <v/>
      </c>
      <c r="AA138" s="113" t="str">
        <f>IFERROR(__xludf.DUMMYFUNCTION("""COMPUTED_VALUE"""),"")</f>
        <v/>
      </c>
      <c r="AB138" s="71" t="str">
        <f>IFERROR(__xludf.DUMMYFUNCTION("""COMPUTED_VALUE"""),"")</f>
        <v/>
      </c>
    </row>
    <row r="139">
      <c r="A139" s="105">
        <f>IFERROR(__xludf.DUMMYFUNCTION("""COMPUTED_VALUE"""),45946.571441319444)</f>
        <v>45946.57144</v>
      </c>
      <c r="B139" s="71" t="str">
        <f>IFERROR(__xludf.DUMMYFUNCTION("""COMPUTED_VALUE"""),"Greta Traynor")</f>
        <v>Greta Traynor</v>
      </c>
      <c r="C139" s="71" t="b">
        <f>IFERROR(__xludf.DUMMYFUNCTION("""COMPUTED_VALUE"""),FALSE)</f>
        <v>0</v>
      </c>
      <c r="D139" s="132">
        <f>IFERROR(__xludf.DUMMYFUNCTION("""COMPUTED_VALUE"""),0.523611111115315)</f>
        <v>0.5236111111</v>
      </c>
      <c r="E139" s="78">
        <f>IFERROR(__xludf.DUMMYFUNCTION("""COMPUTED_VALUE"""),0.04722222221607808)</f>
        <v>0.04722222222</v>
      </c>
      <c r="F139" s="132">
        <f>IFERROR(__xludf.DUMMYFUNCTION("""COMPUTED_VALUE"""),0.5708333333313931)</f>
        <v>0.5708333333</v>
      </c>
      <c r="G139" s="78">
        <f>IFERROR(__xludf.DUMMYFUNCTION("""COMPUTED_VALUE"""),0.04722222221607808)</f>
        <v>0.04722222222</v>
      </c>
      <c r="H139" s="110">
        <f>IFERROR(__xludf.DUMMYFUNCTION("""COMPUTED_VALUE"""),69.0)</f>
        <v>69</v>
      </c>
      <c r="I139" s="108">
        <f>IFERROR(__xludf.DUMMYFUNCTION("""COMPUTED_VALUE"""),60.88235294909795)</f>
        <v>60.88235295</v>
      </c>
      <c r="J139" s="71" t="str">
        <f>IFERROR(__xludf.DUMMYFUNCTION("""COMPUTED_VALUE"""),"Lunch")</f>
        <v>Lunch</v>
      </c>
      <c r="K139" s="106">
        <f>IFERROR(__xludf.DUMMYFUNCTION("""COMPUTED_VALUE"""),45946.0)</f>
        <v>45946</v>
      </c>
      <c r="L139" s="71" t="str">
        <f>IFERROR(__xludf.DUMMYFUNCTION("""COMPUTED_VALUE"""),"Thursday")</f>
        <v>Thursday</v>
      </c>
      <c r="M139" s="71" t="str">
        <f>IFERROR(__xludf.DUMMYFUNCTION("""COMPUTED_VALUE"""),"BF")</f>
        <v>BF</v>
      </c>
      <c r="N139" s="109">
        <f>IFERROR(__xludf.DUMMYFUNCTION("""COMPUTED_VALUE"""),1.5678909200149154)</f>
        <v>1.56789092</v>
      </c>
      <c r="O139" s="71" t="str">
        <f>IFERROR(__xludf.DUMMYFUNCTION("""COMPUTED_VALUE"""),"")</f>
        <v/>
      </c>
      <c r="P139" s="71" t="str">
        <f>IFERROR(__xludf.DUMMYFUNCTION("""COMPUTED_VALUE"""),"")</f>
        <v/>
      </c>
      <c r="Q139" s="88" t="str">
        <f>IFERROR(__xludf.DUMMYFUNCTION("""COMPUTED_VALUE"""),"")</f>
        <v/>
      </c>
      <c r="R139" s="88" t="str">
        <f>IFERROR(__xludf.DUMMYFUNCTION("""COMPUTED_VALUE"""),"")</f>
        <v/>
      </c>
      <c r="S139" s="61" t="str">
        <f>IFERROR(__xludf.DUMMYFUNCTION("""COMPUTED_VALUE"""),"")</f>
        <v/>
      </c>
      <c r="T139" s="61" t="str">
        <f>IFERROR(__xludf.DUMMYFUNCTION("""COMPUTED_VALUE"""),"")</f>
        <v/>
      </c>
      <c r="U139" s="111" t="str">
        <f>IFERROR(__xludf.DUMMYFUNCTION("""COMPUTED_VALUE"""),"")</f>
        <v/>
      </c>
      <c r="V139" s="88" t="str">
        <f>IFERROR(__xludf.DUMMYFUNCTION("""COMPUTED_VALUE"""),"")</f>
        <v/>
      </c>
      <c r="W139" s="62" t="str">
        <f>IFERROR(__xludf.DUMMYFUNCTION("""COMPUTED_VALUE"""),"")</f>
        <v/>
      </c>
      <c r="X139" s="62" t="str">
        <f>IFERROR(__xludf.DUMMYFUNCTION("""COMPUTED_VALUE"""),"")</f>
        <v/>
      </c>
      <c r="Y139" s="109" t="str">
        <f>IFERROR(__xludf.DUMMYFUNCTION("""COMPUTED_VALUE"""),"")</f>
        <v/>
      </c>
      <c r="Z139" s="113" t="str">
        <f>IFERROR(__xludf.DUMMYFUNCTION("""COMPUTED_VALUE"""),"")</f>
        <v/>
      </c>
      <c r="AA139" s="113" t="str">
        <f>IFERROR(__xludf.DUMMYFUNCTION("""COMPUTED_VALUE"""),"")</f>
        <v/>
      </c>
      <c r="AB139" s="71" t="str">
        <f>IFERROR(__xludf.DUMMYFUNCTION("""COMPUTED_VALUE"""),"")</f>
        <v/>
      </c>
    </row>
    <row r="140">
      <c r="A140" s="105">
        <f>IFERROR(__xludf.DUMMYFUNCTION("""COMPUTED_VALUE"""),45946.632600185185)</f>
        <v>45946.6326</v>
      </c>
      <c r="B140" s="71" t="str">
        <f>IFERROR(__xludf.DUMMYFUNCTION("""COMPUTED_VALUE"""),"Brynn Hornig")</f>
        <v>Brynn Hornig</v>
      </c>
      <c r="C140" s="71" t="b">
        <f>IFERROR(__xludf.DUMMYFUNCTION("""COMPUTED_VALUE"""),FALSE)</f>
        <v>0</v>
      </c>
      <c r="D140" s="132">
        <f>IFERROR(__xludf.DUMMYFUNCTION("""COMPUTED_VALUE"""),0.5625)</f>
        <v>0.5625</v>
      </c>
      <c r="E140" s="78">
        <f>IFERROR(__xludf.DUMMYFUNCTION("""COMPUTED_VALUE"""),0.07291666666424135)</f>
        <v>0.07291666666</v>
      </c>
      <c r="F140" s="132">
        <f>IFERROR(__xludf.DUMMYFUNCTION("""COMPUTED_VALUE"""),0.6354166666642413)</f>
        <v>0.6354166667</v>
      </c>
      <c r="G140" s="78">
        <f>IFERROR(__xludf.DUMMYFUNCTION("""COMPUTED_VALUE"""),0.07291666666424135)</f>
        <v>0.07291666666</v>
      </c>
      <c r="H140" s="110">
        <f>IFERROR(__xludf.DUMMYFUNCTION("""COMPUTED_VALUE"""),79.0)</f>
        <v>79</v>
      </c>
      <c r="I140" s="108">
        <f>IFERROR(__xludf.DUMMYFUNCTION("""COMPUTED_VALUE"""),45.142857144358665)</f>
        <v>45.14285714</v>
      </c>
      <c r="J140" s="71" t="str">
        <f>IFERROR(__xludf.DUMMYFUNCTION("""COMPUTED_VALUE"""),"Lunch")</f>
        <v>Lunch</v>
      </c>
      <c r="K140" s="106">
        <f>IFERROR(__xludf.DUMMYFUNCTION("""COMPUTED_VALUE"""),45946.0)</f>
        <v>45946</v>
      </c>
      <c r="L140" s="71" t="str">
        <f>IFERROR(__xludf.DUMMYFUNCTION("""COMPUTED_VALUE"""),"Thursday")</f>
        <v>Thursday</v>
      </c>
      <c r="M140" s="71" t="str">
        <f>IFERROR(__xludf.DUMMYFUNCTION("""COMPUTED_VALUE"""),"MF")</f>
        <v>MF</v>
      </c>
      <c r="N140" s="109">
        <f>IFERROR(__xludf.DUMMYFUNCTION("""COMPUTED_VALUE"""),0.938738637343613)</f>
        <v>0.9387386373</v>
      </c>
      <c r="O140" s="71">
        <f>IFERROR(__xludf.DUMMYFUNCTION("""COMPUTED_VALUE"""),180.0)</f>
        <v>180</v>
      </c>
      <c r="P140" s="71">
        <f>IFERROR(__xludf.DUMMYFUNCTION("""COMPUTED_VALUE"""),69.0)</f>
        <v>69</v>
      </c>
      <c r="Q140" s="88">
        <f>IFERROR(__xludf.DUMMYFUNCTION("""COMPUTED_VALUE"""),0.15625)</f>
        <v>0.15625</v>
      </c>
      <c r="R140" s="88">
        <f>IFERROR(__xludf.DUMMYFUNCTION("""COMPUTED_VALUE"""),0.04722222221607808)</f>
        <v>0.04722222222</v>
      </c>
      <c r="S140" s="61">
        <f>IFERROR(__xludf.DUMMYFUNCTION("""COMPUTED_VALUE"""),47.82142857144446)</f>
        <v>47.82142857</v>
      </c>
      <c r="T140" s="61">
        <f>IFERROR(__xludf.DUMMYFUNCTION("""COMPUTED_VALUE"""),60.88235294909795)</f>
        <v>60.88235295</v>
      </c>
      <c r="U140" s="111">
        <f>IFERROR(__xludf.DUMMYFUNCTION("""COMPUTED_VALUE"""),249.0)</f>
        <v>249</v>
      </c>
      <c r="V140" s="88">
        <f>IFERROR(__xludf.DUMMYFUNCTION("""COMPUTED_VALUE"""),0.20347222221607808)</f>
        <v>0.2034722222</v>
      </c>
      <c r="W140" s="62">
        <f>IFERROR(__xludf.DUMMYFUNCTION("""COMPUTED_VALUE"""),50.98976109368988)</f>
        <v>50.98976109</v>
      </c>
      <c r="X140" s="62">
        <f>IFERROR(__xludf.DUMMYFUNCTION("""COMPUTED_VALUE"""),52.17507003066229)</f>
        <v>52.17507003</v>
      </c>
      <c r="Y140" s="109">
        <f>IFERROR(__xludf.DUMMYFUNCTION("""COMPUTED_VALUE"""),1.1750968795272045)</f>
        <v>1.17509688</v>
      </c>
      <c r="Z140" s="113">
        <f>IFERROR(__xludf.DUMMYFUNCTION("""COMPUTED_VALUE"""),3643.0)</f>
        <v>3643</v>
      </c>
      <c r="AA140" s="113">
        <f>IFERROR(__xludf.DUMMYFUNCTION("""COMPUTED_VALUE"""),4149.0)</f>
        <v>4149</v>
      </c>
      <c r="AB140" s="113">
        <f>IFERROR(__xludf.DUMMYFUNCTION("""COMPUTED_VALUE"""),7792.0)</f>
        <v>7792</v>
      </c>
    </row>
    <row r="141">
      <c r="A141" s="105">
        <f>IFERROR(__xludf.DUMMYFUNCTION("""COMPUTED_VALUE"""),45947.599242662036)</f>
        <v>45947.59924</v>
      </c>
      <c r="B141" s="71" t="str">
        <f>IFERROR(__xludf.DUMMYFUNCTION("""COMPUTED_VALUE"""),"Greta Traynor")</f>
        <v>Greta Traynor</v>
      </c>
      <c r="C141" s="71" t="b">
        <f>IFERROR(__xludf.DUMMYFUNCTION("""COMPUTED_VALUE"""),FALSE)</f>
        <v>0</v>
      </c>
      <c r="D141" s="132">
        <f>IFERROR(__xludf.DUMMYFUNCTION("""COMPUTED_VALUE"""),0.5402777777781012)</f>
        <v>0.5402777778</v>
      </c>
      <c r="E141" s="78">
        <f>IFERROR(__xludf.DUMMYFUNCTION("""COMPUTED_VALUE"""),0.0506944444423425)</f>
        <v>0.05069444444</v>
      </c>
      <c r="F141" s="132">
        <f>IFERROR(__xludf.DUMMYFUNCTION("""COMPUTED_VALUE"""),0.5909722222204437)</f>
        <v>0.5909722222</v>
      </c>
      <c r="G141" s="78">
        <f>IFERROR(__xludf.DUMMYFUNCTION("""COMPUTED_VALUE"""),0.0506944444423425)</f>
        <v>0.05069444444</v>
      </c>
      <c r="H141" s="110">
        <f>IFERROR(__xludf.DUMMYFUNCTION("""COMPUTED_VALUE"""),68.0)</f>
        <v>68</v>
      </c>
      <c r="I141" s="108">
        <f>IFERROR(__xludf.DUMMYFUNCTION("""COMPUTED_VALUE"""),55.89041096122149)</f>
        <v>55.89041096</v>
      </c>
      <c r="J141" s="71" t="str">
        <f>IFERROR(__xludf.DUMMYFUNCTION("""COMPUTED_VALUE"""),"Lunch")</f>
        <v>Lunch</v>
      </c>
      <c r="K141" s="106">
        <f>IFERROR(__xludf.DUMMYFUNCTION("""COMPUTED_VALUE"""),45947.0)</f>
        <v>45947</v>
      </c>
      <c r="L141" s="71" t="str">
        <f>IFERROR(__xludf.DUMMYFUNCTION("""COMPUTED_VALUE"""),"Friday")</f>
        <v>Friday</v>
      </c>
      <c r="M141" s="71" t="str">
        <f>IFERROR(__xludf.DUMMYFUNCTION("""COMPUTED_VALUE"""),"BF")</f>
        <v>BF</v>
      </c>
      <c r="N141" s="109">
        <f>IFERROR(__xludf.DUMMYFUNCTION("""COMPUTED_VALUE"""),1.4393344477876266)</f>
        <v>1.439334448</v>
      </c>
      <c r="O141" s="71" t="str">
        <f>IFERROR(__xludf.DUMMYFUNCTION("""COMPUTED_VALUE"""),"")</f>
        <v/>
      </c>
      <c r="P141" s="71" t="str">
        <f>IFERROR(__xludf.DUMMYFUNCTION("""COMPUTED_VALUE"""),"")</f>
        <v/>
      </c>
      <c r="Q141" s="88" t="str">
        <f>IFERROR(__xludf.DUMMYFUNCTION("""COMPUTED_VALUE"""),"")</f>
        <v/>
      </c>
      <c r="R141" s="88" t="str">
        <f>IFERROR(__xludf.DUMMYFUNCTION("""COMPUTED_VALUE"""),"")</f>
        <v/>
      </c>
      <c r="S141" s="61" t="str">
        <f>IFERROR(__xludf.DUMMYFUNCTION("""COMPUTED_VALUE"""),"")</f>
        <v/>
      </c>
      <c r="T141" s="61" t="str">
        <f>IFERROR(__xludf.DUMMYFUNCTION("""COMPUTED_VALUE"""),"")</f>
        <v/>
      </c>
      <c r="U141" s="111" t="str">
        <f>IFERROR(__xludf.DUMMYFUNCTION("""COMPUTED_VALUE"""),"")</f>
        <v/>
      </c>
      <c r="V141" s="88" t="str">
        <f>IFERROR(__xludf.DUMMYFUNCTION("""COMPUTED_VALUE"""),"")</f>
        <v/>
      </c>
      <c r="W141" s="62" t="str">
        <f>IFERROR(__xludf.DUMMYFUNCTION("""COMPUTED_VALUE"""),"")</f>
        <v/>
      </c>
      <c r="X141" s="62" t="str">
        <f>IFERROR(__xludf.DUMMYFUNCTION("""COMPUTED_VALUE"""),"")</f>
        <v/>
      </c>
      <c r="Y141" s="109" t="str">
        <f>IFERROR(__xludf.DUMMYFUNCTION("""COMPUTED_VALUE"""),"")</f>
        <v/>
      </c>
      <c r="Z141" s="113" t="str">
        <f>IFERROR(__xludf.DUMMYFUNCTION("""COMPUTED_VALUE"""),"")</f>
        <v/>
      </c>
      <c r="AA141" s="113" t="str">
        <f>IFERROR(__xludf.DUMMYFUNCTION("""COMPUTED_VALUE"""),"")</f>
        <v/>
      </c>
      <c r="AB141" s="71" t="str">
        <f>IFERROR(__xludf.DUMMYFUNCTION("""COMPUTED_VALUE"""),"")</f>
        <v/>
      </c>
    </row>
    <row r="142">
      <c r="A142" s="105">
        <f>IFERROR(__xludf.DUMMYFUNCTION("""COMPUTED_VALUE"""),45947.63057009259)</f>
        <v>45947.63057</v>
      </c>
      <c r="B142" s="71" t="str">
        <f>IFERROR(__xludf.DUMMYFUNCTION("""COMPUTED_VALUE"""),"Brynn Hornig")</f>
        <v>Brynn Hornig</v>
      </c>
      <c r="C142" s="71" t="b">
        <f>IFERROR(__xludf.DUMMYFUNCTION("""COMPUTED_VALUE"""),FALSE)</f>
        <v>0</v>
      </c>
      <c r="D142" s="132">
        <f>IFERROR(__xludf.DUMMYFUNCTION("""COMPUTED_VALUE"""),0.5520833333357587)</f>
        <v>0.5520833333</v>
      </c>
      <c r="E142" s="78">
        <f>IFERROR(__xludf.DUMMYFUNCTION("""COMPUTED_VALUE"""),0.0833333333284827)</f>
        <v>0.08333333333</v>
      </c>
      <c r="F142" s="132">
        <f>IFERROR(__xludf.DUMMYFUNCTION("""COMPUTED_VALUE"""),0.6354166666642413)</f>
        <v>0.6354166667</v>
      </c>
      <c r="G142" s="78">
        <f>IFERROR(__xludf.DUMMYFUNCTION("""COMPUTED_VALUE"""),0.0833333333284827)</f>
        <v>0.08333333333</v>
      </c>
      <c r="H142" s="110">
        <f>IFERROR(__xludf.DUMMYFUNCTION("""COMPUTED_VALUE"""),89.0)</f>
        <v>89</v>
      </c>
      <c r="I142" s="108">
        <f>IFERROR(__xludf.DUMMYFUNCTION("""COMPUTED_VALUE"""),44.50000000259024)</f>
        <v>44.5</v>
      </c>
      <c r="J142" s="71" t="str">
        <f>IFERROR(__xludf.DUMMYFUNCTION("""COMPUTED_VALUE"""),"Lunch")</f>
        <v>Lunch</v>
      </c>
      <c r="K142" s="106">
        <f>IFERROR(__xludf.DUMMYFUNCTION("""COMPUTED_VALUE"""),45947.0)</f>
        <v>45947</v>
      </c>
      <c r="L142" s="71" t="str">
        <f>IFERROR(__xludf.DUMMYFUNCTION("""COMPUTED_VALUE"""),"Friday")</f>
        <v>Friday</v>
      </c>
      <c r="M142" s="71" t="str">
        <f>IFERROR(__xludf.DUMMYFUNCTION("""COMPUTED_VALUE"""),"MF")</f>
        <v>MF</v>
      </c>
      <c r="N142" s="109">
        <f>IFERROR(__xludf.DUMMYFUNCTION("""COMPUTED_VALUE"""),0.9253705238602219)</f>
        <v>0.9253705239</v>
      </c>
      <c r="O142" s="71" t="str">
        <f>IFERROR(__xludf.DUMMYFUNCTION("""COMPUTED_VALUE"""),"")</f>
        <v/>
      </c>
      <c r="P142" s="71" t="str">
        <f>IFERROR(__xludf.DUMMYFUNCTION("""COMPUTED_VALUE"""),"")</f>
        <v/>
      </c>
      <c r="Q142" s="88" t="str">
        <f>IFERROR(__xludf.DUMMYFUNCTION("""COMPUTED_VALUE"""),"")</f>
        <v/>
      </c>
      <c r="R142" s="88" t="str">
        <f>IFERROR(__xludf.DUMMYFUNCTION("""COMPUTED_VALUE"""),"")</f>
        <v/>
      </c>
      <c r="S142" s="61" t="str">
        <f>IFERROR(__xludf.DUMMYFUNCTION("""COMPUTED_VALUE"""),"")</f>
        <v/>
      </c>
      <c r="T142" s="61" t="str">
        <f>IFERROR(__xludf.DUMMYFUNCTION("""COMPUTED_VALUE"""),"")</f>
        <v/>
      </c>
      <c r="U142" s="111" t="str">
        <f>IFERROR(__xludf.DUMMYFUNCTION("""COMPUTED_VALUE"""),"")</f>
        <v/>
      </c>
      <c r="V142" s="88" t="str">
        <f>IFERROR(__xludf.DUMMYFUNCTION("""COMPUTED_VALUE"""),"")</f>
        <v/>
      </c>
      <c r="W142" s="62" t="str">
        <f>IFERROR(__xludf.DUMMYFUNCTION("""COMPUTED_VALUE"""),"")</f>
        <v/>
      </c>
      <c r="X142" s="62" t="str">
        <f>IFERROR(__xludf.DUMMYFUNCTION("""COMPUTED_VALUE"""),"")</f>
        <v/>
      </c>
      <c r="Y142" s="109" t="str">
        <f>IFERROR(__xludf.DUMMYFUNCTION("""COMPUTED_VALUE"""),"")</f>
        <v/>
      </c>
      <c r="Z142" s="113" t="str">
        <f>IFERROR(__xludf.DUMMYFUNCTION("""COMPUTED_VALUE"""),"")</f>
        <v/>
      </c>
      <c r="AA142" s="113" t="str">
        <f>IFERROR(__xludf.DUMMYFUNCTION("""COMPUTED_VALUE"""),"")</f>
        <v/>
      </c>
      <c r="AB142" s="71" t="str">
        <f>IFERROR(__xludf.DUMMYFUNCTION("""COMPUTED_VALUE"""),"")</f>
        <v/>
      </c>
    </row>
    <row r="143">
      <c r="A143" s="105">
        <f>IFERROR(__xludf.DUMMYFUNCTION("""COMPUTED_VALUE"""),45947.762227349536)</f>
        <v>45947.76223</v>
      </c>
      <c r="B143" s="71" t="str">
        <f>IFERROR(__xludf.DUMMYFUNCTION("""COMPUTED_VALUE"""),"Emmett Khan")</f>
        <v>Emmett Khan</v>
      </c>
      <c r="C143" s="71" t="b">
        <f>IFERROR(__xludf.DUMMYFUNCTION("""COMPUTED_VALUE"""),FALSE)</f>
        <v>0</v>
      </c>
      <c r="D143" s="132">
        <f>IFERROR(__xludf.DUMMYFUNCTION("""COMPUTED_VALUE"""),0.6666666666642413)</f>
        <v>0.6666666667</v>
      </c>
      <c r="E143" s="78">
        <f>IFERROR(__xludf.DUMMYFUNCTION("""COMPUTED_VALUE"""),0.09375)</f>
        <v>0.09375</v>
      </c>
      <c r="F143" s="132">
        <f>IFERROR(__xludf.DUMMYFUNCTION("""COMPUTED_VALUE"""),0.7604166666642413)</f>
        <v>0.7604166667</v>
      </c>
      <c r="G143" s="78">
        <f>IFERROR(__xludf.DUMMYFUNCTION("""COMPUTED_VALUE"""),0.09375)</f>
        <v>0.09375</v>
      </c>
      <c r="H143" s="110">
        <f>IFERROR(__xludf.DUMMYFUNCTION("""COMPUTED_VALUE"""),156.0)</f>
        <v>156</v>
      </c>
      <c r="I143" s="108">
        <f>IFERROR(__xludf.DUMMYFUNCTION("""COMPUTED_VALUE"""),69.33333333333333)</f>
        <v>69.33333333</v>
      </c>
      <c r="J143" s="71" t="str">
        <f>IFERROR(__xludf.DUMMYFUNCTION("""COMPUTED_VALUE"""),"Dinner")</f>
        <v>Dinner</v>
      </c>
      <c r="K143" s="106">
        <f>IFERROR(__xludf.DUMMYFUNCTION("""COMPUTED_VALUE"""),45947.0)</f>
        <v>45947</v>
      </c>
      <c r="L143" s="71" t="str">
        <f>IFERROR(__xludf.DUMMYFUNCTION("""COMPUTED_VALUE"""),"Friday")</f>
        <v>Friday</v>
      </c>
      <c r="M143" s="71" t="str">
        <f>IFERROR(__xludf.DUMMYFUNCTION("""COMPUTED_VALUE"""),"MF")</f>
        <v>MF</v>
      </c>
      <c r="N143" s="109">
        <f>IFERROR(__xludf.DUMMYFUNCTION("""COMPUTED_VALUE"""),1.3662123734335831)</f>
        <v>1.366212373</v>
      </c>
      <c r="O143" s="71" t="str">
        <f>IFERROR(__xludf.DUMMYFUNCTION("""COMPUTED_VALUE"""),"")</f>
        <v/>
      </c>
      <c r="P143" s="71" t="str">
        <f>IFERROR(__xludf.DUMMYFUNCTION("""COMPUTED_VALUE"""),"")</f>
        <v/>
      </c>
      <c r="Q143" s="88" t="str">
        <f>IFERROR(__xludf.DUMMYFUNCTION("""COMPUTED_VALUE"""),"")</f>
        <v/>
      </c>
      <c r="R143" s="88" t="str">
        <f>IFERROR(__xludf.DUMMYFUNCTION("""COMPUTED_VALUE"""),"")</f>
        <v/>
      </c>
      <c r="S143" s="61" t="str">
        <f>IFERROR(__xludf.DUMMYFUNCTION("""COMPUTED_VALUE"""),"")</f>
        <v/>
      </c>
      <c r="T143" s="61" t="str">
        <f>IFERROR(__xludf.DUMMYFUNCTION("""COMPUTED_VALUE"""),"")</f>
        <v/>
      </c>
      <c r="U143" s="111" t="str">
        <f>IFERROR(__xludf.DUMMYFUNCTION("""COMPUTED_VALUE"""),"")</f>
        <v/>
      </c>
      <c r="V143" s="88" t="str">
        <f>IFERROR(__xludf.DUMMYFUNCTION("""COMPUTED_VALUE"""),"")</f>
        <v/>
      </c>
      <c r="W143" s="62" t="str">
        <f>IFERROR(__xludf.DUMMYFUNCTION("""COMPUTED_VALUE"""),"")</f>
        <v/>
      </c>
      <c r="X143" s="62" t="str">
        <f>IFERROR(__xludf.DUMMYFUNCTION("""COMPUTED_VALUE"""),"")</f>
        <v/>
      </c>
      <c r="Y143" s="109" t="str">
        <f>IFERROR(__xludf.DUMMYFUNCTION("""COMPUTED_VALUE"""),"")</f>
        <v/>
      </c>
      <c r="Z143" s="113" t="str">
        <f>IFERROR(__xludf.DUMMYFUNCTION("""COMPUTED_VALUE"""),"")</f>
        <v/>
      </c>
      <c r="AA143" s="113" t="str">
        <f>IFERROR(__xludf.DUMMYFUNCTION("""COMPUTED_VALUE"""),"")</f>
        <v/>
      </c>
      <c r="AB143" s="71" t="str">
        <f>IFERROR(__xludf.DUMMYFUNCTION("""COMPUTED_VALUE"""),"")</f>
        <v/>
      </c>
    </row>
    <row r="144">
      <c r="A144" s="105">
        <f>IFERROR(__xludf.DUMMYFUNCTION("""COMPUTED_VALUE"""),45947.865299363424)</f>
        <v>45947.8653</v>
      </c>
      <c r="B144" s="71" t="str">
        <f>IFERROR(__xludf.DUMMYFUNCTION("""COMPUTED_VALUE"""),"Elliott Haber")</f>
        <v>Elliott Haber</v>
      </c>
      <c r="C144" s="71" t="b">
        <f>IFERROR(__xludf.DUMMYFUNCTION("""COMPUTED_VALUE"""),FALSE)</f>
        <v>0</v>
      </c>
      <c r="D144" s="132">
        <f>IFERROR(__xludf.DUMMYFUNCTION("""COMPUTED_VALUE"""),0.7604166666642413)</f>
        <v>0.7604166667</v>
      </c>
      <c r="E144" s="78">
        <f>IFERROR(__xludf.DUMMYFUNCTION("""COMPUTED_VALUE"""),0.09375)</f>
        <v>0.09375</v>
      </c>
      <c r="F144" s="132">
        <f>IFERROR(__xludf.DUMMYFUNCTION("""COMPUTED_VALUE"""),0.8541666666642413)</f>
        <v>0.8541666667</v>
      </c>
      <c r="G144" s="78">
        <f>IFERROR(__xludf.DUMMYFUNCTION("""COMPUTED_VALUE"""),0.09375)</f>
        <v>0.09375</v>
      </c>
      <c r="H144" s="110">
        <f>IFERROR(__xludf.DUMMYFUNCTION("""COMPUTED_VALUE"""),97.0)</f>
        <v>97</v>
      </c>
      <c r="I144" s="108">
        <f>IFERROR(__xludf.DUMMYFUNCTION("""COMPUTED_VALUE"""),43.111111111111114)</f>
        <v>43.11111111</v>
      </c>
      <c r="J144" s="71" t="str">
        <f>IFERROR(__xludf.DUMMYFUNCTION("""COMPUTED_VALUE"""),"Dinner")</f>
        <v>Dinner</v>
      </c>
      <c r="K144" s="106">
        <f>IFERROR(__xludf.DUMMYFUNCTION("""COMPUTED_VALUE"""),45947.0)</f>
        <v>45947</v>
      </c>
      <c r="L144" s="71" t="str">
        <f>IFERROR(__xludf.DUMMYFUNCTION("""COMPUTED_VALUE"""),"Friday")</f>
        <v>Friday</v>
      </c>
      <c r="M144" s="71" t="str">
        <f>IFERROR(__xludf.DUMMYFUNCTION("""COMPUTED_VALUE"""),"MF")</f>
        <v>MF</v>
      </c>
      <c r="N144" s="109">
        <f>IFERROR(__xludf.DUMMYFUNCTION("""COMPUTED_VALUE"""),0.8495038475837025)</f>
        <v>0.8495038476</v>
      </c>
      <c r="O144" s="71">
        <f>IFERROR(__xludf.DUMMYFUNCTION("""COMPUTED_VALUE"""),342.0)</f>
        <v>342</v>
      </c>
      <c r="P144" s="71">
        <f>IFERROR(__xludf.DUMMYFUNCTION("""COMPUTED_VALUE"""),68.0)</f>
        <v>68</v>
      </c>
      <c r="Q144" s="88">
        <f>IFERROR(__xludf.DUMMYFUNCTION("""COMPUTED_VALUE"""),0.2708333333284827)</f>
        <v>0.2708333333</v>
      </c>
      <c r="R144" s="88">
        <f>IFERROR(__xludf.DUMMYFUNCTION("""COMPUTED_VALUE"""),0.0506944444423425)</f>
        <v>0.05069444444</v>
      </c>
      <c r="S144" s="61">
        <f>IFERROR(__xludf.DUMMYFUNCTION("""COMPUTED_VALUE"""),52.31481481567823)</f>
        <v>52.31481482</v>
      </c>
      <c r="T144" s="61">
        <f>IFERROR(__xludf.DUMMYFUNCTION("""COMPUTED_VALUE"""),55.89041096122149)</f>
        <v>55.89041096</v>
      </c>
      <c r="U144" s="111">
        <f>IFERROR(__xludf.DUMMYFUNCTION("""COMPUTED_VALUE"""),410.0)</f>
        <v>410</v>
      </c>
      <c r="V144" s="88">
        <f>IFERROR(__xludf.DUMMYFUNCTION("""COMPUTED_VALUE"""),0.3215277777708252)</f>
        <v>0.3215277778</v>
      </c>
      <c r="W144" s="62">
        <f>IFERROR(__xludf.DUMMYFUNCTION("""COMPUTED_VALUE"""),53.13174946119209)</f>
        <v>53.13174946</v>
      </c>
      <c r="X144" s="62">
        <f>IFERROR(__xludf.DUMMYFUNCTION("""COMPUTED_VALUE"""),53.208713852064044)</f>
        <v>53.20871385</v>
      </c>
      <c r="Y144" s="109">
        <f>IFERROR(__xludf.DUMMYFUNCTION("""COMPUTED_VALUE"""),1.1585736945100396)</f>
        <v>1.158573695</v>
      </c>
      <c r="Z144" s="113">
        <f>IFERROR(__xludf.DUMMYFUNCTION("""COMPUTED_VALUE"""),3601.0)</f>
        <v>3601</v>
      </c>
      <c r="AA144" s="113">
        <f>IFERROR(__xludf.DUMMYFUNCTION("""COMPUTED_VALUE"""),2222.0)</f>
        <v>2222</v>
      </c>
      <c r="AB144" s="113">
        <f>IFERROR(__xludf.DUMMYFUNCTION("""COMPUTED_VALUE"""),5823.0)</f>
        <v>5823</v>
      </c>
    </row>
    <row r="145">
      <c r="A145" s="105">
        <f>IFERROR(__xludf.DUMMYFUNCTION("""COMPUTED_VALUE"""),45950.43649923611)</f>
        <v>45950.4365</v>
      </c>
      <c r="B145" s="71" t="str">
        <f>IFERROR(__xludf.DUMMYFUNCTION("""COMPUTED_VALUE"""),"Sarah Wilme")</f>
        <v>Sarah Wilme</v>
      </c>
      <c r="C145" s="71" t="b">
        <f>IFERROR(__xludf.DUMMYFUNCTION("""COMPUTED_VALUE"""),FALSE)</f>
        <v>0</v>
      </c>
      <c r="D145" s="132">
        <f>IFERROR(__xludf.DUMMYFUNCTION("""COMPUTED_VALUE"""),0.30277777777519077)</f>
        <v>0.3027777778</v>
      </c>
      <c r="E145" s="78">
        <f>IFERROR(__xludf.DUMMYFUNCTION("""COMPUTED_VALUE"""),0.13333333333139308)</f>
        <v>0.1333333333</v>
      </c>
      <c r="F145" s="132">
        <f>IFERROR(__xludf.DUMMYFUNCTION("""COMPUTED_VALUE"""),0.43611111110658385)</f>
        <v>0.4361111111</v>
      </c>
      <c r="G145" s="78">
        <f>IFERROR(__xludf.DUMMYFUNCTION("""COMPUTED_VALUE"""),0.13333333333139308)</f>
        <v>0.1333333333</v>
      </c>
      <c r="H145" s="110">
        <f>IFERROR(__xludf.DUMMYFUNCTION("""COMPUTED_VALUE"""),76.0)</f>
        <v>76</v>
      </c>
      <c r="I145" s="108">
        <f>IFERROR(__xludf.DUMMYFUNCTION("""COMPUTED_VALUE"""),23.750000000345608)</f>
        <v>23.75</v>
      </c>
      <c r="J145" s="71" t="str">
        <f>IFERROR(__xludf.DUMMYFUNCTION("""COMPUTED_VALUE"""),"Breakfast")</f>
        <v>Breakfast</v>
      </c>
      <c r="K145" s="106">
        <f>IFERROR(__xludf.DUMMYFUNCTION("""COMPUTED_VALUE"""),45950.0)</f>
        <v>45950</v>
      </c>
      <c r="L145" s="71" t="str">
        <f>IFERROR(__xludf.DUMMYFUNCTION("""COMPUTED_VALUE"""),"Monday")</f>
        <v>Monday</v>
      </c>
      <c r="M145" s="71" t="str">
        <f>IFERROR(__xludf.DUMMYFUNCTION("""COMPUTED_VALUE"""),"BF")</f>
        <v>BF</v>
      </c>
      <c r="N145" s="109">
        <f>IFERROR(__xludf.DUMMYFUNCTION("""COMPUTED_VALUE"""),1.0058403811200531)</f>
        <v>1.005840381</v>
      </c>
      <c r="O145" s="71" t="str">
        <f>IFERROR(__xludf.DUMMYFUNCTION("""COMPUTED_VALUE"""),"")</f>
        <v/>
      </c>
      <c r="P145" s="71" t="str">
        <f>IFERROR(__xludf.DUMMYFUNCTION("""COMPUTED_VALUE"""),"")</f>
        <v/>
      </c>
      <c r="Q145" s="88" t="str">
        <f>IFERROR(__xludf.DUMMYFUNCTION("""COMPUTED_VALUE"""),"")</f>
        <v/>
      </c>
      <c r="R145" s="88" t="str">
        <f>IFERROR(__xludf.DUMMYFUNCTION("""COMPUTED_VALUE"""),"")</f>
        <v/>
      </c>
      <c r="S145" s="61" t="str">
        <f>IFERROR(__xludf.DUMMYFUNCTION("""COMPUTED_VALUE"""),"")</f>
        <v/>
      </c>
      <c r="T145" s="61" t="str">
        <f>IFERROR(__xludf.DUMMYFUNCTION("""COMPUTED_VALUE"""),"")</f>
        <v/>
      </c>
      <c r="U145" s="111" t="str">
        <f>IFERROR(__xludf.DUMMYFUNCTION("""COMPUTED_VALUE"""),"")</f>
        <v/>
      </c>
      <c r="V145" s="88" t="str">
        <f>IFERROR(__xludf.DUMMYFUNCTION("""COMPUTED_VALUE"""),"")</f>
        <v/>
      </c>
      <c r="W145" s="62" t="str">
        <f>IFERROR(__xludf.DUMMYFUNCTION("""COMPUTED_VALUE"""),"")</f>
        <v/>
      </c>
      <c r="X145" s="62" t="str">
        <f>IFERROR(__xludf.DUMMYFUNCTION("""COMPUTED_VALUE"""),"")</f>
        <v/>
      </c>
      <c r="Y145" s="109" t="str">
        <f>IFERROR(__xludf.DUMMYFUNCTION("""COMPUTED_VALUE"""),"")</f>
        <v/>
      </c>
      <c r="Z145" s="113" t="str">
        <f>IFERROR(__xludf.DUMMYFUNCTION("""COMPUTED_VALUE"""),"")</f>
        <v/>
      </c>
      <c r="AA145" s="113" t="str">
        <f>IFERROR(__xludf.DUMMYFUNCTION("""COMPUTED_VALUE"""),"")</f>
        <v/>
      </c>
      <c r="AB145" s="71" t="str">
        <f>IFERROR(__xludf.DUMMYFUNCTION("""COMPUTED_VALUE"""),"")</f>
        <v/>
      </c>
    </row>
    <row r="146">
      <c r="A146" s="105">
        <f>IFERROR(__xludf.DUMMYFUNCTION("""COMPUTED_VALUE"""),45950.49556805556)</f>
        <v>45950.49557</v>
      </c>
      <c r="B146" s="71" t="str">
        <f>IFERROR(__xludf.DUMMYFUNCTION("""COMPUTED_VALUE"""),"Oluwatimilehin Shodipe")</f>
        <v>Oluwatimilehin Shodipe</v>
      </c>
      <c r="C146" s="71" t="b">
        <f>IFERROR(__xludf.DUMMYFUNCTION("""COMPUTED_VALUE"""),FALSE)</f>
        <v>0</v>
      </c>
      <c r="D146" s="132">
        <f>IFERROR(__xludf.DUMMYFUNCTION("""COMPUTED_VALUE"""),0.44097222221898846)</f>
        <v>0.4409722222</v>
      </c>
      <c r="E146" s="78">
        <f>IFERROR(__xludf.DUMMYFUNCTION("""COMPUTED_VALUE"""),0.054861111114344885)</f>
        <v>0.05486111111</v>
      </c>
      <c r="F146" s="132">
        <f>IFERROR(__xludf.DUMMYFUNCTION("""COMPUTED_VALUE"""),0.49583333333333335)</f>
        <v>0.4958333333</v>
      </c>
      <c r="G146" s="78">
        <f>IFERROR(__xludf.DUMMYFUNCTION("""COMPUTED_VALUE"""),0.054861111114344885)</f>
        <v>0.05486111111</v>
      </c>
      <c r="H146" s="110">
        <f>IFERROR(__xludf.DUMMYFUNCTION("""COMPUTED_VALUE"""),63.0)</f>
        <v>63</v>
      </c>
      <c r="I146" s="108">
        <f>IFERROR(__xludf.DUMMYFUNCTION("""COMPUTED_VALUE"""),47.84810126300239)</f>
        <v>47.84810126</v>
      </c>
      <c r="J146" s="71" t="str">
        <f>IFERROR(__xludf.DUMMYFUNCTION("""COMPUTED_VALUE"""),"Breakfast/Lunch")</f>
        <v>Breakfast/Lunch</v>
      </c>
      <c r="K146" s="106">
        <f>IFERROR(__xludf.DUMMYFUNCTION("""COMPUTED_VALUE"""),45950.0)</f>
        <v>45950</v>
      </c>
      <c r="L146" s="71" t="str">
        <f>IFERROR(__xludf.DUMMYFUNCTION("""COMPUTED_VALUE"""),"Monday")</f>
        <v>Monday</v>
      </c>
      <c r="M146" s="71" t="str">
        <f>IFERROR(__xludf.DUMMYFUNCTION("""COMPUTED_VALUE"""),"BF")</f>
        <v>BF</v>
      </c>
      <c r="N146" s="109">
        <f>IFERROR(__xludf.DUMMYFUNCTION("""COMPUTED_VALUE"""),0.8402833659045835)</f>
        <v>0.8402833659</v>
      </c>
      <c r="O146" s="71" t="str">
        <f>IFERROR(__xludf.DUMMYFUNCTION("""COMPUTED_VALUE"""),"")</f>
        <v/>
      </c>
      <c r="P146" s="71" t="str">
        <f>IFERROR(__xludf.DUMMYFUNCTION("""COMPUTED_VALUE"""),"")</f>
        <v/>
      </c>
      <c r="Q146" s="88" t="str">
        <f>IFERROR(__xludf.DUMMYFUNCTION("""COMPUTED_VALUE"""),"")</f>
        <v/>
      </c>
      <c r="R146" s="88" t="str">
        <f>IFERROR(__xludf.DUMMYFUNCTION("""COMPUTED_VALUE"""),"")</f>
        <v/>
      </c>
      <c r="S146" s="61" t="str">
        <f>IFERROR(__xludf.DUMMYFUNCTION("""COMPUTED_VALUE"""),"")</f>
        <v/>
      </c>
      <c r="T146" s="61" t="str">
        <f>IFERROR(__xludf.DUMMYFUNCTION("""COMPUTED_VALUE"""),"")</f>
        <v/>
      </c>
      <c r="U146" s="111" t="str">
        <f>IFERROR(__xludf.DUMMYFUNCTION("""COMPUTED_VALUE"""),"")</f>
        <v/>
      </c>
      <c r="V146" s="88" t="str">
        <f>IFERROR(__xludf.DUMMYFUNCTION("""COMPUTED_VALUE"""),"")</f>
        <v/>
      </c>
      <c r="W146" s="62" t="str">
        <f>IFERROR(__xludf.DUMMYFUNCTION("""COMPUTED_VALUE"""),"")</f>
        <v/>
      </c>
      <c r="X146" s="62" t="str">
        <f>IFERROR(__xludf.DUMMYFUNCTION("""COMPUTED_VALUE"""),"")</f>
        <v/>
      </c>
      <c r="Y146" s="109" t="str">
        <f>IFERROR(__xludf.DUMMYFUNCTION("""COMPUTED_VALUE"""),"")</f>
        <v/>
      </c>
      <c r="Z146" s="113" t="str">
        <f>IFERROR(__xludf.DUMMYFUNCTION("""COMPUTED_VALUE"""),"")</f>
        <v/>
      </c>
      <c r="AA146" s="113" t="str">
        <f>IFERROR(__xludf.DUMMYFUNCTION("""COMPUTED_VALUE"""),"")</f>
        <v/>
      </c>
      <c r="AB146" s="71" t="str">
        <f>IFERROR(__xludf.DUMMYFUNCTION("""COMPUTED_VALUE"""),"")</f>
        <v/>
      </c>
    </row>
    <row r="147">
      <c r="A147" s="105">
        <f>IFERROR(__xludf.DUMMYFUNCTION("""COMPUTED_VALUE"""),45950.56153375)</f>
        <v>45950.56153</v>
      </c>
      <c r="B147" s="71" t="str">
        <f>IFERROR(__xludf.DUMMYFUNCTION("""COMPUTED_VALUE"""),"Orpheus Wilson")</f>
        <v>Orpheus Wilson</v>
      </c>
      <c r="C147" s="71" t="b">
        <f>IFERROR(__xludf.DUMMYFUNCTION("""COMPUTED_VALUE"""),FALSE)</f>
        <v>0</v>
      </c>
      <c r="D147" s="132">
        <f>IFERROR(__xludf.DUMMYFUNCTION("""COMPUTED_VALUE"""),0.48472222222335404)</f>
        <v>0.4847222222</v>
      </c>
      <c r="E147" s="78">
        <f>IFERROR(__xludf.DUMMYFUNCTION("""COMPUTED_VALUE"""),0.07638888888322981)</f>
        <v>0.07638888888</v>
      </c>
      <c r="F147" s="132">
        <f>IFERROR(__xludf.DUMMYFUNCTION("""COMPUTED_VALUE"""),0.5611111111065838)</f>
        <v>0.5611111111</v>
      </c>
      <c r="G147" s="78">
        <f>IFERROR(__xludf.DUMMYFUNCTION("""COMPUTED_VALUE"""),0.07638888888322981)</f>
        <v>0.07638888888</v>
      </c>
      <c r="H147" s="110">
        <f>IFERROR(__xludf.DUMMYFUNCTION("""COMPUTED_VALUE"""),138.0)</f>
        <v>138</v>
      </c>
      <c r="I147" s="108">
        <f>IFERROR(__xludf.DUMMYFUNCTION("""COMPUTED_VALUE"""),75.27272727830366)</f>
        <v>75.27272728</v>
      </c>
      <c r="J147" s="71" t="str">
        <f>IFERROR(__xludf.DUMMYFUNCTION("""COMPUTED_VALUE"""),"Lunch")</f>
        <v>Lunch</v>
      </c>
      <c r="K147" s="106">
        <f>IFERROR(__xludf.DUMMYFUNCTION("""COMPUTED_VALUE"""),45950.0)</f>
        <v>45950</v>
      </c>
      <c r="L147" s="71" t="str">
        <f>IFERROR(__xludf.DUMMYFUNCTION("""COMPUTED_VALUE"""),"Monday")</f>
        <v>Monday</v>
      </c>
      <c r="M147" s="71" t="str">
        <f>IFERROR(__xludf.DUMMYFUNCTION("""COMPUTED_VALUE"""),"MF")</f>
        <v>MF</v>
      </c>
      <c r="N147" s="109">
        <f>IFERROR(__xludf.DUMMYFUNCTION("""COMPUTED_VALUE"""),1.5652845633675734)</f>
        <v>1.565284563</v>
      </c>
      <c r="O147" s="71" t="str">
        <f>IFERROR(__xludf.DUMMYFUNCTION("""COMPUTED_VALUE"""),"")</f>
        <v/>
      </c>
      <c r="P147" s="71" t="str">
        <f>IFERROR(__xludf.DUMMYFUNCTION("""COMPUTED_VALUE"""),"")</f>
        <v/>
      </c>
      <c r="Q147" s="88" t="str">
        <f>IFERROR(__xludf.DUMMYFUNCTION("""COMPUTED_VALUE"""),"")</f>
        <v/>
      </c>
      <c r="R147" s="88" t="str">
        <f>IFERROR(__xludf.DUMMYFUNCTION("""COMPUTED_VALUE"""),"")</f>
        <v/>
      </c>
      <c r="S147" s="61" t="str">
        <f>IFERROR(__xludf.DUMMYFUNCTION("""COMPUTED_VALUE"""),"")</f>
        <v/>
      </c>
      <c r="T147" s="61" t="str">
        <f>IFERROR(__xludf.DUMMYFUNCTION("""COMPUTED_VALUE"""),"")</f>
        <v/>
      </c>
      <c r="U147" s="111" t="str">
        <f>IFERROR(__xludf.DUMMYFUNCTION("""COMPUTED_VALUE"""),"")</f>
        <v/>
      </c>
      <c r="V147" s="88" t="str">
        <f>IFERROR(__xludf.DUMMYFUNCTION("""COMPUTED_VALUE"""),"")</f>
        <v/>
      </c>
      <c r="W147" s="62" t="str">
        <f>IFERROR(__xludf.DUMMYFUNCTION("""COMPUTED_VALUE"""),"")</f>
        <v/>
      </c>
      <c r="X147" s="62" t="str">
        <f>IFERROR(__xludf.DUMMYFUNCTION("""COMPUTED_VALUE"""),"")</f>
        <v/>
      </c>
      <c r="Y147" s="109" t="str">
        <f>IFERROR(__xludf.DUMMYFUNCTION("""COMPUTED_VALUE"""),"")</f>
        <v/>
      </c>
      <c r="Z147" s="113" t="str">
        <f>IFERROR(__xludf.DUMMYFUNCTION("""COMPUTED_VALUE"""),"")</f>
        <v/>
      </c>
      <c r="AA147" s="113" t="str">
        <f>IFERROR(__xludf.DUMMYFUNCTION("""COMPUTED_VALUE"""),"")</f>
        <v/>
      </c>
      <c r="AB147" s="71" t="str">
        <f>IFERROR(__xludf.DUMMYFUNCTION("""COMPUTED_VALUE"""),"")</f>
        <v/>
      </c>
    </row>
    <row r="148">
      <c r="A148" s="105">
        <f>IFERROR(__xludf.DUMMYFUNCTION("""COMPUTED_VALUE"""),45950.632575972224)</f>
        <v>45950.63258</v>
      </c>
      <c r="B148" s="71" t="str">
        <f>IFERROR(__xludf.DUMMYFUNCTION("""COMPUTED_VALUE"""),"Greta Traynor")</f>
        <v>Greta Traynor</v>
      </c>
      <c r="C148" s="71" t="b">
        <f>IFERROR(__xludf.DUMMYFUNCTION("""COMPUTED_VALUE"""),FALSE)</f>
        <v>0</v>
      </c>
      <c r="D148" s="132">
        <f>IFERROR(__xludf.DUMMYFUNCTION("""COMPUTED_VALUE"""),0.5638888888934162)</f>
        <v>0.5638888889</v>
      </c>
      <c r="E148" s="78">
        <f>IFERROR(__xludf.DUMMYFUNCTION("""COMPUTED_VALUE"""),0.06666666666569654)</f>
        <v>0.06666666667</v>
      </c>
      <c r="F148" s="132">
        <f>IFERROR(__xludf.DUMMYFUNCTION("""COMPUTED_VALUE"""),0.6305555555591127)</f>
        <v>0.6305555556</v>
      </c>
      <c r="G148" s="78">
        <f>IFERROR(__xludf.DUMMYFUNCTION("""COMPUTED_VALUE"""),0.06666666666569654)</f>
        <v>0.06666666667</v>
      </c>
      <c r="H148" s="110">
        <f>IFERROR(__xludf.DUMMYFUNCTION("""COMPUTED_VALUE"""),70.0)</f>
        <v>70</v>
      </c>
      <c r="I148" s="108">
        <f>IFERROR(__xludf.DUMMYFUNCTION("""COMPUTED_VALUE"""),43.750000000636646)</f>
        <v>43.75</v>
      </c>
      <c r="J148" s="71" t="str">
        <f>IFERROR(__xludf.DUMMYFUNCTION("""COMPUTED_VALUE"""),"Lunch")</f>
        <v>Lunch</v>
      </c>
      <c r="K148" s="106">
        <f>IFERROR(__xludf.DUMMYFUNCTION("""COMPUTED_VALUE"""),45950.0)</f>
        <v>45950</v>
      </c>
      <c r="L148" s="71" t="str">
        <f>IFERROR(__xludf.DUMMYFUNCTION("""COMPUTED_VALUE"""),"Monday")</f>
        <v>Monday</v>
      </c>
      <c r="M148" s="71" t="str">
        <f>IFERROR(__xludf.DUMMYFUNCTION("""COMPUTED_VALUE"""),"MF")</f>
        <v>MF</v>
      </c>
      <c r="N148" s="109">
        <f>IFERROR(__xludf.DUMMYFUNCTION("""COMPUTED_VALUE"""),0.9097743913958946)</f>
        <v>0.9097743914</v>
      </c>
      <c r="O148" s="71" t="str">
        <f>IFERROR(__xludf.DUMMYFUNCTION("""COMPUTED_VALUE"""),"")</f>
        <v/>
      </c>
      <c r="P148" s="71" t="str">
        <f>IFERROR(__xludf.DUMMYFUNCTION("""COMPUTED_VALUE"""),"")</f>
        <v/>
      </c>
      <c r="Q148" s="88" t="str">
        <f>IFERROR(__xludf.DUMMYFUNCTION("""COMPUTED_VALUE"""),"")</f>
        <v/>
      </c>
      <c r="R148" s="88" t="str">
        <f>IFERROR(__xludf.DUMMYFUNCTION("""COMPUTED_VALUE"""),"")</f>
        <v/>
      </c>
      <c r="S148" s="61" t="str">
        <f>IFERROR(__xludf.DUMMYFUNCTION("""COMPUTED_VALUE"""),"")</f>
        <v/>
      </c>
      <c r="T148" s="61" t="str">
        <f>IFERROR(__xludf.DUMMYFUNCTION("""COMPUTED_VALUE"""),"")</f>
        <v/>
      </c>
      <c r="U148" s="111" t="str">
        <f>IFERROR(__xludf.DUMMYFUNCTION("""COMPUTED_VALUE"""),"")</f>
        <v/>
      </c>
      <c r="V148" s="88" t="str">
        <f>IFERROR(__xludf.DUMMYFUNCTION("""COMPUTED_VALUE"""),"")</f>
        <v/>
      </c>
      <c r="W148" s="62" t="str">
        <f>IFERROR(__xludf.DUMMYFUNCTION("""COMPUTED_VALUE"""),"")</f>
        <v/>
      </c>
      <c r="X148" s="62" t="str">
        <f>IFERROR(__xludf.DUMMYFUNCTION("""COMPUTED_VALUE"""),"")</f>
        <v/>
      </c>
      <c r="Y148" s="109" t="str">
        <f>IFERROR(__xludf.DUMMYFUNCTION("""COMPUTED_VALUE"""),"")</f>
        <v/>
      </c>
      <c r="Z148" s="113" t="str">
        <f>IFERROR(__xludf.DUMMYFUNCTION("""COMPUTED_VALUE"""),"")</f>
        <v/>
      </c>
      <c r="AA148" s="113" t="str">
        <f>IFERROR(__xludf.DUMMYFUNCTION("""COMPUTED_VALUE"""),"")</f>
        <v/>
      </c>
      <c r="AB148" s="71" t="str">
        <f>IFERROR(__xludf.DUMMYFUNCTION("""COMPUTED_VALUE"""),"")</f>
        <v/>
      </c>
    </row>
    <row r="149">
      <c r="A149" s="105">
        <f>IFERROR(__xludf.DUMMYFUNCTION("""COMPUTED_VALUE"""),45950.65369207176)</f>
        <v>45950.65369</v>
      </c>
      <c r="B149" s="71" t="str">
        <f>IFERROR(__xludf.DUMMYFUNCTION("""COMPUTED_VALUE"""),"Emma Korsu")</f>
        <v>Emma Korsu</v>
      </c>
      <c r="C149" s="71" t="b">
        <f>IFERROR(__xludf.DUMMYFUNCTION("""COMPUTED_VALUE"""),FALSE)</f>
        <v>0</v>
      </c>
      <c r="D149" s="132">
        <f>IFERROR(__xludf.DUMMYFUNCTION("""COMPUTED_VALUE"""),0.5027777777795563)</f>
        <v>0.5027777778</v>
      </c>
      <c r="E149" s="78">
        <f>IFERROR(__xludf.DUMMYFUNCTION("""COMPUTED_VALUE"""),0.1500000000014552)</f>
        <v>0.15</v>
      </c>
      <c r="F149" s="132">
        <f>IFERROR(__xludf.DUMMYFUNCTION("""COMPUTED_VALUE"""),0.6527777777810115)</f>
        <v>0.6527777778</v>
      </c>
      <c r="G149" s="78">
        <f>IFERROR(__xludf.DUMMYFUNCTION("""COMPUTED_VALUE"""),0.1500000000014552)</f>
        <v>0.15</v>
      </c>
      <c r="H149" s="110">
        <f>IFERROR(__xludf.DUMMYFUNCTION("""COMPUTED_VALUE"""),161.0)</f>
        <v>161</v>
      </c>
      <c r="I149" s="108">
        <f>IFERROR(__xludf.DUMMYFUNCTION("""COMPUTED_VALUE"""),44.72222222178836)</f>
        <v>44.72222222</v>
      </c>
      <c r="J149" s="71" t="str">
        <f>IFERROR(__xludf.DUMMYFUNCTION("""COMPUTED_VALUE"""),"Lunch")</f>
        <v>Lunch</v>
      </c>
      <c r="K149" s="106">
        <f>IFERROR(__xludf.DUMMYFUNCTION("""COMPUTED_VALUE"""),45950.0)</f>
        <v>45950</v>
      </c>
      <c r="L149" s="71" t="str">
        <f>IFERROR(__xludf.DUMMYFUNCTION("""COMPUTED_VALUE"""),"Monday")</f>
        <v>Monday</v>
      </c>
      <c r="M149" s="71" t="str">
        <f>IFERROR(__xludf.DUMMYFUNCTION("""COMPUTED_VALUE"""),"BF")</f>
        <v>BF</v>
      </c>
      <c r="N149" s="109">
        <f>IFERROR(__xludf.DUMMYFUNCTION("""COMPUTED_VALUE"""),1.151722342319067)</f>
        <v>1.151722342</v>
      </c>
      <c r="O149" s="71" t="str">
        <f>IFERROR(__xludf.DUMMYFUNCTION("""COMPUTED_VALUE"""),"")</f>
        <v/>
      </c>
      <c r="P149" s="71" t="str">
        <f>IFERROR(__xludf.DUMMYFUNCTION("""COMPUTED_VALUE"""),"")</f>
        <v/>
      </c>
      <c r="Q149" s="88" t="str">
        <f>IFERROR(__xludf.DUMMYFUNCTION("""COMPUTED_VALUE"""),"")</f>
        <v/>
      </c>
      <c r="R149" s="88" t="str">
        <f>IFERROR(__xludf.DUMMYFUNCTION("""COMPUTED_VALUE"""),"")</f>
        <v/>
      </c>
      <c r="S149" s="61" t="str">
        <f>IFERROR(__xludf.DUMMYFUNCTION("""COMPUTED_VALUE"""),"")</f>
        <v/>
      </c>
      <c r="T149" s="61" t="str">
        <f>IFERROR(__xludf.DUMMYFUNCTION("""COMPUTED_VALUE"""),"")</f>
        <v/>
      </c>
      <c r="U149" s="111" t="str">
        <f>IFERROR(__xludf.DUMMYFUNCTION("""COMPUTED_VALUE"""),"")</f>
        <v/>
      </c>
      <c r="V149" s="88" t="str">
        <f>IFERROR(__xludf.DUMMYFUNCTION("""COMPUTED_VALUE"""),"")</f>
        <v/>
      </c>
      <c r="W149" s="62" t="str">
        <f>IFERROR(__xludf.DUMMYFUNCTION("""COMPUTED_VALUE"""),"")</f>
        <v/>
      </c>
      <c r="X149" s="62" t="str">
        <f>IFERROR(__xludf.DUMMYFUNCTION("""COMPUTED_VALUE"""),"")</f>
        <v/>
      </c>
      <c r="Y149" s="109" t="str">
        <f>IFERROR(__xludf.DUMMYFUNCTION("""COMPUTED_VALUE"""),"")</f>
        <v/>
      </c>
      <c r="Z149" s="113" t="str">
        <f>IFERROR(__xludf.DUMMYFUNCTION("""COMPUTED_VALUE"""),"")</f>
        <v/>
      </c>
      <c r="AA149" s="113" t="str">
        <f>IFERROR(__xludf.DUMMYFUNCTION("""COMPUTED_VALUE"""),"")</f>
        <v/>
      </c>
      <c r="AB149" s="71" t="str">
        <f>IFERROR(__xludf.DUMMYFUNCTION("""COMPUTED_VALUE"""),"")</f>
        <v/>
      </c>
    </row>
    <row r="150">
      <c r="A150" s="105">
        <f>IFERROR(__xludf.DUMMYFUNCTION("""COMPUTED_VALUE"""),45950.76611474537)</f>
        <v>45950.76611</v>
      </c>
      <c r="B150" s="71" t="str">
        <f>IFERROR(__xludf.DUMMYFUNCTION("""COMPUTED_VALUE"""),"Maureen Surgot")</f>
        <v>Maureen Surgot</v>
      </c>
      <c r="C150" s="71" t="b">
        <f>IFERROR(__xludf.DUMMYFUNCTION("""COMPUTED_VALUE"""),FALSE)</f>
        <v>0</v>
      </c>
      <c r="D150" s="132">
        <f>IFERROR(__xludf.DUMMYFUNCTION("""COMPUTED_VALUE"""),0.6666666666642413)</f>
        <v>0.6666666667</v>
      </c>
      <c r="E150" s="78">
        <f>IFERROR(__xludf.DUMMYFUNCTION("""COMPUTED_VALUE"""),0.1041666666715173)</f>
        <v>0.1041666667</v>
      </c>
      <c r="F150" s="132">
        <f>IFERROR(__xludf.DUMMYFUNCTION("""COMPUTED_VALUE"""),0.7708333333357587)</f>
        <v>0.7708333333</v>
      </c>
      <c r="G150" s="78">
        <f>IFERROR(__xludf.DUMMYFUNCTION("""COMPUTED_VALUE"""),0.1041666666715173)</f>
        <v>0.1041666667</v>
      </c>
      <c r="H150" s="110">
        <f>IFERROR(__xludf.DUMMYFUNCTION("""COMPUTED_VALUE"""),74.0)</f>
        <v>74</v>
      </c>
      <c r="I150" s="108">
        <f>IFERROR(__xludf.DUMMYFUNCTION("""COMPUTED_VALUE"""),29.59999999862164)</f>
        <v>29.6</v>
      </c>
      <c r="J150" s="71" t="str">
        <f>IFERROR(__xludf.DUMMYFUNCTION("""COMPUTED_VALUE"""),"Dinner")</f>
        <v>Dinner</v>
      </c>
      <c r="K150" s="106">
        <f>IFERROR(__xludf.DUMMYFUNCTION("""COMPUTED_VALUE"""),45950.0)</f>
        <v>45950</v>
      </c>
      <c r="L150" s="71" t="str">
        <f>IFERROR(__xludf.DUMMYFUNCTION("""COMPUTED_VALUE"""),"Monday")</f>
        <v>Monday</v>
      </c>
      <c r="M150" s="71" t="str">
        <f>IFERROR(__xludf.DUMMYFUNCTION("""COMPUTED_VALUE"""),"MF")</f>
        <v>MF</v>
      </c>
      <c r="N150" s="109">
        <f>IFERROR(__xludf.DUMMYFUNCTION("""COMPUTED_VALUE"""),0.5832675901694846)</f>
        <v>0.5832675902</v>
      </c>
      <c r="O150" s="71" t="str">
        <f>IFERROR(__xludf.DUMMYFUNCTION("""COMPUTED_VALUE"""),"")</f>
        <v/>
      </c>
      <c r="P150" s="71" t="str">
        <f>IFERROR(__xludf.DUMMYFUNCTION("""COMPUTED_VALUE"""),"")</f>
        <v/>
      </c>
      <c r="Q150" s="88" t="str">
        <f>IFERROR(__xludf.DUMMYFUNCTION("""COMPUTED_VALUE"""),"")</f>
        <v/>
      </c>
      <c r="R150" s="88" t="str">
        <f>IFERROR(__xludf.DUMMYFUNCTION("""COMPUTED_VALUE"""),"")</f>
        <v/>
      </c>
      <c r="S150" s="61" t="str">
        <f>IFERROR(__xludf.DUMMYFUNCTION("""COMPUTED_VALUE"""),"")</f>
        <v/>
      </c>
      <c r="T150" s="61" t="str">
        <f>IFERROR(__xludf.DUMMYFUNCTION("""COMPUTED_VALUE"""),"")</f>
        <v/>
      </c>
      <c r="U150" s="111" t="str">
        <f>IFERROR(__xludf.DUMMYFUNCTION("""COMPUTED_VALUE"""),"")</f>
        <v/>
      </c>
      <c r="V150" s="88" t="str">
        <f>IFERROR(__xludf.DUMMYFUNCTION("""COMPUTED_VALUE"""),"")</f>
        <v/>
      </c>
      <c r="W150" s="62" t="str">
        <f>IFERROR(__xludf.DUMMYFUNCTION("""COMPUTED_VALUE"""),"")</f>
        <v/>
      </c>
      <c r="X150" s="62" t="str">
        <f>IFERROR(__xludf.DUMMYFUNCTION("""COMPUTED_VALUE"""),"")</f>
        <v/>
      </c>
      <c r="Y150" s="109" t="str">
        <f>IFERROR(__xludf.DUMMYFUNCTION("""COMPUTED_VALUE"""),"")</f>
        <v/>
      </c>
      <c r="Z150" s="113" t="str">
        <f>IFERROR(__xludf.DUMMYFUNCTION("""COMPUTED_VALUE"""),"")</f>
        <v/>
      </c>
      <c r="AA150" s="113" t="str">
        <f>IFERROR(__xludf.DUMMYFUNCTION("""COMPUTED_VALUE"""),"")</f>
        <v/>
      </c>
      <c r="AB150" s="71" t="str">
        <f>IFERROR(__xludf.DUMMYFUNCTION("""COMPUTED_VALUE"""),"")</f>
        <v/>
      </c>
    </row>
    <row r="151">
      <c r="A151" s="105">
        <f>IFERROR(__xludf.DUMMYFUNCTION("""COMPUTED_VALUE"""),45950.88186332176)</f>
        <v>45950.88186</v>
      </c>
      <c r="B151" s="71" t="str">
        <f>IFERROR(__xludf.DUMMYFUNCTION("""COMPUTED_VALUE"""),"Laila Maisuria")</f>
        <v>Laila Maisuria</v>
      </c>
      <c r="C151" s="71" t="b">
        <f>IFERROR(__xludf.DUMMYFUNCTION("""COMPUTED_VALUE"""),FALSE)</f>
        <v>0</v>
      </c>
      <c r="D151" s="132">
        <f>IFERROR(__xludf.DUMMYFUNCTION("""COMPUTED_VALUE"""),0.7708333333357587)</f>
        <v>0.7708333333</v>
      </c>
      <c r="E151" s="78">
        <f>IFERROR(__xludf.DUMMYFUNCTION("""COMPUTED_VALUE"""),0.09722222221898846)</f>
        <v>0.09722222222</v>
      </c>
      <c r="F151" s="132">
        <f>IFERROR(__xludf.DUMMYFUNCTION("""COMPUTED_VALUE"""),0.8680555555547471)</f>
        <v>0.8680555556</v>
      </c>
      <c r="G151" s="78">
        <f>IFERROR(__xludf.DUMMYFUNCTION("""COMPUTED_VALUE"""),0.09722222221898846)</f>
        <v>0.09722222222</v>
      </c>
      <c r="H151" s="110">
        <f>IFERROR(__xludf.DUMMYFUNCTION("""COMPUTED_VALUE"""),86.0)</f>
        <v>86</v>
      </c>
      <c r="I151" s="108">
        <f>IFERROR(__xludf.DUMMYFUNCTION("""COMPUTED_VALUE"""),36.85714285836878)</f>
        <v>36.85714286</v>
      </c>
      <c r="J151" s="71" t="str">
        <f>IFERROR(__xludf.DUMMYFUNCTION("""COMPUTED_VALUE"""),"Dinner")</f>
        <v>Dinner</v>
      </c>
      <c r="K151" s="106">
        <f>IFERROR(__xludf.DUMMYFUNCTION("""COMPUTED_VALUE"""),45950.0)</f>
        <v>45950</v>
      </c>
      <c r="L151" s="71" t="str">
        <f>IFERROR(__xludf.DUMMYFUNCTION("""COMPUTED_VALUE"""),"Monday")</f>
        <v>Monday</v>
      </c>
      <c r="M151" s="71" t="str">
        <f>IFERROR(__xludf.DUMMYFUNCTION("""COMPUTED_VALUE"""),"MF")</f>
        <v>MF</v>
      </c>
      <c r="N151" s="109">
        <f>IFERROR(__xludf.DUMMYFUNCTION("""COMPUTED_VALUE"""),0.7262694897477787)</f>
        <v>0.7262694897</v>
      </c>
      <c r="O151" s="71" t="str">
        <f>IFERROR(__xludf.DUMMYFUNCTION("""COMPUTED_VALUE"""),"")</f>
        <v/>
      </c>
      <c r="P151" s="71" t="str">
        <f>IFERROR(__xludf.DUMMYFUNCTION("""COMPUTED_VALUE"""),"")</f>
        <v/>
      </c>
      <c r="Q151" s="88" t="str">
        <f>IFERROR(__xludf.DUMMYFUNCTION("""COMPUTED_VALUE"""),"")</f>
        <v/>
      </c>
      <c r="R151" s="88" t="str">
        <f>IFERROR(__xludf.DUMMYFUNCTION("""COMPUTED_VALUE"""),"")</f>
        <v/>
      </c>
      <c r="S151" s="61" t="str">
        <f>IFERROR(__xludf.DUMMYFUNCTION("""COMPUTED_VALUE"""),"")</f>
        <v/>
      </c>
      <c r="T151" s="61" t="str">
        <f>IFERROR(__xludf.DUMMYFUNCTION("""COMPUTED_VALUE"""),"")</f>
        <v/>
      </c>
      <c r="U151" s="111" t="str">
        <f>IFERROR(__xludf.DUMMYFUNCTION("""COMPUTED_VALUE"""),"")</f>
        <v/>
      </c>
      <c r="V151" s="88" t="str">
        <f>IFERROR(__xludf.DUMMYFUNCTION("""COMPUTED_VALUE"""),"")</f>
        <v/>
      </c>
      <c r="W151" s="62" t="str">
        <f>IFERROR(__xludf.DUMMYFUNCTION("""COMPUTED_VALUE"""),"")</f>
        <v/>
      </c>
      <c r="X151" s="62" t="str">
        <f>IFERROR(__xludf.DUMMYFUNCTION("""COMPUTED_VALUE"""),"")</f>
        <v/>
      </c>
      <c r="Y151" s="109" t="str">
        <f>IFERROR(__xludf.DUMMYFUNCTION("""COMPUTED_VALUE"""),"")</f>
        <v/>
      </c>
      <c r="Z151" s="113" t="str">
        <f>IFERROR(__xludf.DUMMYFUNCTION("""COMPUTED_VALUE"""),"")</f>
        <v/>
      </c>
      <c r="AA151" s="113" t="str">
        <f>IFERROR(__xludf.DUMMYFUNCTION("""COMPUTED_VALUE"""),"")</f>
        <v/>
      </c>
      <c r="AB151" s="71" t="str">
        <f>IFERROR(__xludf.DUMMYFUNCTION("""COMPUTED_VALUE"""),"")</f>
        <v/>
      </c>
    </row>
    <row r="152">
      <c r="A152" s="105">
        <f>IFERROR(__xludf.DUMMYFUNCTION("""COMPUTED_VALUE"""),45950.895965358795)</f>
        <v>45950.89597</v>
      </c>
      <c r="B152" s="71" t="str">
        <f>IFERROR(__xludf.DUMMYFUNCTION("""COMPUTED_VALUE"""),"Kaylie Forgue")</f>
        <v>Kaylie Forgue</v>
      </c>
      <c r="C152" s="71" t="b">
        <f>IFERROR(__xludf.DUMMYFUNCTION("""COMPUTED_VALUE"""),FALSE)</f>
        <v>0</v>
      </c>
      <c r="D152" s="132">
        <f>IFERROR(__xludf.DUMMYFUNCTION("""COMPUTED_VALUE"""),0.6888888888934162)</f>
        <v>0.6888888889</v>
      </c>
      <c r="E152" s="78">
        <f>IFERROR(__xludf.DUMMYFUNCTION("""COMPUTED_VALUE"""),0.17152777776937)</f>
        <v>0.1715277778</v>
      </c>
      <c r="F152" s="132">
        <f>IFERROR(__xludf.DUMMYFUNCTION("""COMPUTED_VALUE"""),0.8604166666627862)</f>
        <v>0.8604166667</v>
      </c>
      <c r="G152" s="78">
        <f>IFERROR(__xludf.DUMMYFUNCTION("""COMPUTED_VALUE"""),0.17152777776937)</f>
        <v>0.1715277778</v>
      </c>
      <c r="H152" s="110">
        <f>IFERROR(__xludf.DUMMYFUNCTION("""COMPUTED_VALUE"""),175.0)</f>
        <v>175</v>
      </c>
      <c r="I152" s="108">
        <f>IFERROR(__xludf.DUMMYFUNCTION("""COMPUTED_VALUE"""),42.5101214595736)</f>
        <v>42.51012146</v>
      </c>
      <c r="J152" s="71" t="str">
        <f>IFERROR(__xludf.DUMMYFUNCTION("""COMPUTED_VALUE"""),"Dinner")</f>
        <v>Dinner</v>
      </c>
      <c r="K152" s="106">
        <f>IFERROR(__xludf.DUMMYFUNCTION("""COMPUTED_VALUE"""),45950.0)</f>
        <v>45950</v>
      </c>
      <c r="L152" s="71" t="str">
        <f>IFERROR(__xludf.DUMMYFUNCTION("""COMPUTED_VALUE"""),"Monday")</f>
        <v>Monday</v>
      </c>
      <c r="M152" s="71" t="str">
        <f>IFERROR(__xludf.DUMMYFUNCTION("""COMPUTED_VALUE"""),"BF")</f>
        <v>BF</v>
      </c>
      <c r="N152" s="109">
        <f>IFERROR(__xludf.DUMMYFUNCTION("""COMPUTED_VALUE"""),1.0032246214805638)</f>
        <v>1.003224621</v>
      </c>
      <c r="O152" s="71">
        <f>IFERROR(__xludf.DUMMYFUNCTION("""COMPUTED_VALUE"""),368.0)</f>
        <v>368</v>
      </c>
      <c r="P152" s="71">
        <f>IFERROR(__xludf.DUMMYFUNCTION("""COMPUTED_VALUE"""),475.0)</f>
        <v>475</v>
      </c>
      <c r="Q152" s="88">
        <f>IFERROR(__xludf.DUMMYFUNCTION("""COMPUTED_VALUE"""),0.3444444444394321)</f>
        <v>0.3444444444</v>
      </c>
      <c r="R152" s="88">
        <f>IFERROR(__xludf.DUMMYFUNCTION("""COMPUTED_VALUE"""),0.5097222222165632)</f>
        <v>0.5097222222</v>
      </c>
      <c r="S152" s="61">
        <f>IFERROR(__xludf.DUMMYFUNCTION("""COMPUTED_VALUE"""),46.36996753398268)</f>
        <v>46.36996753</v>
      </c>
      <c r="T152" s="61">
        <f>IFERROR(__xludf.DUMMYFUNCTION("""COMPUTED_VALUE"""),39.707611236177485)</f>
        <v>39.70761124</v>
      </c>
      <c r="U152" s="111">
        <f>IFERROR(__xludf.DUMMYFUNCTION("""COMPUTED_VALUE"""),843.0)</f>
        <v>843</v>
      </c>
      <c r="V152" s="88">
        <f>IFERROR(__xludf.DUMMYFUNCTION("""COMPUTED_VALUE"""),0.8541666666559953)</f>
        <v>0.8541666667</v>
      </c>
      <c r="W152" s="62">
        <f>IFERROR(__xludf.DUMMYFUNCTION("""COMPUTED_VALUE"""),41.12195122002595)</f>
        <v>41.12195122</v>
      </c>
      <c r="X152" s="62">
        <f>IFERROR(__xludf.DUMMYFUNCTION("""COMPUTED_VALUE"""),43.038789385080086)</f>
        <v>43.03878939</v>
      </c>
      <c r="Y152" s="109">
        <f>IFERROR(__xludf.DUMMYFUNCTION("""COMPUTED_VALUE"""),0.9792389030609701)</f>
        <v>0.9792389031</v>
      </c>
      <c r="Z152" s="113">
        <f>IFERROR(__xludf.DUMMYFUNCTION("""COMPUTED_VALUE"""),3630.0)</f>
        <v>3630</v>
      </c>
      <c r="AA152" s="113">
        <f>IFERROR(__xludf.DUMMYFUNCTION("""COMPUTED_VALUE"""),4480.0)</f>
        <v>4480</v>
      </c>
      <c r="AB152" s="113">
        <f>IFERROR(__xludf.DUMMYFUNCTION("""COMPUTED_VALUE"""),8110.0)</f>
        <v>8110</v>
      </c>
    </row>
    <row r="153">
      <c r="A153" s="105">
        <f>IFERROR(__xludf.DUMMYFUNCTION("""COMPUTED_VALUE"""),45951.47829608797)</f>
        <v>45951.4783</v>
      </c>
      <c r="B153" s="71" t="str">
        <f>IFERROR(__xludf.DUMMYFUNCTION("""COMPUTED_VALUE"""),"Emmett Khan")</f>
        <v>Emmett Khan</v>
      </c>
      <c r="C153" s="71" t="b">
        <f>IFERROR(__xludf.DUMMYFUNCTION("""COMPUTED_VALUE"""),FALSE)</f>
        <v>0</v>
      </c>
      <c r="D153" s="132">
        <f>IFERROR(__xludf.DUMMYFUNCTION("""COMPUTED_VALUE"""),0.39583333333575865)</f>
        <v>0.3958333333</v>
      </c>
      <c r="E153" s="78">
        <f>IFERROR(__xludf.DUMMYFUNCTION("""COMPUTED_VALUE"""),0.0833333333284827)</f>
        <v>0.08333333333</v>
      </c>
      <c r="F153" s="132">
        <f>IFERROR(__xludf.DUMMYFUNCTION("""COMPUTED_VALUE"""),0.47916666666424135)</f>
        <v>0.4791666667</v>
      </c>
      <c r="G153" s="78">
        <f>IFERROR(__xludf.DUMMYFUNCTION("""COMPUTED_VALUE"""),0.0833333333284827)</f>
        <v>0.08333333333</v>
      </c>
      <c r="H153" s="110">
        <f>IFERROR(__xludf.DUMMYFUNCTION("""COMPUTED_VALUE"""),134.0)</f>
        <v>134</v>
      </c>
      <c r="I153" s="108">
        <f>IFERROR(__xludf.DUMMYFUNCTION("""COMPUTED_VALUE"""),67.00000000389991)</f>
        <v>67</v>
      </c>
      <c r="J153" s="71" t="str">
        <f>IFERROR(__xludf.DUMMYFUNCTION("""COMPUTED_VALUE"""),"Breakfast/Lunch")</f>
        <v>Breakfast/Lunch</v>
      </c>
      <c r="K153" s="106">
        <f>IFERROR(__xludf.DUMMYFUNCTION("""COMPUTED_VALUE"""),45951.0)</f>
        <v>45951</v>
      </c>
      <c r="L153" s="71" t="str">
        <f>IFERROR(__xludf.DUMMYFUNCTION("""COMPUTED_VALUE"""),"Tuesday")</f>
        <v>Tuesday</v>
      </c>
      <c r="M153" s="71" t="str">
        <f>IFERROR(__xludf.DUMMYFUNCTION("""COMPUTED_VALUE"""),"BF")</f>
        <v>BF</v>
      </c>
      <c r="N153" s="109">
        <f>IFERROR(__xludf.DUMMYFUNCTION("""COMPUTED_VALUE"""),1.1766190095910078)</f>
        <v>1.17661901</v>
      </c>
      <c r="O153" s="71" t="str">
        <f>IFERROR(__xludf.DUMMYFUNCTION("""COMPUTED_VALUE"""),"")</f>
        <v/>
      </c>
      <c r="P153" s="71" t="str">
        <f>IFERROR(__xludf.DUMMYFUNCTION("""COMPUTED_VALUE"""),"")</f>
        <v/>
      </c>
      <c r="Q153" s="88" t="str">
        <f>IFERROR(__xludf.DUMMYFUNCTION("""COMPUTED_VALUE"""),"")</f>
        <v/>
      </c>
      <c r="R153" s="88" t="str">
        <f>IFERROR(__xludf.DUMMYFUNCTION("""COMPUTED_VALUE"""),"")</f>
        <v/>
      </c>
      <c r="S153" s="61" t="str">
        <f>IFERROR(__xludf.DUMMYFUNCTION("""COMPUTED_VALUE"""),"")</f>
        <v/>
      </c>
      <c r="T153" s="61" t="str">
        <f>IFERROR(__xludf.DUMMYFUNCTION("""COMPUTED_VALUE"""),"")</f>
        <v/>
      </c>
      <c r="U153" s="111" t="str">
        <f>IFERROR(__xludf.DUMMYFUNCTION("""COMPUTED_VALUE"""),"")</f>
        <v/>
      </c>
      <c r="V153" s="88" t="str">
        <f>IFERROR(__xludf.DUMMYFUNCTION("""COMPUTED_VALUE"""),"")</f>
        <v/>
      </c>
      <c r="W153" s="62" t="str">
        <f>IFERROR(__xludf.DUMMYFUNCTION("""COMPUTED_VALUE"""),"")</f>
        <v/>
      </c>
      <c r="X153" s="62" t="str">
        <f>IFERROR(__xludf.DUMMYFUNCTION("""COMPUTED_VALUE"""),"")</f>
        <v/>
      </c>
      <c r="Y153" s="109" t="str">
        <f>IFERROR(__xludf.DUMMYFUNCTION("""COMPUTED_VALUE"""),"")</f>
        <v/>
      </c>
      <c r="Z153" s="113" t="str">
        <f>IFERROR(__xludf.DUMMYFUNCTION("""COMPUTED_VALUE"""),"")</f>
        <v/>
      </c>
      <c r="AA153" s="113" t="str">
        <f>IFERROR(__xludf.DUMMYFUNCTION("""COMPUTED_VALUE"""),"")</f>
        <v/>
      </c>
      <c r="AB153" s="71" t="str">
        <f>IFERROR(__xludf.DUMMYFUNCTION("""COMPUTED_VALUE"""),"")</f>
        <v/>
      </c>
    </row>
    <row r="154">
      <c r="A154" s="105">
        <f>IFERROR(__xludf.DUMMYFUNCTION("""COMPUTED_VALUE"""),45951.57807944444)</f>
        <v>45951.57808</v>
      </c>
      <c r="B154" s="71" t="str">
        <f>IFERROR(__xludf.DUMMYFUNCTION("""COMPUTED_VALUE"""),"Maureen Surgot")</f>
        <v>Maureen Surgot</v>
      </c>
      <c r="C154" s="71" t="b">
        <f>IFERROR(__xludf.DUMMYFUNCTION("""COMPUTED_VALUE"""),FALSE)</f>
        <v>0</v>
      </c>
      <c r="D154" s="132">
        <f>IFERROR(__xludf.DUMMYFUNCTION("""COMPUTED_VALUE"""),0.47916666666424135)</f>
        <v>0.4791666667</v>
      </c>
      <c r="E154" s="78">
        <f>IFERROR(__xludf.DUMMYFUNCTION("""COMPUTED_VALUE"""),0.1041666666715173)</f>
        <v>0.1041666667</v>
      </c>
      <c r="F154" s="132">
        <f>IFERROR(__xludf.DUMMYFUNCTION("""COMPUTED_VALUE"""),0.5833333333357587)</f>
        <v>0.5833333333</v>
      </c>
      <c r="G154" s="78">
        <f>IFERROR(__xludf.DUMMYFUNCTION("""COMPUTED_VALUE"""),0.1041666666715173)</f>
        <v>0.1041666667</v>
      </c>
      <c r="H154" s="110">
        <f>IFERROR(__xludf.DUMMYFUNCTION("""COMPUTED_VALUE"""),92.0)</f>
        <v>92</v>
      </c>
      <c r="I154" s="108">
        <f>IFERROR(__xludf.DUMMYFUNCTION("""COMPUTED_VALUE"""),36.79999999828637)</f>
        <v>36.8</v>
      </c>
      <c r="J154" s="71" t="str">
        <f>IFERROR(__xludf.DUMMYFUNCTION("""COMPUTED_VALUE"""),"Lunch")</f>
        <v>Lunch</v>
      </c>
      <c r="K154" s="106">
        <f>IFERROR(__xludf.DUMMYFUNCTION("""COMPUTED_VALUE"""),45951.0)</f>
        <v>45951</v>
      </c>
      <c r="L154" s="71" t="str">
        <f>IFERROR(__xludf.DUMMYFUNCTION("""COMPUTED_VALUE"""),"Tuesday")</f>
        <v>Tuesday</v>
      </c>
      <c r="M154" s="71" t="str">
        <f>IFERROR(__xludf.DUMMYFUNCTION("""COMPUTED_VALUE"""),"MF")</f>
        <v>MF</v>
      </c>
      <c r="N154" s="109">
        <f>IFERROR(__xludf.DUMMYFUNCTION("""COMPUTED_VALUE"""),0.7652502308873761)</f>
        <v>0.7652502309</v>
      </c>
      <c r="O154" s="71" t="str">
        <f>IFERROR(__xludf.DUMMYFUNCTION("""COMPUTED_VALUE"""),"")</f>
        <v/>
      </c>
      <c r="P154" s="71" t="str">
        <f>IFERROR(__xludf.DUMMYFUNCTION("""COMPUTED_VALUE"""),"")</f>
        <v/>
      </c>
      <c r="Q154" s="78" t="str">
        <f>IFERROR(__xludf.DUMMYFUNCTION("""COMPUTED_VALUE"""),"")</f>
        <v/>
      </c>
      <c r="R154" s="78" t="str">
        <f>IFERROR(__xludf.DUMMYFUNCTION("""COMPUTED_VALUE"""),"")</f>
        <v/>
      </c>
      <c r="S154" s="61" t="str">
        <f>IFERROR(__xludf.DUMMYFUNCTION("""COMPUTED_VALUE"""),"")</f>
        <v/>
      </c>
      <c r="T154" s="61" t="str">
        <f>IFERROR(__xludf.DUMMYFUNCTION("""COMPUTED_VALUE"""),"")</f>
        <v/>
      </c>
      <c r="U154" s="133" t="str">
        <f>IFERROR(__xludf.DUMMYFUNCTION("""COMPUTED_VALUE"""),"")</f>
        <v/>
      </c>
      <c r="V154" s="78" t="str">
        <f>IFERROR(__xludf.DUMMYFUNCTION("""COMPUTED_VALUE"""),"")</f>
        <v/>
      </c>
      <c r="W154" s="62" t="str">
        <f>IFERROR(__xludf.DUMMYFUNCTION("""COMPUTED_VALUE"""),"")</f>
        <v/>
      </c>
      <c r="X154" s="62" t="str">
        <f>IFERROR(__xludf.DUMMYFUNCTION("""COMPUTED_VALUE"""),"")</f>
        <v/>
      </c>
      <c r="Y154" s="109" t="str">
        <f>IFERROR(__xludf.DUMMYFUNCTION("""COMPUTED_VALUE"""),"")</f>
        <v/>
      </c>
      <c r="Z154" s="113" t="str">
        <f>IFERROR(__xludf.DUMMYFUNCTION("""COMPUTED_VALUE"""),"")</f>
        <v/>
      </c>
      <c r="AA154" s="113" t="str">
        <f>IFERROR(__xludf.DUMMYFUNCTION("""COMPUTED_VALUE"""),"")</f>
        <v/>
      </c>
      <c r="AB154" s="71" t="str">
        <f>IFERROR(__xludf.DUMMYFUNCTION("""COMPUTED_VALUE"""),"")</f>
        <v/>
      </c>
    </row>
    <row r="155">
      <c r="A155" s="105">
        <f>IFERROR(__xludf.DUMMYFUNCTION("""COMPUTED_VALUE"""),45951.65189869213)</f>
        <v>45951.6519</v>
      </c>
      <c r="B155" s="71" t="str">
        <f>IFERROR(__xludf.DUMMYFUNCTION("""COMPUTED_VALUE"""),"Brynn Hornig")</f>
        <v>Brynn Hornig</v>
      </c>
      <c r="C155" s="71" t="b">
        <f>IFERROR(__xludf.DUMMYFUNCTION("""COMPUTED_VALUE"""),FALSE)</f>
        <v>0</v>
      </c>
      <c r="D155" s="132">
        <f>IFERROR(__xludf.DUMMYFUNCTION("""COMPUTED_VALUE"""),0.5208333333357587)</f>
        <v>0.5208333333</v>
      </c>
      <c r="E155" s="78">
        <f>IFERROR(__xludf.DUMMYFUNCTION("""COMPUTED_VALUE"""),0.13541666666424135)</f>
        <v>0.1354166667</v>
      </c>
      <c r="F155" s="132">
        <f>IFERROR(__xludf.DUMMYFUNCTION("""COMPUTED_VALUE"""),0.65625)</f>
        <v>0.65625</v>
      </c>
      <c r="G155" s="78">
        <f>IFERROR(__xludf.DUMMYFUNCTION("""COMPUTED_VALUE"""),0.13541666666424135)</f>
        <v>0.1354166667</v>
      </c>
      <c r="H155" s="110">
        <f>IFERROR(__xludf.DUMMYFUNCTION("""COMPUTED_VALUE"""),113.0)</f>
        <v>113</v>
      </c>
      <c r="I155" s="108">
        <f>IFERROR(__xludf.DUMMYFUNCTION("""COMPUTED_VALUE"""),34.769230769853486)</f>
        <v>34.76923077</v>
      </c>
      <c r="J155" s="71" t="str">
        <f>IFERROR(__xludf.DUMMYFUNCTION("""COMPUTED_VALUE"""),"Lunch")</f>
        <v>Lunch</v>
      </c>
      <c r="K155" s="106">
        <f>IFERROR(__xludf.DUMMYFUNCTION("""COMPUTED_VALUE"""),45951.0)</f>
        <v>45951</v>
      </c>
      <c r="L155" s="71" t="str">
        <f>IFERROR(__xludf.DUMMYFUNCTION("""COMPUTED_VALUE"""),"Tuesday")</f>
        <v>Tuesday</v>
      </c>
      <c r="M155" s="71" t="str">
        <f>IFERROR(__xludf.DUMMYFUNCTION("""COMPUTED_VALUE"""),"BF")</f>
        <v>BF</v>
      </c>
      <c r="N155" s="109">
        <f>IFERROR(__xludf.DUMMYFUNCTION("""COMPUTED_VALUE"""),0.8954049667813339)</f>
        <v>0.8954049668</v>
      </c>
      <c r="O155" s="71" t="str">
        <f>IFERROR(__xludf.DUMMYFUNCTION("""COMPUTED_VALUE"""),"")</f>
        <v/>
      </c>
      <c r="P155" s="71" t="str">
        <f>IFERROR(__xludf.DUMMYFUNCTION("""COMPUTED_VALUE"""),"")</f>
        <v/>
      </c>
      <c r="Q155" s="78" t="str">
        <f>IFERROR(__xludf.DUMMYFUNCTION("""COMPUTED_VALUE"""),"")</f>
        <v/>
      </c>
      <c r="R155" s="78" t="str">
        <f>IFERROR(__xludf.DUMMYFUNCTION("""COMPUTED_VALUE"""),"")</f>
        <v/>
      </c>
      <c r="S155" s="61" t="str">
        <f>IFERROR(__xludf.DUMMYFUNCTION("""COMPUTED_VALUE"""),"")</f>
        <v/>
      </c>
      <c r="T155" s="61" t="str">
        <f>IFERROR(__xludf.DUMMYFUNCTION("""COMPUTED_VALUE"""),"")</f>
        <v/>
      </c>
      <c r="U155" s="133" t="str">
        <f>IFERROR(__xludf.DUMMYFUNCTION("""COMPUTED_VALUE"""),"")</f>
        <v/>
      </c>
      <c r="V155" s="78" t="str">
        <f>IFERROR(__xludf.DUMMYFUNCTION("""COMPUTED_VALUE"""),"")</f>
        <v/>
      </c>
      <c r="W155" s="62" t="str">
        <f>IFERROR(__xludf.DUMMYFUNCTION("""COMPUTED_VALUE"""),"")</f>
        <v/>
      </c>
      <c r="X155" s="62" t="str">
        <f>IFERROR(__xludf.DUMMYFUNCTION("""COMPUTED_VALUE"""),"")</f>
        <v/>
      </c>
      <c r="Y155" s="109" t="str">
        <f>IFERROR(__xludf.DUMMYFUNCTION("""COMPUTED_VALUE"""),"")</f>
        <v/>
      </c>
      <c r="Z155" s="113" t="str">
        <f>IFERROR(__xludf.DUMMYFUNCTION("""COMPUTED_VALUE"""),"")</f>
        <v/>
      </c>
      <c r="AA155" s="113" t="str">
        <f>IFERROR(__xludf.DUMMYFUNCTION("""COMPUTED_VALUE"""),"")</f>
        <v/>
      </c>
      <c r="AB155" s="71" t="str">
        <f>IFERROR(__xludf.DUMMYFUNCTION("""COMPUTED_VALUE"""),"")</f>
        <v/>
      </c>
    </row>
    <row r="156">
      <c r="A156" s="105">
        <f>IFERROR(__xludf.DUMMYFUNCTION("""COMPUTED_VALUE"""),45951.8662915162)</f>
        <v>45951.86629</v>
      </c>
      <c r="B156" s="71" t="str">
        <f>IFERROR(__xludf.DUMMYFUNCTION("""COMPUTED_VALUE"""),"Kaylie Forgue")</f>
        <v>Kaylie Forgue</v>
      </c>
      <c r="C156" s="71" t="b">
        <f>IFERROR(__xludf.DUMMYFUNCTION("""COMPUTED_VALUE"""),FALSE)</f>
        <v>0</v>
      </c>
      <c r="D156" s="132">
        <f>IFERROR(__xludf.DUMMYFUNCTION("""COMPUTED_VALUE"""),0.7881944444452529)</f>
        <v>0.7881944444</v>
      </c>
      <c r="E156" s="78">
        <f>IFERROR(__xludf.DUMMYFUNCTION("""COMPUTED_VALUE"""),0.07291666666424135)</f>
        <v>0.07291666666</v>
      </c>
      <c r="F156" s="132">
        <f>IFERROR(__xludf.DUMMYFUNCTION("""COMPUTED_VALUE"""),0.8611111111094942)</f>
        <v>0.8611111111</v>
      </c>
      <c r="G156" s="78">
        <f>IFERROR(__xludf.DUMMYFUNCTION("""COMPUTED_VALUE"""),0.07291666666424135)</f>
        <v>0.07291666666</v>
      </c>
      <c r="H156" s="110">
        <f>IFERROR(__xludf.DUMMYFUNCTION("""COMPUTED_VALUE"""),85.0)</f>
        <v>85</v>
      </c>
      <c r="I156" s="108">
        <f>IFERROR(__xludf.DUMMYFUNCTION("""COMPUTED_VALUE"""),48.57142857304413)</f>
        <v>48.57142857</v>
      </c>
      <c r="J156" s="71" t="str">
        <f>IFERROR(__xludf.DUMMYFUNCTION("""COMPUTED_VALUE"""),"Dinner")</f>
        <v>Dinner</v>
      </c>
      <c r="K156" s="106">
        <f>IFERROR(__xludf.DUMMYFUNCTION("""COMPUTED_VALUE"""),45951.0)</f>
        <v>45951</v>
      </c>
      <c r="L156" s="71" t="str">
        <f>IFERROR(__xludf.DUMMYFUNCTION("""COMPUTED_VALUE"""),"Tuesday")</f>
        <v>Tuesday</v>
      </c>
      <c r="M156" s="71" t="str">
        <f>IFERROR(__xludf.DUMMYFUNCTION("""COMPUTED_VALUE"""),"BF")</f>
        <v>BF</v>
      </c>
      <c r="N156" s="109">
        <f>IFERROR(__xludf.DUMMYFUNCTION("""COMPUTED_VALUE"""),1.1462694382395964)</f>
        <v>1.146269438</v>
      </c>
      <c r="O156" s="71">
        <f>IFERROR(__xludf.DUMMYFUNCTION("""COMPUTED_VALUE"""),92.0)</f>
        <v>92</v>
      </c>
      <c r="P156" s="71">
        <f>IFERROR(__xludf.DUMMYFUNCTION("""COMPUTED_VALUE"""),332.0)</f>
        <v>332</v>
      </c>
      <c r="Q156" s="78">
        <f>IFERROR(__xludf.DUMMYFUNCTION("""COMPUTED_VALUE"""),0.1041666666715173)</f>
        <v>0.1041666667</v>
      </c>
      <c r="R156" s="78">
        <f>IFERROR(__xludf.DUMMYFUNCTION("""COMPUTED_VALUE"""),0.2916666666569654)</f>
        <v>0.2916666667</v>
      </c>
      <c r="S156" s="61">
        <f>IFERROR(__xludf.DUMMYFUNCTION("""COMPUTED_VALUE"""),36.79999999828637)</f>
        <v>36.8</v>
      </c>
      <c r="T156" s="61">
        <f>IFERROR(__xludf.DUMMYFUNCTION("""COMPUTED_VALUE"""),50.11355311559918)</f>
        <v>50.11355312</v>
      </c>
      <c r="U156" s="133">
        <f>IFERROR(__xludf.DUMMYFUNCTION("""COMPUTED_VALUE"""),424.0)</f>
        <v>424</v>
      </c>
      <c r="V156" s="78">
        <f>IFERROR(__xludf.DUMMYFUNCTION("""COMPUTED_VALUE"""),0.3958333333284827)</f>
        <v>0.3958333333</v>
      </c>
      <c r="W156" s="62">
        <f>IFERROR(__xludf.DUMMYFUNCTION("""COMPUTED_VALUE"""),44.63157894791535)</f>
        <v>44.63157895</v>
      </c>
      <c r="X156" s="62">
        <f>IFERROR(__xludf.DUMMYFUNCTION("""COMPUTED_VALUE"""),46.78516483627097)</f>
        <v>46.78516484</v>
      </c>
      <c r="Y156" s="109">
        <f>IFERROR(__xludf.DUMMYFUNCTION("""COMPUTED_VALUE"""),0.9534191393663964)</f>
        <v>0.9534191394</v>
      </c>
      <c r="Z156" s="113">
        <f>IFERROR(__xludf.DUMMYFUNCTION("""COMPUTED_VALUE"""),4103.0)</f>
        <v>4103</v>
      </c>
      <c r="AA156" s="113">
        <f>IFERROR(__xludf.DUMMYFUNCTION("""COMPUTED_VALUE"""),3814.0)</f>
        <v>3814</v>
      </c>
      <c r="AB156" s="113">
        <f>IFERROR(__xludf.DUMMYFUNCTION("""COMPUTED_VALUE"""),7917.0)</f>
        <v>7917</v>
      </c>
    </row>
    <row r="157">
      <c r="A157" s="105">
        <f>IFERROR(__xludf.DUMMYFUNCTION("""COMPUTED_VALUE"""),45952.633233437504)</f>
        <v>45952.63323</v>
      </c>
      <c r="B157" s="71" t="str">
        <f>IFERROR(__xludf.DUMMYFUNCTION("""COMPUTED_VALUE"""),"Greta Traynor")</f>
        <v>Greta Traynor</v>
      </c>
      <c r="C157" s="71" t="b">
        <f>IFERROR(__xludf.DUMMYFUNCTION("""COMPUTED_VALUE"""),FALSE)</f>
        <v>0</v>
      </c>
      <c r="D157" s="132">
        <f>IFERROR(__xludf.DUMMYFUNCTION("""COMPUTED_VALUE"""),0.5645833333328483)</f>
        <v>0.5645833333</v>
      </c>
      <c r="E157" s="78">
        <f>IFERROR(__xludf.DUMMYFUNCTION("""COMPUTED_VALUE"""),0.06666666666569654)</f>
        <v>0.06666666667</v>
      </c>
      <c r="F157" s="132">
        <f>IFERROR(__xludf.DUMMYFUNCTION("""COMPUTED_VALUE"""),0.6312499999985448)</f>
        <v>0.63125</v>
      </c>
      <c r="G157" s="78">
        <f>IFERROR(__xludf.DUMMYFUNCTION("""COMPUTED_VALUE"""),0.06666666666569654)</f>
        <v>0.06666666667</v>
      </c>
      <c r="H157" s="110">
        <f>IFERROR(__xludf.DUMMYFUNCTION("""COMPUTED_VALUE"""),73.0)</f>
        <v>73</v>
      </c>
      <c r="I157" s="108">
        <f>IFERROR(__xludf.DUMMYFUNCTION("""COMPUTED_VALUE"""),45.62500000066393)</f>
        <v>45.625</v>
      </c>
      <c r="J157" s="71" t="str">
        <f>IFERROR(__xludf.DUMMYFUNCTION("""COMPUTED_VALUE"""),"Lunch")</f>
        <v>Lunch</v>
      </c>
      <c r="K157" s="106">
        <f>IFERROR(__xludf.DUMMYFUNCTION("""COMPUTED_VALUE"""),45952.0)</f>
        <v>45952</v>
      </c>
      <c r="L157" s="71" t="str">
        <f>IFERROR(__xludf.DUMMYFUNCTION("""COMPUTED_VALUE"""),"Wednesday")</f>
        <v>Wednesday</v>
      </c>
      <c r="M157" s="71" t="str">
        <f>IFERROR(__xludf.DUMMYFUNCTION("""COMPUTED_VALUE"""),"MF")</f>
        <v>MF</v>
      </c>
      <c r="N157" s="109">
        <f>IFERROR(__xludf.DUMMYFUNCTION("""COMPUTED_VALUE"""),0.9487647224557186)</f>
        <v>0.9487647225</v>
      </c>
      <c r="O157" s="71" t="str">
        <f>IFERROR(__xludf.DUMMYFUNCTION("""COMPUTED_VALUE"""),"")</f>
        <v/>
      </c>
      <c r="P157" s="71" t="str">
        <f>IFERROR(__xludf.DUMMYFUNCTION("""COMPUTED_VALUE"""),"")</f>
        <v/>
      </c>
      <c r="Q157" s="78" t="str">
        <f>IFERROR(__xludf.DUMMYFUNCTION("""COMPUTED_VALUE"""),"")</f>
        <v/>
      </c>
      <c r="R157" s="78" t="str">
        <f>IFERROR(__xludf.DUMMYFUNCTION("""COMPUTED_VALUE"""),"")</f>
        <v/>
      </c>
      <c r="S157" s="61" t="str">
        <f>IFERROR(__xludf.DUMMYFUNCTION("""COMPUTED_VALUE"""),"")</f>
        <v/>
      </c>
      <c r="T157" s="61" t="str">
        <f>IFERROR(__xludf.DUMMYFUNCTION("""COMPUTED_VALUE"""),"")</f>
        <v/>
      </c>
      <c r="U157" s="133" t="str">
        <f>IFERROR(__xludf.DUMMYFUNCTION("""COMPUTED_VALUE"""),"")</f>
        <v/>
      </c>
      <c r="V157" s="78" t="str">
        <f>IFERROR(__xludf.DUMMYFUNCTION("""COMPUTED_VALUE"""),"")</f>
        <v/>
      </c>
      <c r="W157" s="62" t="str">
        <f>IFERROR(__xludf.DUMMYFUNCTION("""COMPUTED_VALUE"""),"")</f>
        <v/>
      </c>
      <c r="X157" s="62" t="str">
        <f>IFERROR(__xludf.DUMMYFUNCTION("""COMPUTED_VALUE"""),"")</f>
        <v/>
      </c>
      <c r="Y157" s="109" t="str">
        <f>IFERROR(__xludf.DUMMYFUNCTION("""COMPUTED_VALUE"""),"")</f>
        <v/>
      </c>
      <c r="Z157" s="113" t="str">
        <f>IFERROR(__xludf.DUMMYFUNCTION("""COMPUTED_VALUE"""),"")</f>
        <v/>
      </c>
      <c r="AA157" s="113" t="str">
        <f>IFERROR(__xludf.DUMMYFUNCTION("""COMPUTED_VALUE"""),"")</f>
        <v/>
      </c>
      <c r="AB157" s="71" t="str">
        <f>IFERROR(__xludf.DUMMYFUNCTION("""COMPUTED_VALUE"""),"")</f>
        <v/>
      </c>
    </row>
    <row r="158">
      <c r="A158" s="105">
        <f>IFERROR(__xludf.DUMMYFUNCTION("""COMPUTED_VALUE"""),45952.65583478009)</f>
        <v>45952.65583</v>
      </c>
      <c r="B158" s="71" t="str">
        <f>IFERROR(__xludf.DUMMYFUNCTION("""COMPUTED_VALUE"""),"Sarah Wilme")</f>
        <v>Sarah Wilme</v>
      </c>
      <c r="C158" s="71" t="b">
        <f>IFERROR(__xludf.DUMMYFUNCTION("""COMPUTED_VALUE"""),FALSE)</f>
        <v>0</v>
      </c>
      <c r="D158" s="132">
        <f>IFERROR(__xludf.DUMMYFUNCTION("""COMPUTED_VALUE"""),0.5208333333357587)</f>
        <v>0.5208333333</v>
      </c>
      <c r="E158" s="78">
        <f>IFERROR(__xludf.DUMMYFUNCTION("""COMPUTED_VALUE"""),0.13472222221753327)</f>
        <v>0.1347222222</v>
      </c>
      <c r="F158" s="132">
        <f>IFERROR(__xludf.DUMMYFUNCTION("""COMPUTED_VALUE"""),0.6555555555532919)</f>
        <v>0.6555555556</v>
      </c>
      <c r="G158" s="78">
        <f>IFERROR(__xludf.DUMMYFUNCTION("""COMPUTED_VALUE"""),0.13472222221753327)</f>
        <v>0.1347222222</v>
      </c>
      <c r="H158" s="110">
        <f>IFERROR(__xludf.DUMMYFUNCTION("""COMPUTED_VALUE"""),125.0)</f>
        <v>125</v>
      </c>
      <c r="I158" s="108">
        <f>IFERROR(__xludf.DUMMYFUNCTION("""COMPUTED_VALUE"""),38.65979381577853)</f>
        <v>38.65979382</v>
      </c>
      <c r="J158" s="71" t="str">
        <f>IFERROR(__xludf.DUMMYFUNCTION("""COMPUTED_VALUE"""),"Lunch")</f>
        <v>Lunch</v>
      </c>
      <c r="K158" s="106">
        <f>IFERROR(__xludf.DUMMYFUNCTION("""COMPUTED_VALUE"""),45952.0)</f>
        <v>45952</v>
      </c>
      <c r="L158" s="71" t="str">
        <f>IFERROR(__xludf.DUMMYFUNCTION("""COMPUTED_VALUE"""),"Wednesday")</f>
        <v>Wednesday</v>
      </c>
      <c r="M158" s="71" t="str">
        <f>IFERROR(__xludf.DUMMYFUNCTION("""COMPUTED_VALUE"""),"BF")</f>
        <v>BF</v>
      </c>
      <c r="N158" s="109">
        <f>IFERROR(__xludf.DUMMYFUNCTION("""COMPUTED_VALUE"""),0.9955978499071136)</f>
        <v>0.9955978499</v>
      </c>
      <c r="O158" s="71" t="str">
        <f>IFERROR(__xludf.DUMMYFUNCTION("""COMPUTED_VALUE"""),"")</f>
        <v/>
      </c>
      <c r="P158" s="71" t="str">
        <f>IFERROR(__xludf.DUMMYFUNCTION("""COMPUTED_VALUE"""),"")</f>
        <v/>
      </c>
      <c r="Q158" s="78" t="str">
        <f>IFERROR(__xludf.DUMMYFUNCTION("""COMPUTED_VALUE"""),"")</f>
        <v/>
      </c>
      <c r="R158" s="78" t="str">
        <f>IFERROR(__xludf.DUMMYFUNCTION("""COMPUTED_VALUE"""),"")</f>
        <v/>
      </c>
      <c r="S158" s="61" t="str">
        <f>IFERROR(__xludf.DUMMYFUNCTION("""COMPUTED_VALUE"""),"")</f>
        <v/>
      </c>
      <c r="T158" s="61" t="str">
        <f>IFERROR(__xludf.DUMMYFUNCTION("""COMPUTED_VALUE"""),"")</f>
        <v/>
      </c>
      <c r="U158" s="133" t="str">
        <f>IFERROR(__xludf.DUMMYFUNCTION("""COMPUTED_VALUE"""),"")</f>
        <v/>
      </c>
      <c r="V158" s="78" t="str">
        <f>IFERROR(__xludf.DUMMYFUNCTION("""COMPUTED_VALUE"""),"")</f>
        <v/>
      </c>
      <c r="W158" s="62" t="str">
        <f>IFERROR(__xludf.DUMMYFUNCTION("""COMPUTED_VALUE"""),"")</f>
        <v/>
      </c>
      <c r="X158" s="62" t="str">
        <f>IFERROR(__xludf.DUMMYFUNCTION("""COMPUTED_VALUE"""),"")</f>
        <v/>
      </c>
      <c r="Y158" s="109" t="str">
        <f>IFERROR(__xludf.DUMMYFUNCTION("""COMPUTED_VALUE"""),"")</f>
        <v/>
      </c>
      <c r="Z158" s="113" t="str">
        <f>IFERROR(__xludf.DUMMYFUNCTION("""COMPUTED_VALUE"""),"")</f>
        <v/>
      </c>
      <c r="AA158" s="113" t="str">
        <f>IFERROR(__xludf.DUMMYFUNCTION("""COMPUTED_VALUE"""),"")</f>
        <v/>
      </c>
      <c r="AB158" s="71" t="str">
        <f>IFERROR(__xludf.DUMMYFUNCTION("""COMPUTED_VALUE"""),"")</f>
        <v/>
      </c>
    </row>
    <row r="159">
      <c r="A159" s="105">
        <f>IFERROR(__xludf.DUMMYFUNCTION("""COMPUTED_VALUE"""),45952.754779097224)</f>
        <v>45952.75478</v>
      </c>
      <c r="B159" s="71" t="str">
        <f>IFERROR(__xludf.DUMMYFUNCTION("""COMPUTED_VALUE"""),"Orpheus Wilson")</f>
        <v>Orpheus Wilson</v>
      </c>
      <c r="C159" s="71" t="b">
        <f>IFERROR(__xludf.DUMMYFUNCTION("""COMPUTED_VALUE"""),FALSE)</f>
        <v>0</v>
      </c>
      <c r="D159" s="132">
        <f>IFERROR(__xludf.DUMMYFUNCTION("""COMPUTED_VALUE"""),0.6902777777795563)</f>
        <v>0.6902777778</v>
      </c>
      <c r="E159" s="78">
        <f>IFERROR(__xludf.DUMMYFUNCTION("""COMPUTED_VALUE"""),0.05486111110803904)</f>
        <v>0.05486111111</v>
      </c>
      <c r="F159" s="132">
        <f>IFERROR(__xludf.DUMMYFUNCTION("""COMPUTED_VALUE"""),0.7451388888875954)</f>
        <v>0.7451388889</v>
      </c>
      <c r="G159" s="78">
        <f>IFERROR(__xludf.DUMMYFUNCTION("""COMPUTED_VALUE"""),0.05486111110803904)</f>
        <v>0.05486111111</v>
      </c>
      <c r="H159" s="110">
        <f>IFERROR(__xludf.DUMMYFUNCTION("""COMPUTED_VALUE"""),99.0)</f>
        <v>99</v>
      </c>
      <c r="I159" s="108">
        <f>IFERROR(__xludf.DUMMYFUNCTION("""COMPUTED_VALUE"""),75.18987342193195)</f>
        <v>75.18987342</v>
      </c>
      <c r="J159" s="71" t="str">
        <f>IFERROR(__xludf.DUMMYFUNCTION("""COMPUTED_VALUE"""),"Dinner")</f>
        <v>Dinner</v>
      </c>
      <c r="K159" s="106">
        <f>IFERROR(__xludf.DUMMYFUNCTION("""COMPUTED_VALUE"""),45952.0)</f>
        <v>45952</v>
      </c>
      <c r="L159" s="71" t="str">
        <f>IFERROR(__xludf.DUMMYFUNCTION("""COMPUTED_VALUE"""),"Wednesday")</f>
        <v>Wednesday</v>
      </c>
      <c r="M159" s="71" t="str">
        <f>IFERROR(__xludf.DUMMYFUNCTION("""COMPUTED_VALUE"""),"MF")</f>
        <v>MF</v>
      </c>
      <c r="N159" s="109">
        <f>IFERROR(__xludf.DUMMYFUNCTION("""COMPUTED_VALUE"""),1.481615414797332)</f>
        <v>1.481615415</v>
      </c>
      <c r="O159" s="71" t="str">
        <f>IFERROR(__xludf.DUMMYFUNCTION("""COMPUTED_VALUE"""),"")</f>
        <v/>
      </c>
      <c r="P159" s="71" t="str">
        <f>IFERROR(__xludf.DUMMYFUNCTION("""COMPUTED_VALUE"""),"")</f>
        <v/>
      </c>
      <c r="Q159" s="78" t="str">
        <f>IFERROR(__xludf.DUMMYFUNCTION("""COMPUTED_VALUE"""),"")</f>
        <v/>
      </c>
      <c r="R159" s="78" t="str">
        <f>IFERROR(__xludf.DUMMYFUNCTION("""COMPUTED_VALUE"""),"")</f>
        <v/>
      </c>
      <c r="S159" s="61" t="str">
        <f>IFERROR(__xludf.DUMMYFUNCTION("""COMPUTED_VALUE"""),"")</f>
        <v/>
      </c>
      <c r="T159" s="61" t="str">
        <f>IFERROR(__xludf.DUMMYFUNCTION("""COMPUTED_VALUE"""),"")</f>
        <v/>
      </c>
      <c r="U159" s="133" t="str">
        <f>IFERROR(__xludf.DUMMYFUNCTION("""COMPUTED_VALUE"""),"")</f>
        <v/>
      </c>
      <c r="V159" s="78" t="str">
        <f>IFERROR(__xludf.DUMMYFUNCTION("""COMPUTED_VALUE"""),"")</f>
        <v/>
      </c>
      <c r="W159" s="62" t="str">
        <f>IFERROR(__xludf.DUMMYFUNCTION("""COMPUTED_VALUE"""),"")</f>
        <v/>
      </c>
      <c r="X159" s="62" t="str">
        <f>IFERROR(__xludf.DUMMYFUNCTION("""COMPUTED_VALUE"""),"")</f>
        <v/>
      </c>
      <c r="Y159" s="109" t="str">
        <f>IFERROR(__xludf.DUMMYFUNCTION("""COMPUTED_VALUE"""),"")</f>
        <v/>
      </c>
      <c r="Z159" s="113" t="str">
        <f>IFERROR(__xludf.DUMMYFUNCTION("""COMPUTED_VALUE"""),"")</f>
        <v/>
      </c>
      <c r="AA159" s="113" t="str">
        <f>IFERROR(__xludf.DUMMYFUNCTION("""COMPUTED_VALUE"""),"")</f>
        <v/>
      </c>
      <c r="AB159" s="71" t="str">
        <f>IFERROR(__xludf.DUMMYFUNCTION("""COMPUTED_VALUE"""),"")</f>
        <v/>
      </c>
    </row>
    <row r="160">
      <c r="A160" s="105">
        <f>IFERROR(__xludf.DUMMYFUNCTION("""COMPUTED_VALUE"""),45952.86215417824)</f>
        <v>45952.86215</v>
      </c>
      <c r="B160" s="71" t="str">
        <f>IFERROR(__xludf.DUMMYFUNCTION("""COMPUTED_VALUE"""),"Emma Korsu")</f>
        <v>Emma Korsu</v>
      </c>
      <c r="C160" s="71" t="b">
        <f>IFERROR(__xludf.DUMMYFUNCTION("""COMPUTED_VALUE"""),FALSE)</f>
        <v>0</v>
      </c>
      <c r="D160" s="132">
        <f>IFERROR(__xludf.DUMMYFUNCTION("""COMPUTED_VALUE"""),0.75)</f>
        <v>0.75</v>
      </c>
      <c r="E160" s="78">
        <f>IFERROR(__xludf.DUMMYFUNCTION("""COMPUTED_VALUE"""),0.11111111110949423)</f>
        <v>0.1111111111</v>
      </c>
      <c r="F160" s="132">
        <f>IFERROR(__xludf.DUMMYFUNCTION("""COMPUTED_VALUE"""),0.8611111111094942)</f>
        <v>0.8611111111</v>
      </c>
      <c r="G160" s="78">
        <f>IFERROR(__xludf.DUMMYFUNCTION("""COMPUTED_VALUE"""),0.11111111110949423)</f>
        <v>0.1111111111</v>
      </c>
      <c r="H160" s="110">
        <f>IFERROR(__xludf.DUMMYFUNCTION("""COMPUTED_VALUE"""),183.0)</f>
        <v>183</v>
      </c>
      <c r="I160" s="108">
        <f>IFERROR(__xludf.DUMMYFUNCTION("""COMPUTED_VALUE"""),68.62500000099863)</f>
        <v>68.625</v>
      </c>
      <c r="J160" s="71" t="str">
        <f>IFERROR(__xludf.DUMMYFUNCTION("""COMPUTED_VALUE"""),"Dinner")</f>
        <v>Dinner</v>
      </c>
      <c r="K160" s="106">
        <f>IFERROR(__xludf.DUMMYFUNCTION("""COMPUTED_VALUE"""),45952.0)</f>
        <v>45952</v>
      </c>
      <c r="L160" s="71" t="str">
        <f>IFERROR(__xludf.DUMMYFUNCTION("""COMPUTED_VALUE"""),"Wednesday")</f>
        <v>Wednesday</v>
      </c>
      <c r="M160" s="71" t="str">
        <f>IFERROR(__xludf.DUMMYFUNCTION("""COMPUTED_VALUE"""),"BF")</f>
        <v>BF</v>
      </c>
      <c r="N160" s="109">
        <f>IFERROR(__xludf.DUMMYFUNCTION("""COMPUTED_VALUE"""),1.6195270040707173)</f>
        <v>1.619527004</v>
      </c>
      <c r="O160" s="71" t="str">
        <f>IFERROR(__xludf.DUMMYFUNCTION("""COMPUTED_VALUE"""),"")</f>
        <v/>
      </c>
      <c r="P160" s="71" t="str">
        <f>IFERROR(__xludf.DUMMYFUNCTION("""COMPUTED_VALUE"""),"")</f>
        <v/>
      </c>
      <c r="Q160" s="78" t="str">
        <f>IFERROR(__xludf.DUMMYFUNCTION("""COMPUTED_VALUE"""),"")</f>
        <v/>
      </c>
      <c r="R160" s="78" t="str">
        <f>IFERROR(__xludf.DUMMYFUNCTION("""COMPUTED_VALUE"""),"")</f>
        <v/>
      </c>
      <c r="S160" s="61" t="str">
        <f>IFERROR(__xludf.DUMMYFUNCTION("""COMPUTED_VALUE"""),"")</f>
        <v/>
      </c>
      <c r="T160" s="61" t="str">
        <f>IFERROR(__xludf.DUMMYFUNCTION("""COMPUTED_VALUE"""),"")</f>
        <v/>
      </c>
      <c r="U160" s="133" t="str">
        <f>IFERROR(__xludf.DUMMYFUNCTION("""COMPUTED_VALUE"""),"")</f>
        <v/>
      </c>
      <c r="V160" s="78" t="str">
        <f>IFERROR(__xludf.DUMMYFUNCTION("""COMPUTED_VALUE"""),"")</f>
        <v/>
      </c>
      <c r="W160" s="62" t="str">
        <f>IFERROR(__xludf.DUMMYFUNCTION("""COMPUTED_VALUE"""),"")</f>
        <v/>
      </c>
      <c r="X160" s="62" t="str">
        <f>IFERROR(__xludf.DUMMYFUNCTION("""COMPUTED_VALUE"""),"")</f>
        <v/>
      </c>
      <c r="Y160" s="109" t="str">
        <f>IFERROR(__xludf.DUMMYFUNCTION("""COMPUTED_VALUE"""),"")</f>
        <v/>
      </c>
      <c r="Z160" s="113" t="str">
        <f>IFERROR(__xludf.DUMMYFUNCTION("""COMPUTED_VALUE"""),"")</f>
        <v/>
      </c>
      <c r="AA160" s="113" t="str">
        <f>IFERROR(__xludf.DUMMYFUNCTION("""COMPUTED_VALUE"""),"")</f>
        <v/>
      </c>
      <c r="AB160" s="71" t="str">
        <f>IFERROR(__xludf.DUMMYFUNCTION("""COMPUTED_VALUE"""),"")</f>
        <v/>
      </c>
    </row>
    <row r="161">
      <c r="A161" s="105">
        <f>IFERROR(__xludf.DUMMYFUNCTION("""COMPUTED_VALUE"""),45952.89637320602)</f>
        <v>45952.89637</v>
      </c>
      <c r="B161" s="71" t="str">
        <f>IFERROR(__xludf.DUMMYFUNCTION("""COMPUTED_VALUE"""),"Kaylie Forgue")</f>
        <v>Kaylie Forgue</v>
      </c>
      <c r="C161" s="71" t="b">
        <f>IFERROR(__xludf.DUMMYFUNCTION("""COMPUTED_VALUE"""),FALSE)</f>
        <v>0</v>
      </c>
      <c r="D161" s="132">
        <f>IFERROR(__xludf.DUMMYFUNCTION("""COMPUTED_VALUE"""),0.7472222222204437)</f>
        <v>0.7472222222</v>
      </c>
      <c r="E161" s="78">
        <f>IFERROR(__xludf.DUMMYFUNCTION("""COMPUTED_VALUE"""),0.12013888889487134)</f>
        <v>0.1201388889</v>
      </c>
      <c r="F161" s="132">
        <f>IFERROR(__xludf.DUMMYFUNCTION("""COMPUTED_VALUE"""),0.867361111115315)</f>
        <v>0.8673611111</v>
      </c>
      <c r="G161" s="78">
        <f>IFERROR(__xludf.DUMMYFUNCTION("""COMPUTED_VALUE"""),0.12013888889487134)</f>
        <v>0.1201388889</v>
      </c>
      <c r="H161" s="110">
        <f>IFERROR(__xludf.DUMMYFUNCTION("""COMPUTED_VALUE"""),174.0)</f>
        <v>174</v>
      </c>
      <c r="I161" s="108">
        <f>IFERROR(__xludf.DUMMYFUNCTION("""COMPUTED_VALUE"""),60.346820806243514)</f>
        <v>60.34682081</v>
      </c>
      <c r="J161" s="71" t="str">
        <f>IFERROR(__xludf.DUMMYFUNCTION("""COMPUTED_VALUE"""),"Dinner")</f>
        <v>Dinner</v>
      </c>
      <c r="K161" s="106">
        <f>IFERROR(__xludf.DUMMYFUNCTION("""COMPUTED_VALUE"""),45952.0)</f>
        <v>45952</v>
      </c>
      <c r="L161" s="71" t="str">
        <f>IFERROR(__xludf.DUMMYFUNCTION("""COMPUTED_VALUE"""),"Wednesday")</f>
        <v>Wednesday</v>
      </c>
      <c r="M161" s="71" t="str">
        <f>IFERROR(__xludf.DUMMYFUNCTION("""COMPUTED_VALUE"""),"MF")</f>
        <v>MF</v>
      </c>
      <c r="N161" s="109">
        <f>IFERROR(__xludf.DUMMYFUNCTION("""COMPUTED_VALUE"""),1.1891332685029197)</f>
        <v>1.189133269</v>
      </c>
      <c r="O161" s="71">
        <f>IFERROR(__xludf.DUMMYFUNCTION("""COMPUTED_VALUE"""),346.0)</f>
        <v>346</v>
      </c>
      <c r="P161" s="71">
        <f>IFERROR(__xludf.DUMMYFUNCTION("""COMPUTED_VALUE"""),308.0)</f>
        <v>308</v>
      </c>
      <c r="Q161" s="78">
        <f>IFERROR(__xludf.DUMMYFUNCTION("""COMPUTED_VALUE"""),0.24166666666860692)</f>
        <v>0.2416666667</v>
      </c>
      <c r="R161" s="78">
        <f>IFERROR(__xludf.DUMMYFUNCTION("""COMPUTED_VALUE"""),0.2458333333270275)</f>
        <v>0.2458333333</v>
      </c>
      <c r="S161" s="61">
        <f>IFERROR(__xludf.DUMMYFUNCTION("""COMPUTED_VALUE"""),60.38723140961313)</f>
        <v>60.38723141</v>
      </c>
      <c r="T161" s="61">
        <f>IFERROR(__xludf.DUMMYFUNCTION("""COMPUTED_VALUE"""),53.64239690838858)</f>
        <v>53.64239691</v>
      </c>
      <c r="U161" s="133">
        <f>IFERROR(__xludf.DUMMYFUNCTION("""COMPUTED_VALUE"""),654.0)</f>
        <v>654</v>
      </c>
      <c r="V161" s="78">
        <f>IFERROR(__xludf.DUMMYFUNCTION("""COMPUTED_VALUE"""),0.4874999999956344)</f>
        <v>0.4875</v>
      </c>
      <c r="W161" s="62">
        <f>IFERROR(__xludf.DUMMYFUNCTION("""COMPUTED_VALUE"""),55.89743589793646)</f>
        <v>55.8974359</v>
      </c>
      <c r="X161" s="62">
        <f>IFERROR(__xludf.DUMMYFUNCTION("""COMPUTED_VALUE"""),57.68929760912331)</f>
        <v>57.68929761</v>
      </c>
      <c r="Y161" s="109">
        <f>IFERROR(__xludf.DUMMYFUNCTION("""COMPUTED_VALUE"""),1.2414740049670219)</f>
        <v>1.241474005</v>
      </c>
      <c r="Z161" s="113">
        <f>IFERROR(__xludf.DUMMYFUNCTION("""COMPUTED_VALUE"""),3511.0)</f>
        <v>3511</v>
      </c>
      <c r="AA161" s="113">
        <f>IFERROR(__xludf.DUMMYFUNCTION("""COMPUTED_VALUE"""),4309.0)</f>
        <v>4309</v>
      </c>
      <c r="AB161" s="113">
        <f>IFERROR(__xludf.DUMMYFUNCTION("""COMPUTED_VALUE"""),7820.0)</f>
        <v>7820</v>
      </c>
    </row>
    <row r="162">
      <c r="A162" s="105">
        <f>IFERROR(__xludf.DUMMYFUNCTION("""COMPUTED_VALUE"""),45953.43240116898)</f>
        <v>45953.4324</v>
      </c>
      <c r="B162" s="71" t="str">
        <f>IFERROR(__xludf.DUMMYFUNCTION("""COMPUTED_VALUE"""),"Evan Morgan")</f>
        <v>Evan Morgan</v>
      </c>
      <c r="C162" s="71" t="b">
        <f>IFERROR(__xludf.DUMMYFUNCTION("""COMPUTED_VALUE"""),FALSE)</f>
        <v>0</v>
      </c>
      <c r="D162" s="132">
        <f>IFERROR(__xludf.DUMMYFUNCTION("""COMPUTED_VALUE"""),0.2881944444452529)</f>
        <v>0.2881944444</v>
      </c>
      <c r="E162" s="78">
        <f>IFERROR(__xludf.DUMMYFUNCTION("""COMPUTED_VALUE"""),0.14236111110949423)</f>
        <v>0.1423611111</v>
      </c>
      <c r="F162" s="132">
        <f>IFERROR(__xludf.DUMMYFUNCTION("""COMPUTED_VALUE"""),0.4305555555547471)</f>
        <v>0.4305555556</v>
      </c>
      <c r="G162" s="78">
        <f>IFERROR(__xludf.DUMMYFUNCTION("""COMPUTED_VALUE"""),0.14236111110949423)</f>
        <v>0.1423611111</v>
      </c>
      <c r="H162" s="110">
        <f>IFERROR(__xludf.DUMMYFUNCTION("""COMPUTED_VALUE"""),95.0)</f>
        <v>95</v>
      </c>
      <c r="I162" s="108">
        <f>IFERROR(__xludf.DUMMYFUNCTION("""COMPUTED_VALUE"""),27.804878049096285)</f>
        <v>27.80487805</v>
      </c>
      <c r="J162" s="71" t="str">
        <f>IFERROR(__xludf.DUMMYFUNCTION("""COMPUTED_VALUE"""),"Breakfast")</f>
        <v>Breakfast</v>
      </c>
      <c r="K162" s="106">
        <f>IFERROR(__xludf.DUMMYFUNCTION("""COMPUTED_VALUE"""),45953.0)</f>
        <v>45953</v>
      </c>
      <c r="L162" s="71" t="str">
        <f>IFERROR(__xludf.DUMMYFUNCTION("""COMPUTED_VALUE"""),"Thursday")</f>
        <v>Thursday</v>
      </c>
      <c r="M162" s="71" t="str">
        <f>IFERROR(__xludf.DUMMYFUNCTION("""COMPUTED_VALUE"""),"BF")</f>
        <v>BF</v>
      </c>
      <c r="N162" s="109">
        <f>IFERROR(__xludf.DUMMYFUNCTION("""COMPUTED_VALUE"""),1.1775692266733737)</f>
        <v>1.177569227</v>
      </c>
      <c r="O162" s="71" t="str">
        <f>IFERROR(__xludf.DUMMYFUNCTION("""COMPUTED_VALUE"""),"")</f>
        <v/>
      </c>
      <c r="P162" s="71" t="str">
        <f>IFERROR(__xludf.DUMMYFUNCTION("""COMPUTED_VALUE"""),"")</f>
        <v/>
      </c>
      <c r="Q162" s="78" t="str">
        <f>IFERROR(__xludf.DUMMYFUNCTION("""COMPUTED_VALUE"""),"")</f>
        <v/>
      </c>
      <c r="R162" s="78" t="str">
        <f>IFERROR(__xludf.DUMMYFUNCTION("""COMPUTED_VALUE"""),"")</f>
        <v/>
      </c>
      <c r="S162" s="61" t="str">
        <f>IFERROR(__xludf.DUMMYFUNCTION("""COMPUTED_VALUE"""),"")</f>
        <v/>
      </c>
      <c r="T162" s="61" t="str">
        <f>IFERROR(__xludf.DUMMYFUNCTION("""COMPUTED_VALUE"""),"")</f>
        <v/>
      </c>
      <c r="U162" s="133" t="str">
        <f>IFERROR(__xludf.DUMMYFUNCTION("""COMPUTED_VALUE"""),"")</f>
        <v/>
      </c>
      <c r="V162" s="78" t="str">
        <f>IFERROR(__xludf.DUMMYFUNCTION("""COMPUTED_VALUE"""),"")</f>
        <v/>
      </c>
      <c r="W162" s="62" t="str">
        <f>IFERROR(__xludf.DUMMYFUNCTION("""COMPUTED_VALUE"""),"")</f>
        <v/>
      </c>
      <c r="X162" s="62" t="str">
        <f>IFERROR(__xludf.DUMMYFUNCTION("""COMPUTED_VALUE"""),"")</f>
        <v/>
      </c>
      <c r="Y162" s="109" t="str">
        <f>IFERROR(__xludf.DUMMYFUNCTION("""COMPUTED_VALUE"""),"")</f>
        <v/>
      </c>
      <c r="Z162" s="113" t="str">
        <f>IFERROR(__xludf.DUMMYFUNCTION("""COMPUTED_VALUE"""),"")</f>
        <v/>
      </c>
      <c r="AA162" s="113" t="str">
        <f>IFERROR(__xludf.DUMMYFUNCTION("""COMPUTED_VALUE"""),"")</f>
        <v/>
      </c>
      <c r="AB162" s="71" t="str">
        <f>IFERROR(__xludf.DUMMYFUNCTION("""COMPUTED_VALUE"""),"")</f>
        <v/>
      </c>
    </row>
    <row r="163">
      <c r="A163" s="105">
        <f>IFERROR(__xludf.DUMMYFUNCTION("""COMPUTED_VALUE"""),45953.559149768524)</f>
        <v>45953.55915</v>
      </c>
      <c r="B163" s="71" t="str">
        <f>IFERROR(__xludf.DUMMYFUNCTION("""COMPUTED_VALUE"""),"Maureen Surgot")</f>
        <v>Maureen Surgot</v>
      </c>
      <c r="C163" s="71" t="b">
        <f>IFERROR(__xludf.DUMMYFUNCTION("""COMPUTED_VALUE"""),FALSE)</f>
        <v>0</v>
      </c>
      <c r="D163" s="132">
        <f>IFERROR(__xludf.DUMMYFUNCTION("""COMPUTED_VALUE"""),0.47916666666424135)</f>
        <v>0.4791666667</v>
      </c>
      <c r="E163" s="78">
        <f>IFERROR(__xludf.DUMMYFUNCTION("""COMPUTED_VALUE"""),0.08333333333575865)</f>
        <v>0.08333333334</v>
      </c>
      <c r="F163" s="132">
        <f>IFERROR(__xludf.DUMMYFUNCTION("""COMPUTED_VALUE"""),0.5625)</f>
        <v>0.5625</v>
      </c>
      <c r="G163" s="78">
        <f>IFERROR(__xludf.DUMMYFUNCTION("""COMPUTED_VALUE"""),0.08333333333575865)</f>
        <v>0.08333333334</v>
      </c>
      <c r="H163" s="110">
        <f>IFERROR(__xludf.DUMMYFUNCTION("""COMPUTED_VALUE"""),68.0)</f>
        <v>68</v>
      </c>
      <c r="I163" s="108">
        <f>IFERROR(__xludf.DUMMYFUNCTION("""COMPUTED_VALUE"""),33.99999999901047)</f>
        <v>34</v>
      </c>
      <c r="J163" s="71" t="str">
        <f>IFERROR(__xludf.DUMMYFUNCTION("""COMPUTED_VALUE"""),"Lunch")</f>
        <v>Lunch</v>
      </c>
      <c r="K163" s="106">
        <f>IFERROR(__xludf.DUMMYFUNCTION("""COMPUTED_VALUE"""),45953.0)</f>
        <v>45953</v>
      </c>
      <c r="L163" s="71" t="str">
        <f>IFERROR(__xludf.DUMMYFUNCTION("""COMPUTED_VALUE"""),"Thursday")</f>
        <v>Thursday</v>
      </c>
      <c r="M163" s="71" t="str">
        <f>IFERROR(__xludf.DUMMYFUNCTION("""COMPUTED_VALUE"""),"MF")</f>
        <v>MF</v>
      </c>
      <c r="N163" s="109">
        <f>IFERROR(__xludf.DUMMYFUNCTION("""COMPUTED_VALUE"""),0.7070246698539437)</f>
        <v>0.7070246699</v>
      </c>
      <c r="O163" s="71" t="str">
        <f>IFERROR(__xludf.DUMMYFUNCTION("""COMPUTED_VALUE"""),"")</f>
        <v/>
      </c>
      <c r="P163" s="71" t="str">
        <f>IFERROR(__xludf.DUMMYFUNCTION("""COMPUTED_VALUE"""),"")</f>
        <v/>
      </c>
      <c r="Q163" s="78" t="str">
        <f>IFERROR(__xludf.DUMMYFUNCTION("""COMPUTED_VALUE"""),"")</f>
        <v/>
      </c>
      <c r="R163" s="78" t="str">
        <f>IFERROR(__xludf.DUMMYFUNCTION("""COMPUTED_VALUE"""),"")</f>
        <v/>
      </c>
      <c r="S163" s="61" t="str">
        <f>IFERROR(__xludf.DUMMYFUNCTION("""COMPUTED_VALUE"""),"")</f>
        <v/>
      </c>
      <c r="T163" s="61" t="str">
        <f>IFERROR(__xludf.DUMMYFUNCTION("""COMPUTED_VALUE"""),"")</f>
        <v/>
      </c>
      <c r="U163" s="133" t="str">
        <f>IFERROR(__xludf.DUMMYFUNCTION("""COMPUTED_VALUE"""),"")</f>
        <v/>
      </c>
      <c r="V163" s="78" t="str">
        <f>IFERROR(__xludf.DUMMYFUNCTION("""COMPUTED_VALUE"""),"")</f>
        <v/>
      </c>
      <c r="W163" s="62" t="str">
        <f>IFERROR(__xludf.DUMMYFUNCTION("""COMPUTED_VALUE"""),"")</f>
        <v/>
      </c>
      <c r="X163" s="62" t="str">
        <f>IFERROR(__xludf.DUMMYFUNCTION("""COMPUTED_VALUE"""),"")</f>
        <v/>
      </c>
      <c r="Y163" s="109" t="str">
        <f>IFERROR(__xludf.DUMMYFUNCTION("""COMPUTED_VALUE"""),"")</f>
        <v/>
      </c>
      <c r="Z163" s="113" t="str">
        <f>IFERROR(__xludf.DUMMYFUNCTION("""COMPUTED_VALUE"""),"")</f>
        <v/>
      </c>
      <c r="AA163" s="113" t="str">
        <f>IFERROR(__xludf.DUMMYFUNCTION("""COMPUTED_VALUE"""),"")</f>
        <v/>
      </c>
      <c r="AB163" s="71" t="str">
        <f>IFERROR(__xludf.DUMMYFUNCTION("""COMPUTED_VALUE"""),"")</f>
        <v/>
      </c>
    </row>
    <row r="164">
      <c r="A164" s="105">
        <f>IFERROR(__xludf.DUMMYFUNCTION("""COMPUTED_VALUE"""),45953.57090561342)</f>
        <v>45953.57091</v>
      </c>
      <c r="B164" s="71" t="str">
        <f>IFERROR(__xludf.DUMMYFUNCTION("""COMPUTED_VALUE"""),"Greta Traynor")</f>
        <v>Greta Traynor</v>
      </c>
      <c r="C164" s="71" t="b">
        <f>IFERROR(__xludf.DUMMYFUNCTION("""COMPUTED_VALUE"""),FALSE)</f>
        <v>0</v>
      </c>
      <c r="D164" s="132">
        <f>IFERROR(__xludf.DUMMYFUNCTION("""COMPUTED_VALUE"""),0.5215277777751908)</f>
        <v>0.5215277778</v>
      </c>
      <c r="E164" s="78">
        <f>IFERROR(__xludf.DUMMYFUNCTION("""COMPUTED_VALUE"""),0.04930555555620231)</f>
        <v>0.04930555556</v>
      </c>
      <c r="F164" s="132">
        <f>IFERROR(__xludf.DUMMYFUNCTION("""COMPUTED_VALUE"""),0.5708333333313931)</f>
        <v>0.5708333333</v>
      </c>
      <c r="G164" s="78">
        <f>IFERROR(__xludf.DUMMYFUNCTION("""COMPUTED_VALUE"""),0.04930555555620231)</f>
        <v>0.04930555556</v>
      </c>
      <c r="H164" s="110">
        <f>IFERROR(__xludf.DUMMYFUNCTION("""COMPUTED_VALUE"""),58.0)</f>
        <v>58</v>
      </c>
      <c r="I164" s="108">
        <f>IFERROR(__xludf.DUMMYFUNCTION("""COMPUTED_VALUE"""),49.01408450639933)</f>
        <v>49.01408451</v>
      </c>
      <c r="J164" s="71" t="str">
        <f>IFERROR(__xludf.DUMMYFUNCTION("""COMPUTED_VALUE"""),"Lunch")</f>
        <v>Lunch</v>
      </c>
      <c r="K164" s="106">
        <f>IFERROR(__xludf.DUMMYFUNCTION("""COMPUTED_VALUE"""),45953.0)</f>
        <v>45953</v>
      </c>
      <c r="L164" s="71" t="str">
        <f>IFERROR(__xludf.DUMMYFUNCTION("""COMPUTED_VALUE"""),"Thursday")</f>
        <v>Thursday</v>
      </c>
      <c r="M164" s="71" t="str">
        <f>IFERROR(__xludf.DUMMYFUNCTION("""COMPUTED_VALUE"""),"BF")</f>
        <v>BF</v>
      </c>
      <c r="N164" s="109">
        <f>IFERROR(__xludf.DUMMYFUNCTION("""COMPUTED_VALUE"""),1.2622498035625915)</f>
        <v>1.262249804</v>
      </c>
      <c r="O164" s="71" t="str">
        <f>IFERROR(__xludf.DUMMYFUNCTION("""COMPUTED_VALUE"""),"")</f>
        <v/>
      </c>
      <c r="P164" s="71" t="str">
        <f>IFERROR(__xludf.DUMMYFUNCTION("""COMPUTED_VALUE"""),"")</f>
        <v/>
      </c>
      <c r="Q164" s="78" t="str">
        <f>IFERROR(__xludf.DUMMYFUNCTION("""COMPUTED_VALUE"""),"")</f>
        <v/>
      </c>
      <c r="R164" s="78" t="str">
        <f>IFERROR(__xludf.DUMMYFUNCTION("""COMPUTED_VALUE"""),"")</f>
        <v/>
      </c>
      <c r="S164" s="61" t="str">
        <f>IFERROR(__xludf.DUMMYFUNCTION("""COMPUTED_VALUE"""),"")</f>
        <v/>
      </c>
      <c r="T164" s="61" t="str">
        <f>IFERROR(__xludf.DUMMYFUNCTION("""COMPUTED_VALUE"""),"")</f>
        <v/>
      </c>
      <c r="U164" s="133" t="str">
        <f>IFERROR(__xludf.DUMMYFUNCTION("""COMPUTED_VALUE"""),"")</f>
        <v/>
      </c>
      <c r="V164" s="78" t="str">
        <f>IFERROR(__xludf.DUMMYFUNCTION("""COMPUTED_VALUE"""),"")</f>
        <v/>
      </c>
      <c r="W164" s="62" t="str">
        <f>IFERROR(__xludf.DUMMYFUNCTION("""COMPUTED_VALUE"""),"")</f>
        <v/>
      </c>
      <c r="X164" s="62" t="str">
        <f>IFERROR(__xludf.DUMMYFUNCTION("""COMPUTED_VALUE"""),"")</f>
        <v/>
      </c>
      <c r="Y164" s="109" t="str">
        <f>IFERROR(__xludf.DUMMYFUNCTION("""COMPUTED_VALUE"""),"")</f>
        <v/>
      </c>
      <c r="Z164" s="113" t="str">
        <f>IFERROR(__xludf.DUMMYFUNCTION("""COMPUTED_VALUE"""),"")</f>
        <v/>
      </c>
      <c r="AA164" s="113" t="str">
        <f>IFERROR(__xludf.DUMMYFUNCTION("""COMPUTED_VALUE"""),"")</f>
        <v/>
      </c>
      <c r="AB164" s="71" t="str">
        <f>IFERROR(__xludf.DUMMYFUNCTION("""COMPUTED_VALUE"""),"")</f>
        <v/>
      </c>
    </row>
    <row r="165">
      <c r="A165" s="105">
        <f>IFERROR(__xludf.DUMMYFUNCTION("""COMPUTED_VALUE"""),45953.6324275)</f>
        <v>45953.63243</v>
      </c>
      <c r="B165" s="71" t="str">
        <f>IFERROR(__xludf.DUMMYFUNCTION("""COMPUTED_VALUE"""),"Brynn Hornig")</f>
        <v>Brynn Hornig</v>
      </c>
      <c r="C165" s="71" t="b">
        <f>IFERROR(__xludf.DUMMYFUNCTION("""COMPUTED_VALUE"""),FALSE)</f>
        <v>0</v>
      </c>
      <c r="D165" s="132">
        <f>IFERROR(__xludf.DUMMYFUNCTION("""COMPUTED_VALUE"""),0.5208333333357587)</f>
        <v>0.5208333333</v>
      </c>
      <c r="E165" s="78">
        <f>IFERROR(__xludf.DUMMYFUNCTION("""COMPUTED_VALUE"""),0.1145833333284827)</f>
        <v>0.1145833333</v>
      </c>
      <c r="F165" s="132">
        <f>IFERROR(__xludf.DUMMYFUNCTION("""COMPUTED_VALUE"""),0.6354166666642413)</f>
        <v>0.6354166667</v>
      </c>
      <c r="G165" s="78">
        <f>IFERROR(__xludf.DUMMYFUNCTION("""COMPUTED_VALUE"""),0.1145833333284827)</f>
        <v>0.1145833333</v>
      </c>
      <c r="H165" s="110">
        <f>IFERROR(__xludf.DUMMYFUNCTION("""COMPUTED_VALUE"""),68.0)</f>
        <v>68</v>
      </c>
      <c r="I165" s="108">
        <f>IFERROR(__xludf.DUMMYFUNCTION("""COMPUTED_VALUE"""),24.7272727283195)</f>
        <v>24.72727273</v>
      </c>
      <c r="J165" s="71" t="str">
        <f>IFERROR(__xludf.DUMMYFUNCTION("""COMPUTED_VALUE"""),"Lunch")</f>
        <v>Lunch</v>
      </c>
      <c r="K165" s="106">
        <f>IFERROR(__xludf.DUMMYFUNCTION("""COMPUTED_VALUE"""),45953.0)</f>
        <v>45953</v>
      </c>
      <c r="L165" s="71" t="str">
        <f>IFERROR(__xludf.DUMMYFUNCTION("""COMPUTED_VALUE"""),"Thursday")</f>
        <v>Thursday</v>
      </c>
      <c r="M165" s="71" t="str">
        <f>IFERROR(__xludf.DUMMYFUNCTION("""COMPUTED_VALUE"""),"MF")</f>
        <v>MF</v>
      </c>
      <c r="N165" s="109">
        <f>IFERROR(__xludf.DUMMYFUNCTION("""COMPUTED_VALUE"""),0.51419975993051)</f>
        <v>0.5141997599</v>
      </c>
      <c r="O165" s="71" t="str">
        <f>IFERROR(__xludf.DUMMYFUNCTION("""COMPUTED_VALUE"""),"")</f>
        <v/>
      </c>
      <c r="P165" s="71" t="str">
        <f>IFERROR(__xludf.DUMMYFUNCTION("""COMPUTED_VALUE"""),"")</f>
        <v/>
      </c>
      <c r="Q165" s="78" t="str">
        <f>IFERROR(__xludf.DUMMYFUNCTION("""COMPUTED_VALUE"""),"")</f>
        <v/>
      </c>
      <c r="R165" s="78" t="str">
        <f>IFERROR(__xludf.DUMMYFUNCTION("""COMPUTED_VALUE"""),"")</f>
        <v/>
      </c>
      <c r="S165" s="61" t="str">
        <f>IFERROR(__xludf.DUMMYFUNCTION("""COMPUTED_VALUE"""),"")</f>
        <v/>
      </c>
      <c r="T165" s="61" t="str">
        <f>IFERROR(__xludf.DUMMYFUNCTION("""COMPUTED_VALUE"""),"")</f>
        <v/>
      </c>
      <c r="U165" s="133" t="str">
        <f>IFERROR(__xludf.DUMMYFUNCTION("""COMPUTED_VALUE"""),"")</f>
        <v/>
      </c>
      <c r="V165" s="78" t="str">
        <f>IFERROR(__xludf.DUMMYFUNCTION("""COMPUTED_VALUE"""),"")</f>
        <v/>
      </c>
      <c r="W165" s="62" t="str">
        <f>IFERROR(__xludf.DUMMYFUNCTION("""COMPUTED_VALUE"""),"")</f>
        <v/>
      </c>
      <c r="X165" s="62" t="str">
        <f>IFERROR(__xludf.DUMMYFUNCTION("""COMPUTED_VALUE"""),"")</f>
        <v/>
      </c>
      <c r="Y165" s="109" t="str">
        <f>IFERROR(__xludf.DUMMYFUNCTION("""COMPUTED_VALUE"""),"")</f>
        <v/>
      </c>
      <c r="Z165" s="113" t="str">
        <f>IFERROR(__xludf.DUMMYFUNCTION("""COMPUTED_VALUE"""),"")</f>
        <v/>
      </c>
      <c r="AA165" s="113" t="str">
        <f>IFERROR(__xludf.DUMMYFUNCTION("""COMPUTED_VALUE"""),"")</f>
        <v/>
      </c>
      <c r="AB165" s="71" t="str">
        <f>IFERROR(__xludf.DUMMYFUNCTION("""COMPUTED_VALUE"""),"")</f>
        <v/>
      </c>
    </row>
    <row r="166">
      <c r="A166" s="105">
        <f>IFERROR(__xludf.DUMMYFUNCTION("""COMPUTED_VALUE"""),45953.65495166667)</f>
        <v>45953.65495</v>
      </c>
      <c r="B166" s="71" t="str">
        <f>IFERROR(__xludf.DUMMYFUNCTION("""COMPUTED_VALUE"""),"Emmett Khan")</f>
        <v>Emmett Khan</v>
      </c>
      <c r="C166" s="71" t="b">
        <f>IFERROR(__xludf.DUMMYFUNCTION("""COMPUTED_VALUE"""),FALSE)</f>
        <v>0</v>
      </c>
      <c r="D166" s="132">
        <f>IFERROR(__xludf.DUMMYFUNCTION("""COMPUTED_VALUE"""),0.5833333333357587)</f>
        <v>0.5833333333</v>
      </c>
      <c r="E166" s="78">
        <f>IFERROR(__xludf.DUMMYFUNCTION("""COMPUTED_VALUE"""),0.07291666666424135)</f>
        <v>0.07291666666</v>
      </c>
      <c r="F166" s="132">
        <f>IFERROR(__xludf.DUMMYFUNCTION("""COMPUTED_VALUE"""),0.65625)</f>
        <v>0.65625</v>
      </c>
      <c r="G166" s="78">
        <f>IFERROR(__xludf.DUMMYFUNCTION("""COMPUTED_VALUE"""),0.15625)</f>
        <v>0.15625</v>
      </c>
      <c r="H166" s="110">
        <f>IFERROR(__xludf.DUMMYFUNCTION("""COMPUTED_VALUE"""),73.0)</f>
        <v>73</v>
      </c>
      <c r="I166" s="108">
        <f>IFERROR(__xludf.DUMMYFUNCTION("""COMPUTED_VALUE"""),19.466666666666665)</f>
        <v>19.46666667</v>
      </c>
      <c r="J166" s="71" t="str">
        <f>IFERROR(__xludf.DUMMYFUNCTION("""COMPUTED_VALUE"""),"Lunch")</f>
        <v>Lunch</v>
      </c>
      <c r="K166" s="106">
        <f>IFERROR(__xludf.DUMMYFUNCTION("""COMPUTED_VALUE"""),45953.0)</f>
        <v>45953</v>
      </c>
      <c r="L166" s="71" t="str">
        <f>IFERROR(__xludf.DUMMYFUNCTION("""COMPUTED_VALUE"""),"Thursday")</f>
        <v>Thursday</v>
      </c>
      <c r="M166" s="71" t="str">
        <f>IFERROR(__xludf.DUMMYFUNCTION("""COMPUTED_VALUE"""),"BF")</f>
        <v>BF</v>
      </c>
      <c r="N166" s="109">
        <f>IFERROR(__xludf.DUMMYFUNCTION("""COMPUTED_VALUE"""),0.5013211288851132)</f>
        <v>0.5013211289</v>
      </c>
      <c r="O166" s="71" t="str">
        <f>IFERROR(__xludf.DUMMYFUNCTION("""COMPUTED_VALUE"""),"")</f>
        <v/>
      </c>
      <c r="P166" s="71" t="str">
        <f>IFERROR(__xludf.DUMMYFUNCTION("""COMPUTED_VALUE"""),"")</f>
        <v/>
      </c>
      <c r="Q166" s="78" t="str">
        <f>IFERROR(__xludf.DUMMYFUNCTION("""COMPUTED_VALUE"""),"")</f>
        <v/>
      </c>
      <c r="R166" s="78" t="str">
        <f>IFERROR(__xludf.DUMMYFUNCTION("""COMPUTED_VALUE"""),"")</f>
        <v/>
      </c>
      <c r="S166" s="61" t="str">
        <f>IFERROR(__xludf.DUMMYFUNCTION("""COMPUTED_VALUE"""),"")</f>
        <v/>
      </c>
      <c r="T166" s="61" t="str">
        <f>IFERROR(__xludf.DUMMYFUNCTION("""COMPUTED_VALUE"""),"")</f>
        <v/>
      </c>
      <c r="U166" s="133" t="str">
        <f>IFERROR(__xludf.DUMMYFUNCTION("""COMPUTED_VALUE"""),"")</f>
        <v/>
      </c>
      <c r="V166" s="78" t="str">
        <f>IFERROR(__xludf.DUMMYFUNCTION("""COMPUTED_VALUE"""),"")</f>
        <v/>
      </c>
      <c r="W166" s="62" t="str">
        <f>IFERROR(__xludf.DUMMYFUNCTION("""COMPUTED_VALUE"""),"")</f>
        <v/>
      </c>
      <c r="X166" s="62" t="str">
        <f>IFERROR(__xludf.DUMMYFUNCTION("""COMPUTED_VALUE"""),"")</f>
        <v/>
      </c>
      <c r="Y166" s="109" t="str">
        <f>IFERROR(__xludf.DUMMYFUNCTION("""COMPUTED_VALUE"""),"")</f>
        <v/>
      </c>
      <c r="Z166" s="113" t="str">
        <f>IFERROR(__xludf.DUMMYFUNCTION("""COMPUTED_VALUE"""),"")</f>
        <v/>
      </c>
      <c r="AA166" s="113" t="str">
        <f>IFERROR(__xludf.DUMMYFUNCTION("""COMPUTED_VALUE"""),"")</f>
        <v/>
      </c>
      <c r="AB166" s="71" t="str">
        <f>IFERROR(__xludf.DUMMYFUNCTION("""COMPUTED_VALUE"""),"")</f>
        <v/>
      </c>
    </row>
    <row r="167">
      <c r="A167" s="105">
        <f>IFERROR(__xludf.DUMMYFUNCTION("""COMPUTED_VALUE"""),45953.76940063658)</f>
        <v>45953.7694</v>
      </c>
      <c r="B167" s="71" t="str">
        <f>IFERROR(__xludf.DUMMYFUNCTION("""COMPUTED_VALUE"""),"Emmett Khan")</f>
        <v>Emmett Khan</v>
      </c>
      <c r="C167" s="71" t="b">
        <f>IFERROR(__xludf.DUMMYFUNCTION("""COMPUTED_VALUE"""),TRUE)</f>
        <v>1</v>
      </c>
      <c r="D167" s="132">
        <f>IFERROR(__xludf.DUMMYFUNCTION("""COMPUTED_VALUE"""),0.6875)</f>
        <v>0.6875</v>
      </c>
      <c r="E167" s="78">
        <f>IFERROR(__xludf.DUMMYFUNCTION("""COMPUTED_VALUE"""),0.08333333333575865)</f>
        <v>0.08333333334</v>
      </c>
      <c r="F167" s="132">
        <f>IFERROR(__xludf.DUMMYFUNCTION("""COMPUTED_VALUE"""),0.7708333333357587)</f>
        <v>0.7708333333</v>
      </c>
      <c r="G167" s="78" t="str">
        <f>IFERROR(__xludf.DUMMYFUNCTION("""COMPUTED_VALUE"""),"")</f>
        <v/>
      </c>
      <c r="H167" s="110">
        <f>IFERROR(__xludf.DUMMYFUNCTION("""COMPUTED_VALUE"""),209.0)</f>
        <v>209</v>
      </c>
      <c r="I167" s="108" t="str">
        <f>IFERROR(__xludf.DUMMYFUNCTION("""COMPUTED_VALUE"""),"")</f>
        <v/>
      </c>
      <c r="J167" s="71" t="str">
        <f>IFERROR(__xludf.DUMMYFUNCTION("""COMPUTED_VALUE"""),"Dinner")</f>
        <v>Dinner</v>
      </c>
      <c r="K167" s="106">
        <f>IFERROR(__xludf.DUMMYFUNCTION("""COMPUTED_VALUE"""),45953.0)</f>
        <v>45953</v>
      </c>
      <c r="L167" s="71" t="str">
        <f>IFERROR(__xludf.DUMMYFUNCTION("""COMPUTED_VALUE"""),"Thursday")</f>
        <v>Thursday</v>
      </c>
      <c r="M167" s="71" t="str">
        <f>IFERROR(__xludf.DUMMYFUNCTION("""COMPUTED_VALUE"""),"BF")</f>
        <v>BF</v>
      </c>
      <c r="N167" s="109" t="str">
        <f>IFERROR(__xludf.DUMMYFUNCTION("""COMPUTED_VALUE"""),"")</f>
        <v/>
      </c>
      <c r="O167" s="71">
        <f>IFERROR(__xludf.DUMMYFUNCTION("""COMPUTED_VALUE"""),136.0)</f>
        <v>136</v>
      </c>
      <c r="P167" s="71">
        <f>IFERROR(__xludf.DUMMYFUNCTION("""COMPUTED_VALUE"""),435.0)</f>
        <v>435</v>
      </c>
      <c r="Q167" s="78">
        <f>IFERROR(__xludf.DUMMYFUNCTION("""COMPUTED_VALUE"""),0.19791666666424135)</f>
        <v>0.1979166667</v>
      </c>
      <c r="R167" s="78">
        <f>IFERROR(__xludf.DUMMYFUNCTION("""COMPUTED_VALUE"""),0.34791666666569654)</f>
        <v>0.3479166667</v>
      </c>
      <c r="S167" s="61">
        <f>IFERROR(__xludf.DUMMYFUNCTION("""COMPUTED_VALUE"""),29.363636363664988)</f>
        <v>29.36363636</v>
      </c>
      <c r="T167" s="61">
        <f>IFERROR(__xludf.DUMMYFUNCTION("""COMPUTED_VALUE"""),32.09520974072076)</f>
        <v>32.09520974</v>
      </c>
      <c r="U167" s="133">
        <f>IFERROR(__xludf.DUMMYFUNCTION("""COMPUTED_VALUE"""),571.0)</f>
        <v>571</v>
      </c>
      <c r="V167" s="78">
        <f>IFERROR(__xludf.DUMMYFUNCTION("""COMPUTED_VALUE"""),0.5458333333299379)</f>
        <v>0.5458333333</v>
      </c>
      <c r="W167" s="62">
        <f>IFERROR(__xludf.DUMMYFUNCTION("""COMPUTED_VALUE"""),43.58778625981313)</f>
        <v>43.58778626</v>
      </c>
      <c r="X167" s="62">
        <f>IFERROR(__xludf.DUMMYFUNCTION("""COMPUTED_VALUE"""),31.00258038989845)</f>
        <v>31.00258039</v>
      </c>
      <c r="Y167" s="109">
        <f>IFERROR(__xludf.DUMMYFUNCTION("""COMPUTED_VALUE"""),0.6737621009416276)</f>
        <v>0.6737621009</v>
      </c>
      <c r="Z167" s="113">
        <f>IFERROR(__xludf.DUMMYFUNCTION("""COMPUTED_VALUE"""),3454.0)</f>
        <v>3454</v>
      </c>
      <c r="AA167" s="113">
        <f>IFERROR(__xludf.DUMMYFUNCTION("""COMPUTED_VALUE"""),4121.0)</f>
        <v>4121</v>
      </c>
      <c r="AB167" s="113">
        <f>IFERROR(__xludf.DUMMYFUNCTION("""COMPUTED_VALUE"""),7575.0)</f>
        <v>7575</v>
      </c>
    </row>
    <row r="168">
      <c r="A168" s="105">
        <f>IFERROR(__xludf.DUMMYFUNCTION("""COMPUTED_VALUE"""),45954.55216516204)</f>
        <v>45954.55217</v>
      </c>
      <c r="B168" s="71" t="str">
        <f>IFERROR(__xludf.DUMMYFUNCTION("""COMPUTED_VALUE"""),"Orpheus Wilson")</f>
        <v>Orpheus Wilson</v>
      </c>
      <c r="C168" s="71" t="b">
        <f>IFERROR(__xludf.DUMMYFUNCTION("""COMPUTED_VALUE"""),FALSE)</f>
        <v>0</v>
      </c>
      <c r="D168" s="132">
        <f>IFERROR(__xludf.DUMMYFUNCTION("""COMPUTED_VALUE"""),0.47916666666424135)</f>
        <v>0.4791666667</v>
      </c>
      <c r="E168" s="78">
        <f>IFERROR(__xludf.DUMMYFUNCTION("""COMPUTED_VALUE"""),0.07152777777810115)</f>
        <v>0.07152777778</v>
      </c>
      <c r="F168" s="132">
        <f>IFERROR(__xludf.DUMMYFUNCTION("""COMPUTED_VALUE"""),0.5506944444423425)</f>
        <v>0.5506944444</v>
      </c>
      <c r="G168" s="78">
        <f>IFERROR(__xludf.DUMMYFUNCTION("""COMPUTED_VALUE"""),0.07152777777810115)</f>
        <v>0.07152777778</v>
      </c>
      <c r="H168" s="110">
        <f>IFERROR(__xludf.DUMMYFUNCTION("""COMPUTED_VALUE"""),109.0)</f>
        <v>109</v>
      </c>
      <c r="I168" s="108">
        <f>IFERROR(__xludf.DUMMYFUNCTION("""COMPUTED_VALUE"""),63.495145630780904)</f>
        <v>63.49514563</v>
      </c>
      <c r="J168" s="71" t="str">
        <f>IFERROR(__xludf.DUMMYFUNCTION("""COMPUTED_VALUE"""),"Lunch")</f>
        <v>Lunch</v>
      </c>
      <c r="K168" s="106">
        <f>IFERROR(__xludf.DUMMYFUNCTION("""COMPUTED_VALUE"""),45954.0)</f>
        <v>45954</v>
      </c>
      <c r="L168" s="71" t="str">
        <f>IFERROR(__xludf.DUMMYFUNCTION("""COMPUTED_VALUE"""),"Friday")</f>
        <v>Friday</v>
      </c>
      <c r="M168" s="71" t="str">
        <f>IFERROR(__xludf.DUMMYFUNCTION("""COMPUTED_VALUE"""),"MF")</f>
        <v>MF</v>
      </c>
      <c r="N168" s="109">
        <f>IFERROR(__xludf.DUMMYFUNCTION("""COMPUTED_VALUE"""),1.3203715993599263)</f>
        <v>1.320371599</v>
      </c>
      <c r="O168" s="71" t="str">
        <f>IFERROR(__xludf.DUMMYFUNCTION("""COMPUTED_VALUE"""),"")</f>
        <v/>
      </c>
      <c r="P168" s="71" t="str">
        <f>IFERROR(__xludf.DUMMYFUNCTION("""COMPUTED_VALUE"""),"")</f>
        <v/>
      </c>
      <c r="Q168" s="78" t="str">
        <f>IFERROR(__xludf.DUMMYFUNCTION("""COMPUTED_VALUE"""),"")</f>
        <v/>
      </c>
      <c r="R168" s="78" t="str">
        <f>IFERROR(__xludf.DUMMYFUNCTION("""COMPUTED_VALUE"""),"")</f>
        <v/>
      </c>
      <c r="S168" s="61" t="str">
        <f>IFERROR(__xludf.DUMMYFUNCTION("""COMPUTED_VALUE"""),"")</f>
        <v/>
      </c>
      <c r="T168" s="61" t="str">
        <f>IFERROR(__xludf.DUMMYFUNCTION("""COMPUTED_VALUE"""),"")</f>
        <v/>
      </c>
      <c r="U168" s="133" t="str">
        <f>IFERROR(__xludf.DUMMYFUNCTION("""COMPUTED_VALUE"""),"")</f>
        <v/>
      </c>
      <c r="V168" s="78" t="str">
        <f>IFERROR(__xludf.DUMMYFUNCTION("""COMPUTED_VALUE"""),"")</f>
        <v/>
      </c>
      <c r="W168" s="62" t="str">
        <f>IFERROR(__xludf.DUMMYFUNCTION("""COMPUTED_VALUE"""),"")</f>
        <v/>
      </c>
      <c r="X168" s="62" t="str">
        <f>IFERROR(__xludf.DUMMYFUNCTION("""COMPUTED_VALUE"""),"")</f>
        <v/>
      </c>
      <c r="Y168" s="109" t="str">
        <f>IFERROR(__xludf.DUMMYFUNCTION("""COMPUTED_VALUE"""),"")</f>
        <v/>
      </c>
      <c r="Z168" s="113" t="str">
        <f>IFERROR(__xludf.DUMMYFUNCTION("""COMPUTED_VALUE"""),"")</f>
        <v/>
      </c>
      <c r="AA168" s="113" t="str">
        <f>IFERROR(__xludf.DUMMYFUNCTION("""COMPUTED_VALUE"""),"")</f>
        <v/>
      </c>
      <c r="AB168" s="71" t="str">
        <f>IFERROR(__xludf.DUMMYFUNCTION("""COMPUTED_VALUE"""),"")</f>
        <v/>
      </c>
    </row>
    <row r="169">
      <c r="A169" s="105">
        <f>IFERROR(__xludf.DUMMYFUNCTION("""COMPUTED_VALUE"""),45954.63197565972)</f>
        <v>45954.63198</v>
      </c>
      <c r="B169" s="71" t="str">
        <f>IFERROR(__xludf.DUMMYFUNCTION("""COMPUTED_VALUE"""),"Brynn Hornig")</f>
        <v>Brynn Hornig</v>
      </c>
      <c r="C169" s="71" t="b">
        <f>IFERROR(__xludf.DUMMYFUNCTION("""COMPUTED_VALUE"""),FALSE)</f>
        <v>0</v>
      </c>
      <c r="D169" s="132">
        <f>IFERROR(__xludf.DUMMYFUNCTION("""COMPUTED_VALUE"""),0.5520833333357587)</f>
        <v>0.5520833333</v>
      </c>
      <c r="E169" s="78">
        <f>IFERROR(__xludf.DUMMYFUNCTION("""COMPUTED_VALUE"""),0.0833333333284827)</f>
        <v>0.08333333333</v>
      </c>
      <c r="F169" s="132">
        <f>IFERROR(__xludf.DUMMYFUNCTION("""COMPUTED_VALUE"""),0.6354166666642413)</f>
        <v>0.6354166667</v>
      </c>
      <c r="G169" s="78">
        <f>IFERROR(__xludf.DUMMYFUNCTION("""COMPUTED_VALUE"""),0.0833333333284827)</f>
        <v>0.08333333333</v>
      </c>
      <c r="H169" s="110">
        <f>IFERROR(__xludf.DUMMYFUNCTION("""COMPUTED_VALUE"""),82.0)</f>
        <v>82</v>
      </c>
      <c r="I169" s="108">
        <f>IFERROR(__xludf.DUMMYFUNCTION("""COMPUTED_VALUE"""),41.000000002386514)</f>
        <v>41</v>
      </c>
      <c r="J169" s="71" t="str">
        <f>IFERROR(__xludf.DUMMYFUNCTION("""COMPUTED_VALUE"""),"Lunch")</f>
        <v>Lunch</v>
      </c>
      <c r="K169" s="106">
        <f>IFERROR(__xludf.DUMMYFUNCTION("""COMPUTED_VALUE"""),45954.0)</f>
        <v>45954</v>
      </c>
      <c r="L169" s="71" t="str">
        <f>IFERROR(__xludf.DUMMYFUNCTION("""COMPUTED_VALUE"""),"Friday")</f>
        <v>Friday</v>
      </c>
      <c r="M169" s="71" t="str">
        <f>IFERROR(__xludf.DUMMYFUNCTION("""COMPUTED_VALUE"""),"MF")</f>
        <v>MF</v>
      </c>
      <c r="N169" s="109">
        <f>IFERROR(__xludf.DUMMYFUNCTION("""COMPUTED_VALUE"""),0.852588572545373)</f>
        <v>0.8525885725</v>
      </c>
      <c r="O169" s="71" t="str">
        <f>IFERROR(__xludf.DUMMYFUNCTION("""COMPUTED_VALUE"""),"")</f>
        <v/>
      </c>
      <c r="P169" s="71" t="str">
        <f>IFERROR(__xludf.DUMMYFUNCTION("""COMPUTED_VALUE"""),"")</f>
        <v/>
      </c>
      <c r="Q169" s="78" t="str">
        <f>IFERROR(__xludf.DUMMYFUNCTION("""COMPUTED_VALUE"""),"")</f>
        <v/>
      </c>
      <c r="R169" s="78" t="str">
        <f>IFERROR(__xludf.DUMMYFUNCTION("""COMPUTED_VALUE"""),"")</f>
        <v/>
      </c>
      <c r="S169" s="61" t="str">
        <f>IFERROR(__xludf.DUMMYFUNCTION("""COMPUTED_VALUE"""),"")</f>
        <v/>
      </c>
      <c r="T169" s="61" t="str">
        <f>IFERROR(__xludf.DUMMYFUNCTION("""COMPUTED_VALUE"""),"")</f>
        <v/>
      </c>
      <c r="U169" s="133" t="str">
        <f>IFERROR(__xludf.DUMMYFUNCTION("""COMPUTED_VALUE"""),"")</f>
        <v/>
      </c>
      <c r="V169" s="78" t="str">
        <f>IFERROR(__xludf.DUMMYFUNCTION("""COMPUTED_VALUE"""),"")</f>
        <v/>
      </c>
      <c r="W169" s="62" t="str">
        <f>IFERROR(__xludf.DUMMYFUNCTION("""COMPUTED_VALUE"""),"")</f>
        <v/>
      </c>
      <c r="X169" s="62" t="str">
        <f>IFERROR(__xludf.DUMMYFUNCTION("""COMPUTED_VALUE"""),"")</f>
        <v/>
      </c>
      <c r="Y169" s="109" t="str">
        <f>IFERROR(__xludf.DUMMYFUNCTION("""COMPUTED_VALUE"""),"")</f>
        <v/>
      </c>
      <c r="Z169" s="113" t="str">
        <f>IFERROR(__xludf.DUMMYFUNCTION("""COMPUTED_VALUE"""),"")</f>
        <v/>
      </c>
      <c r="AA169" s="113" t="str">
        <f>IFERROR(__xludf.DUMMYFUNCTION("""COMPUTED_VALUE"""),"")</f>
        <v/>
      </c>
      <c r="AB169" s="71" t="str">
        <f>IFERROR(__xludf.DUMMYFUNCTION("""COMPUTED_VALUE"""),"")</f>
        <v/>
      </c>
    </row>
    <row r="170">
      <c r="A170" s="105">
        <f>IFERROR(__xludf.DUMMYFUNCTION("""COMPUTED_VALUE"""),45954.756993159725)</f>
        <v>45954.75699</v>
      </c>
      <c r="B170" s="71" t="str">
        <f>IFERROR(__xludf.DUMMYFUNCTION("""COMPUTED_VALUE"""),"Emmett Khan")</f>
        <v>Emmett Khan</v>
      </c>
      <c r="C170" s="71" t="b">
        <f>IFERROR(__xludf.DUMMYFUNCTION("""COMPUTED_VALUE"""),FALSE)</f>
        <v>0</v>
      </c>
      <c r="D170" s="132">
        <f>IFERROR(__xludf.DUMMYFUNCTION("""COMPUTED_VALUE"""),0.6666666666642413)</f>
        <v>0.6666666667</v>
      </c>
      <c r="E170" s="78">
        <f>IFERROR(__xludf.DUMMYFUNCTION("""COMPUTED_VALUE"""),0.09375)</f>
        <v>0.09375</v>
      </c>
      <c r="F170" s="132">
        <f>IFERROR(__xludf.DUMMYFUNCTION("""COMPUTED_VALUE"""),0.7604166666642413)</f>
        <v>0.7604166667</v>
      </c>
      <c r="G170" s="78">
        <f>IFERROR(__xludf.DUMMYFUNCTION("""COMPUTED_VALUE"""),0.09375)</f>
        <v>0.09375</v>
      </c>
      <c r="H170" s="110">
        <f>IFERROR(__xludf.DUMMYFUNCTION("""COMPUTED_VALUE"""),169.0)</f>
        <v>169</v>
      </c>
      <c r="I170" s="108">
        <f>IFERROR(__xludf.DUMMYFUNCTION("""COMPUTED_VALUE"""),75.11111111111111)</f>
        <v>75.11111111</v>
      </c>
      <c r="J170" s="71" t="str">
        <f>IFERROR(__xludf.DUMMYFUNCTION("""COMPUTED_VALUE"""),"Dinner")</f>
        <v>Dinner</v>
      </c>
      <c r="K170" s="106">
        <f>IFERROR(__xludf.DUMMYFUNCTION("""COMPUTED_VALUE"""),45954.0)</f>
        <v>45954</v>
      </c>
      <c r="L170" s="71" t="str">
        <f>IFERROR(__xludf.DUMMYFUNCTION("""COMPUTED_VALUE"""),"Friday")</f>
        <v>Friday</v>
      </c>
      <c r="M170" s="71" t="str">
        <f>IFERROR(__xludf.DUMMYFUNCTION("""COMPUTED_VALUE"""),"MF")</f>
        <v>MF</v>
      </c>
      <c r="N170" s="109">
        <f>IFERROR(__xludf.DUMMYFUNCTION("""COMPUTED_VALUE"""),1.4800634045530485)</f>
        <v>1.480063405</v>
      </c>
      <c r="O170" s="71">
        <f>IFERROR(__xludf.DUMMYFUNCTION("""COMPUTED_VALUE"""),360.0)</f>
        <v>360</v>
      </c>
      <c r="P170" s="71" t="str">
        <f>IFERROR(__xludf.DUMMYFUNCTION("""COMPUTED_VALUE"""),"")</f>
        <v/>
      </c>
      <c r="Q170" s="78">
        <f>IFERROR(__xludf.DUMMYFUNCTION("""COMPUTED_VALUE"""),0.24861111110658385)</f>
        <v>0.2486111111</v>
      </c>
      <c r="R170" s="78" t="str">
        <f>IFERROR(__xludf.DUMMYFUNCTION("""COMPUTED_VALUE"""),"")</f>
        <v/>
      </c>
      <c r="S170" s="61">
        <f>IFERROR(__xludf.DUMMYFUNCTION("""COMPUTED_VALUE"""),59.86875224809285)</f>
        <v>59.86875225</v>
      </c>
      <c r="T170" s="61" t="str">
        <f>IFERROR(__xludf.DUMMYFUNCTION("""COMPUTED_VALUE"""),"")</f>
        <v/>
      </c>
      <c r="U170" s="133">
        <f>IFERROR(__xludf.DUMMYFUNCTION("""COMPUTED_VALUE"""),360.0)</f>
        <v>360</v>
      </c>
      <c r="V170" s="78">
        <f>IFERROR(__xludf.DUMMYFUNCTION("""COMPUTED_VALUE"""),0.24861111110658385)</f>
        <v>0.2486111111</v>
      </c>
      <c r="W170" s="62">
        <f>IFERROR(__xludf.DUMMYFUNCTION("""COMPUTED_VALUE"""),60.33519553182497)</f>
        <v>60.33519553</v>
      </c>
      <c r="X170" s="62">
        <f>IFERROR(__xludf.DUMMYFUNCTION("""COMPUTED_VALUE"""),59.86875224809285)</f>
        <v>59.86875225</v>
      </c>
      <c r="Y170" s="109">
        <f>IFERROR(__xludf.DUMMYFUNCTION("""COMPUTED_VALUE"""),1.3129249952299953)</f>
        <v>1.312924995</v>
      </c>
      <c r="Z170" s="113">
        <f>IFERROR(__xludf.DUMMYFUNCTION("""COMPUTED_VALUE"""),3219.0)</f>
        <v>3219</v>
      </c>
      <c r="AA170" s="113">
        <f>IFERROR(__xludf.DUMMYFUNCTION("""COMPUTED_VALUE"""),1952.0)</f>
        <v>1952</v>
      </c>
      <c r="AB170" s="113">
        <f>IFERROR(__xludf.DUMMYFUNCTION("""COMPUTED_VALUE"""),5171.0)</f>
        <v>5171</v>
      </c>
    </row>
    <row r="171">
      <c r="A171" s="105">
        <f>IFERROR(__xludf.DUMMYFUNCTION("""COMPUTED_VALUE"""),45957.43852415509)</f>
        <v>45957.43852</v>
      </c>
      <c r="B171" s="71" t="str">
        <f>IFERROR(__xludf.DUMMYFUNCTION("""COMPUTED_VALUE"""),"Sarah Wilme")</f>
        <v>Sarah Wilme</v>
      </c>
      <c r="C171" s="71" t="b">
        <f>IFERROR(__xludf.DUMMYFUNCTION("""COMPUTED_VALUE"""),FALSE)</f>
        <v>0</v>
      </c>
      <c r="D171" s="132">
        <f>IFERROR(__xludf.DUMMYFUNCTION("""COMPUTED_VALUE"""),0.3180555555591127)</f>
        <v>0.3180555556</v>
      </c>
      <c r="E171" s="78">
        <f>IFERROR(__xludf.DUMMYFUNCTION("""COMPUTED_VALUE"""),0.12013888888759539)</f>
        <v>0.1201388889</v>
      </c>
      <c r="F171" s="132">
        <f>IFERROR(__xludf.DUMMYFUNCTION("""COMPUTED_VALUE"""),0.4381944444467081)</f>
        <v>0.4381944444</v>
      </c>
      <c r="G171" s="78">
        <f>IFERROR(__xludf.DUMMYFUNCTION("""COMPUTED_VALUE"""),0.12013888888759539)</f>
        <v>0.1201388889</v>
      </c>
      <c r="H171" s="110">
        <f>IFERROR(__xludf.DUMMYFUNCTION("""COMPUTED_VALUE"""),83.0)</f>
        <v>83</v>
      </c>
      <c r="I171" s="108">
        <f>IFERROR(__xludf.DUMMYFUNCTION("""COMPUTED_VALUE"""),28.78612716793999)</f>
        <v>28.78612717</v>
      </c>
      <c r="J171" s="71" t="str">
        <f>IFERROR(__xludf.DUMMYFUNCTION("""COMPUTED_VALUE"""),"Breakfast")</f>
        <v>Breakfast</v>
      </c>
      <c r="K171" s="106">
        <f>IFERROR(__xludf.DUMMYFUNCTION("""COMPUTED_VALUE"""),45957.0)</f>
        <v>45957</v>
      </c>
      <c r="L171" s="71" t="str">
        <f>IFERROR(__xludf.DUMMYFUNCTION("""COMPUTED_VALUE"""),"Monday")</f>
        <v>Monday</v>
      </c>
      <c r="M171" s="71" t="str">
        <f>IFERROR(__xludf.DUMMYFUNCTION("""COMPUTED_VALUE"""),"BF")</f>
        <v>BF</v>
      </c>
      <c r="N171" s="109">
        <f>IFERROR(__xludf.DUMMYFUNCTION("""COMPUTED_VALUE"""),1.219126278785252)</f>
        <v>1.219126279</v>
      </c>
      <c r="O171" s="71" t="str">
        <f>IFERROR(__xludf.DUMMYFUNCTION("""COMPUTED_VALUE"""),"")</f>
        <v/>
      </c>
      <c r="P171" s="71" t="str">
        <f>IFERROR(__xludf.DUMMYFUNCTION("""COMPUTED_VALUE"""),"")</f>
        <v/>
      </c>
      <c r="Q171" s="78" t="str">
        <f>IFERROR(__xludf.DUMMYFUNCTION("""COMPUTED_VALUE"""),"")</f>
        <v/>
      </c>
      <c r="R171" s="78" t="str">
        <f>IFERROR(__xludf.DUMMYFUNCTION("""COMPUTED_VALUE"""),"")</f>
        <v/>
      </c>
      <c r="S171" s="61" t="str">
        <f>IFERROR(__xludf.DUMMYFUNCTION("""COMPUTED_VALUE"""),"")</f>
        <v/>
      </c>
      <c r="T171" s="61" t="str">
        <f>IFERROR(__xludf.DUMMYFUNCTION("""COMPUTED_VALUE"""),"")</f>
        <v/>
      </c>
      <c r="U171" s="133" t="str">
        <f>IFERROR(__xludf.DUMMYFUNCTION("""COMPUTED_VALUE"""),"")</f>
        <v/>
      </c>
      <c r="V171" s="78" t="str">
        <f>IFERROR(__xludf.DUMMYFUNCTION("""COMPUTED_VALUE"""),"")</f>
        <v/>
      </c>
      <c r="W171" s="62" t="str">
        <f>IFERROR(__xludf.DUMMYFUNCTION("""COMPUTED_VALUE"""),"")</f>
        <v/>
      </c>
      <c r="X171" s="62" t="str">
        <f>IFERROR(__xludf.DUMMYFUNCTION("""COMPUTED_VALUE"""),"")</f>
        <v/>
      </c>
      <c r="Y171" s="109" t="str">
        <f>IFERROR(__xludf.DUMMYFUNCTION("""COMPUTED_VALUE"""),"")</f>
        <v/>
      </c>
      <c r="Z171" s="113" t="str">
        <f>IFERROR(__xludf.DUMMYFUNCTION("""COMPUTED_VALUE"""),"")</f>
        <v/>
      </c>
      <c r="AA171" s="113" t="str">
        <f>IFERROR(__xludf.DUMMYFUNCTION("""COMPUTED_VALUE"""),"")</f>
        <v/>
      </c>
      <c r="AB171" s="71" t="str">
        <f>IFERROR(__xludf.DUMMYFUNCTION("""COMPUTED_VALUE"""),"")</f>
        <v/>
      </c>
    </row>
    <row r="172">
      <c r="A172" s="105">
        <f>IFERROR(__xludf.DUMMYFUNCTION("""COMPUTED_VALUE"""),45957.63377130787)</f>
        <v>45957.63377</v>
      </c>
      <c r="B172" s="71" t="str">
        <f>IFERROR(__xludf.DUMMYFUNCTION("""COMPUTED_VALUE"""),"Greta Traynor")</f>
        <v>Greta Traynor</v>
      </c>
      <c r="C172" s="71" t="b">
        <f>IFERROR(__xludf.DUMMYFUNCTION("""COMPUTED_VALUE"""),FALSE)</f>
        <v>0</v>
      </c>
      <c r="D172" s="132">
        <f>IFERROR(__xludf.DUMMYFUNCTION("""COMPUTED_VALUE"""),0.5645833333328483)</f>
        <v>0.5645833333</v>
      </c>
      <c r="E172" s="78">
        <f>IFERROR(__xludf.DUMMYFUNCTION("""COMPUTED_VALUE"""),0.06805555555183673)</f>
        <v>0.06805555555</v>
      </c>
      <c r="F172" s="132">
        <f>IFERROR(__xludf.DUMMYFUNCTION("""COMPUTED_VALUE"""),0.632638888884685)</f>
        <v>0.6326388889</v>
      </c>
      <c r="G172" s="78">
        <f>IFERROR(__xludf.DUMMYFUNCTION("""COMPUTED_VALUE"""),0.06805555555183673)</f>
        <v>0.06805555555</v>
      </c>
      <c r="H172" s="110">
        <f>IFERROR(__xludf.DUMMYFUNCTION("""COMPUTED_VALUE"""),90.0)</f>
        <v>90</v>
      </c>
      <c r="I172" s="108">
        <f>IFERROR(__xludf.DUMMYFUNCTION("""COMPUTED_VALUE"""),55.102040819337525)</f>
        <v>55.10204082</v>
      </c>
      <c r="J172" s="71" t="str">
        <f>IFERROR(__xludf.DUMMYFUNCTION("""COMPUTED_VALUE"""),"Lunch")</f>
        <v>Lunch</v>
      </c>
      <c r="K172" s="106">
        <f>IFERROR(__xludf.DUMMYFUNCTION("""COMPUTED_VALUE"""),45957.0)</f>
        <v>45957</v>
      </c>
      <c r="L172" s="71" t="str">
        <f>IFERROR(__xludf.DUMMYFUNCTION("""COMPUTED_VALUE"""),"Monday")</f>
        <v>Monday</v>
      </c>
      <c r="M172" s="71" t="str">
        <f>IFERROR(__xludf.DUMMYFUNCTION("""COMPUTED_VALUE"""),"MF")</f>
        <v>MF</v>
      </c>
      <c r="N172" s="109">
        <f>IFERROR(__xludf.DUMMYFUNCTION("""COMPUTED_VALUE"""),1.1458383005795438)</f>
        <v>1.145838301</v>
      </c>
      <c r="O172" s="71" t="str">
        <f>IFERROR(__xludf.DUMMYFUNCTION("""COMPUTED_VALUE"""),"")</f>
        <v/>
      </c>
      <c r="P172" s="71" t="str">
        <f>IFERROR(__xludf.DUMMYFUNCTION("""COMPUTED_VALUE"""),"")</f>
        <v/>
      </c>
      <c r="Q172" s="78" t="str">
        <f>IFERROR(__xludf.DUMMYFUNCTION("""COMPUTED_VALUE"""),"")</f>
        <v/>
      </c>
      <c r="R172" s="78" t="str">
        <f>IFERROR(__xludf.DUMMYFUNCTION("""COMPUTED_VALUE"""),"")</f>
        <v/>
      </c>
      <c r="S172" s="61" t="str">
        <f>IFERROR(__xludf.DUMMYFUNCTION("""COMPUTED_VALUE"""),"")</f>
        <v/>
      </c>
      <c r="T172" s="61" t="str">
        <f>IFERROR(__xludf.DUMMYFUNCTION("""COMPUTED_VALUE"""),"")</f>
        <v/>
      </c>
      <c r="U172" s="133" t="str">
        <f>IFERROR(__xludf.DUMMYFUNCTION("""COMPUTED_VALUE"""),"")</f>
        <v/>
      </c>
      <c r="V172" s="78" t="str">
        <f>IFERROR(__xludf.DUMMYFUNCTION("""COMPUTED_VALUE"""),"")</f>
        <v/>
      </c>
      <c r="W172" s="62" t="str">
        <f>IFERROR(__xludf.DUMMYFUNCTION("""COMPUTED_VALUE"""),"")</f>
        <v/>
      </c>
      <c r="X172" s="62" t="str">
        <f>IFERROR(__xludf.DUMMYFUNCTION("""COMPUTED_VALUE"""),"")</f>
        <v/>
      </c>
      <c r="Y172" s="109" t="str">
        <f>IFERROR(__xludf.DUMMYFUNCTION("""COMPUTED_VALUE"""),"")</f>
        <v/>
      </c>
      <c r="Z172" s="113" t="str">
        <f>IFERROR(__xludf.DUMMYFUNCTION("""COMPUTED_VALUE"""),"")</f>
        <v/>
      </c>
      <c r="AA172" s="113" t="str">
        <f>IFERROR(__xludf.DUMMYFUNCTION("""COMPUTED_VALUE"""),"")</f>
        <v/>
      </c>
      <c r="AB172" s="71" t="str">
        <f>IFERROR(__xludf.DUMMYFUNCTION("""COMPUTED_VALUE"""),"")</f>
        <v/>
      </c>
    </row>
    <row r="173">
      <c r="A173" s="105">
        <f>IFERROR(__xludf.DUMMYFUNCTION("""COMPUTED_VALUE"""),45957.654349027776)</f>
        <v>45957.65435</v>
      </c>
      <c r="B173" s="71" t="str">
        <f>IFERROR(__xludf.DUMMYFUNCTION("""COMPUTED_VALUE"""),"Emma Korsu")</f>
        <v>Emma Korsu</v>
      </c>
      <c r="C173" s="71" t="b">
        <f>IFERROR(__xludf.DUMMYFUNCTION("""COMPUTED_VALUE"""),FALSE)</f>
        <v>0</v>
      </c>
      <c r="D173" s="132">
        <f>IFERROR(__xludf.DUMMYFUNCTION("""COMPUTED_VALUE"""),0.5041666666656965)</f>
        <v>0.5041666667</v>
      </c>
      <c r="E173" s="78">
        <f>IFERROR(__xludf.DUMMYFUNCTION("""COMPUTED_VALUE"""),0.14930555555474712)</f>
        <v>0.1493055556</v>
      </c>
      <c r="F173" s="132">
        <f>IFERROR(__xludf.DUMMYFUNCTION("""COMPUTED_VALUE"""),0.6534722222204437)</f>
        <v>0.6534722222</v>
      </c>
      <c r="G173" s="78">
        <f>IFERROR(__xludf.DUMMYFUNCTION("""COMPUTED_VALUE"""),0.14930555555474712)</f>
        <v>0.1493055556</v>
      </c>
      <c r="H173" s="110">
        <f>IFERROR(__xludf.DUMMYFUNCTION("""COMPUTED_VALUE"""),138.0)</f>
        <v>138</v>
      </c>
      <c r="I173" s="108">
        <f>IFERROR(__xludf.DUMMYFUNCTION("""COMPUTED_VALUE"""),38.51162790718527)</f>
        <v>38.51162791</v>
      </c>
      <c r="J173" s="71" t="str">
        <f>IFERROR(__xludf.DUMMYFUNCTION("""COMPUTED_VALUE"""),"Lunch")</f>
        <v>Lunch</v>
      </c>
      <c r="K173" s="106">
        <f>IFERROR(__xludf.DUMMYFUNCTION("""COMPUTED_VALUE"""),45957.0)</f>
        <v>45957</v>
      </c>
      <c r="L173" s="71" t="str">
        <f>IFERROR(__xludf.DUMMYFUNCTION("""COMPUTED_VALUE"""),"Monday")</f>
        <v>Monday</v>
      </c>
      <c r="M173" s="71" t="str">
        <f>IFERROR(__xludf.DUMMYFUNCTION("""COMPUTED_VALUE"""),"BF")</f>
        <v>BF</v>
      </c>
      <c r="N173" s="109">
        <f>IFERROR(__xludf.DUMMYFUNCTION("""COMPUTED_VALUE"""),0.9917821632346002)</f>
        <v>0.9917821632</v>
      </c>
      <c r="O173" s="71" t="str">
        <f>IFERROR(__xludf.DUMMYFUNCTION("""COMPUTED_VALUE"""),"")</f>
        <v/>
      </c>
      <c r="P173" s="71" t="str">
        <f>IFERROR(__xludf.DUMMYFUNCTION("""COMPUTED_VALUE"""),"")</f>
        <v/>
      </c>
      <c r="Q173" s="78" t="str">
        <f>IFERROR(__xludf.DUMMYFUNCTION("""COMPUTED_VALUE"""),"")</f>
        <v/>
      </c>
      <c r="R173" s="78" t="str">
        <f>IFERROR(__xludf.DUMMYFUNCTION("""COMPUTED_VALUE"""),"")</f>
        <v/>
      </c>
      <c r="S173" s="61" t="str">
        <f>IFERROR(__xludf.DUMMYFUNCTION("""COMPUTED_VALUE"""),"")</f>
        <v/>
      </c>
      <c r="T173" s="61" t="str">
        <f>IFERROR(__xludf.DUMMYFUNCTION("""COMPUTED_VALUE"""),"")</f>
        <v/>
      </c>
      <c r="U173" s="133" t="str">
        <f>IFERROR(__xludf.DUMMYFUNCTION("""COMPUTED_VALUE"""),"")</f>
        <v/>
      </c>
      <c r="V173" s="78" t="str">
        <f>IFERROR(__xludf.DUMMYFUNCTION("""COMPUTED_VALUE"""),"")</f>
        <v/>
      </c>
      <c r="W173" s="62" t="str">
        <f>IFERROR(__xludf.DUMMYFUNCTION("""COMPUTED_VALUE"""),"")</f>
        <v/>
      </c>
      <c r="X173" s="62" t="str">
        <f>IFERROR(__xludf.DUMMYFUNCTION("""COMPUTED_VALUE"""),"")</f>
        <v/>
      </c>
      <c r="Y173" s="109" t="str">
        <f>IFERROR(__xludf.DUMMYFUNCTION("""COMPUTED_VALUE"""),"")</f>
        <v/>
      </c>
      <c r="Z173" s="113" t="str">
        <f>IFERROR(__xludf.DUMMYFUNCTION("""COMPUTED_VALUE"""),"")</f>
        <v/>
      </c>
      <c r="AA173" s="113" t="str">
        <f>IFERROR(__xludf.DUMMYFUNCTION("""COMPUTED_VALUE"""),"")</f>
        <v/>
      </c>
      <c r="AB173" s="71" t="str">
        <f>IFERROR(__xludf.DUMMYFUNCTION("""COMPUTED_VALUE"""),"")</f>
        <v/>
      </c>
    </row>
    <row r="174">
      <c r="A174" s="105">
        <f>IFERROR(__xludf.DUMMYFUNCTION("""COMPUTED_VALUE"""),45957.77233432871)</f>
        <v>45957.77233</v>
      </c>
      <c r="B174" s="71" t="str">
        <f>IFERROR(__xludf.DUMMYFUNCTION("""COMPUTED_VALUE"""),"Maureen Surgot")</f>
        <v>Maureen Surgot</v>
      </c>
      <c r="C174" s="71" t="b">
        <f>IFERROR(__xludf.DUMMYFUNCTION("""COMPUTED_VALUE"""),FALSE)</f>
        <v>0</v>
      </c>
      <c r="D174" s="132">
        <f>IFERROR(__xludf.DUMMYFUNCTION("""COMPUTED_VALUE"""),0.6666666666642413)</f>
        <v>0.6666666667</v>
      </c>
      <c r="E174" s="78">
        <f>IFERROR(__xludf.DUMMYFUNCTION("""COMPUTED_VALUE"""),0.1041666666715173)</f>
        <v>0.1041666667</v>
      </c>
      <c r="F174" s="132">
        <f>IFERROR(__xludf.DUMMYFUNCTION("""COMPUTED_VALUE"""),0.7708333333357587)</f>
        <v>0.7708333333</v>
      </c>
      <c r="G174" s="78">
        <f>IFERROR(__xludf.DUMMYFUNCTION("""COMPUTED_VALUE"""),0.1041666666715173)</f>
        <v>0.1041666667</v>
      </c>
      <c r="H174" s="110">
        <f>IFERROR(__xludf.DUMMYFUNCTION("""COMPUTED_VALUE"""),104.0)</f>
        <v>104</v>
      </c>
      <c r="I174" s="108">
        <f>IFERROR(__xludf.DUMMYFUNCTION("""COMPUTED_VALUE"""),41.59999999806285)</f>
        <v>41.6</v>
      </c>
      <c r="J174" s="71" t="str">
        <f>IFERROR(__xludf.DUMMYFUNCTION("""COMPUTED_VALUE"""),"Dinner")</f>
        <v>Dinner</v>
      </c>
      <c r="K174" s="106">
        <f>IFERROR(__xludf.DUMMYFUNCTION("""COMPUTED_VALUE"""),45957.0)</f>
        <v>45957</v>
      </c>
      <c r="L174" s="71" t="str">
        <f>IFERROR(__xludf.DUMMYFUNCTION("""COMPUTED_VALUE"""),"Monday")</f>
        <v>Monday</v>
      </c>
      <c r="M174" s="71" t="str">
        <f>IFERROR(__xludf.DUMMYFUNCTION("""COMPUTED_VALUE"""),"MF")</f>
        <v>MF</v>
      </c>
      <c r="N174" s="109">
        <f>IFERROR(__xludf.DUMMYFUNCTION("""COMPUTED_VALUE"""),0.8197274240219784)</f>
        <v>0.819727424</v>
      </c>
      <c r="O174" s="71" t="str">
        <f>IFERROR(__xludf.DUMMYFUNCTION("""COMPUTED_VALUE"""),"")</f>
        <v/>
      </c>
      <c r="P174" s="71" t="str">
        <f>IFERROR(__xludf.DUMMYFUNCTION("""COMPUTED_VALUE"""),"")</f>
        <v/>
      </c>
      <c r="Q174" s="78" t="str">
        <f>IFERROR(__xludf.DUMMYFUNCTION("""COMPUTED_VALUE"""),"")</f>
        <v/>
      </c>
      <c r="R174" s="78" t="str">
        <f>IFERROR(__xludf.DUMMYFUNCTION("""COMPUTED_VALUE"""),"")</f>
        <v/>
      </c>
      <c r="S174" s="61" t="str">
        <f>IFERROR(__xludf.DUMMYFUNCTION("""COMPUTED_VALUE"""),"")</f>
        <v/>
      </c>
      <c r="T174" s="61" t="str">
        <f>IFERROR(__xludf.DUMMYFUNCTION("""COMPUTED_VALUE"""),"")</f>
        <v/>
      </c>
      <c r="U174" s="133" t="str">
        <f>IFERROR(__xludf.DUMMYFUNCTION("""COMPUTED_VALUE"""),"")</f>
        <v/>
      </c>
      <c r="V174" s="78" t="str">
        <f>IFERROR(__xludf.DUMMYFUNCTION("""COMPUTED_VALUE"""),"")</f>
        <v/>
      </c>
      <c r="W174" s="62" t="str">
        <f>IFERROR(__xludf.DUMMYFUNCTION("""COMPUTED_VALUE"""),"")</f>
        <v/>
      </c>
      <c r="X174" s="62" t="str">
        <f>IFERROR(__xludf.DUMMYFUNCTION("""COMPUTED_VALUE"""),"")</f>
        <v/>
      </c>
      <c r="Y174" s="109" t="str">
        <f>IFERROR(__xludf.DUMMYFUNCTION("""COMPUTED_VALUE"""),"")</f>
        <v/>
      </c>
      <c r="Z174" s="113" t="str">
        <f>IFERROR(__xludf.DUMMYFUNCTION("""COMPUTED_VALUE"""),"")</f>
        <v/>
      </c>
      <c r="AA174" s="113" t="str">
        <f>IFERROR(__xludf.DUMMYFUNCTION("""COMPUTED_VALUE"""),"")</f>
        <v/>
      </c>
      <c r="AB174" s="71" t="str">
        <f>IFERROR(__xludf.DUMMYFUNCTION("""COMPUTED_VALUE"""),"")</f>
        <v/>
      </c>
    </row>
    <row r="175">
      <c r="A175" s="105">
        <f>IFERROR(__xludf.DUMMYFUNCTION("""COMPUTED_VALUE"""),45957.80785972222)</f>
        <v>45957.80786</v>
      </c>
      <c r="B175" s="71" t="str">
        <f>IFERROR(__xludf.DUMMYFUNCTION("""COMPUTED_VALUE"""),"Kaylie Forgue")</f>
        <v>Kaylie Forgue</v>
      </c>
      <c r="C175" s="71" t="b">
        <f>IFERROR(__xludf.DUMMYFUNCTION("""COMPUTED_VALUE"""),FALSE)</f>
        <v>0</v>
      </c>
      <c r="D175" s="132">
        <f>IFERROR(__xludf.DUMMYFUNCTION("""COMPUTED_VALUE"""),0.6881944444467081)</f>
        <v>0.6881944444</v>
      </c>
      <c r="E175" s="78">
        <f>IFERROR(__xludf.DUMMYFUNCTION("""COMPUTED_VALUE"""),0.11597222222189885)</f>
        <v>0.1159722222</v>
      </c>
      <c r="F175" s="132">
        <f>IFERROR(__xludf.DUMMYFUNCTION("""COMPUTED_VALUE"""),0.8041666666686069)</f>
        <v>0.8041666667</v>
      </c>
      <c r="G175" s="78">
        <f>IFERROR(__xludf.DUMMYFUNCTION("""COMPUTED_VALUE"""),0.1708333333299379)</f>
        <v>0.1708333333</v>
      </c>
      <c r="H175" s="110">
        <f>IFERROR(__xludf.DUMMYFUNCTION("""COMPUTED_VALUE"""),173.0)</f>
        <v>173</v>
      </c>
      <c r="I175" s="108">
        <f>IFERROR(__xludf.DUMMYFUNCTION("""COMPUTED_VALUE"""),42.19512195205817)</f>
        <v>42.19512195</v>
      </c>
      <c r="J175" s="71" t="str">
        <f>IFERROR(__xludf.DUMMYFUNCTION("""COMPUTED_VALUE"""),"Dinner")</f>
        <v>Dinner</v>
      </c>
      <c r="K175" s="106">
        <f>IFERROR(__xludf.DUMMYFUNCTION("""COMPUTED_VALUE"""),45957.0)</f>
        <v>45957</v>
      </c>
      <c r="L175" s="71" t="str">
        <f>IFERROR(__xludf.DUMMYFUNCTION("""COMPUTED_VALUE"""),"Monday")</f>
        <v>Monday</v>
      </c>
      <c r="M175" s="71" t="str">
        <f>IFERROR(__xludf.DUMMYFUNCTION("""COMPUTED_VALUE"""),"BF")</f>
        <v>BF</v>
      </c>
      <c r="N175" s="109">
        <f>IFERROR(__xludf.DUMMYFUNCTION("""COMPUTED_VALUE"""),0.9957907386582282)</f>
        <v>0.9957907387</v>
      </c>
      <c r="O175" s="71" t="str">
        <f>IFERROR(__xludf.DUMMYFUNCTION("""COMPUTED_VALUE"""),"")</f>
        <v/>
      </c>
      <c r="P175" s="71" t="str">
        <f>IFERROR(__xludf.DUMMYFUNCTION("""COMPUTED_VALUE"""),"")</f>
        <v/>
      </c>
      <c r="Q175" s="78" t="str">
        <f>IFERROR(__xludf.DUMMYFUNCTION("""COMPUTED_VALUE"""),"")</f>
        <v/>
      </c>
      <c r="R175" s="78" t="str">
        <f>IFERROR(__xludf.DUMMYFUNCTION("""COMPUTED_VALUE"""),"")</f>
        <v/>
      </c>
      <c r="S175" s="61" t="str">
        <f>IFERROR(__xludf.DUMMYFUNCTION("""COMPUTED_VALUE"""),"")</f>
        <v/>
      </c>
      <c r="T175" s="61" t="str">
        <f>IFERROR(__xludf.DUMMYFUNCTION("""COMPUTED_VALUE"""),"")</f>
        <v/>
      </c>
      <c r="U175" s="133" t="str">
        <f>IFERROR(__xludf.DUMMYFUNCTION("""COMPUTED_VALUE"""),"")</f>
        <v/>
      </c>
      <c r="V175" s="78" t="str">
        <f>IFERROR(__xludf.DUMMYFUNCTION("""COMPUTED_VALUE"""),"")</f>
        <v/>
      </c>
      <c r="W175" s="62" t="str">
        <f>IFERROR(__xludf.DUMMYFUNCTION("""COMPUTED_VALUE"""),"")</f>
        <v/>
      </c>
      <c r="X175" s="62" t="str">
        <f>IFERROR(__xludf.DUMMYFUNCTION("""COMPUTED_VALUE"""),"")</f>
        <v/>
      </c>
      <c r="Y175" s="109" t="str">
        <f>IFERROR(__xludf.DUMMYFUNCTION("""COMPUTED_VALUE"""),"")</f>
        <v/>
      </c>
      <c r="Z175" s="113" t="str">
        <f>IFERROR(__xludf.DUMMYFUNCTION("""COMPUTED_VALUE"""),"")</f>
        <v/>
      </c>
      <c r="AA175" s="113" t="str">
        <f>IFERROR(__xludf.DUMMYFUNCTION("""COMPUTED_VALUE"""),"")</f>
        <v/>
      </c>
      <c r="AB175" s="71" t="str">
        <f>IFERROR(__xludf.DUMMYFUNCTION("""COMPUTED_VALUE"""),"")</f>
        <v/>
      </c>
    </row>
    <row r="176">
      <c r="A176" s="105">
        <f>IFERROR(__xludf.DUMMYFUNCTION("""COMPUTED_VALUE"""),45957.85966873843)</f>
        <v>45957.85967</v>
      </c>
      <c r="B176" s="71" t="str">
        <f>IFERROR(__xludf.DUMMYFUNCTION("""COMPUTED_VALUE"""),"Kaylie Forgue")</f>
        <v>Kaylie Forgue</v>
      </c>
      <c r="C176" s="71" t="b">
        <f>IFERROR(__xludf.DUMMYFUNCTION("""COMPUTED_VALUE"""),TRUE)</f>
        <v>1</v>
      </c>
      <c r="D176" s="132">
        <f>IFERROR(__xludf.DUMMYFUNCTION("""COMPUTED_VALUE"""),0.8055555555547471)</f>
        <v>0.8055555556</v>
      </c>
      <c r="E176" s="78">
        <f>IFERROR(__xludf.DUMMYFUNCTION("""COMPUTED_VALUE"""),0.05486111110803904)</f>
        <v>0.05486111111</v>
      </c>
      <c r="F176" s="132">
        <f>IFERROR(__xludf.DUMMYFUNCTION("""COMPUTED_VALUE"""),0.8604166666627862)</f>
        <v>0.8604166667</v>
      </c>
      <c r="G176" s="78" t="str">
        <f>IFERROR(__xludf.DUMMYFUNCTION("""COMPUTED_VALUE"""),"")</f>
        <v/>
      </c>
      <c r="H176" s="110">
        <f>IFERROR(__xludf.DUMMYFUNCTION("""COMPUTED_VALUE"""),54.0)</f>
        <v>54</v>
      </c>
      <c r="I176" s="108" t="str">
        <f>IFERROR(__xludf.DUMMYFUNCTION("""COMPUTED_VALUE"""),"")</f>
        <v/>
      </c>
      <c r="J176" s="71" t="str">
        <f>IFERROR(__xludf.DUMMYFUNCTION("""COMPUTED_VALUE"""),"Dinner")</f>
        <v>Dinner</v>
      </c>
      <c r="K176" s="106">
        <f>IFERROR(__xludf.DUMMYFUNCTION("""COMPUTED_VALUE"""),45957.0)</f>
        <v>45957</v>
      </c>
      <c r="L176" s="71" t="str">
        <f>IFERROR(__xludf.DUMMYFUNCTION("""COMPUTED_VALUE"""),"Monday")</f>
        <v>Monday</v>
      </c>
      <c r="M176" s="71" t="str">
        <f>IFERROR(__xludf.DUMMYFUNCTION("""COMPUTED_VALUE"""),"BF")</f>
        <v>BF</v>
      </c>
      <c r="N176" s="109" t="str">
        <f>IFERROR(__xludf.DUMMYFUNCTION("""COMPUTED_VALUE"""),"")</f>
        <v/>
      </c>
      <c r="O176" s="71" t="str">
        <f>IFERROR(__xludf.DUMMYFUNCTION("""COMPUTED_VALUE"""),"")</f>
        <v/>
      </c>
      <c r="P176" s="71" t="str">
        <f>IFERROR(__xludf.DUMMYFUNCTION("""COMPUTED_VALUE"""),"")</f>
        <v/>
      </c>
      <c r="Q176" s="78" t="str">
        <f>IFERROR(__xludf.DUMMYFUNCTION("""COMPUTED_VALUE"""),"")</f>
        <v/>
      </c>
      <c r="R176" s="78" t="str">
        <f>IFERROR(__xludf.DUMMYFUNCTION("""COMPUTED_VALUE"""),"")</f>
        <v/>
      </c>
      <c r="S176" s="61" t="str">
        <f>IFERROR(__xludf.DUMMYFUNCTION("""COMPUTED_VALUE"""),"")</f>
        <v/>
      </c>
      <c r="T176" s="61" t="str">
        <f>IFERROR(__xludf.DUMMYFUNCTION("""COMPUTED_VALUE"""),"")</f>
        <v/>
      </c>
      <c r="U176" s="133" t="str">
        <f>IFERROR(__xludf.DUMMYFUNCTION("""COMPUTED_VALUE"""),"")</f>
        <v/>
      </c>
      <c r="V176" s="78" t="str">
        <f>IFERROR(__xludf.DUMMYFUNCTION("""COMPUTED_VALUE"""),"")</f>
        <v/>
      </c>
      <c r="W176" s="62" t="str">
        <f>IFERROR(__xludf.DUMMYFUNCTION("""COMPUTED_VALUE"""),"")</f>
        <v/>
      </c>
      <c r="X176" s="62" t="str">
        <f>IFERROR(__xludf.DUMMYFUNCTION("""COMPUTED_VALUE"""),"")</f>
        <v/>
      </c>
      <c r="Y176" s="109" t="str">
        <f>IFERROR(__xludf.DUMMYFUNCTION("""COMPUTED_VALUE"""),"")</f>
        <v/>
      </c>
      <c r="Z176" s="113" t="str">
        <f>IFERROR(__xludf.DUMMYFUNCTION("""COMPUTED_VALUE"""),"")</f>
        <v/>
      </c>
      <c r="AA176" s="113" t="str">
        <f>IFERROR(__xludf.DUMMYFUNCTION("""COMPUTED_VALUE"""),"")</f>
        <v/>
      </c>
      <c r="AB176" s="71" t="str">
        <f>IFERROR(__xludf.DUMMYFUNCTION("""COMPUTED_VALUE"""),"")</f>
        <v/>
      </c>
    </row>
    <row r="177">
      <c r="A177" s="105">
        <f>IFERROR(__xludf.DUMMYFUNCTION("""COMPUTED_VALUE"""),45957.92186336806)</f>
        <v>45957.92186</v>
      </c>
      <c r="B177" s="71" t="str">
        <f>IFERROR(__xludf.DUMMYFUNCTION("""COMPUTED_VALUE"""),"Laila Maisuria")</f>
        <v>Laila Maisuria</v>
      </c>
      <c r="C177" s="71" t="b">
        <f>IFERROR(__xludf.DUMMYFUNCTION("""COMPUTED_VALUE"""),FALSE)</f>
        <v>0</v>
      </c>
      <c r="D177" s="132">
        <f>IFERROR(__xludf.DUMMYFUNCTION("""COMPUTED_VALUE"""),0.7708333333357587)</f>
        <v>0.7708333333</v>
      </c>
      <c r="E177" s="78">
        <f>IFERROR(__xludf.DUMMYFUNCTION("""COMPUTED_VALUE"""),0.09861111110868581)</f>
        <v>0.09861111111</v>
      </c>
      <c r="F177" s="132">
        <f>IFERROR(__xludf.DUMMYFUNCTION("""COMPUTED_VALUE"""),0.8694444444444445)</f>
        <v>0.8694444444</v>
      </c>
      <c r="G177" s="78">
        <f>IFERROR(__xludf.DUMMYFUNCTION("""COMPUTED_VALUE"""),0.09861111110868581)</f>
        <v>0.09861111111</v>
      </c>
      <c r="H177" s="110">
        <f>IFERROR(__xludf.DUMMYFUNCTION("""COMPUTED_VALUE"""),63.0)</f>
        <v>63</v>
      </c>
      <c r="I177" s="108">
        <f>IFERROR(__xludf.DUMMYFUNCTION("""COMPUTED_VALUE"""),26.619718310513857)</f>
        <v>26.61971831</v>
      </c>
      <c r="J177" s="71" t="str">
        <f>IFERROR(__xludf.DUMMYFUNCTION("""COMPUTED_VALUE"""),"Dinner")</f>
        <v>Dinner</v>
      </c>
      <c r="K177" s="106">
        <f>IFERROR(__xludf.DUMMYFUNCTION("""COMPUTED_VALUE"""),45957.0)</f>
        <v>45957</v>
      </c>
      <c r="L177" s="71" t="str">
        <f>IFERROR(__xludf.DUMMYFUNCTION("""COMPUTED_VALUE"""),"Monday")</f>
        <v>Monday</v>
      </c>
      <c r="M177" s="71" t="str">
        <f>IFERROR(__xludf.DUMMYFUNCTION("""COMPUTED_VALUE"""),"MF")</f>
        <v>MF</v>
      </c>
      <c r="N177" s="109">
        <f>IFERROR(__xludf.DUMMYFUNCTION("""COMPUTED_VALUE"""),0.5245411807664503)</f>
        <v>0.5245411808</v>
      </c>
      <c r="O177" s="71" t="str">
        <f>IFERROR(__xludf.DUMMYFUNCTION("""COMPUTED_VALUE"""),"")</f>
        <v/>
      </c>
      <c r="P177" s="71" t="str">
        <f>IFERROR(__xludf.DUMMYFUNCTION("""COMPUTED_VALUE"""),"")</f>
        <v/>
      </c>
      <c r="Q177" s="78" t="str">
        <f>IFERROR(__xludf.DUMMYFUNCTION("""COMPUTED_VALUE"""),"")</f>
        <v/>
      </c>
      <c r="R177" s="78" t="str">
        <f>IFERROR(__xludf.DUMMYFUNCTION("""COMPUTED_VALUE"""),"")</f>
        <v/>
      </c>
      <c r="S177" s="61" t="str">
        <f>IFERROR(__xludf.DUMMYFUNCTION("""COMPUTED_VALUE"""),"")</f>
        <v/>
      </c>
      <c r="T177" s="61" t="str">
        <f>IFERROR(__xludf.DUMMYFUNCTION("""COMPUTED_VALUE"""),"")</f>
        <v/>
      </c>
      <c r="U177" s="133" t="str">
        <f>IFERROR(__xludf.DUMMYFUNCTION("""COMPUTED_VALUE"""),"")</f>
        <v/>
      </c>
      <c r="V177" s="78" t="str">
        <f>IFERROR(__xludf.DUMMYFUNCTION("""COMPUTED_VALUE"""),"")</f>
        <v/>
      </c>
      <c r="W177" s="62" t="str">
        <f>IFERROR(__xludf.DUMMYFUNCTION("""COMPUTED_VALUE"""),"")</f>
        <v/>
      </c>
      <c r="X177" s="62" t="str">
        <f>IFERROR(__xludf.DUMMYFUNCTION("""COMPUTED_VALUE"""),"")</f>
        <v/>
      </c>
      <c r="Y177" s="109" t="str">
        <f>IFERROR(__xludf.DUMMYFUNCTION("""COMPUTED_VALUE"""),"")</f>
        <v/>
      </c>
      <c r="Z177" s="113" t="str">
        <f>IFERROR(__xludf.DUMMYFUNCTION("""COMPUTED_VALUE"""),"")</f>
        <v/>
      </c>
      <c r="AA177" s="113" t="str">
        <f>IFERROR(__xludf.DUMMYFUNCTION("""COMPUTED_VALUE"""),"")</f>
        <v/>
      </c>
      <c r="AB177" s="71" t="str">
        <f>IFERROR(__xludf.DUMMYFUNCTION("""COMPUTED_VALUE"""),"")</f>
        <v/>
      </c>
    </row>
    <row r="178">
      <c r="A178" s="105">
        <f>IFERROR(__xludf.DUMMYFUNCTION("""COMPUTED_VALUE"""),45958.41054732639)</f>
        <v>45958.41055</v>
      </c>
      <c r="B178" s="71" t="str">
        <f>IFERROR(__xludf.DUMMYFUNCTION("""COMPUTED_VALUE"""),"Orpheus Wilson")</f>
        <v>Orpheus Wilson</v>
      </c>
      <c r="C178" s="71" t="b">
        <f>IFERROR(__xludf.DUMMYFUNCTION("""COMPUTED_VALUE"""),FALSE)</f>
        <v>0</v>
      </c>
      <c r="D178" s="132">
        <f>IFERROR(__xludf.DUMMYFUNCTION("""COMPUTED_VALUE"""),0.48333333333721384)</f>
        <v>0.4833333333</v>
      </c>
      <c r="E178" s="78">
        <f>IFERROR(__xludf.DUMMYFUNCTION("""COMPUTED_VALUE"""),0.07986111110949423)</f>
        <v>0.07986111111</v>
      </c>
      <c r="F178" s="132">
        <f>IFERROR(__xludf.DUMMYFUNCTION("""COMPUTED_VALUE"""),0.5631944444467081)</f>
        <v>0.5631944444</v>
      </c>
      <c r="G178" s="78">
        <f>IFERROR(__xludf.DUMMYFUNCTION("""COMPUTED_VALUE"""),0.07986111110949423)</f>
        <v>0.07986111111</v>
      </c>
      <c r="H178" s="110">
        <f>IFERROR(__xludf.DUMMYFUNCTION("""COMPUTED_VALUE"""),159.0)</f>
        <v>159</v>
      </c>
      <c r="I178" s="108">
        <f>IFERROR(__xludf.DUMMYFUNCTION("""COMPUTED_VALUE"""),82.95652174080999)</f>
        <v>82.95652174</v>
      </c>
      <c r="J178" s="71" t="str">
        <f>IFERROR(__xludf.DUMMYFUNCTION("""COMPUTED_VALUE"""),"Lunch")</f>
        <v>Lunch</v>
      </c>
      <c r="K178" s="106">
        <f>IFERROR(__xludf.DUMMYFUNCTION("""COMPUTED_VALUE"""),45957.0)</f>
        <v>45957</v>
      </c>
      <c r="L178" s="71" t="str">
        <f>IFERROR(__xludf.DUMMYFUNCTION("""COMPUTED_VALUE"""),"Monday")</f>
        <v>Monday</v>
      </c>
      <c r="M178" s="71" t="str">
        <f>IFERROR(__xludf.DUMMYFUNCTION("""COMPUTED_VALUE"""),"MF")</f>
        <v>MF</v>
      </c>
      <c r="N178" s="109">
        <f>IFERROR(__xludf.DUMMYFUNCTION("""COMPUTED_VALUE"""),1.7250678646392559)</f>
        <v>1.725067865</v>
      </c>
      <c r="O178" s="71">
        <f>IFERROR(__xludf.DUMMYFUNCTION("""COMPUTED_VALUE"""),416.0)</f>
        <v>416</v>
      </c>
      <c r="P178" s="71">
        <f>IFERROR(__xludf.DUMMYFUNCTION("""COMPUTED_VALUE"""),448.0)</f>
        <v>448</v>
      </c>
      <c r="Q178" s="78">
        <f>IFERROR(__xludf.DUMMYFUNCTION("""COMPUTED_VALUE"""),0.3506944444415341)</f>
        <v>0.3506944444</v>
      </c>
      <c r="R178" s="78">
        <f>IFERROR(__xludf.DUMMYFUNCTION("""COMPUTED_VALUE"""),0.4402777777722804)</f>
        <v>0.4402777778</v>
      </c>
      <c r="S178" s="61">
        <f>IFERROR(__xludf.DUMMYFUNCTION("""COMPUTED_VALUE"""),51.56957021718105)</f>
        <v>51.56957022</v>
      </c>
      <c r="T178" s="61">
        <f>IFERROR(__xludf.DUMMYFUNCTION("""COMPUTED_VALUE"""),36.49762567572781)</f>
        <v>36.49762568</v>
      </c>
      <c r="U178" s="133">
        <f>IFERROR(__xludf.DUMMYFUNCTION("""COMPUTED_VALUE"""),864.0)</f>
        <v>864</v>
      </c>
      <c r="V178" s="78">
        <f>IFERROR(__xludf.DUMMYFUNCTION("""COMPUTED_VALUE"""),0.7909722222138145)</f>
        <v>0.7909722222</v>
      </c>
      <c r="W178" s="62">
        <f>IFERROR(__xludf.DUMMYFUNCTION("""COMPUTED_VALUE"""),45.5136084289298)</f>
        <v>45.51360843</v>
      </c>
      <c r="X178" s="62">
        <f>IFERROR(__xludf.DUMMYFUNCTION("""COMPUTED_VALUE"""),45.1101654137011)</f>
        <v>45.11016541</v>
      </c>
      <c r="Y178" s="109">
        <f>IFERROR(__xludf.DUMMYFUNCTION("""COMPUTED_VALUE"""),0.9407899010328741)</f>
        <v>0.940789901</v>
      </c>
      <c r="Z178" s="113">
        <f>IFERROR(__xludf.DUMMYFUNCTION("""COMPUTED_VALUE"""),3784.0)</f>
        <v>3784</v>
      </c>
      <c r="AA178" s="113">
        <f>IFERROR(__xludf.DUMMYFUNCTION("""COMPUTED_VALUE"""),3885.0)</f>
        <v>3885</v>
      </c>
      <c r="AB178" s="113">
        <f>IFERROR(__xludf.DUMMYFUNCTION("""COMPUTED_VALUE"""),7669.0)</f>
        <v>7669</v>
      </c>
    </row>
    <row r="179">
      <c r="A179" s="105">
        <f>IFERROR(__xludf.DUMMYFUNCTION("""COMPUTED_VALUE"""),45958.478570983796)</f>
        <v>45958.47857</v>
      </c>
      <c r="B179" s="71" t="str">
        <f>IFERROR(__xludf.DUMMYFUNCTION("""COMPUTED_VALUE"""),"Emmett Khan")</f>
        <v>Emmett Khan</v>
      </c>
      <c r="C179" s="71" t="b">
        <f>IFERROR(__xludf.DUMMYFUNCTION("""COMPUTED_VALUE"""),FALSE)</f>
        <v>0</v>
      </c>
      <c r="D179" s="132">
        <f>IFERROR(__xludf.DUMMYFUNCTION("""COMPUTED_VALUE"""),0.39583333333575865)</f>
        <v>0.3958333333</v>
      </c>
      <c r="E179" s="78">
        <f>IFERROR(__xludf.DUMMYFUNCTION("""COMPUTED_VALUE"""),0.0833333333284827)</f>
        <v>0.08333333333</v>
      </c>
      <c r="F179" s="132">
        <f>IFERROR(__xludf.DUMMYFUNCTION("""COMPUTED_VALUE"""),0.47916666666424135)</f>
        <v>0.4791666667</v>
      </c>
      <c r="G179" s="78">
        <f>IFERROR(__xludf.DUMMYFUNCTION("""COMPUTED_VALUE"""),0.0833333333284827)</f>
        <v>0.08333333333</v>
      </c>
      <c r="H179" s="110">
        <f>IFERROR(__xludf.DUMMYFUNCTION("""COMPUTED_VALUE"""),119.0)</f>
        <v>119</v>
      </c>
      <c r="I179" s="108">
        <f>IFERROR(__xludf.DUMMYFUNCTION("""COMPUTED_VALUE"""),59.500000003463356)</f>
        <v>59.5</v>
      </c>
      <c r="J179" s="71" t="str">
        <f>IFERROR(__xludf.DUMMYFUNCTION("""COMPUTED_VALUE"""),"Breakfast/Lunch")</f>
        <v>Breakfast/Lunch</v>
      </c>
      <c r="K179" s="106">
        <f>IFERROR(__xludf.DUMMYFUNCTION("""COMPUTED_VALUE"""),45958.0)</f>
        <v>45958</v>
      </c>
      <c r="L179" s="71" t="str">
        <f>IFERROR(__xludf.DUMMYFUNCTION("""COMPUTED_VALUE"""),"Tuesday")</f>
        <v>Tuesday</v>
      </c>
      <c r="M179" s="71" t="str">
        <f>IFERROR(__xludf.DUMMYFUNCTION("""COMPUTED_VALUE"""),"BF")</f>
        <v>BF</v>
      </c>
      <c r="N179" s="109">
        <f>IFERROR(__xludf.DUMMYFUNCTION("""COMPUTED_VALUE"""),1.0449079264278354)</f>
        <v>1.044907926</v>
      </c>
      <c r="O179" s="71" t="str">
        <f>IFERROR(__xludf.DUMMYFUNCTION("""COMPUTED_VALUE"""),"")</f>
        <v/>
      </c>
      <c r="P179" s="71" t="str">
        <f>IFERROR(__xludf.DUMMYFUNCTION("""COMPUTED_VALUE"""),"")</f>
        <v/>
      </c>
      <c r="Q179" s="78" t="str">
        <f>IFERROR(__xludf.DUMMYFUNCTION("""COMPUTED_VALUE"""),"")</f>
        <v/>
      </c>
      <c r="R179" s="78" t="str">
        <f>IFERROR(__xludf.DUMMYFUNCTION("""COMPUTED_VALUE"""),"")</f>
        <v/>
      </c>
      <c r="S179" s="61" t="str">
        <f>IFERROR(__xludf.DUMMYFUNCTION("""COMPUTED_VALUE"""),"")</f>
        <v/>
      </c>
      <c r="T179" s="61" t="str">
        <f>IFERROR(__xludf.DUMMYFUNCTION("""COMPUTED_VALUE"""),"")</f>
        <v/>
      </c>
      <c r="U179" s="133" t="str">
        <f>IFERROR(__xludf.DUMMYFUNCTION("""COMPUTED_VALUE"""),"")</f>
        <v/>
      </c>
      <c r="V179" s="78" t="str">
        <f>IFERROR(__xludf.DUMMYFUNCTION("""COMPUTED_VALUE"""),"")</f>
        <v/>
      </c>
      <c r="W179" s="62" t="str">
        <f>IFERROR(__xludf.DUMMYFUNCTION("""COMPUTED_VALUE"""),"")</f>
        <v/>
      </c>
      <c r="X179" s="62" t="str">
        <f>IFERROR(__xludf.DUMMYFUNCTION("""COMPUTED_VALUE"""),"")</f>
        <v/>
      </c>
      <c r="Y179" s="109" t="str">
        <f>IFERROR(__xludf.DUMMYFUNCTION("""COMPUTED_VALUE"""),"")</f>
        <v/>
      </c>
      <c r="Z179" s="113" t="str">
        <f>IFERROR(__xludf.DUMMYFUNCTION("""COMPUTED_VALUE"""),"")</f>
        <v/>
      </c>
      <c r="AA179" s="113" t="str">
        <f>IFERROR(__xludf.DUMMYFUNCTION("""COMPUTED_VALUE"""),"")</f>
        <v/>
      </c>
      <c r="AB179" s="71" t="str">
        <f>IFERROR(__xludf.DUMMYFUNCTION("""COMPUTED_VALUE"""),"")</f>
        <v/>
      </c>
    </row>
    <row r="180">
      <c r="A180" s="105">
        <f>IFERROR(__xludf.DUMMYFUNCTION("""COMPUTED_VALUE"""),45958.60463023148)</f>
        <v>45958.60463</v>
      </c>
      <c r="B180" s="71" t="str">
        <f>IFERROR(__xludf.DUMMYFUNCTION("""COMPUTED_VALUE"""),"Brynn Hornig")</f>
        <v>Brynn Hornig</v>
      </c>
      <c r="C180" s="71" t="b">
        <f>IFERROR(__xludf.DUMMYFUNCTION("""COMPUTED_VALUE"""),FALSE)</f>
        <v>0</v>
      </c>
      <c r="D180" s="132">
        <f>IFERROR(__xludf.DUMMYFUNCTION("""COMPUTED_VALUE"""),0.5208333333357587)</f>
        <v>0.5208333333</v>
      </c>
      <c r="E180" s="78">
        <f>IFERROR(__xludf.DUMMYFUNCTION("""COMPUTED_VALUE"""),0.0833333333284827)</f>
        <v>0.08333333333</v>
      </c>
      <c r="F180" s="132">
        <f>IFERROR(__xludf.DUMMYFUNCTION("""COMPUTED_VALUE"""),0.6041666666642413)</f>
        <v>0.6041666667</v>
      </c>
      <c r="G180" s="78">
        <f>IFERROR(__xludf.DUMMYFUNCTION("""COMPUTED_VALUE"""),0.0833333333284827)</f>
        <v>0.08333333333</v>
      </c>
      <c r="H180" s="110">
        <f>IFERROR(__xludf.DUMMYFUNCTION("""COMPUTED_VALUE"""),138.0)</f>
        <v>138</v>
      </c>
      <c r="I180" s="108">
        <f>IFERROR(__xludf.DUMMYFUNCTION("""COMPUTED_VALUE"""),69.00000000401633)</f>
        <v>69</v>
      </c>
      <c r="J180" s="71" t="str">
        <f>IFERROR(__xludf.DUMMYFUNCTION("""COMPUTED_VALUE"""),"Lunch")</f>
        <v>Lunch</v>
      </c>
      <c r="K180" s="106">
        <f>IFERROR(__xludf.DUMMYFUNCTION("""COMPUTED_VALUE"""),45958.0)</f>
        <v>45958</v>
      </c>
      <c r="L180" s="71" t="str">
        <f>IFERROR(__xludf.DUMMYFUNCTION("""COMPUTED_VALUE"""),"Tuesday")</f>
        <v>Tuesday</v>
      </c>
      <c r="M180" s="71" t="str">
        <f>IFERROR(__xludf.DUMMYFUNCTION("""COMPUTED_VALUE"""),"BF")</f>
        <v>BF</v>
      </c>
      <c r="N180" s="109">
        <f>IFERROR(__xludf.DUMMYFUNCTION("""COMPUTED_VALUE"""),1.7769430425558024)</f>
        <v>1.776943043</v>
      </c>
      <c r="O180" s="71" t="str">
        <f>IFERROR(__xludf.DUMMYFUNCTION("""COMPUTED_VALUE"""),"")</f>
        <v/>
      </c>
      <c r="P180" s="71" t="str">
        <f>IFERROR(__xludf.DUMMYFUNCTION("""COMPUTED_VALUE"""),"")</f>
        <v/>
      </c>
      <c r="Q180" s="78" t="str">
        <f>IFERROR(__xludf.DUMMYFUNCTION("""COMPUTED_VALUE"""),"")</f>
        <v/>
      </c>
      <c r="R180" s="78" t="str">
        <f>IFERROR(__xludf.DUMMYFUNCTION("""COMPUTED_VALUE"""),"")</f>
        <v/>
      </c>
      <c r="S180" s="61" t="str">
        <f>IFERROR(__xludf.DUMMYFUNCTION("""COMPUTED_VALUE"""),"")</f>
        <v/>
      </c>
      <c r="T180" s="61" t="str">
        <f>IFERROR(__xludf.DUMMYFUNCTION("""COMPUTED_VALUE"""),"")</f>
        <v/>
      </c>
      <c r="U180" s="133" t="str">
        <f>IFERROR(__xludf.DUMMYFUNCTION("""COMPUTED_VALUE"""),"")</f>
        <v/>
      </c>
      <c r="V180" s="78" t="str">
        <f>IFERROR(__xludf.DUMMYFUNCTION("""COMPUTED_VALUE"""),"")</f>
        <v/>
      </c>
      <c r="W180" s="62" t="str">
        <f>IFERROR(__xludf.DUMMYFUNCTION("""COMPUTED_VALUE"""),"")</f>
        <v/>
      </c>
      <c r="X180" s="62" t="str">
        <f>IFERROR(__xludf.DUMMYFUNCTION("""COMPUTED_VALUE"""),"")</f>
        <v/>
      </c>
      <c r="Y180" s="109" t="str">
        <f>IFERROR(__xludf.DUMMYFUNCTION("""COMPUTED_VALUE"""),"")</f>
        <v/>
      </c>
      <c r="Z180" s="113" t="str">
        <f>IFERROR(__xludf.DUMMYFUNCTION("""COMPUTED_VALUE"""),"")</f>
        <v/>
      </c>
      <c r="AA180" s="113" t="str">
        <f>IFERROR(__xludf.DUMMYFUNCTION("""COMPUTED_VALUE"""),"")</f>
        <v/>
      </c>
      <c r="AB180" s="71" t="str">
        <f>IFERROR(__xludf.DUMMYFUNCTION("""COMPUTED_VALUE"""),"")</f>
        <v/>
      </c>
    </row>
    <row r="181">
      <c r="A181" s="105">
        <f>IFERROR(__xludf.DUMMYFUNCTION("""COMPUTED_VALUE"""),45958.6277584375)</f>
        <v>45958.62776</v>
      </c>
      <c r="B181" s="71" t="str">
        <f>IFERROR(__xludf.DUMMYFUNCTION("""COMPUTED_VALUE"""),"Maureen Surgot")</f>
        <v>Maureen Surgot</v>
      </c>
      <c r="C181" s="71" t="b">
        <f>IFERROR(__xludf.DUMMYFUNCTION("""COMPUTED_VALUE"""),FALSE)</f>
        <v>0</v>
      </c>
      <c r="D181" s="132">
        <f>IFERROR(__xludf.DUMMYFUNCTION("""COMPUTED_VALUE"""),0.47916666666424135)</f>
        <v>0.4791666667</v>
      </c>
      <c r="E181" s="78">
        <f>IFERROR(__xludf.DUMMYFUNCTION("""COMPUTED_VALUE"""),0.15625)</f>
        <v>0.15625</v>
      </c>
      <c r="F181" s="132">
        <f>IFERROR(__xludf.DUMMYFUNCTION("""COMPUTED_VALUE"""),0.6354166666642413)</f>
        <v>0.6354166667</v>
      </c>
      <c r="G181" s="78">
        <f>IFERROR(__xludf.DUMMYFUNCTION("""COMPUTED_VALUE"""),0.15625)</f>
        <v>0.15625</v>
      </c>
      <c r="H181" s="110">
        <f>IFERROR(__xludf.DUMMYFUNCTION("""COMPUTED_VALUE"""),142.0)</f>
        <v>142</v>
      </c>
      <c r="I181" s="108">
        <f>IFERROR(__xludf.DUMMYFUNCTION("""COMPUTED_VALUE"""),37.86666666666667)</f>
        <v>37.86666667</v>
      </c>
      <c r="J181" s="71" t="str">
        <f>IFERROR(__xludf.DUMMYFUNCTION("""COMPUTED_VALUE"""),"Lunch")</f>
        <v>Lunch</v>
      </c>
      <c r="K181" s="106">
        <f>IFERROR(__xludf.DUMMYFUNCTION("""COMPUTED_VALUE"""),45958.0)</f>
        <v>45958</v>
      </c>
      <c r="L181" s="71" t="str">
        <f>IFERROR(__xludf.DUMMYFUNCTION("""COMPUTED_VALUE"""),"Tuesday")</f>
        <v>Tuesday</v>
      </c>
      <c r="M181" s="71" t="str">
        <f>IFERROR(__xludf.DUMMYFUNCTION("""COMPUTED_VALUE"""),"MF")</f>
        <v>MF</v>
      </c>
      <c r="N181" s="109">
        <f>IFERROR(__xludf.DUMMYFUNCTION("""COMPUTED_VALUE"""),0.7874313970367214)</f>
        <v>0.787431397</v>
      </c>
      <c r="O181" s="71" t="str">
        <f>IFERROR(__xludf.DUMMYFUNCTION("""COMPUTED_VALUE"""),"")</f>
        <v/>
      </c>
      <c r="P181" s="71" t="str">
        <f>IFERROR(__xludf.DUMMYFUNCTION("""COMPUTED_VALUE"""),"")</f>
        <v/>
      </c>
      <c r="Q181" s="78" t="str">
        <f>IFERROR(__xludf.DUMMYFUNCTION("""COMPUTED_VALUE"""),"")</f>
        <v/>
      </c>
      <c r="R181" s="78" t="str">
        <f>IFERROR(__xludf.DUMMYFUNCTION("""COMPUTED_VALUE"""),"")</f>
        <v/>
      </c>
      <c r="S181" s="61" t="str">
        <f>IFERROR(__xludf.DUMMYFUNCTION("""COMPUTED_VALUE"""),"")</f>
        <v/>
      </c>
      <c r="T181" s="61" t="str">
        <f>IFERROR(__xludf.DUMMYFUNCTION("""COMPUTED_VALUE"""),"")</f>
        <v/>
      </c>
      <c r="U181" s="133" t="str">
        <f>IFERROR(__xludf.DUMMYFUNCTION("""COMPUTED_VALUE"""),"")</f>
        <v/>
      </c>
      <c r="V181" s="78" t="str">
        <f>IFERROR(__xludf.DUMMYFUNCTION("""COMPUTED_VALUE"""),"")</f>
        <v/>
      </c>
      <c r="W181" s="62" t="str">
        <f>IFERROR(__xludf.DUMMYFUNCTION("""COMPUTED_VALUE"""),"")</f>
        <v/>
      </c>
      <c r="X181" s="62" t="str">
        <f>IFERROR(__xludf.DUMMYFUNCTION("""COMPUTED_VALUE"""),"")</f>
        <v/>
      </c>
      <c r="Y181" s="109" t="str">
        <f>IFERROR(__xludf.DUMMYFUNCTION("""COMPUTED_VALUE"""),"")</f>
        <v/>
      </c>
      <c r="Z181" s="113" t="str">
        <f>IFERROR(__xludf.DUMMYFUNCTION("""COMPUTED_VALUE"""),"")</f>
        <v/>
      </c>
      <c r="AA181" s="113" t="str">
        <f>IFERROR(__xludf.DUMMYFUNCTION("""COMPUTED_VALUE"""),"")</f>
        <v/>
      </c>
      <c r="AB181" s="71" t="str">
        <f>IFERROR(__xludf.DUMMYFUNCTION("""COMPUTED_VALUE"""),"")</f>
        <v/>
      </c>
    </row>
    <row r="182">
      <c r="A182" s="105">
        <f>IFERROR(__xludf.DUMMYFUNCTION("""COMPUTED_VALUE"""),45958.65264284722)</f>
        <v>45958.65264</v>
      </c>
      <c r="B182" s="71" t="str">
        <f>IFERROR(__xludf.DUMMYFUNCTION("""COMPUTED_VALUE"""),"Brynn Hornig")</f>
        <v>Brynn Hornig</v>
      </c>
      <c r="C182" s="71" t="b">
        <f>IFERROR(__xludf.DUMMYFUNCTION("""COMPUTED_VALUE"""),FALSE)</f>
        <v>0</v>
      </c>
      <c r="D182" s="132">
        <f>IFERROR(__xludf.DUMMYFUNCTION("""COMPUTED_VALUE"""),0.6041666666642413)</f>
        <v>0.6041666667</v>
      </c>
      <c r="E182" s="78">
        <f>IFERROR(__xludf.DUMMYFUNCTION("""COMPUTED_VALUE"""),0.05208333333575865)</f>
        <v>0.05208333334</v>
      </c>
      <c r="F182" s="132">
        <f>IFERROR(__xludf.DUMMYFUNCTION("""COMPUTED_VALUE"""),0.65625)</f>
        <v>0.65625</v>
      </c>
      <c r="G182" s="78">
        <f>IFERROR(__xludf.DUMMYFUNCTION("""COMPUTED_VALUE"""),0.05208333333575865)</f>
        <v>0.05208333334</v>
      </c>
      <c r="H182" s="110">
        <f>IFERROR(__xludf.DUMMYFUNCTION("""COMPUTED_VALUE"""),44.0)</f>
        <v>44</v>
      </c>
      <c r="I182" s="108">
        <f>IFERROR(__xludf.DUMMYFUNCTION("""COMPUTED_VALUE"""),35.19999999836087)</f>
        <v>35.2</v>
      </c>
      <c r="J182" s="71" t="str">
        <f>IFERROR(__xludf.DUMMYFUNCTION("""COMPUTED_VALUE"""),"Lunch")</f>
        <v>Lunch</v>
      </c>
      <c r="K182" s="106">
        <f>IFERROR(__xludf.DUMMYFUNCTION("""COMPUTED_VALUE"""),45958.0)</f>
        <v>45958</v>
      </c>
      <c r="L182" s="71" t="str">
        <f>IFERROR(__xludf.DUMMYFUNCTION("""COMPUTED_VALUE"""),"Tuesday")</f>
        <v>Tuesday</v>
      </c>
      <c r="M182" s="71" t="str">
        <f>IFERROR(__xludf.DUMMYFUNCTION("""COMPUTED_VALUE"""),"BF")</f>
        <v>BF</v>
      </c>
      <c r="N182" s="109">
        <f>IFERROR(__xludf.DUMMYFUNCTION("""COMPUTED_VALUE"""),0.9064984795856639)</f>
        <v>0.9064984796</v>
      </c>
      <c r="O182" s="71" t="str">
        <f>IFERROR(__xludf.DUMMYFUNCTION("""COMPUTED_VALUE"""),"")</f>
        <v/>
      </c>
      <c r="P182" s="71" t="str">
        <f>IFERROR(__xludf.DUMMYFUNCTION("""COMPUTED_VALUE"""),"")</f>
        <v/>
      </c>
      <c r="Q182" s="78" t="str">
        <f>IFERROR(__xludf.DUMMYFUNCTION("""COMPUTED_VALUE"""),"")</f>
        <v/>
      </c>
      <c r="R182" s="78" t="str">
        <f>IFERROR(__xludf.DUMMYFUNCTION("""COMPUTED_VALUE"""),"")</f>
        <v/>
      </c>
      <c r="S182" s="61" t="str">
        <f>IFERROR(__xludf.DUMMYFUNCTION("""COMPUTED_VALUE"""),"")</f>
        <v/>
      </c>
      <c r="T182" s="61" t="str">
        <f>IFERROR(__xludf.DUMMYFUNCTION("""COMPUTED_VALUE"""),"")</f>
        <v/>
      </c>
      <c r="U182" s="133" t="str">
        <f>IFERROR(__xludf.DUMMYFUNCTION("""COMPUTED_VALUE"""),"")</f>
        <v/>
      </c>
      <c r="V182" s="78" t="str">
        <f>IFERROR(__xludf.DUMMYFUNCTION("""COMPUTED_VALUE"""),"")</f>
        <v/>
      </c>
      <c r="W182" s="62" t="str">
        <f>IFERROR(__xludf.DUMMYFUNCTION("""COMPUTED_VALUE"""),"")</f>
        <v/>
      </c>
      <c r="X182" s="62" t="str">
        <f>IFERROR(__xludf.DUMMYFUNCTION("""COMPUTED_VALUE"""),"")</f>
        <v/>
      </c>
      <c r="Y182" s="109" t="str">
        <f>IFERROR(__xludf.DUMMYFUNCTION("""COMPUTED_VALUE"""),"")</f>
        <v/>
      </c>
      <c r="Z182" s="113" t="str">
        <f>IFERROR(__xludf.DUMMYFUNCTION("""COMPUTED_VALUE"""),"")</f>
        <v/>
      </c>
      <c r="AA182" s="113" t="str">
        <f>IFERROR(__xludf.DUMMYFUNCTION("""COMPUTED_VALUE"""),"")</f>
        <v/>
      </c>
      <c r="AB182" s="71" t="str">
        <f>IFERROR(__xludf.DUMMYFUNCTION("""COMPUTED_VALUE"""),"")</f>
        <v/>
      </c>
    </row>
    <row r="183">
      <c r="A183" s="105">
        <f>IFERROR(__xludf.DUMMYFUNCTION("""COMPUTED_VALUE"""),45958.79088921296)</f>
        <v>45958.79089</v>
      </c>
      <c r="B183" s="71" t="str">
        <f>IFERROR(__xludf.DUMMYFUNCTION("""COMPUTED_VALUE"""),"Kyra Turner")</f>
        <v>Kyra Turner</v>
      </c>
      <c r="C183" s="71" t="b">
        <f>IFERROR(__xludf.DUMMYFUNCTION("""COMPUTED_VALUE"""),FALSE)</f>
        <v>0</v>
      </c>
      <c r="D183" s="132">
        <f>IFERROR(__xludf.DUMMYFUNCTION("""COMPUTED_VALUE"""),0.6875)</f>
        <v>0.6875</v>
      </c>
      <c r="E183" s="78">
        <f>IFERROR(__xludf.DUMMYFUNCTION("""COMPUTED_VALUE"""),0.10069444444525288)</f>
        <v>0.1006944444</v>
      </c>
      <c r="F183" s="132">
        <f>IFERROR(__xludf.DUMMYFUNCTION("""COMPUTED_VALUE"""),0.7881944444452529)</f>
        <v>0.7881944444</v>
      </c>
      <c r="G183" s="78">
        <f>IFERROR(__xludf.DUMMYFUNCTION("""COMPUTED_VALUE"""),0.10069444444525288)</f>
        <v>0.1006944444</v>
      </c>
      <c r="H183" s="110">
        <f>IFERROR(__xludf.DUMMYFUNCTION("""COMPUTED_VALUE"""),104.0)</f>
        <v>104</v>
      </c>
      <c r="I183" s="108">
        <f>IFERROR(__xludf.DUMMYFUNCTION("""COMPUTED_VALUE"""),43.03448275827518)</f>
        <v>43.03448276</v>
      </c>
      <c r="J183" s="71" t="str">
        <f>IFERROR(__xludf.DUMMYFUNCTION("""COMPUTED_VALUE"""),"Dinner")</f>
        <v>Dinner</v>
      </c>
      <c r="K183" s="106">
        <f>IFERROR(__xludf.DUMMYFUNCTION("""COMPUTED_VALUE"""),45958.0)</f>
        <v>45958</v>
      </c>
      <c r="L183" s="71" t="str">
        <f>IFERROR(__xludf.DUMMYFUNCTION("""COMPUTED_VALUE"""),"Tuesday")</f>
        <v>Tuesday</v>
      </c>
      <c r="M183" s="71" t="str">
        <f>IFERROR(__xludf.DUMMYFUNCTION("""COMPUTED_VALUE"""),"BF")</f>
        <v>BF</v>
      </c>
      <c r="N183" s="109">
        <f>IFERROR(__xludf.DUMMYFUNCTION("""COMPUTED_VALUE"""),1.015599372418625)</f>
        <v>1.015599372</v>
      </c>
      <c r="O183" s="71" t="str">
        <f>IFERROR(__xludf.DUMMYFUNCTION("""COMPUTED_VALUE"""),"")</f>
        <v/>
      </c>
      <c r="P183" s="71" t="str">
        <f>IFERROR(__xludf.DUMMYFUNCTION("""COMPUTED_VALUE"""),"")</f>
        <v/>
      </c>
      <c r="Q183" s="78" t="str">
        <f>IFERROR(__xludf.DUMMYFUNCTION("""COMPUTED_VALUE"""),"")</f>
        <v/>
      </c>
      <c r="R183" s="78" t="str">
        <f>IFERROR(__xludf.DUMMYFUNCTION("""COMPUTED_VALUE"""),"")</f>
        <v/>
      </c>
      <c r="S183" s="61" t="str">
        <f>IFERROR(__xludf.DUMMYFUNCTION("""COMPUTED_VALUE"""),"")</f>
        <v/>
      </c>
      <c r="T183" s="61" t="str">
        <f>IFERROR(__xludf.DUMMYFUNCTION("""COMPUTED_VALUE"""),"")</f>
        <v/>
      </c>
      <c r="U183" s="133" t="str">
        <f>IFERROR(__xludf.DUMMYFUNCTION("""COMPUTED_VALUE"""),"")</f>
        <v/>
      </c>
      <c r="V183" s="78" t="str">
        <f>IFERROR(__xludf.DUMMYFUNCTION("""COMPUTED_VALUE"""),"")</f>
        <v/>
      </c>
      <c r="W183" s="62" t="str">
        <f>IFERROR(__xludf.DUMMYFUNCTION("""COMPUTED_VALUE"""),"")</f>
        <v/>
      </c>
      <c r="X183" s="62" t="str">
        <f>IFERROR(__xludf.DUMMYFUNCTION("""COMPUTED_VALUE"""),"")</f>
        <v/>
      </c>
      <c r="Y183" s="109" t="str">
        <f>IFERROR(__xludf.DUMMYFUNCTION("""COMPUTED_VALUE"""),"")</f>
        <v/>
      </c>
      <c r="Z183" s="113" t="str">
        <f>IFERROR(__xludf.DUMMYFUNCTION("""COMPUTED_VALUE"""),"")</f>
        <v/>
      </c>
      <c r="AA183" s="113" t="str">
        <f>IFERROR(__xludf.DUMMYFUNCTION("""COMPUTED_VALUE"""),"")</f>
        <v/>
      </c>
      <c r="AB183" s="71" t="str">
        <f>IFERROR(__xludf.DUMMYFUNCTION("""COMPUTED_VALUE"""),"")</f>
        <v/>
      </c>
    </row>
    <row r="184">
      <c r="A184" s="105">
        <f>IFERROR(__xludf.DUMMYFUNCTION("""COMPUTED_VALUE"""),45958.86334642361)</f>
        <v>45958.86335</v>
      </c>
      <c r="B184" s="71" t="str">
        <f>IFERROR(__xludf.DUMMYFUNCTION("""COMPUTED_VALUE"""),"Kaylie Forgue")</f>
        <v>Kaylie Forgue</v>
      </c>
      <c r="C184" s="71" t="b">
        <f>IFERROR(__xludf.DUMMYFUNCTION("""COMPUTED_VALUE"""),FALSE)</f>
        <v>0</v>
      </c>
      <c r="D184" s="132">
        <f>IFERROR(__xludf.DUMMYFUNCTION("""COMPUTED_VALUE"""),0.7902777777781012)</f>
        <v>0.7902777778</v>
      </c>
      <c r="E184" s="78">
        <f>IFERROR(__xludf.DUMMYFUNCTION("""COMPUTED_VALUE"""),0.07291666666424135)</f>
        <v>0.07291666666</v>
      </c>
      <c r="F184" s="132">
        <f>IFERROR(__xludf.DUMMYFUNCTION("""COMPUTED_VALUE"""),0.8631944444423425)</f>
        <v>0.8631944444</v>
      </c>
      <c r="G184" s="78">
        <f>IFERROR(__xludf.DUMMYFUNCTION("""COMPUTED_VALUE"""),0.07291666666424135)</f>
        <v>0.07291666666</v>
      </c>
      <c r="H184" s="110">
        <f>IFERROR(__xludf.DUMMYFUNCTION("""COMPUTED_VALUE"""),68.0)</f>
        <v>68</v>
      </c>
      <c r="I184" s="108">
        <f>IFERROR(__xludf.DUMMYFUNCTION("""COMPUTED_VALUE"""),38.8571428584353)</f>
        <v>38.85714286</v>
      </c>
      <c r="J184" s="71" t="str">
        <f>IFERROR(__xludf.DUMMYFUNCTION("""COMPUTED_VALUE"""),"Dinner")</f>
        <v>Dinner</v>
      </c>
      <c r="K184" s="106">
        <f>IFERROR(__xludf.DUMMYFUNCTION("""COMPUTED_VALUE"""),45958.0)</f>
        <v>45958</v>
      </c>
      <c r="L184" s="71" t="str">
        <f>IFERROR(__xludf.DUMMYFUNCTION("""COMPUTED_VALUE"""),"Tuesday")</f>
        <v>Tuesday</v>
      </c>
      <c r="M184" s="71" t="str">
        <f>IFERROR(__xludf.DUMMYFUNCTION("""COMPUTED_VALUE"""),"BF")</f>
        <v>BF</v>
      </c>
      <c r="N184" s="109">
        <f>IFERROR(__xludf.DUMMYFUNCTION("""COMPUTED_VALUE"""),0.9170155505916772)</f>
        <v>0.9170155506</v>
      </c>
      <c r="O184" s="71">
        <f>IFERROR(__xludf.DUMMYFUNCTION("""COMPUTED_VALUE"""),142.0)</f>
        <v>142</v>
      </c>
      <c r="P184" s="71">
        <f>IFERROR(__xludf.DUMMYFUNCTION("""COMPUTED_VALUE"""),473.0)</f>
        <v>473</v>
      </c>
      <c r="Q184" s="78">
        <f>IFERROR(__xludf.DUMMYFUNCTION("""COMPUTED_VALUE"""),0.15625)</f>
        <v>0.15625</v>
      </c>
      <c r="R184" s="78">
        <f>IFERROR(__xludf.DUMMYFUNCTION("""COMPUTED_VALUE"""),0.3923611111022183)</f>
        <v>0.3923611111</v>
      </c>
      <c r="S184" s="61">
        <f>IFERROR(__xludf.DUMMYFUNCTION("""COMPUTED_VALUE"""),37.86666666666667)</f>
        <v>37.86666667</v>
      </c>
      <c r="T184" s="61">
        <f>IFERROR(__xludf.DUMMYFUNCTION("""COMPUTED_VALUE"""),49.11832512451021)</f>
        <v>49.11832512</v>
      </c>
      <c r="U184" s="133">
        <f>IFERROR(__xludf.DUMMYFUNCTION("""COMPUTED_VALUE"""),615.0)</f>
        <v>615</v>
      </c>
      <c r="V184" s="78">
        <f>IFERROR(__xludf.DUMMYFUNCTION("""COMPUTED_VALUE"""),0.5486111111022183)</f>
        <v>0.5486111111</v>
      </c>
      <c r="W184" s="62">
        <f>IFERROR(__xludf.DUMMYFUNCTION("""COMPUTED_VALUE"""),46.70886076025081)</f>
        <v>46.70886076</v>
      </c>
      <c r="X184" s="62">
        <f>IFERROR(__xludf.DUMMYFUNCTION("""COMPUTED_VALUE"""),47.243048714869616)</f>
        <v>47.24304871</v>
      </c>
      <c r="Y184" s="109">
        <f>IFERROR(__xludf.DUMMYFUNCTION("""COMPUTED_VALUE"""),0.9954978741317927)</f>
        <v>0.9954978741</v>
      </c>
      <c r="Z184" s="113">
        <f>IFERROR(__xludf.DUMMYFUNCTION("""COMPUTED_VALUE"""),3568.0)</f>
        <v>3568</v>
      </c>
      <c r="AA184" s="113">
        <f>IFERROR(__xludf.DUMMYFUNCTION("""COMPUTED_VALUE"""),4059.0)</f>
        <v>4059</v>
      </c>
      <c r="AB184" s="113">
        <f>IFERROR(__xludf.DUMMYFUNCTION("""COMPUTED_VALUE"""),7627.0)</f>
        <v>7627</v>
      </c>
    </row>
    <row r="185">
      <c r="A185" s="105">
        <f>IFERROR(__xludf.DUMMYFUNCTION("""COMPUTED_VALUE"""),45959.63529556713)</f>
        <v>45959.6353</v>
      </c>
      <c r="B185" s="71" t="str">
        <f>IFERROR(__xludf.DUMMYFUNCTION("""COMPUTED_VALUE"""),"Greta Traynor")</f>
        <v>Greta Traynor</v>
      </c>
      <c r="C185" s="71" t="b">
        <f>IFERROR(__xludf.DUMMYFUNCTION("""COMPUTED_VALUE"""),FALSE)</f>
        <v>0</v>
      </c>
      <c r="D185" s="132">
        <f>IFERROR(__xludf.DUMMYFUNCTION("""COMPUTED_VALUE"""),0.5666666666656965)</f>
        <v>0.5666666667</v>
      </c>
      <c r="E185" s="78">
        <f>IFERROR(__xludf.DUMMYFUNCTION("""COMPUTED_VALUE"""),0.06597222221898846)</f>
        <v>0.06597222222</v>
      </c>
      <c r="F185" s="132">
        <f>IFERROR(__xludf.DUMMYFUNCTION("""COMPUTED_VALUE"""),0.632638888884685)</f>
        <v>0.6326388889</v>
      </c>
      <c r="G185" s="78">
        <f>IFERROR(__xludf.DUMMYFUNCTION("""COMPUTED_VALUE"""),0.06597222221898846)</f>
        <v>0.06597222222</v>
      </c>
      <c r="H185" s="110">
        <f>IFERROR(__xludf.DUMMYFUNCTION("""COMPUTED_VALUE"""),81.0)</f>
        <v>81</v>
      </c>
      <c r="I185" s="108">
        <f>IFERROR(__xludf.DUMMYFUNCTION("""COMPUTED_VALUE"""),51.15789473934971)</f>
        <v>51.15789474</v>
      </c>
      <c r="J185" s="71" t="str">
        <f>IFERROR(__xludf.DUMMYFUNCTION("""COMPUTED_VALUE"""),"Lunch")</f>
        <v>Lunch</v>
      </c>
      <c r="K185" s="106">
        <f>IFERROR(__xludf.DUMMYFUNCTION("""COMPUTED_VALUE"""),45959.0)</f>
        <v>45959</v>
      </c>
      <c r="L185" s="71" t="str">
        <f>IFERROR(__xludf.DUMMYFUNCTION("""COMPUTED_VALUE"""),"Wednesday")</f>
        <v>Wednesday</v>
      </c>
      <c r="M185" s="71" t="str">
        <f>IFERROR(__xludf.DUMMYFUNCTION("""COMPUTED_VALUE"""),"MF")</f>
        <v>MF</v>
      </c>
      <c r="N185" s="109">
        <f>IFERROR(__xludf.DUMMYFUNCTION("""COMPUTED_VALUE"""),1.0638204011636534)</f>
        <v>1.063820401</v>
      </c>
      <c r="O185" s="71" t="str">
        <f>IFERROR(__xludf.DUMMYFUNCTION("""COMPUTED_VALUE"""),"")</f>
        <v/>
      </c>
      <c r="P185" s="71" t="str">
        <f>IFERROR(__xludf.DUMMYFUNCTION("""COMPUTED_VALUE"""),"")</f>
        <v/>
      </c>
      <c r="Q185" s="78" t="str">
        <f>IFERROR(__xludf.DUMMYFUNCTION("""COMPUTED_VALUE"""),"")</f>
        <v/>
      </c>
      <c r="R185" s="78" t="str">
        <f>IFERROR(__xludf.DUMMYFUNCTION("""COMPUTED_VALUE"""),"")</f>
        <v/>
      </c>
      <c r="S185" s="61" t="str">
        <f>IFERROR(__xludf.DUMMYFUNCTION("""COMPUTED_VALUE"""),"")</f>
        <v/>
      </c>
      <c r="T185" s="61" t="str">
        <f>IFERROR(__xludf.DUMMYFUNCTION("""COMPUTED_VALUE"""),"")</f>
        <v/>
      </c>
      <c r="U185" s="133" t="str">
        <f>IFERROR(__xludf.DUMMYFUNCTION("""COMPUTED_VALUE"""),"")</f>
        <v/>
      </c>
      <c r="V185" s="78" t="str">
        <f>IFERROR(__xludf.DUMMYFUNCTION("""COMPUTED_VALUE"""),"")</f>
        <v/>
      </c>
      <c r="W185" s="62" t="str">
        <f>IFERROR(__xludf.DUMMYFUNCTION("""COMPUTED_VALUE"""),"")</f>
        <v/>
      </c>
      <c r="X185" s="62" t="str">
        <f>IFERROR(__xludf.DUMMYFUNCTION("""COMPUTED_VALUE"""),"")</f>
        <v/>
      </c>
      <c r="Y185" s="109" t="str">
        <f>IFERROR(__xludf.DUMMYFUNCTION("""COMPUTED_VALUE"""),"")</f>
        <v/>
      </c>
      <c r="Z185" s="113" t="str">
        <f>IFERROR(__xludf.DUMMYFUNCTION("""COMPUTED_VALUE"""),"")</f>
        <v/>
      </c>
      <c r="AA185" s="113" t="str">
        <f>IFERROR(__xludf.DUMMYFUNCTION("""COMPUTED_VALUE"""),"")</f>
        <v/>
      </c>
      <c r="AB185" s="71" t="str">
        <f>IFERROR(__xludf.DUMMYFUNCTION("""COMPUTED_VALUE"""),"")</f>
        <v/>
      </c>
    </row>
    <row r="186">
      <c r="A186" s="105">
        <f>IFERROR(__xludf.DUMMYFUNCTION("""COMPUTED_VALUE"""),45959.66331950232)</f>
        <v>45959.66332</v>
      </c>
      <c r="B186" s="71" t="str">
        <f>IFERROR(__xludf.DUMMYFUNCTION("""COMPUTED_VALUE"""),"Sarah Wilme")</f>
        <v>Sarah Wilme</v>
      </c>
      <c r="C186" s="71" t="b">
        <f>IFERROR(__xludf.DUMMYFUNCTION("""COMPUTED_VALUE"""),FALSE)</f>
        <v>0</v>
      </c>
      <c r="D186" s="132">
        <f>IFERROR(__xludf.DUMMYFUNCTION("""COMPUTED_VALUE"""),0.5368055555555555)</f>
        <v>0.5368055556</v>
      </c>
      <c r="E186" s="78">
        <f>IFERROR(__xludf.DUMMYFUNCTION("""COMPUTED_VALUE"""),0.12569444444444444)</f>
        <v>0.1256944444</v>
      </c>
      <c r="F186" s="132">
        <f>IFERROR(__xludf.DUMMYFUNCTION("""COMPUTED_VALUE"""),0.6625)</f>
        <v>0.6625</v>
      </c>
      <c r="G186" s="78">
        <f>IFERROR(__xludf.DUMMYFUNCTION("""COMPUTED_VALUE"""),0.18611111111159617)</f>
        <v>0.1861111111</v>
      </c>
      <c r="H186" s="110">
        <f>IFERROR(__xludf.DUMMYFUNCTION("""COMPUTED_VALUE"""),89.0)</f>
        <v>89</v>
      </c>
      <c r="I186" s="108">
        <f>IFERROR(__xludf.DUMMYFUNCTION("""COMPUTED_VALUE"""),19.925373134276427)</f>
        <v>19.92537313</v>
      </c>
      <c r="J186" s="71" t="str">
        <f>IFERROR(__xludf.DUMMYFUNCTION("""COMPUTED_VALUE"""),"Lunch")</f>
        <v>Lunch</v>
      </c>
      <c r="K186" s="106">
        <f>IFERROR(__xludf.DUMMYFUNCTION("""COMPUTED_VALUE"""),45959.0)</f>
        <v>45959</v>
      </c>
      <c r="L186" s="71" t="str">
        <f>IFERROR(__xludf.DUMMYFUNCTION("""COMPUTED_VALUE"""),"Wednesday")</f>
        <v>Wednesday</v>
      </c>
      <c r="M186" s="71" t="str">
        <f>IFERROR(__xludf.DUMMYFUNCTION("""COMPUTED_VALUE"""),"BF")</f>
        <v>BF</v>
      </c>
      <c r="N186" s="109">
        <f>IFERROR(__xludf.DUMMYFUNCTION("""COMPUTED_VALUE"""),0.5131341037568099)</f>
        <v>0.5131341038</v>
      </c>
      <c r="O186" s="71" t="str">
        <f>IFERROR(__xludf.DUMMYFUNCTION("""COMPUTED_VALUE"""),"")</f>
        <v/>
      </c>
      <c r="P186" s="71" t="str">
        <f>IFERROR(__xludf.DUMMYFUNCTION("""COMPUTED_VALUE"""),"")</f>
        <v/>
      </c>
      <c r="Q186" s="78" t="str">
        <f>IFERROR(__xludf.DUMMYFUNCTION("""COMPUTED_VALUE"""),"")</f>
        <v/>
      </c>
      <c r="R186" s="78" t="str">
        <f>IFERROR(__xludf.DUMMYFUNCTION("""COMPUTED_VALUE"""),"")</f>
        <v/>
      </c>
      <c r="S186" s="61" t="str">
        <f>IFERROR(__xludf.DUMMYFUNCTION("""COMPUTED_VALUE"""),"")</f>
        <v/>
      </c>
      <c r="T186" s="61" t="str">
        <f>IFERROR(__xludf.DUMMYFUNCTION("""COMPUTED_VALUE"""),"")</f>
        <v/>
      </c>
      <c r="U186" s="133" t="str">
        <f>IFERROR(__xludf.DUMMYFUNCTION("""COMPUTED_VALUE"""),"")</f>
        <v/>
      </c>
      <c r="V186" s="78" t="str">
        <f>IFERROR(__xludf.DUMMYFUNCTION("""COMPUTED_VALUE"""),"")</f>
        <v/>
      </c>
      <c r="W186" s="62" t="str">
        <f>IFERROR(__xludf.DUMMYFUNCTION("""COMPUTED_VALUE"""),"")</f>
        <v/>
      </c>
      <c r="X186" s="62" t="str">
        <f>IFERROR(__xludf.DUMMYFUNCTION("""COMPUTED_VALUE"""),"")</f>
        <v/>
      </c>
      <c r="Y186" s="109" t="str">
        <f>IFERROR(__xludf.DUMMYFUNCTION("""COMPUTED_VALUE"""),"")</f>
        <v/>
      </c>
      <c r="Z186" s="113" t="str">
        <f>IFERROR(__xludf.DUMMYFUNCTION("""COMPUTED_VALUE"""),"")</f>
        <v/>
      </c>
      <c r="AA186" s="113" t="str">
        <f>IFERROR(__xludf.DUMMYFUNCTION("""COMPUTED_VALUE"""),"")</f>
        <v/>
      </c>
      <c r="AB186" s="71" t="str">
        <f>IFERROR(__xludf.DUMMYFUNCTION("""COMPUTED_VALUE"""),"")</f>
        <v/>
      </c>
    </row>
    <row r="187">
      <c r="A187" s="105">
        <f>IFERROR(__xludf.DUMMYFUNCTION("""COMPUTED_VALUE"""),45959.747680949076)</f>
        <v>45959.74768</v>
      </c>
      <c r="B187" s="71" t="str">
        <f>IFERROR(__xludf.DUMMYFUNCTION("""COMPUTED_VALUE"""),"Sarah Wilme")</f>
        <v>Sarah Wilme</v>
      </c>
      <c r="C187" s="71" t="b">
        <f>IFERROR(__xludf.DUMMYFUNCTION("""COMPUTED_VALUE"""),TRUE)</f>
        <v>1</v>
      </c>
      <c r="D187" s="132">
        <f>IFERROR(__xludf.DUMMYFUNCTION("""COMPUTED_VALUE"""),0.6868055555532919)</f>
        <v>0.6868055556</v>
      </c>
      <c r="E187" s="78">
        <f>IFERROR(__xludf.DUMMYFUNCTION("""COMPUTED_VALUE"""),0.06041666666715173)</f>
        <v>0.06041666667</v>
      </c>
      <c r="F187" s="132">
        <f>IFERROR(__xludf.DUMMYFUNCTION("""COMPUTED_VALUE"""),0.7472222222204437)</f>
        <v>0.7472222222</v>
      </c>
      <c r="G187" s="78" t="str">
        <f>IFERROR(__xludf.DUMMYFUNCTION("""COMPUTED_VALUE"""),"")</f>
        <v/>
      </c>
      <c r="H187" s="110">
        <f>IFERROR(__xludf.DUMMYFUNCTION("""COMPUTED_VALUE"""),71.0)</f>
        <v>71</v>
      </c>
      <c r="I187" s="108" t="str">
        <f>IFERROR(__xludf.DUMMYFUNCTION("""COMPUTED_VALUE"""),"")</f>
        <v/>
      </c>
      <c r="J187" s="71" t="str">
        <f>IFERROR(__xludf.DUMMYFUNCTION("""COMPUTED_VALUE"""),"Dinner")</f>
        <v>Dinner</v>
      </c>
      <c r="K187" s="106">
        <f>IFERROR(__xludf.DUMMYFUNCTION("""COMPUTED_VALUE"""),45959.0)</f>
        <v>45959</v>
      </c>
      <c r="L187" s="71" t="str">
        <f>IFERROR(__xludf.DUMMYFUNCTION("""COMPUTED_VALUE"""),"Wednesday")</f>
        <v>Wednesday</v>
      </c>
      <c r="M187" s="71" t="str">
        <f>IFERROR(__xludf.DUMMYFUNCTION("""COMPUTED_VALUE"""),"BF")</f>
        <v>BF</v>
      </c>
      <c r="N187" s="109" t="str">
        <f>IFERROR(__xludf.DUMMYFUNCTION("""COMPUTED_VALUE"""),"")</f>
        <v/>
      </c>
      <c r="O187" s="71" t="str">
        <f>IFERROR(__xludf.DUMMYFUNCTION("""COMPUTED_VALUE"""),"")</f>
        <v/>
      </c>
      <c r="P187" s="71" t="str">
        <f>IFERROR(__xludf.DUMMYFUNCTION("""COMPUTED_VALUE"""),"")</f>
        <v/>
      </c>
      <c r="Q187" s="78" t="str">
        <f>IFERROR(__xludf.DUMMYFUNCTION("""COMPUTED_VALUE"""),"")</f>
        <v/>
      </c>
      <c r="R187" s="78" t="str">
        <f>IFERROR(__xludf.DUMMYFUNCTION("""COMPUTED_VALUE"""),"")</f>
        <v/>
      </c>
      <c r="S187" s="61" t="str">
        <f>IFERROR(__xludf.DUMMYFUNCTION("""COMPUTED_VALUE"""),"")</f>
        <v/>
      </c>
      <c r="T187" s="61" t="str">
        <f>IFERROR(__xludf.DUMMYFUNCTION("""COMPUTED_VALUE"""),"")</f>
        <v/>
      </c>
      <c r="U187" s="133" t="str">
        <f>IFERROR(__xludf.DUMMYFUNCTION("""COMPUTED_VALUE"""),"")</f>
        <v/>
      </c>
      <c r="V187" s="78" t="str">
        <f>IFERROR(__xludf.DUMMYFUNCTION("""COMPUTED_VALUE"""),"")</f>
        <v/>
      </c>
      <c r="W187" s="62" t="str">
        <f>IFERROR(__xludf.DUMMYFUNCTION("""COMPUTED_VALUE"""),"")</f>
        <v/>
      </c>
      <c r="X187" s="62" t="str">
        <f>IFERROR(__xludf.DUMMYFUNCTION("""COMPUTED_VALUE"""),"")</f>
        <v/>
      </c>
      <c r="Y187" s="109" t="str">
        <f>IFERROR(__xludf.DUMMYFUNCTION("""COMPUTED_VALUE"""),"")</f>
        <v/>
      </c>
      <c r="Z187" s="113" t="str">
        <f>IFERROR(__xludf.DUMMYFUNCTION("""COMPUTED_VALUE"""),"")</f>
        <v/>
      </c>
      <c r="AA187" s="113" t="str">
        <f>IFERROR(__xludf.DUMMYFUNCTION("""COMPUTED_VALUE"""),"")</f>
        <v/>
      </c>
      <c r="AB187" s="71" t="str">
        <f>IFERROR(__xludf.DUMMYFUNCTION("""COMPUTED_VALUE"""),"")</f>
        <v/>
      </c>
    </row>
    <row r="188">
      <c r="A188" s="105">
        <f>IFERROR(__xludf.DUMMYFUNCTION("""COMPUTED_VALUE"""),45959.75063923611)</f>
        <v>45959.75064</v>
      </c>
      <c r="B188" s="71" t="str">
        <f>IFERROR(__xludf.DUMMYFUNCTION("""COMPUTED_VALUE"""),"Orpheus Wilson")</f>
        <v>Orpheus Wilson</v>
      </c>
      <c r="C188" s="71" t="b">
        <f>IFERROR(__xludf.DUMMYFUNCTION("""COMPUTED_VALUE"""),FALSE)</f>
        <v>0</v>
      </c>
      <c r="D188" s="132">
        <f>IFERROR(__xludf.DUMMYFUNCTION("""COMPUTED_VALUE"""),0.6916666666656965)</f>
        <v>0.6916666667</v>
      </c>
      <c r="E188" s="78">
        <f>IFERROR(__xludf.DUMMYFUNCTION("""COMPUTED_VALUE"""),0.05416666666763681)</f>
        <v>0.05416666667</v>
      </c>
      <c r="F188" s="132">
        <f>IFERROR(__xludf.DUMMYFUNCTION("""COMPUTED_VALUE"""),0.7458333333333333)</f>
        <v>0.7458333333</v>
      </c>
      <c r="G188" s="78">
        <f>IFERROR(__xludf.DUMMYFUNCTION("""COMPUTED_VALUE"""),0.05416666666763681)</f>
        <v>0.05416666667</v>
      </c>
      <c r="H188" s="110">
        <f>IFERROR(__xludf.DUMMYFUNCTION("""COMPUTED_VALUE"""),79.0)</f>
        <v>79</v>
      </c>
      <c r="I188" s="108">
        <f>IFERROR(__xludf.DUMMYFUNCTION("""COMPUTED_VALUE"""),60.76923076814237)</f>
        <v>60.76923077</v>
      </c>
      <c r="J188" s="71" t="str">
        <f>IFERROR(__xludf.DUMMYFUNCTION("""COMPUTED_VALUE"""),"Dinner")</f>
        <v>Dinner</v>
      </c>
      <c r="K188" s="106">
        <f>IFERROR(__xludf.DUMMYFUNCTION("""COMPUTED_VALUE"""),45959.0)</f>
        <v>45959</v>
      </c>
      <c r="L188" s="71" t="str">
        <f>IFERROR(__xludf.DUMMYFUNCTION("""COMPUTED_VALUE"""),"Wednesday")</f>
        <v>Wednesday</v>
      </c>
      <c r="M188" s="71" t="str">
        <f>IFERROR(__xludf.DUMMYFUNCTION("""COMPUTED_VALUE"""),"MF")</f>
        <v>MF</v>
      </c>
      <c r="N188" s="109">
        <f>IFERROR(__xludf.DUMMYFUNCTION("""COMPUTED_VALUE"""),1.197456850953994)</f>
        <v>1.197456851</v>
      </c>
      <c r="O188" s="71" t="str">
        <f>IFERROR(__xludf.DUMMYFUNCTION("""COMPUTED_VALUE"""),"")</f>
        <v/>
      </c>
      <c r="P188" s="71" t="str">
        <f>IFERROR(__xludf.DUMMYFUNCTION("""COMPUTED_VALUE"""),"")</f>
        <v/>
      </c>
      <c r="Q188" s="78" t="str">
        <f>IFERROR(__xludf.DUMMYFUNCTION("""COMPUTED_VALUE"""),"")</f>
        <v/>
      </c>
      <c r="R188" s="78" t="str">
        <f>IFERROR(__xludf.DUMMYFUNCTION("""COMPUTED_VALUE"""),"")</f>
        <v/>
      </c>
      <c r="S188" s="61" t="str">
        <f>IFERROR(__xludf.DUMMYFUNCTION("""COMPUTED_VALUE"""),"")</f>
        <v/>
      </c>
      <c r="T188" s="61" t="str">
        <f>IFERROR(__xludf.DUMMYFUNCTION("""COMPUTED_VALUE"""),"")</f>
        <v/>
      </c>
      <c r="U188" s="133" t="str">
        <f>IFERROR(__xludf.DUMMYFUNCTION("""COMPUTED_VALUE"""),"")</f>
        <v/>
      </c>
      <c r="V188" s="78" t="str">
        <f>IFERROR(__xludf.DUMMYFUNCTION("""COMPUTED_VALUE"""),"")</f>
        <v/>
      </c>
      <c r="W188" s="62" t="str">
        <f>IFERROR(__xludf.DUMMYFUNCTION("""COMPUTED_VALUE"""),"")</f>
        <v/>
      </c>
      <c r="X188" s="62" t="str">
        <f>IFERROR(__xludf.DUMMYFUNCTION("""COMPUTED_VALUE"""),"")</f>
        <v/>
      </c>
      <c r="Y188" s="109" t="str">
        <f>IFERROR(__xludf.DUMMYFUNCTION("""COMPUTED_VALUE"""),"")</f>
        <v/>
      </c>
      <c r="Z188" s="113" t="str">
        <f>IFERROR(__xludf.DUMMYFUNCTION("""COMPUTED_VALUE"""),"")</f>
        <v/>
      </c>
      <c r="AA188" s="113" t="str">
        <f>IFERROR(__xludf.DUMMYFUNCTION("""COMPUTED_VALUE"""),"")</f>
        <v/>
      </c>
      <c r="AB188" s="71" t="str">
        <f>IFERROR(__xludf.DUMMYFUNCTION("""COMPUTED_VALUE"""),"")</f>
        <v/>
      </c>
    </row>
    <row r="189">
      <c r="A189" s="105">
        <f>IFERROR(__xludf.DUMMYFUNCTION("""COMPUTED_VALUE"""),45959.826302870366)</f>
        <v>45959.8263</v>
      </c>
      <c r="B189" s="71" t="str">
        <f>IFERROR(__xludf.DUMMYFUNCTION("""COMPUTED_VALUE"""),"Emma Korsu")</f>
        <v>Emma Korsu</v>
      </c>
      <c r="C189" s="71" t="b">
        <f>IFERROR(__xludf.DUMMYFUNCTION("""COMPUTED_VALUE"""),FALSE)</f>
        <v>0</v>
      </c>
      <c r="D189" s="132">
        <f>IFERROR(__xludf.DUMMYFUNCTION("""COMPUTED_VALUE"""),0.75)</f>
        <v>0.75</v>
      </c>
      <c r="E189" s="78">
        <f>IFERROR(__xludf.DUMMYFUNCTION("""COMPUTED_VALUE"""),0.07569444444379769)</f>
        <v>0.07569444444</v>
      </c>
      <c r="F189" s="132">
        <f>IFERROR(__xludf.DUMMYFUNCTION("""COMPUTED_VALUE"""),0.8256944444437977)</f>
        <v>0.8256944444</v>
      </c>
      <c r="G189" s="78">
        <f>IFERROR(__xludf.DUMMYFUNCTION("""COMPUTED_VALUE"""),0.11041666666278616)</f>
        <v>0.1104166667</v>
      </c>
      <c r="H189" s="110">
        <f>IFERROR(__xludf.DUMMYFUNCTION("""COMPUTED_VALUE"""),141.0)</f>
        <v>141</v>
      </c>
      <c r="I189" s="108">
        <f>IFERROR(__xludf.DUMMYFUNCTION("""COMPUTED_VALUE"""),53.20754717168126)</f>
        <v>53.20754717</v>
      </c>
      <c r="J189" s="71" t="str">
        <f>IFERROR(__xludf.DUMMYFUNCTION("""COMPUTED_VALUE"""),"Dinner")</f>
        <v>Dinner</v>
      </c>
      <c r="K189" s="106">
        <f>IFERROR(__xludf.DUMMYFUNCTION("""COMPUTED_VALUE"""),45959.0)</f>
        <v>45959</v>
      </c>
      <c r="L189" s="71" t="str">
        <f>IFERROR(__xludf.DUMMYFUNCTION("""COMPUTED_VALUE"""),"Wednesday")</f>
        <v>Wednesday</v>
      </c>
      <c r="M189" s="71" t="str">
        <f>IFERROR(__xludf.DUMMYFUNCTION("""COMPUTED_VALUE"""),"BF")</f>
        <v>BF</v>
      </c>
      <c r="N189" s="109">
        <f>IFERROR(__xludf.DUMMYFUNCTION("""COMPUTED_VALUE"""),1.2556802836233205)</f>
        <v>1.255680284</v>
      </c>
      <c r="O189" s="71" t="str">
        <f>IFERROR(__xludf.DUMMYFUNCTION("""COMPUTED_VALUE"""),"")</f>
        <v/>
      </c>
      <c r="P189" s="71" t="str">
        <f>IFERROR(__xludf.DUMMYFUNCTION("""COMPUTED_VALUE"""),"")</f>
        <v/>
      </c>
      <c r="Q189" s="78" t="str">
        <f>IFERROR(__xludf.DUMMYFUNCTION("""COMPUTED_VALUE"""),"")</f>
        <v/>
      </c>
      <c r="R189" s="78" t="str">
        <f>IFERROR(__xludf.DUMMYFUNCTION("""COMPUTED_VALUE"""),"")</f>
        <v/>
      </c>
      <c r="S189" s="61" t="str">
        <f>IFERROR(__xludf.DUMMYFUNCTION("""COMPUTED_VALUE"""),"")</f>
        <v/>
      </c>
      <c r="T189" s="61" t="str">
        <f>IFERROR(__xludf.DUMMYFUNCTION("""COMPUTED_VALUE"""),"")</f>
        <v/>
      </c>
      <c r="U189" s="133" t="str">
        <f>IFERROR(__xludf.DUMMYFUNCTION("""COMPUTED_VALUE"""),"")</f>
        <v/>
      </c>
      <c r="V189" s="78" t="str">
        <f>IFERROR(__xludf.DUMMYFUNCTION("""COMPUTED_VALUE"""),"")</f>
        <v/>
      </c>
      <c r="W189" s="62" t="str">
        <f>IFERROR(__xludf.DUMMYFUNCTION("""COMPUTED_VALUE"""),"")</f>
        <v/>
      </c>
      <c r="X189" s="62" t="str">
        <f>IFERROR(__xludf.DUMMYFUNCTION("""COMPUTED_VALUE"""),"")</f>
        <v/>
      </c>
      <c r="Y189" s="109" t="str">
        <f>IFERROR(__xludf.DUMMYFUNCTION("""COMPUTED_VALUE"""),"")</f>
        <v/>
      </c>
      <c r="Z189" s="113" t="str">
        <f>IFERROR(__xludf.DUMMYFUNCTION("""COMPUTED_VALUE"""),"")</f>
        <v/>
      </c>
      <c r="AA189" s="113" t="str">
        <f>IFERROR(__xludf.DUMMYFUNCTION("""COMPUTED_VALUE"""),"")</f>
        <v/>
      </c>
      <c r="AB189" s="71" t="str">
        <f>IFERROR(__xludf.DUMMYFUNCTION("""COMPUTED_VALUE"""),"")</f>
        <v/>
      </c>
    </row>
    <row r="190">
      <c r="A190" s="105">
        <f>IFERROR(__xludf.DUMMYFUNCTION("""COMPUTED_VALUE"""),45959.862337928236)</f>
        <v>45959.86234</v>
      </c>
      <c r="B190" s="71" t="str">
        <f>IFERROR(__xludf.DUMMYFUNCTION("""COMPUTED_VALUE"""),"Emma Korsu")</f>
        <v>Emma Korsu</v>
      </c>
      <c r="C190" s="71" t="b">
        <f>IFERROR(__xludf.DUMMYFUNCTION("""COMPUTED_VALUE"""),TRUE)</f>
        <v>1</v>
      </c>
      <c r="D190" s="132">
        <f>IFERROR(__xludf.DUMMYFUNCTION("""COMPUTED_VALUE"""),0.8270833333372138)</f>
        <v>0.8270833333</v>
      </c>
      <c r="E190" s="78">
        <f>IFERROR(__xludf.DUMMYFUNCTION("""COMPUTED_VALUE"""),0.03472222221898846)</f>
        <v>0.03472222222</v>
      </c>
      <c r="F190" s="132">
        <f>IFERROR(__xludf.DUMMYFUNCTION("""COMPUTED_VALUE"""),0.8618055555562023)</f>
        <v>0.8618055556</v>
      </c>
      <c r="G190" s="78" t="str">
        <f>IFERROR(__xludf.DUMMYFUNCTION("""COMPUTED_VALUE"""),"")</f>
        <v/>
      </c>
      <c r="H190" s="110">
        <f>IFERROR(__xludf.DUMMYFUNCTION("""COMPUTED_VALUE"""),45.0)</f>
        <v>45</v>
      </c>
      <c r="I190" s="108" t="str">
        <f>IFERROR(__xludf.DUMMYFUNCTION("""COMPUTED_VALUE"""),"")</f>
        <v/>
      </c>
      <c r="J190" s="71" t="str">
        <f>IFERROR(__xludf.DUMMYFUNCTION("""COMPUTED_VALUE"""),"Dinner")</f>
        <v>Dinner</v>
      </c>
      <c r="K190" s="106">
        <f>IFERROR(__xludf.DUMMYFUNCTION("""COMPUTED_VALUE"""),45959.0)</f>
        <v>45959</v>
      </c>
      <c r="L190" s="71" t="str">
        <f>IFERROR(__xludf.DUMMYFUNCTION("""COMPUTED_VALUE"""),"Wednesday")</f>
        <v>Wednesday</v>
      </c>
      <c r="M190" s="71" t="str">
        <f>IFERROR(__xludf.DUMMYFUNCTION("""COMPUTED_VALUE"""),"BF")</f>
        <v>BF</v>
      </c>
      <c r="N190" s="109" t="str">
        <f>IFERROR(__xludf.DUMMYFUNCTION("""COMPUTED_VALUE"""),"")</f>
        <v/>
      </c>
      <c r="O190" s="71" t="str">
        <f>IFERROR(__xludf.DUMMYFUNCTION("""COMPUTED_VALUE"""),"")</f>
        <v/>
      </c>
      <c r="P190" s="71" t="str">
        <f>IFERROR(__xludf.DUMMYFUNCTION("""COMPUTED_VALUE"""),"")</f>
        <v/>
      </c>
      <c r="Q190" s="78" t="str">
        <f>IFERROR(__xludf.DUMMYFUNCTION("""COMPUTED_VALUE"""),"")</f>
        <v/>
      </c>
      <c r="R190" s="78" t="str">
        <f>IFERROR(__xludf.DUMMYFUNCTION("""COMPUTED_VALUE"""),"")</f>
        <v/>
      </c>
      <c r="S190" s="61" t="str">
        <f>IFERROR(__xludf.DUMMYFUNCTION("""COMPUTED_VALUE"""),"")</f>
        <v/>
      </c>
      <c r="T190" s="61" t="str">
        <f>IFERROR(__xludf.DUMMYFUNCTION("""COMPUTED_VALUE"""),"")</f>
        <v/>
      </c>
      <c r="U190" s="133" t="str">
        <f>IFERROR(__xludf.DUMMYFUNCTION("""COMPUTED_VALUE"""),"")</f>
        <v/>
      </c>
      <c r="V190" s="78" t="str">
        <f>IFERROR(__xludf.DUMMYFUNCTION("""COMPUTED_VALUE"""),"")</f>
        <v/>
      </c>
      <c r="W190" s="62" t="str">
        <f>IFERROR(__xludf.DUMMYFUNCTION("""COMPUTED_VALUE"""),"")</f>
        <v/>
      </c>
      <c r="X190" s="62" t="str">
        <f>IFERROR(__xludf.DUMMYFUNCTION("""COMPUTED_VALUE"""),"")</f>
        <v/>
      </c>
      <c r="Y190" s="109" t="str">
        <f>IFERROR(__xludf.DUMMYFUNCTION("""COMPUTED_VALUE"""),"")</f>
        <v/>
      </c>
      <c r="Z190" s="113" t="str">
        <f>IFERROR(__xludf.DUMMYFUNCTION("""COMPUTED_VALUE"""),"")</f>
        <v/>
      </c>
      <c r="AA190" s="113" t="str">
        <f>IFERROR(__xludf.DUMMYFUNCTION("""COMPUTED_VALUE"""),"")</f>
        <v/>
      </c>
      <c r="AB190" s="71" t="str">
        <f>IFERROR(__xludf.DUMMYFUNCTION("""COMPUTED_VALUE"""),"")</f>
        <v/>
      </c>
    </row>
    <row r="191">
      <c r="A191" s="105">
        <f>IFERROR(__xludf.DUMMYFUNCTION("""COMPUTED_VALUE"""),45959.86825939815)</f>
        <v>45959.86826</v>
      </c>
      <c r="B191" s="71" t="str">
        <f>IFERROR(__xludf.DUMMYFUNCTION("""COMPUTED_VALUE"""),"Kaylie Forgue")</f>
        <v>Kaylie Forgue</v>
      </c>
      <c r="C191" s="71" t="b">
        <f>IFERROR(__xludf.DUMMYFUNCTION("""COMPUTED_VALUE"""),FALSE)</f>
        <v>0</v>
      </c>
      <c r="D191" s="132">
        <f>IFERROR(__xludf.DUMMYFUNCTION("""COMPUTED_VALUE"""),0.7472222222204437)</f>
        <v>0.7472222222</v>
      </c>
      <c r="E191" s="78">
        <f>IFERROR(__xludf.DUMMYFUNCTION("""COMPUTED_VALUE"""),0.12013888889487134)</f>
        <v>0.1201388889</v>
      </c>
      <c r="F191" s="132">
        <f>IFERROR(__xludf.DUMMYFUNCTION("""COMPUTED_VALUE"""),0.867361111115315)</f>
        <v>0.8673611111</v>
      </c>
      <c r="G191" s="78">
        <f>IFERROR(__xludf.DUMMYFUNCTION("""COMPUTED_VALUE"""),0.12013888889487134)</f>
        <v>0.1201388889</v>
      </c>
      <c r="H191" s="110">
        <f>IFERROR(__xludf.DUMMYFUNCTION("""COMPUTED_VALUE"""),121.0)</f>
        <v>121</v>
      </c>
      <c r="I191" s="108">
        <f>IFERROR(__xludf.DUMMYFUNCTION("""COMPUTED_VALUE"""),41.965317916985434)</f>
        <v>41.96531792</v>
      </c>
      <c r="J191" s="71" t="str">
        <f>IFERROR(__xludf.DUMMYFUNCTION("""COMPUTED_VALUE"""),"Dinner")</f>
        <v>Dinner</v>
      </c>
      <c r="K191" s="106">
        <f>IFERROR(__xludf.DUMMYFUNCTION("""COMPUTED_VALUE"""),45959.0)</f>
        <v>45959</v>
      </c>
      <c r="L191" s="71" t="str">
        <f>IFERROR(__xludf.DUMMYFUNCTION("""COMPUTED_VALUE"""),"Wednesday")</f>
        <v>Wednesday</v>
      </c>
      <c r="M191" s="71" t="str">
        <f>IFERROR(__xludf.DUMMYFUNCTION("""COMPUTED_VALUE"""),"MF")</f>
        <v>MF</v>
      </c>
      <c r="N191" s="109">
        <f>IFERROR(__xludf.DUMMYFUNCTION("""COMPUTED_VALUE"""),0.8269260085566281)</f>
        <v>0.8269260086</v>
      </c>
      <c r="O191" s="71">
        <f>IFERROR(__xludf.DUMMYFUNCTION("""COMPUTED_VALUE"""),281.0)</f>
        <v>281</v>
      </c>
      <c r="P191" s="71">
        <f>IFERROR(__xludf.DUMMYFUNCTION("""COMPUTED_VALUE"""),346.0)</f>
        <v>346</v>
      </c>
      <c r="Q191" s="78">
        <f>IFERROR(__xludf.DUMMYFUNCTION("""COMPUTED_VALUE"""),0.24027777778149662)</f>
        <v>0.2402777778</v>
      </c>
      <c r="R191" s="78">
        <f>IFERROR(__xludf.DUMMYFUNCTION("""COMPUTED_VALUE"""),0.29652777777438233)</f>
        <v>0.2965277778</v>
      </c>
      <c r="S191" s="61">
        <f>IFERROR(__xludf.DUMMYFUNCTION("""COMPUTED_VALUE"""),51.297481141492504)</f>
        <v>51.29748114</v>
      </c>
      <c r="T191" s="61">
        <f>IFERROR(__xludf.DUMMYFUNCTION("""COMPUTED_VALUE"""),36.56646015297885)</f>
        <v>36.56646015</v>
      </c>
      <c r="U191" s="133">
        <f>IFERROR(__xludf.DUMMYFUNCTION("""COMPUTED_VALUE"""),627.0)</f>
        <v>627</v>
      </c>
      <c r="V191" s="78">
        <f>IFERROR(__xludf.DUMMYFUNCTION("""COMPUTED_VALUE"""),0.5368055555558789)</f>
        <v>0.5368055556</v>
      </c>
      <c r="W191" s="62">
        <f>IFERROR(__xludf.DUMMYFUNCTION("""COMPUTED_VALUE"""),48.66752910734455)</f>
        <v>48.66752911</v>
      </c>
      <c r="X191" s="62">
        <f>IFERROR(__xludf.DUMMYFUNCTION("""COMPUTED_VALUE"""),45.40507274608704)</f>
        <v>45.40507275</v>
      </c>
      <c r="Y191" s="109">
        <f>IFERROR(__xludf.DUMMYFUNCTION("""COMPUTED_VALUE"""),0.6989009831057899)</f>
        <v>0.6989009831</v>
      </c>
      <c r="Z191" s="113">
        <f>IFERROR(__xludf.DUMMYFUNCTION("""COMPUTED_VALUE"""),3304.0)</f>
        <v>3304</v>
      </c>
      <c r="AA191" s="113">
        <f>IFERROR(__xludf.DUMMYFUNCTION("""COMPUTED_VALUE"""),3864.0)</f>
        <v>3864</v>
      </c>
      <c r="AB191" s="113">
        <f>IFERROR(__xludf.DUMMYFUNCTION("""COMPUTED_VALUE"""),7168.0)</f>
        <v>7168</v>
      </c>
    </row>
    <row r="192">
      <c r="A192" s="105">
        <f>IFERROR(__xludf.DUMMYFUNCTION("""COMPUTED_VALUE"""),45960.43292679398)</f>
        <v>45960.43293</v>
      </c>
      <c r="B192" s="71" t="str">
        <f>IFERROR(__xludf.DUMMYFUNCTION("""COMPUTED_VALUE"""),"Evan Morgan")</f>
        <v>Evan Morgan</v>
      </c>
      <c r="C192" s="71" t="b">
        <f>IFERROR(__xludf.DUMMYFUNCTION("""COMPUTED_VALUE"""),FALSE)</f>
        <v>0</v>
      </c>
      <c r="D192" s="132">
        <f>IFERROR(__xludf.DUMMYFUNCTION("""COMPUTED_VALUE"""),0.29166666666424135)</f>
        <v>0.2916666667</v>
      </c>
      <c r="E192" s="78">
        <f>IFERROR(__xludf.DUMMYFUNCTION("""COMPUTED_VALUE"""),0.13888888889050577)</f>
        <v>0.1388888889</v>
      </c>
      <c r="F192" s="132">
        <f>IFERROR(__xludf.DUMMYFUNCTION("""COMPUTED_VALUE"""),0.4305555555547471)</f>
        <v>0.4305555556</v>
      </c>
      <c r="G192" s="78">
        <f>IFERROR(__xludf.DUMMYFUNCTION("""COMPUTED_VALUE"""),0.13888888889050577)</f>
        <v>0.1388888889</v>
      </c>
      <c r="H192" s="110">
        <f>IFERROR(__xludf.DUMMYFUNCTION("""COMPUTED_VALUE"""),95.0)</f>
        <v>95</v>
      </c>
      <c r="I192" s="108">
        <f>IFERROR(__xludf.DUMMYFUNCTION("""COMPUTED_VALUE"""),28.499999999668216)</f>
        <v>28.5</v>
      </c>
      <c r="J192" s="71" t="str">
        <f>IFERROR(__xludf.DUMMYFUNCTION("""COMPUTED_VALUE"""),"Breakfast")</f>
        <v>Breakfast</v>
      </c>
      <c r="K192" s="106">
        <f>IFERROR(__xludf.DUMMYFUNCTION("""COMPUTED_VALUE"""),45960.0)</f>
        <v>45960</v>
      </c>
      <c r="L192" s="71" t="str">
        <f>IFERROR(__xludf.DUMMYFUNCTION("""COMPUTED_VALUE"""),"Thursday")</f>
        <v>Thursday</v>
      </c>
      <c r="M192" s="71" t="str">
        <f>IFERROR(__xludf.DUMMYFUNCTION("""COMPUTED_VALUE"""),"BF")</f>
        <v>BF</v>
      </c>
      <c r="N192" s="109">
        <f>IFERROR(__xludf.DUMMYFUNCTION("""COMPUTED_VALUE"""),1.207008457312448)</f>
        <v>1.207008457</v>
      </c>
      <c r="O192" s="71" t="str">
        <f>IFERROR(__xludf.DUMMYFUNCTION("""COMPUTED_VALUE"""),"")</f>
        <v/>
      </c>
      <c r="P192" s="71" t="str">
        <f>IFERROR(__xludf.DUMMYFUNCTION("""COMPUTED_VALUE"""),"")</f>
        <v/>
      </c>
      <c r="Q192" s="78" t="str">
        <f>IFERROR(__xludf.DUMMYFUNCTION("""COMPUTED_VALUE"""),"")</f>
        <v/>
      </c>
      <c r="R192" s="78" t="str">
        <f>IFERROR(__xludf.DUMMYFUNCTION("""COMPUTED_VALUE"""),"")</f>
        <v/>
      </c>
      <c r="S192" s="61" t="str">
        <f>IFERROR(__xludf.DUMMYFUNCTION("""COMPUTED_VALUE"""),"")</f>
        <v/>
      </c>
      <c r="T192" s="61" t="str">
        <f>IFERROR(__xludf.DUMMYFUNCTION("""COMPUTED_VALUE"""),"")</f>
        <v/>
      </c>
      <c r="U192" s="133" t="str">
        <f>IFERROR(__xludf.DUMMYFUNCTION("""COMPUTED_VALUE"""),"")</f>
        <v/>
      </c>
      <c r="V192" s="78" t="str">
        <f>IFERROR(__xludf.DUMMYFUNCTION("""COMPUTED_VALUE"""),"")</f>
        <v/>
      </c>
      <c r="W192" s="62" t="str">
        <f>IFERROR(__xludf.DUMMYFUNCTION("""COMPUTED_VALUE"""),"")</f>
        <v/>
      </c>
      <c r="X192" s="62" t="str">
        <f>IFERROR(__xludf.DUMMYFUNCTION("""COMPUTED_VALUE"""),"")</f>
        <v/>
      </c>
      <c r="Y192" s="109" t="str">
        <f>IFERROR(__xludf.DUMMYFUNCTION("""COMPUTED_VALUE"""),"")</f>
        <v/>
      </c>
      <c r="Z192" s="113" t="str">
        <f>IFERROR(__xludf.DUMMYFUNCTION("""COMPUTED_VALUE"""),"")</f>
        <v/>
      </c>
      <c r="AA192" s="113" t="str">
        <f>IFERROR(__xludf.DUMMYFUNCTION("""COMPUTED_VALUE"""),"")</f>
        <v/>
      </c>
      <c r="AB192" s="71" t="str">
        <f>IFERROR(__xludf.DUMMYFUNCTION("""COMPUTED_VALUE"""),"")</f>
        <v/>
      </c>
    </row>
    <row r="193">
      <c r="A193" s="105">
        <f>IFERROR(__xludf.DUMMYFUNCTION("""COMPUTED_VALUE"""),45960.557710636574)</f>
        <v>45960.55771</v>
      </c>
      <c r="B193" s="71" t="str">
        <f>IFERROR(__xludf.DUMMYFUNCTION("""COMPUTED_VALUE"""),"Maureen Surgot")</f>
        <v>Maureen Surgot</v>
      </c>
      <c r="C193" s="71" t="b">
        <f>IFERROR(__xludf.DUMMYFUNCTION("""COMPUTED_VALUE"""),FALSE)</f>
        <v>0</v>
      </c>
      <c r="D193" s="132">
        <f>IFERROR(__xludf.DUMMYFUNCTION("""COMPUTED_VALUE"""),0.47916666666424135)</f>
        <v>0.4791666667</v>
      </c>
      <c r="E193" s="78">
        <f>IFERROR(__xludf.DUMMYFUNCTION("""COMPUTED_VALUE"""),0.08333333333575865)</f>
        <v>0.08333333334</v>
      </c>
      <c r="F193" s="132">
        <f>IFERROR(__xludf.DUMMYFUNCTION("""COMPUTED_VALUE"""),0.5625)</f>
        <v>0.5625</v>
      </c>
      <c r="G193" s="78">
        <f>IFERROR(__xludf.DUMMYFUNCTION("""COMPUTED_VALUE"""),0.08333333333575865)</f>
        <v>0.08333333334</v>
      </c>
      <c r="H193" s="110">
        <f>IFERROR(__xludf.DUMMYFUNCTION("""COMPUTED_VALUE"""),62.0)</f>
        <v>62</v>
      </c>
      <c r="I193" s="108">
        <f>IFERROR(__xludf.DUMMYFUNCTION("""COMPUTED_VALUE"""),30.99999999909778)</f>
        <v>31</v>
      </c>
      <c r="J193" s="71" t="str">
        <f>IFERROR(__xludf.DUMMYFUNCTION("""COMPUTED_VALUE"""),"Lunch")</f>
        <v>Lunch</v>
      </c>
      <c r="K193" s="106">
        <f>IFERROR(__xludf.DUMMYFUNCTION("""COMPUTED_VALUE"""),45960.0)</f>
        <v>45960</v>
      </c>
      <c r="L193" s="71" t="str">
        <f>IFERROR(__xludf.DUMMYFUNCTION("""COMPUTED_VALUE"""),"Thursday")</f>
        <v>Thursday</v>
      </c>
      <c r="M193" s="71" t="str">
        <f>IFERROR(__xludf.DUMMYFUNCTION("""COMPUTED_VALUE"""),"MF")</f>
        <v>MF</v>
      </c>
      <c r="N193" s="109">
        <f>IFERROR(__xludf.DUMMYFUNCTION("""COMPUTED_VALUE"""),0.6446401401609487)</f>
        <v>0.6446401402</v>
      </c>
      <c r="O193" s="71" t="str">
        <f>IFERROR(__xludf.DUMMYFUNCTION("""COMPUTED_VALUE"""),"")</f>
        <v/>
      </c>
      <c r="P193" s="71" t="str">
        <f>IFERROR(__xludf.DUMMYFUNCTION("""COMPUTED_VALUE"""),"")</f>
        <v/>
      </c>
      <c r="Q193" s="78" t="str">
        <f>IFERROR(__xludf.DUMMYFUNCTION("""COMPUTED_VALUE"""),"")</f>
        <v/>
      </c>
      <c r="R193" s="78" t="str">
        <f>IFERROR(__xludf.DUMMYFUNCTION("""COMPUTED_VALUE"""),"")</f>
        <v/>
      </c>
      <c r="S193" s="61" t="str">
        <f>IFERROR(__xludf.DUMMYFUNCTION("""COMPUTED_VALUE"""),"")</f>
        <v/>
      </c>
      <c r="T193" s="61" t="str">
        <f>IFERROR(__xludf.DUMMYFUNCTION("""COMPUTED_VALUE"""),"")</f>
        <v/>
      </c>
      <c r="U193" s="133" t="str">
        <f>IFERROR(__xludf.DUMMYFUNCTION("""COMPUTED_VALUE"""),"")</f>
        <v/>
      </c>
      <c r="V193" s="78" t="str">
        <f>IFERROR(__xludf.DUMMYFUNCTION("""COMPUTED_VALUE"""),"")</f>
        <v/>
      </c>
      <c r="W193" s="62" t="str">
        <f>IFERROR(__xludf.DUMMYFUNCTION("""COMPUTED_VALUE"""),"")</f>
        <v/>
      </c>
      <c r="X193" s="62" t="str">
        <f>IFERROR(__xludf.DUMMYFUNCTION("""COMPUTED_VALUE"""),"")</f>
        <v/>
      </c>
      <c r="Y193" s="109" t="str">
        <f>IFERROR(__xludf.DUMMYFUNCTION("""COMPUTED_VALUE"""),"")</f>
        <v/>
      </c>
      <c r="Z193" s="113" t="str">
        <f>IFERROR(__xludf.DUMMYFUNCTION("""COMPUTED_VALUE"""),"")</f>
        <v/>
      </c>
      <c r="AA193" s="113" t="str">
        <f>IFERROR(__xludf.DUMMYFUNCTION("""COMPUTED_VALUE"""),"")</f>
        <v/>
      </c>
      <c r="AB193" s="71" t="str">
        <f>IFERROR(__xludf.DUMMYFUNCTION("""COMPUTED_VALUE"""),"")</f>
        <v/>
      </c>
    </row>
    <row r="194">
      <c r="A194" s="105">
        <f>IFERROR(__xludf.DUMMYFUNCTION("""COMPUTED_VALUE"""),45960.57215196759)</f>
        <v>45960.57215</v>
      </c>
      <c r="B194" s="71" t="str">
        <f>IFERROR(__xludf.DUMMYFUNCTION("""COMPUTED_VALUE"""),"Greta Traynor")</f>
        <v>Greta Traynor</v>
      </c>
      <c r="C194" s="71" t="b">
        <f>IFERROR(__xludf.DUMMYFUNCTION("""COMPUTED_VALUE"""),FALSE)</f>
        <v>0</v>
      </c>
      <c r="D194" s="132">
        <f>IFERROR(__xludf.DUMMYFUNCTION("""COMPUTED_VALUE"""),0.5222222222218988)</f>
        <v>0.5222222222</v>
      </c>
      <c r="E194" s="78">
        <f>IFERROR(__xludf.DUMMYFUNCTION("""COMPUTED_VALUE"""),0.04861111110949423)</f>
        <v>0.04861111111</v>
      </c>
      <c r="F194" s="132">
        <f>IFERROR(__xludf.DUMMYFUNCTION("""COMPUTED_VALUE"""),0.5708333333313931)</f>
        <v>0.5708333333</v>
      </c>
      <c r="G194" s="78">
        <f>IFERROR(__xludf.DUMMYFUNCTION("""COMPUTED_VALUE"""),0.04861111110949423)</f>
        <v>0.04861111111</v>
      </c>
      <c r="H194" s="110">
        <f>IFERROR(__xludf.DUMMYFUNCTION("""COMPUTED_VALUE"""),68.0)</f>
        <v>68</v>
      </c>
      <c r="I194" s="108">
        <f>IFERROR(__xludf.DUMMYFUNCTION("""COMPUTED_VALUE"""),58.28571428765296)</f>
        <v>58.28571429</v>
      </c>
      <c r="J194" s="71" t="str">
        <f>IFERROR(__xludf.DUMMYFUNCTION("""COMPUTED_VALUE"""),"Lunch")</f>
        <v>Lunch</v>
      </c>
      <c r="K194" s="106">
        <f>IFERROR(__xludf.DUMMYFUNCTION("""COMPUTED_VALUE"""),45960.0)</f>
        <v>45960</v>
      </c>
      <c r="L194" s="71" t="str">
        <f>IFERROR(__xludf.DUMMYFUNCTION("""COMPUTED_VALUE"""),"Thursday")</f>
        <v>Thursday</v>
      </c>
      <c r="M194" s="71" t="str">
        <f>IFERROR(__xludf.DUMMYFUNCTION("""COMPUTED_VALUE"""),"BF")</f>
        <v>BF</v>
      </c>
      <c r="N194" s="109">
        <f>IFERROR(__xludf.DUMMYFUNCTION("""COMPUTED_VALUE"""),1.5010202098233574)</f>
        <v>1.50102021</v>
      </c>
      <c r="O194" s="71" t="str">
        <f>IFERROR(__xludf.DUMMYFUNCTION("""COMPUTED_VALUE"""),"")</f>
        <v/>
      </c>
      <c r="P194" s="71" t="str">
        <f>IFERROR(__xludf.DUMMYFUNCTION("""COMPUTED_VALUE"""),"")</f>
        <v/>
      </c>
      <c r="Q194" s="78" t="str">
        <f>IFERROR(__xludf.DUMMYFUNCTION("""COMPUTED_VALUE"""),"")</f>
        <v/>
      </c>
      <c r="R194" s="78" t="str">
        <f>IFERROR(__xludf.DUMMYFUNCTION("""COMPUTED_VALUE"""),"")</f>
        <v/>
      </c>
      <c r="S194" s="61" t="str">
        <f>IFERROR(__xludf.DUMMYFUNCTION("""COMPUTED_VALUE"""),"")</f>
        <v/>
      </c>
      <c r="T194" s="61" t="str">
        <f>IFERROR(__xludf.DUMMYFUNCTION("""COMPUTED_VALUE"""),"")</f>
        <v/>
      </c>
      <c r="U194" s="133" t="str">
        <f>IFERROR(__xludf.DUMMYFUNCTION("""COMPUTED_VALUE"""),"")</f>
        <v/>
      </c>
      <c r="V194" s="78" t="str">
        <f>IFERROR(__xludf.DUMMYFUNCTION("""COMPUTED_VALUE"""),"")</f>
        <v/>
      </c>
      <c r="W194" s="62" t="str">
        <f>IFERROR(__xludf.DUMMYFUNCTION("""COMPUTED_VALUE"""),"")</f>
        <v/>
      </c>
      <c r="X194" s="62" t="str">
        <f>IFERROR(__xludf.DUMMYFUNCTION("""COMPUTED_VALUE"""),"")</f>
        <v/>
      </c>
      <c r="Y194" s="109" t="str">
        <f>IFERROR(__xludf.DUMMYFUNCTION("""COMPUTED_VALUE"""),"")</f>
        <v/>
      </c>
      <c r="Z194" s="113" t="str">
        <f>IFERROR(__xludf.DUMMYFUNCTION("""COMPUTED_VALUE"""),"")</f>
        <v/>
      </c>
      <c r="AA194" s="113" t="str">
        <f>IFERROR(__xludf.DUMMYFUNCTION("""COMPUTED_VALUE"""),"")</f>
        <v/>
      </c>
      <c r="AB194" s="71" t="str">
        <f>IFERROR(__xludf.DUMMYFUNCTION("""COMPUTED_VALUE"""),"")</f>
        <v/>
      </c>
    </row>
    <row r="195">
      <c r="A195" s="105">
        <f>IFERROR(__xludf.DUMMYFUNCTION("""COMPUTED_VALUE"""),45960.63205328704)</f>
        <v>45960.63205</v>
      </c>
      <c r="B195" s="71" t="str">
        <f>IFERROR(__xludf.DUMMYFUNCTION("""COMPUTED_VALUE"""),"Brynn Hornig")</f>
        <v>Brynn Hornig</v>
      </c>
      <c r="C195" s="71" t="b">
        <f>IFERROR(__xludf.DUMMYFUNCTION("""COMPUTED_VALUE"""),FALSE)</f>
        <v>0</v>
      </c>
      <c r="D195" s="132">
        <f>IFERROR(__xludf.DUMMYFUNCTION("""COMPUTED_VALUE"""),0.5625)</f>
        <v>0.5625</v>
      </c>
      <c r="E195" s="78">
        <f>IFERROR(__xludf.DUMMYFUNCTION("""COMPUTED_VALUE"""),0.07291666666424135)</f>
        <v>0.07291666666</v>
      </c>
      <c r="F195" s="132">
        <f>IFERROR(__xludf.DUMMYFUNCTION("""COMPUTED_VALUE"""),0.6354166666642413)</f>
        <v>0.6354166667</v>
      </c>
      <c r="G195" s="78">
        <f>IFERROR(__xludf.DUMMYFUNCTION("""COMPUTED_VALUE"""),0.07291666666424135)</f>
        <v>0.07291666666</v>
      </c>
      <c r="H195" s="110">
        <f>IFERROR(__xludf.DUMMYFUNCTION("""COMPUTED_VALUE"""),69.0)</f>
        <v>69</v>
      </c>
      <c r="I195" s="108">
        <f>IFERROR(__xludf.DUMMYFUNCTION("""COMPUTED_VALUE"""),39.42857142988288)</f>
        <v>39.42857143</v>
      </c>
      <c r="J195" s="71" t="str">
        <f>IFERROR(__xludf.DUMMYFUNCTION("""COMPUTED_VALUE"""),"Lunch")</f>
        <v>Lunch</v>
      </c>
      <c r="K195" s="106">
        <f>IFERROR(__xludf.DUMMYFUNCTION("""COMPUTED_VALUE"""),45960.0)</f>
        <v>45960</v>
      </c>
      <c r="L195" s="71" t="str">
        <f>IFERROR(__xludf.DUMMYFUNCTION("""COMPUTED_VALUE"""),"Thursday")</f>
        <v>Thursday</v>
      </c>
      <c r="M195" s="71" t="str">
        <f>IFERROR(__xludf.DUMMYFUNCTION("""COMPUTED_VALUE"""),"MF")</f>
        <v>MF</v>
      </c>
      <c r="N195" s="109">
        <f>IFERROR(__xludf.DUMMYFUNCTION("""COMPUTED_VALUE"""),0.8199109617304974)</f>
        <v>0.8199109617</v>
      </c>
      <c r="O195" s="71" t="str">
        <f>IFERROR(__xludf.DUMMYFUNCTION("""COMPUTED_VALUE"""),"")</f>
        <v/>
      </c>
      <c r="P195" s="71" t="str">
        <f>IFERROR(__xludf.DUMMYFUNCTION("""COMPUTED_VALUE"""),"")</f>
        <v/>
      </c>
      <c r="Q195" s="78" t="str">
        <f>IFERROR(__xludf.DUMMYFUNCTION("""COMPUTED_VALUE"""),"")</f>
        <v/>
      </c>
      <c r="R195" s="78" t="str">
        <f>IFERROR(__xludf.DUMMYFUNCTION("""COMPUTED_VALUE"""),"")</f>
        <v/>
      </c>
      <c r="S195" s="61" t="str">
        <f>IFERROR(__xludf.DUMMYFUNCTION("""COMPUTED_VALUE"""),"")</f>
        <v/>
      </c>
      <c r="T195" s="61" t="str">
        <f>IFERROR(__xludf.DUMMYFUNCTION("""COMPUTED_VALUE"""),"")</f>
        <v/>
      </c>
      <c r="U195" s="133" t="str">
        <f>IFERROR(__xludf.DUMMYFUNCTION("""COMPUTED_VALUE"""),"")</f>
        <v/>
      </c>
      <c r="V195" s="78" t="str">
        <f>IFERROR(__xludf.DUMMYFUNCTION("""COMPUTED_VALUE"""),"")</f>
        <v/>
      </c>
      <c r="W195" s="62" t="str">
        <f>IFERROR(__xludf.DUMMYFUNCTION("""COMPUTED_VALUE"""),"")</f>
        <v/>
      </c>
      <c r="X195" s="62" t="str">
        <f>IFERROR(__xludf.DUMMYFUNCTION("""COMPUTED_VALUE"""),"")</f>
        <v/>
      </c>
      <c r="Y195" s="109" t="str">
        <f>IFERROR(__xludf.DUMMYFUNCTION("""COMPUTED_VALUE"""),"")</f>
        <v/>
      </c>
      <c r="Z195" s="113" t="str">
        <f>IFERROR(__xludf.DUMMYFUNCTION("""COMPUTED_VALUE"""),"")</f>
        <v/>
      </c>
      <c r="AA195" s="113" t="str">
        <f>IFERROR(__xludf.DUMMYFUNCTION("""COMPUTED_VALUE"""),"")</f>
        <v/>
      </c>
      <c r="AB195" s="71" t="str">
        <f>IFERROR(__xludf.DUMMYFUNCTION("""COMPUTED_VALUE"""),"")</f>
        <v/>
      </c>
    </row>
    <row r="196">
      <c r="A196" s="105">
        <f>IFERROR(__xludf.DUMMYFUNCTION("""COMPUTED_VALUE"""),45960.65502207176)</f>
        <v>45960.65502</v>
      </c>
      <c r="B196" s="71" t="str">
        <f>IFERROR(__xludf.DUMMYFUNCTION("""COMPUTED_VALUE"""),"Emmett Khan")</f>
        <v>Emmett Khan</v>
      </c>
      <c r="C196" s="71" t="b">
        <f>IFERROR(__xludf.DUMMYFUNCTION("""COMPUTED_VALUE"""),FALSE)</f>
        <v>0</v>
      </c>
      <c r="D196" s="132">
        <f>IFERROR(__xludf.DUMMYFUNCTION("""COMPUTED_VALUE"""),0.5833333333357587)</f>
        <v>0.5833333333</v>
      </c>
      <c r="E196" s="78">
        <f>IFERROR(__xludf.DUMMYFUNCTION("""COMPUTED_VALUE"""),0.07291666666424135)</f>
        <v>0.07291666666</v>
      </c>
      <c r="F196" s="132">
        <f>IFERROR(__xludf.DUMMYFUNCTION("""COMPUTED_VALUE"""),0.65625)</f>
        <v>0.65625</v>
      </c>
      <c r="G196" s="78">
        <f>IFERROR(__xludf.DUMMYFUNCTION("""COMPUTED_VALUE"""),0.15625)</f>
        <v>0.15625</v>
      </c>
      <c r="H196" s="110">
        <f>IFERROR(__xludf.DUMMYFUNCTION("""COMPUTED_VALUE"""),73.0)</f>
        <v>73</v>
      </c>
      <c r="I196" s="108">
        <f>IFERROR(__xludf.DUMMYFUNCTION("""COMPUTED_VALUE"""),19.466666666666665)</f>
        <v>19.46666667</v>
      </c>
      <c r="J196" s="71" t="str">
        <f>IFERROR(__xludf.DUMMYFUNCTION("""COMPUTED_VALUE"""),"Lunch")</f>
        <v>Lunch</v>
      </c>
      <c r="K196" s="106">
        <f>IFERROR(__xludf.DUMMYFUNCTION("""COMPUTED_VALUE"""),45960.0)</f>
        <v>45960</v>
      </c>
      <c r="L196" s="71" t="str">
        <f>IFERROR(__xludf.DUMMYFUNCTION("""COMPUTED_VALUE"""),"Thursday")</f>
        <v>Thursday</v>
      </c>
      <c r="M196" s="71" t="str">
        <f>IFERROR(__xludf.DUMMYFUNCTION("""COMPUTED_VALUE"""),"BF")</f>
        <v>BF</v>
      </c>
      <c r="N196" s="109">
        <f>IFERROR(__xludf.DUMMYFUNCTION("""COMPUTED_VALUE"""),0.5013211288851132)</f>
        <v>0.5013211289</v>
      </c>
      <c r="O196" s="71" t="str">
        <f>IFERROR(__xludf.DUMMYFUNCTION("""COMPUTED_VALUE"""),"")</f>
        <v/>
      </c>
      <c r="P196" s="71" t="str">
        <f>IFERROR(__xludf.DUMMYFUNCTION("""COMPUTED_VALUE"""),"")</f>
        <v/>
      </c>
      <c r="Q196" s="78" t="str">
        <f>IFERROR(__xludf.DUMMYFUNCTION("""COMPUTED_VALUE"""),"")</f>
        <v/>
      </c>
      <c r="R196" s="78" t="str">
        <f>IFERROR(__xludf.DUMMYFUNCTION("""COMPUTED_VALUE"""),"")</f>
        <v/>
      </c>
      <c r="S196" s="61" t="str">
        <f>IFERROR(__xludf.DUMMYFUNCTION("""COMPUTED_VALUE"""),"")</f>
        <v/>
      </c>
      <c r="T196" s="61" t="str">
        <f>IFERROR(__xludf.DUMMYFUNCTION("""COMPUTED_VALUE"""),"")</f>
        <v/>
      </c>
      <c r="U196" s="133" t="str">
        <f>IFERROR(__xludf.DUMMYFUNCTION("""COMPUTED_VALUE"""),"")</f>
        <v/>
      </c>
      <c r="V196" s="78" t="str">
        <f>IFERROR(__xludf.DUMMYFUNCTION("""COMPUTED_VALUE"""),"")</f>
        <v/>
      </c>
      <c r="W196" s="62" t="str">
        <f>IFERROR(__xludf.DUMMYFUNCTION("""COMPUTED_VALUE"""),"")</f>
        <v/>
      </c>
      <c r="X196" s="62" t="str">
        <f>IFERROR(__xludf.DUMMYFUNCTION("""COMPUTED_VALUE"""),"")</f>
        <v/>
      </c>
      <c r="Y196" s="109" t="str">
        <f>IFERROR(__xludf.DUMMYFUNCTION("""COMPUTED_VALUE"""),"")</f>
        <v/>
      </c>
      <c r="Z196" s="113" t="str">
        <f>IFERROR(__xludf.DUMMYFUNCTION("""COMPUTED_VALUE"""),"")</f>
        <v/>
      </c>
      <c r="AA196" s="113" t="str">
        <f>IFERROR(__xludf.DUMMYFUNCTION("""COMPUTED_VALUE"""),"")</f>
        <v/>
      </c>
      <c r="AB196" s="71" t="str">
        <f>IFERROR(__xludf.DUMMYFUNCTION("""COMPUTED_VALUE"""),"")</f>
        <v/>
      </c>
    </row>
    <row r="197">
      <c r="A197" s="105">
        <f>IFERROR(__xludf.DUMMYFUNCTION("""COMPUTED_VALUE"""),45960.76858311343)</f>
        <v>45960.76858</v>
      </c>
      <c r="B197" s="71" t="str">
        <f>IFERROR(__xludf.DUMMYFUNCTION("""COMPUTED_VALUE"""),"Emmett Khan")</f>
        <v>Emmett Khan</v>
      </c>
      <c r="C197" s="71" t="b">
        <f>IFERROR(__xludf.DUMMYFUNCTION("""COMPUTED_VALUE"""),TRUE)</f>
        <v>1</v>
      </c>
      <c r="D197" s="132">
        <f>IFERROR(__xludf.DUMMYFUNCTION("""COMPUTED_VALUE"""),0.6875)</f>
        <v>0.6875</v>
      </c>
      <c r="E197" s="78">
        <f>IFERROR(__xludf.DUMMYFUNCTION("""COMPUTED_VALUE"""),0.08333333333575865)</f>
        <v>0.08333333334</v>
      </c>
      <c r="F197" s="132">
        <f>IFERROR(__xludf.DUMMYFUNCTION("""COMPUTED_VALUE"""),0.7708333333357587)</f>
        <v>0.7708333333</v>
      </c>
      <c r="G197" s="78" t="str">
        <f>IFERROR(__xludf.DUMMYFUNCTION("""COMPUTED_VALUE"""),"")</f>
        <v/>
      </c>
      <c r="H197" s="110">
        <f>IFERROR(__xludf.DUMMYFUNCTION("""COMPUTED_VALUE"""),99.0)</f>
        <v>99</v>
      </c>
      <c r="I197" s="108" t="str">
        <f>IFERROR(__xludf.DUMMYFUNCTION("""COMPUTED_VALUE"""),"")</f>
        <v/>
      </c>
      <c r="J197" s="71" t="str">
        <f>IFERROR(__xludf.DUMMYFUNCTION("""COMPUTED_VALUE"""),"Dinner")</f>
        <v>Dinner</v>
      </c>
      <c r="K197" s="106">
        <f>IFERROR(__xludf.DUMMYFUNCTION("""COMPUTED_VALUE"""),45960.0)</f>
        <v>45960</v>
      </c>
      <c r="L197" s="71" t="str">
        <f>IFERROR(__xludf.DUMMYFUNCTION("""COMPUTED_VALUE"""),"Thursday")</f>
        <v>Thursday</v>
      </c>
      <c r="M197" s="71" t="str">
        <f>IFERROR(__xludf.DUMMYFUNCTION("""COMPUTED_VALUE"""),"BF")</f>
        <v>BF</v>
      </c>
      <c r="N197" s="109" t="str">
        <f>IFERROR(__xludf.DUMMYFUNCTION("""COMPUTED_VALUE"""),"")</f>
        <v/>
      </c>
      <c r="O197" s="71">
        <f>IFERROR(__xludf.DUMMYFUNCTION("""COMPUTED_VALUE"""),131.0)</f>
        <v>131</v>
      </c>
      <c r="P197" s="71">
        <f>IFERROR(__xludf.DUMMYFUNCTION("""COMPUTED_VALUE"""),335.0)</f>
        <v>335</v>
      </c>
      <c r="Q197" s="78">
        <f>IFERROR(__xludf.DUMMYFUNCTION("""COMPUTED_VALUE"""),0.15625)</f>
        <v>0.15625</v>
      </c>
      <c r="R197" s="78">
        <f>IFERROR(__xludf.DUMMYFUNCTION("""COMPUTED_VALUE"""),0.34375)</f>
        <v>0.34375</v>
      </c>
      <c r="S197" s="61">
        <f>IFERROR(__xludf.DUMMYFUNCTION("""COMPUTED_VALUE"""),35.21428571449033)</f>
        <v>35.21428571</v>
      </c>
      <c r="T197" s="61">
        <f>IFERROR(__xludf.DUMMYFUNCTION("""COMPUTED_VALUE"""),35.417460317995946)</f>
        <v>35.41746032</v>
      </c>
      <c r="U197" s="133">
        <f>IFERROR(__xludf.DUMMYFUNCTION("""COMPUTED_VALUE"""),466.0)</f>
        <v>466</v>
      </c>
      <c r="V197" s="78">
        <f>IFERROR(__xludf.DUMMYFUNCTION("""COMPUTED_VALUE"""),0.5)</f>
        <v>0.5</v>
      </c>
      <c r="W197" s="62">
        <f>IFERROR(__xludf.DUMMYFUNCTION("""COMPUTED_VALUE"""),38.833333333333336)</f>
        <v>38.83333333</v>
      </c>
      <c r="X197" s="62">
        <f>IFERROR(__xludf.DUMMYFUNCTION("""COMPUTED_VALUE"""),35.3361904765937)</f>
        <v>35.33619048</v>
      </c>
      <c r="Y197" s="109">
        <f>IFERROR(__xludf.DUMMYFUNCTION("""COMPUTED_VALUE"""),0.7573946886879224)</f>
        <v>0.7573946887</v>
      </c>
      <c r="Z197" s="113">
        <f>IFERROR(__xludf.DUMMYFUNCTION("""COMPUTED_VALUE"""),3229.0)</f>
        <v>3229</v>
      </c>
      <c r="AA197" s="113">
        <f>IFERROR(__xludf.DUMMYFUNCTION("""COMPUTED_VALUE"""),3334.0)</f>
        <v>3334</v>
      </c>
      <c r="AB197" s="113">
        <f>IFERROR(__xludf.DUMMYFUNCTION("""COMPUTED_VALUE"""),6563.0)</f>
        <v>6563</v>
      </c>
    </row>
    <row r="198">
      <c r="A198" s="105">
        <f>IFERROR(__xludf.DUMMYFUNCTION("""COMPUTED_VALUE"""),45961.555963506944)</f>
        <v>45961.55596</v>
      </c>
      <c r="B198" s="71" t="str">
        <f>IFERROR(__xludf.DUMMYFUNCTION("""COMPUTED_VALUE"""),"Orpheus Wilson")</f>
        <v>Orpheus Wilson</v>
      </c>
      <c r="C198" s="71" t="b">
        <f>IFERROR(__xludf.DUMMYFUNCTION("""COMPUTED_VALUE"""),FALSE)</f>
        <v>0</v>
      </c>
      <c r="D198" s="132">
        <f>IFERROR(__xludf.DUMMYFUNCTION("""COMPUTED_VALUE"""),0.48402777777664596)</f>
        <v>0.4840277778</v>
      </c>
      <c r="E198" s="78">
        <f>IFERROR(__xludf.DUMMYFUNCTION("""COMPUTED_VALUE"""),0.06597222222626442)</f>
        <v>0.06597222223</v>
      </c>
      <c r="F198" s="132">
        <f>IFERROR(__xludf.DUMMYFUNCTION("""COMPUTED_VALUE"""),0.5500000000029104)</f>
        <v>0.55</v>
      </c>
      <c r="G198" s="78">
        <f>IFERROR(__xludf.DUMMYFUNCTION("""COMPUTED_VALUE"""),0.06597222222626442)</f>
        <v>0.06597222223</v>
      </c>
      <c r="H198" s="110">
        <f>IFERROR(__xludf.DUMMYFUNCTION("""COMPUTED_VALUE"""),142.0)</f>
        <v>142</v>
      </c>
      <c r="I198" s="108">
        <f>IFERROR(__xludf.DUMMYFUNCTION("""COMPUTED_VALUE"""),89.68421052082073)</f>
        <v>89.68421052</v>
      </c>
      <c r="J198" s="71" t="str">
        <f>IFERROR(__xludf.DUMMYFUNCTION("""COMPUTED_VALUE"""),"Lunch")</f>
        <v>Lunch</v>
      </c>
      <c r="K198" s="106">
        <f>IFERROR(__xludf.DUMMYFUNCTION("""COMPUTED_VALUE"""),45961.0)</f>
        <v>45961</v>
      </c>
      <c r="L198" s="71" t="str">
        <f>IFERROR(__xludf.DUMMYFUNCTION("""COMPUTED_VALUE"""),"Friday")</f>
        <v>Friday</v>
      </c>
      <c r="M198" s="71" t="str">
        <f>IFERROR(__xludf.DUMMYFUNCTION("""COMPUTED_VALUE"""),"MF")</f>
        <v>MF</v>
      </c>
      <c r="N198" s="109">
        <f>IFERROR(__xludf.DUMMYFUNCTION("""COMPUTED_VALUE"""),1.8649690981305973)</f>
        <v>1.864969098</v>
      </c>
      <c r="O198" s="71" t="str">
        <f>IFERROR(__xludf.DUMMYFUNCTION("""COMPUTED_VALUE"""),"")</f>
        <v/>
      </c>
      <c r="P198" s="71" t="str">
        <f>IFERROR(__xludf.DUMMYFUNCTION("""COMPUTED_VALUE"""),"")</f>
        <v/>
      </c>
      <c r="Q198" s="78" t="str">
        <f>IFERROR(__xludf.DUMMYFUNCTION("""COMPUTED_VALUE"""),"")</f>
        <v/>
      </c>
      <c r="R198" s="78" t="str">
        <f>IFERROR(__xludf.DUMMYFUNCTION("""COMPUTED_VALUE"""),"")</f>
        <v/>
      </c>
      <c r="S198" s="61" t="str">
        <f>IFERROR(__xludf.DUMMYFUNCTION("""COMPUTED_VALUE"""),"")</f>
        <v/>
      </c>
      <c r="T198" s="61" t="str">
        <f>IFERROR(__xludf.DUMMYFUNCTION("""COMPUTED_VALUE"""),"")</f>
        <v/>
      </c>
      <c r="U198" s="133" t="str">
        <f>IFERROR(__xludf.DUMMYFUNCTION("""COMPUTED_VALUE"""),"")</f>
        <v/>
      </c>
      <c r="V198" s="78" t="str">
        <f>IFERROR(__xludf.DUMMYFUNCTION("""COMPUTED_VALUE"""),"")</f>
        <v/>
      </c>
      <c r="W198" s="62" t="str">
        <f>IFERROR(__xludf.DUMMYFUNCTION("""COMPUTED_VALUE"""),"")</f>
        <v/>
      </c>
      <c r="X198" s="62" t="str">
        <f>IFERROR(__xludf.DUMMYFUNCTION("""COMPUTED_VALUE"""),"")</f>
        <v/>
      </c>
      <c r="Y198" s="109" t="str">
        <f>IFERROR(__xludf.DUMMYFUNCTION("""COMPUTED_VALUE"""),"")</f>
        <v/>
      </c>
      <c r="Z198" s="113" t="str">
        <f>IFERROR(__xludf.DUMMYFUNCTION("""COMPUTED_VALUE"""),"")</f>
        <v/>
      </c>
      <c r="AA198" s="113" t="str">
        <f>IFERROR(__xludf.DUMMYFUNCTION("""COMPUTED_VALUE"""),"")</f>
        <v/>
      </c>
      <c r="AB198" s="71" t="str">
        <f>IFERROR(__xludf.DUMMYFUNCTION("""COMPUTED_VALUE"""),"")</f>
        <v/>
      </c>
    </row>
    <row r="199">
      <c r="A199" s="105">
        <f>IFERROR(__xludf.DUMMYFUNCTION("""COMPUTED_VALUE"""),45961.59144520834)</f>
        <v>45961.59145</v>
      </c>
      <c r="B199" s="71" t="str">
        <f>IFERROR(__xludf.DUMMYFUNCTION("""COMPUTED_VALUE"""),"Greta Traynor")</f>
        <v>Greta Traynor</v>
      </c>
      <c r="C199" s="71" t="b">
        <f>IFERROR(__xludf.DUMMYFUNCTION("""COMPUTED_VALUE"""),FALSE)</f>
        <v>0</v>
      </c>
      <c r="D199" s="132">
        <f>IFERROR(__xludf.DUMMYFUNCTION("""COMPUTED_VALUE"""),0.5437499999970896)</f>
        <v>0.54375</v>
      </c>
      <c r="E199" s="78">
        <f>IFERROR(__xludf.DUMMYFUNCTION("""COMPUTED_VALUE"""),0.04722222222335404)</f>
        <v>0.04722222222</v>
      </c>
      <c r="F199" s="132">
        <f>IFERROR(__xludf.DUMMYFUNCTION("""COMPUTED_VALUE"""),0.5909722222204437)</f>
        <v>0.5909722222</v>
      </c>
      <c r="G199" s="78">
        <f>IFERROR(__xludf.DUMMYFUNCTION("""COMPUTED_VALUE"""),0.04722222222335404)</f>
        <v>0.04722222222</v>
      </c>
      <c r="H199" s="110">
        <f>IFERROR(__xludf.DUMMYFUNCTION("""COMPUTED_VALUE"""),45.0)</f>
        <v>45</v>
      </c>
      <c r="I199" s="108">
        <f>IFERROR(__xludf.DUMMYFUNCTION("""COMPUTED_VALUE"""),39.70588235198951)</f>
        <v>39.70588235</v>
      </c>
      <c r="J199" s="71" t="str">
        <f>IFERROR(__xludf.DUMMYFUNCTION("""COMPUTED_VALUE"""),"Lunch")</f>
        <v>Lunch</v>
      </c>
      <c r="K199" s="106">
        <f>IFERROR(__xludf.DUMMYFUNCTION("""COMPUTED_VALUE"""),45961.0)</f>
        <v>45961</v>
      </c>
      <c r="L199" s="71" t="str">
        <f>IFERROR(__xludf.DUMMYFUNCTION("""COMPUTED_VALUE"""),"Friday")</f>
        <v>Friday</v>
      </c>
      <c r="M199" s="71" t="str">
        <f>IFERROR(__xludf.DUMMYFUNCTION("""COMPUTED_VALUE"""),"BF")</f>
        <v>BF</v>
      </c>
      <c r="N199" s="109">
        <f>IFERROR(__xludf.DUMMYFUNCTION("""COMPUTED_VALUE"""),1.022537556373915)</f>
        <v>1.022537556</v>
      </c>
      <c r="O199" s="71" t="str">
        <f>IFERROR(__xludf.DUMMYFUNCTION("""COMPUTED_VALUE"""),"")</f>
        <v/>
      </c>
      <c r="P199" s="71" t="str">
        <f>IFERROR(__xludf.DUMMYFUNCTION("""COMPUTED_VALUE"""),"")</f>
        <v/>
      </c>
      <c r="Q199" s="78" t="str">
        <f>IFERROR(__xludf.DUMMYFUNCTION("""COMPUTED_VALUE"""),"")</f>
        <v/>
      </c>
      <c r="R199" s="78" t="str">
        <f>IFERROR(__xludf.DUMMYFUNCTION("""COMPUTED_VALUE"""),"")</f>
        <v/>
      </c>
      <c r="S199" s="61" t="str">
        <f>IFERROR(__xludf.DUMMYFUNCTION("""COMPUTED_VALUE"""),"")</f>
        <v/>
      </c>
      <c r="T199" s="61" t="str">
        <f>IFERROR(__xludf.DUMMYFUNCTION("""COMPUTED_VALUE"""),"")</f>
        <v/>
      </c>
      <c r="U199" s="133" t="str">
        <f>IFERROR(__xludf.DUMMYFUNCTION("""COMPUTED_VALUE"""),"")</f>
        <v/>
      </c>
      <c r="V199" s="78" t="str">
        <f>IFERROR(__xludf.DUMMYFUNCTION("""COMPUTED_VALUE"""),"")</f>
        <v/>
      </c>
      <c r="W199" s="62" t="str">
        <f>IFERROR(__xludf.DUMMYFUNCTION("""COMPUTED_VALUE"""),"")</f>
        <v/>
      </c>
      <c r="X199" s="62" t="str">
        <f>IFERROR(__xludf.DUMMYFUNCTION("""COMPUTED_VALUE"""),"")</f>
        <v/>
      </c>
      <c r="Y199" s="109" t="str">
        <f>IFERROR(__xludf.DUMMYFUNCTION("""COMPUTED_VALUE"""),"")</f>
        <v/>
      </c>
      <c r="Z199" s="113" t="str">
        <f>IFERROR(__xludf.DUMMYFUNCTION("""COMPUTED_VALUE"""),"")</f>
        <v/>
      </c>
      <c r="AA199" s="113" t="str">
        <f>IFERROR(__xludf.DUMMYFUNCTION("""COMPUTED_VALUE"""),"")</f>
        <v/>
      </c>
      <c r="AB199" s="71" t="str">
        <f>IFERROR(__xludf.DUMMYFUNCTION("""COMPUTED_VALUE"""),"")</f>
        <v/>
      </c>
    </row>
    <row r="200">
      <c r="A200" s="105">
        <f>IFERROR(__xludf.DUMMYFUNCTION("""COMPUTED_VALUE"""),45961.63295871528)</f>
        <v>45961.63296</v>
      </c>
      <c r="B200" s="71" t="str">
        <f>IFERROR(__xludf.DUMMYFUNCTION("""COMPUTED_VALUE"""),"Brynn Hornig")</f>
        <v>Brynn Hornig</v>
      </c>
      <c r="C200" s="71" t="b">
        <f>IFERROR(__xludf.DUMMYFUNCTION("""COMPUTED_VALUE"""),FALSE)</f>
        <v>0</v>
      </c>
      <c r="D200" s="132">
        <f>IFERROR(__xludf.DUMMYFUNCTION("""COMPUTED_VALUE"""),0.5520833333357587)</f>
        <v>0.5520833333</v>
      </c>
      <c r="E200" s="78">
        <f>IFERROR(__xludf.DUMMYFUNCTION("""COMPUTED_VALUE"""),0.0833333333284827)</f>
        <v>0.08333333333</v>
      </c>
      <c r="F200" s="132">
        <f>IFERROR(__xludf.DUMMYFUNCTION("""COMPUTED_VALUE"""),0.6354166666642413)</f>
        <v>0.6354166667</v>
      </c>
      <c r="G200" s="78">
        <f>IFERROR(__xludf.DUMMYFUNCTION("""COMPUTED_VALUE"""),0.0833333333284827)</f>
        <v>0.08333333333</v>
      </c>
      <c r="H200" s="110">
        <f>IFERROR(__xludf.DUMMYFUNCTION("""COMPUTED_VALUE"""),116.0)</f>
        <v>116</v>
      </c>
      <c r="I200" s="108">
        <f>IFERROR(__xludf.DUMMYFUNCTION("""COMPUTED_VALUE"""),58.000000003376044)</f>
        <v>58</v>
      </c>
      <c r="J200" s="71" t="str">
        <f>IFERROR(__xludf.DUMMYFUNCTION("""COMPUTED_VALUE"""),"Lunch")</f>
        <v>Lunch</v>
      </c>
      <c r="K200" s="106">
        <f>IFERROR(__xludf.DUMMYFUNCTION("""COMPUTED_VALUE"""),45961.0)</f>
        <v>45961</v>
      </c>
      <c r="L200" s="71" t="str">
        <f>IFERROR(__xludf.DUMMYFUNCTION("""COMPUTED_VALUE"""),"Friday")</f>
        <v>Friday</v>
      </c>
      <c r="M200" s="71" t="str">
        <f>IFERROR(__xludf.DUMMYFUNCTION("""COMPUTED_VALUE"""),"MF")</f>
        <v>MF</v>
      </c>
      <c r="N200" s="109">
        <f>IFERROR(__xludf.DUMMYFUNCTION("""COMPUTED_VALUE"""),1.2061009075032105)</f>
        <v>1.206100908</v>
      </c>
      <c r="O200" s="71" t="str">
        <f>IFERROR(__xludf.DUMMYFUNCTION("""COMPUTED_VALUE"""),"")</f>
        <v/>
      </c>
      <c r="P200" s="71" t="str">
        <f>IFERROR(__xludf.DUMMYFUNCTION("""COMPUTED_VALUE"""),"")</f>
        <v/>
      </c>
      <c r="Q200" s="78" t="str">
        <f>IFERROR(__xludf.DUMMYFUNCTION("""COMPUTED_VALUE"""),"")</f>
        <v/>
      </c>
      <c r="R200" s="78" t="str">
        <f>IFERROR(__xludf.DUMMYFUNCTION("""COMPUTED_VALUE"""),"")</f>
        <v/>
      </c>
      <c r="S200" s="61" t="str">
        <f>IFERROR(__xludf.DUMMYFUNCTION("""COMPUTED_VALUE"""),"")</f>
        <v/>
      </c>
      <c r="T200" s="61" t="str">
        <f>IFERROR(__xludf.DUMMYFUNCTION("""COMPUTED_VALUE"""),"")</f>
        <v/>
      </c>
      <c r="U200" s="133" t="str">
        <f>IFERROR(__xludf.DUMMYFUNCTION("""COMPUTED_VALUE"""),"")</f>
        <v/>
      </c>
      <c r="V200" s="78" t="str">
        <f>IFERROR(__xludf.DUMMYFUNCTION("""COMPUTED_VALUE"""),"")</f>
        <v/>
      </c>
      <c r="W200" s="62" t="str">
        <f>IFERROR(__xludf.DUMMYFUNCTION("""COMPUTED_VALUE"""),"")</f>
        <v/>
      </c>
      <c r="X200" s="62" t="str">
        <f>IFERROR(__xludf.DUMMYFUNCTION("""COMPUTED_VALUE"""),"")</f>
        <v/>
      </c>
      <c r="Y200" s="109" t="str">
        <f>IFERROR(__xludf.DUMMYFUNCTION("""COMPUTED_VALUE"""),"")</f>
        <v/>
      </c>
      <c r="Z200" s="113" t="str">
        <f>IFERROR(__xludf.DUMMYFUNCTION("""COMPUTED_VALUE"""),"")</f>
        <v/>
      </c>
      <c r="AA200" s="113" t="str">
        <f>IFERROR(__xludf.DUMMYFUNCTION("""COMPUTED_VALUE"""),"")</f>
        <v/>
      </c>
      <c r="AB200" s="71" t="str">
        <f>IFERROR(__xludf.DUMMYFUNCTION("""COMPUTED_VALUE"""),"")</f>
        <v/>
      </c>
    </row>
    <row r="201">
      <c r="A201" s="105">
        <f>IFERROR(__xludf.DUMMYFUNCTION("""COMPUTED_VALUE"""),45961.72839416667)</f>
        <v>45961.72839</v>
      </c>
      <c r="B201" s="71" t="str">
        <f>IFERROR(__xludf.DUMMYFUNCTION("""COMPUTED_VALUE"""),"Emmett Khan")</f>
        <v>Emmett Khan</v>
      </c>
      <c r="C201" s="71" t="b">
        <f>IFERROR(__xludf.DUMMYFUNCTION("""COMPUTED_VALUE"""),FALSE)</f>
        <v>0</v>
      </c>
      <c r="D201" s="132">
        <f>IFERROR(__xludf.DUMMYFUNCTION("""COMPUTED_VALUE"""),0.6666666666642413)</f>
        <v>0.6666666667</v>
      </c>
      <c r="E201" s="78">
        <f>IFERROR(__xludf.DUMMYFUNCTION("""COMPUTED_VALUE"""),0.0625)</f>
        <v>0.0625</v>
      </c>
      <c r="F201" s="132">
        <f>IFERROR(__xludf.DUMMYFUNCTION("""COMPUTED_VALUE"""),0.7291666666642413)</f>
        <v>0.7291666667</v>
      </c>
      <c r="G201" s="78">
        <f>IFERROR(__xludf.DUMMYFUNCTION("""COMPUTED_VALUE"""),0.0625)</f>
        <v>0.0625</v>
      </c>
      <c r="H201" s="110">
        <f>IFERROR(__xludf.DUMMYFUNCTION("""COMPUTED_VALUE"""),118.0)</f>
        <v>118</v>
      </c>
      <c r="I201" s="108">
        <f>IFERROR(__xludf.DUMMYFUNCTION("""COMPUTED_VALUE"""),78.66666666666667)</f>
        <v>78.66666667</v>
      </c>
      <c r="J201" s="71" t="str">
        <f>IFERROR(__xludf.DUMMYFUNCTION("""COMPUTED_VALUE"""),"Dinner")</f>
        <v>Dinner</v>
      </c>
      <c r="K201" s="106">
        <f>IFERROR(__xludf.DUMMYFUNCTION("""COMPUTED_VALUE"""),45961.0)</f>
        <v>45961</v>
      </c>
      <c r="L201" s="71" t="str">
        <f>IFERROR(__xludf.DUMMYFUNCTION("""COMPUTED_VALUE"""),"Friday")</f>
        <v>Friday</v>
      </c>
      <c r="M201" s="71" t="str">
        <f>IFERROR(__xludf.DUMMYFUNCTION("""COMPUTED_VALUE"""),"MF")</f>
        <v>MF</v>
      </c>
      <c r="N201" s="109">
        <f>IFERROR(__xludf.DUMMYFUNCTION("""COMPUTED_VALUE"""),1.5501255775496428)</f>
        <v>1.550125578</v>
      </c>
      <c r="O201" s="71" t="str">
        <f>IFERROR(__xludf.DUMMYFUNCTION("""COMPUTED_VALUE"""),"")</f>
        <v/>
      </c>
      <c r="P201" s="71" t="str">
        <f>IFERROR(__xludf.DUMMYFUNCTION("""COMPUTED_VALUE"""),"")</f>
        <v/>
      </c>
      <c r="Q201" s="78" t="str">
        <f>IFERROR(__xludf.DUMMYFUNCTION("""COMPUTED_VALUE"""),"")</f>
        <v/>
      </c>
      <c r="R201" s="78" t="str">
        <f>IFERROR(__xludf.DUMMYFUNCTION("""COMPUTED_VALUE"""),"")</f>
        <v/>
      </c>
      <c r="S201" s="61" t="str">
        <f>IFERROR(__xludf.DUMMYFUNCTION("""COMPUTED_VALUE"""),"")</f>
        <v/>
      </c>
      <c r="T201" s="61" t="str">
        <f>IFERROR(__xludf.DUMMYFUNCTION("""COMPUTED_VALUE"""),"")</f>
        <v/>
      </c>
      <c r="U201" s="133" t="str">
        <f>IFERROR(__xludf.DUMMYFUNCTION("""COMPUTED_VALUE"""),"")</f>
        <v/>
      </c>
      <c r="V201" s="78" t="str">
        <f>IFERROR(__xludf.DUMMYFUNCTION("""COMPUTED_VALUE"""),"")</f>
        <v/>
      </c>
      <c r="W201" s="62" t="str">
        <f>IFERROR(__xludf.DUMMYFUNCTION("""COMPUTED_VALUE"""),"")</f>
        <v/>
      </c>
      <c r="X201" s="62" t="str">
        <f>IFERROR(__xludf.DUMMYFUNCTION("""COMPUTED_VALUE"""),"")</f>
        <v/>
      </c>
      <c r="Y201" s="109" t="str">
        <f>IFERROR(__xludf.DUMMYFUNCTION("""COMPUTED_VALUE"""),"")</f>
        <v/>
      </c>
      <c r="Z201" s="113" t="str">
        <f>IFERROR(__xludf.DUMMYFUNCTION("""COMPUTED_VALUE"""),"")</f>
        <v/>
      </c>
      <c r="AA201" s="113" t="str">
        <f>IFERROR(__xludf.DUMMYFUNCTION("""COMPUTED_VALUE"""),"")</f>
        <v/>
      </c>
      <c r="AB201" s="71" t="str">
        <f>IFERROR(__xludf.DUMMYFUNCTION("""COMPUTED_VALUE"""),"")</f>
        <v/>
      </c>
    </row>
    <row r="202">
      <c r="A202" s="105">
        <f>IFERROR(__xludf.DUMMYFUNCTION("""COMPUTED_VALUE"""),45961.85801412037)</f>
        <v>45961.85801</v>
      </c>
      <c r="B202" s="71" t="str">
        <f>IFERROR(__xludf.DUMMYFUNCTION("""COMPUTED_VALUE"""),"Elliott Haber")</f>
        <v>Elliott Haber</v>
      </c>
      <c r="C202" s="71" t="b">
        <f>IFERROR(__xludf.DUMMYFUNCTION("""COMPUTED_VALUE"""),FALSE)</f>
        <v>0</v>
      </c>
      <c r="D202" s="132">
        <f>IFERROR(__xludf.DUMMYFUNCTION("""COMPUTED_VALUE"""),0.7604166666642413)</f>
        <v>0.7604166667</v>
      </c>
      <c r="E202" s="78">
        <f>IFERROR(__xludf.DUMMYFUNCTION("""COMPUTED_VALUE"""),0.08680555555474712)</f>
        <v>0.08680555555</v>
      </c>
      <c r="F202" s="132">
        <f>IFERROR(__xludf.DUMMYFUNCTION("""COMPUTED_VALUE"""),0.8472222222189885)</f>
        <v>0.8472222222</v>
      </c>
      <c r="G202" s="78">
        <f>IFERROR(__xludf.DUMMYFUNCTION("""COMPUTED_VALUE"""),0.08680555555474712)</f>
        <v>0.08680555555</v>
      </c>
      <c r="H202" s="110">
        <f>IFERROR(__xludf.DUMMYFUNCTION("""COMPUTED_VALUE"""),85.0)</f>
        <v>85</v>
      </c>
      <c r="I202" s="108">
        <f>IFERROR(__xludf.DUMMYFUNCTION("""COMPUTED_VALUE"""),40.80000000037998)</f>
        <v>40.8</v>
      </c>
      <c r="J202" s="71" t="str">
        <f>IFERROR(__xludf.DUMMYFUNCTION("""COMPUTED_VALUE"""),"Dinner")</f>
        <v>Dinner</v>
      </c>
      <c r="K202" s="106">
        <f>IFERROR(__xludf.DUMMYFUNCTION("""COMPUTED_VALUE"""),45961.0)</f>
        <v>45961</v>
      </c>
      <c r="L202" s="71" t="str">
        <f>IFERROR(__xludf.DUMMYFUNCTION("""COMPUTED_VALUE"""),"Friday")</f>
        <v>Friday</v>
      </c>
      <c r="M202" s="71" t="str">
        <f>IFERROR(__xludf.DUMMYFUNCTION("""COMPUTED_VALUE"""),"MF")</f>
        <v>MF</v>
      </c>
      <c r="N202" s="109">
        <f>IFERROR(__xludf.DUMMYFUNCTION("""COMPUTED_VALUE"""),0.8039634351434038)</f>
        <v>0.8039634351</v>
      </c>
      <c r="O202" s="71">
        <f>IFERROR(__xludf.DUMMYFUNCTION("""COMPUTED_VALUE"""),461.0)</f>
        <v>461</v>
      </c>
      <c r="P202" s="71">
        <f>IFERROR(__xludf.DUMMYFUNCTION("""COMPUTED_VALUE"""),45.0)</f>
        <v>45</v>
      </c>
      <c r="Q202" s="78">
        <f>IFERROR(__xludf.DUMMYFUNCTION("""COMPUTED_VALUE"""),0.29861111110949423)</f>
        <v>0.2986111111</v>
      </c>
      <c r="R202" s="78">
        <f>IFERROR(__xludf.DUMMYFUNCTION("""COMPUTED_VALUE"""),0.04722222222335404)</f>
        <v>0.04722222222</v>
      </c>
      <c r="S202" s="61">
        <f>IFERROR(__xludf.DUMMYFUNCTION("""COMPUTED_VALUE"""),66.78771929781087)</f>
        <v>66.7877193</v>
      </c>
      <c r="T202" s="61">
        <f>IFERROR(__xludf.DUMMYFUNCTION("""COMPUTED_VALUE"""),39.70588235198951)</f>
        <v>39.70588235</v>
      </c>
      <c r="U202" s="133">
        <f>IFERROR(__xludf.DUMMYFUNCTION("""COMPUTED_VALUE"""),506.0)</f>
        <v>506</v>
      </c>
      <c r="V202" s="78">
        <f>IFERROR(__xludf.DUMMYFUNCTION("""COMPUTED_VALUE"""),0.34583333333284827)</f>
        <v>0.3458333333</v>
      </c>
      <c r="W202" s="62">
        <f>IFERROR(__xludf.DUMMYFUNCTION("""COMPUTED_VALUE"""),60.96385542177225)</f>
        <v>60.96385542</v>
      </c>
      <c r="X202" s="62">
        <f>IFERROR(__xludf.DUMMYFUNCTION("""COMPUTED_VALUE"""),61.37135190864658)</f>
        <v>61.37135191</v>
      </c>
      <c r="Y202" s="109">
        <f>IFERROR(__xludf.DUMMYFUNCTION("""COMPUTED_VALUE"""),1.348386225322812)</f>
        <v>1.348386225</v>
      </c>
      <c r="Z202" s="113">
        <f>IFERROR(__xludf.DUMMYFUNCTION("""COMPUTED_VALUE"""),3473.0)</f>
        <v>3473</v>
      </c>
      <c r="AA202" s="113">
        <f>IFERROR(__xludf.DUMMYFUNCTION("""COMPUTED_VALUE"""),1721.0)</f>
        <v>1721</v>
      </c>
      <c r="AB202" s="113">
        <f>IFERROR(__xludf.DUMMYFUNCTION("""COMPUTED_VALUE"""),5194.0)</f>
        <v>5194</v>
      </c>
    </row>
    <row r="203">
      <c r="A203" s="105">
        <f>IFERROR(__xludf.DUMMYFUNCTION("""COMPUTED_VALUE"""),45964.42084212963)</f>
        <v>45964.42084</v>
      </c>
      <c r="B203" s="71" t="str">
        <f>IFERROR(__xludf.DUMMYFUNCTION("""COMPUTED_VALUE"""),"Sarah Wilme")</f>
        <v>Sarah Wilme</v>
      </c>
      <c r="C203" s="71" t="b">
        <f>IFERROR(__xludf.DUMMYFUNCTION("""COMPUTED_VALUE"""),FALSE)</f>
        <v>0</v>
      </c>
      <c r="D203" s="132">
        <f>IFERROR(__xludf.DUMMYFUNCTION("""COMPUTED_VALUE"""),0.2923611111109494)</f>
        <v>0.2923611111</v>
      </c>
      <c r="E203" s="78">
        <f>IFERROR(__xludf.DUMMYFUNCTION("""COMPUTED_VALUE"""),0.12777777777955635)</f>
        <v>0.1277777778</v>
      </c>
      <c r="F203" s="132">
        <f>IFERROR(__xludf.DUMMYFUNCTION("""COMPUTED_VALUE"""),0.42013888889050577)</f>
        <v>0.4201388889</v>
      </c>
      <c r="G203" s="78">
        <f>IFERROR(__xludf.DUMMYFUNCTION("""COMPUTED_VALUE"""),0.12777777777955635)</f>
        <v>0.1277777778</v>
      </c>
      <c r="H203" s="110">
        <f>IFERROR(__xludf.DUMMYFUNCTION("""COMPUTED_VALUE"""),85.0)</f>
        <v>85</v>
      </c>
      <c r="I203" s="108">
        <f>IFERROR(__xludf.DUMMYFUNCTION("""COMPUTED_VALUE"""),27.71739130396202)</f>
        <v>27.7173913</v>
      </c>
      <c r="J203" s="71" t="str">
        <f>IFERROR(__xludf.DUMMYFUNCTION("""COMPUTED_VALUE"""),"Breakfast")</f>
        <v>Breakfast</v>
      </c>
      <c r="K203" s="106">
        <f>IFERROR(__xludf.DUMMYFUNCTION("""COMPUTED_VALUE"""),45964.0)</f>
        <v>45964</v>
      </c>
      <c r="L203" s="71" t="str">
        <f>IFERROR(__xludf.DUMMYFUNCTION("""COMPUTED_VALUE"""),"Monday")</f>
        <v>Monday</v>
      </c>
      <c r="M203" s="71" t="str">
        <f>IFERROR(__xludf.DUMMYFUNCTION("""COMPUTED_VALUE"""),"BF")</f>
        <v>BF</v>
      </c>
      <c r="N203" s="109">
        <f>IFERROR(__xludf.DUMMYFUNCTION("""COMPUTED_VALUE"""),1.173864060312636)</f>
        <v>1.17386406</v>
      </c>
      <c r="O203" s="71" t="str">
        <f>IFERROR(__xludf.DUMMYFUNCTION("""COMPUTED_VALUE"""),"")</f>
        <v/>
      </c>
      <c r="P203" s="71" t="str">
        <f>IFERROR(__xludf.DUMMYFUNCTION("""COMPUTED_VALUE"""),"")</f>
        <v/>
      </c>
      <c r="Q203" s="78" t="str">
        <f>IFERROR(__xludf.DUMMYFUNCTION("""COMPUTED_VALUE"""),"")</f>
        <v/>
      </c>
      <c r="R203" s="78" t="str">
        <f>IFERROR(__xludf.DUMMYFUNCTION("""COMPUTED_VALUE"""),"")</f>
        <v/>
      </c>
      <c r="S203" s="61" t="str">
        <f>IFERROR(__xludf.DUMMYFUNCTION("""COMPUTED_VALUE"""),"")</f>
        <v/>
      </c>
      <c r="T203" s="61" t="str">
        <f>IFERROR(__xludf.DUMMYFUNCTION("""COMPUTED_VALUE"""),"")</f>
        <v/>
      </c>
      <c r="U203" s="133" t="str">
        <f>IFERROR(__xludf.DUMMYFUNCTION("""COMPUTED_VALUE"""),"")</f>
        <v/>
      </c>
      <c r="V203" s="78" t="str">
        <f>IFERROR(__xludf.DUMMYFUNCTION("""COMPUTED_VALUE"""),"")</f>
        <v/>
      </c>
      <c r="W203" s="62" t="str">
        <f>IFERROR(__xludf.DUMMYFUNCTION("""COMPUTED_VALUE"""),"")</f>
        <v/>
      </c>
      <c r="X203" s="62" t="str">
        <f>IFERROR(__xludf.DUMMYFUNCTION("""COMPUTED_VALUE"""),"")</f>
        <v/>
      </c>
      <c r="Y203" s="109" t="str">
        <f>IFERROR(__xludf.DUMMYFUNCTION("""COMPUTED_VALUE"""),"")</f>
        <v/>
      </c>
      <c r="Z203" s="113" t="str">
        <f>IFERROR(__xludf.DUMMYFUNCTION("""COMPUTED_VALUE"""),"")</f>
        <v/>
      </c>
      <c r="AA203" s="113" t="str">
        <f>IFERROR(__xludf.DUMMYFUNCTION("""COMPUTED_VALUE"""),"")</f>
        <v/>
      </c>
      <c r="AB203" s="71" t="str">
        <f>IFERROR(__xludf.DUMMYFUNCTION("""COMPUTED_VALUE"""),"")</f>
        <v/>
      </c>
    </row>
    <row r="204">
      <c r="A204" s="105">
        <f>IFERROR(__xludf.DUMMYFUNCTION("""COMPUTED_VALUE"""),45964.500910567134)</f>
        <v>45964.50091</v>
      </c>
      <c r="B204" s="71" t="str">
        <f>IFERROR(__xludf.DUMMYFUNCTION("""COMPUTED_VALUE"""),"Oluwatimilehin Shodipe")</f>
        <v>Oluwatimilehin Shodipe</v>
      </c>
      <c r="C204" s="71" t="b">
        <f>IFERROR(__xludf.DUMMYFUNCTION("""COMPUTED_VALUE"""),FALSE)</f>
        <v>0</v>
      </c>
      <c r="D204" s="132">
        <f>IFERROR(__xludf.DUMMYFUNCTION("""COMPUTED_VALUE"""),0.4375)</f>
        <v>0.4375</v>
      </c>
      <c r="E204" s="78">
        <f>IFERROR(__xludf.DUMMYFUNCTION("""COMPUTED_VALUE"""),0.06388888889341615)</f>
        <v>0.06388888889</v>
      </c>
      <c r="F204" s="132">
        <f>IFERROR(__xludf.DUMMYFUNCTION("""COMPUTED_VALUE"""),0.5013888888934162)</f>
        <v>0.5013888889</v>
      </c>
      <c r="G204" s="78">
        <f>IFERROR(__xludf.DUMMYFUNCTION("""COMPUTED_VALUE"""),0.06388888889341615)</f>
        <v>0.06388888889</v>
      </c>
      <c r="H204" s="110">
        <f>IFERROR(__xludf.DUMMYFUNCTION("""COMPUTED_VALUE"""),96.0)</f>
        <v>96</v>
      </c>
      <c r="I204" s="108">
        <f>IFERROR(__xludf.DUMMYFUNCTION("""COMPUTED_VALUE"""),62.60869564773737)</f>
        <v>62.60869565</v>
      </c>
      <c r="J204" s="71" t="str">
        <f>IFERROR(__xludf.DUMMYFUNCTION("""COMPUTED_VALUE"""),"Breakfast/Lunch")</f>
        <v>Breakfast/Lunch</v>
      </c>
      <c r="K204" s="106">
        <f>IFERROR(__xludf.DUMMYFUNCTION("""COMPUTED_VALUE"""),45964.0)</f>
        <v>45964</v>
      </c>
      <c r="L204" s="71" t="str">
        <f>IFERROR(__xludf.DUMMYFUNCTION("""COMPUTED_VALUE"""),"Monday")</f>
        <v>Monday</v>
      </c>
      <c r="M204" s="71" t="str">
        <f>IFERROR(__xludf.DUMMYFUNCTION("""COMPUTED_VALUE"""),"BF")</f>
        <v>BF</v>
      </c>
      <c r="N204" s="109">
        <f>IFERROR(__xludf.DUMMYFUNCTION("""COMPUTED_VALUE"""),1.09950121582892)</f>
        <v>1.099501216</v>
      </c>
      <c r="O204" s="71" t="str">
        <f>IFERROR(__xludf.DUMMYFUNCTION("""COMPUTED_VALUE"""),"")</f>
        <v/>
      </c>
      <c r="P204" s="71" t="str">
        <f>IFERROR(__xludf.DUMMYFUNCTION("""COMPUTED_VALUE"""),"")</f>
        <v/>
      </c>
      <c r="Q204" s="78" t="str">
        <f>IFERROR(__xludf.DUMMYFUNCTION("""COMPUTED_VALUE"""),"")</f>
        <v/>
      </c>
      <c r="R204" s="78" t="str">
        <f>IFERROR(__xludf.DUMMYFUNCTION("""COMPUTED_VALUE"""),"")</f>
        <v/>
      </c>
      <c r="S204" s="61" t="str">
        <f>IFERROR(__xludf.DUMMYFUNCTION("""COMPUTED_VALUE"""),"")</f>
        <v/>
      </c>
      <c r="T204" s="61" t="str">
        <f>IFERROR(__xludf.DUMMYFUNCTION("""COMPUTED_VALUE"""),"")</f>
        <v/>
      </c>
      <c r="U204" s="133" t="str">
        <f>IFERROR(__xludf.DUMMYFUNCTION("""COMPUTED_VALUE"""),"")</f>
        <v/>
      </c>
      <c r="V204" s="78" t="str">
        <f>IFERROR(__xludf.DUMMYFUNCTION("""COMPUTED_VALUE"""),"")</f>
        <v/>
      </c>
      <c r="W204" s="62" t="str">
        <f>IFERROR(__xludf.DUMMYFUNCTION("""COMPUTED_VALUE"""),"")</f>
        <v/>
      </c>
      <c r="X204" s="62" t="str">
        <f>IFERROR(__xludf.DUMMYFUNCTION("""COMPUTED_VALUE"""),"")</f>
        <v/>
      </c>
      <c r="Y204" s="109" t="str">
        <f>IFERROR(__xludf.DUMMYFUNCTION("""COMPUTED_VALUE"""),"")</f>
        <v/>
      </c>
      <c r="Z204" s="113" t="str">
        <f>IFERROR(__xludf.DUMMYFUNCTION("""COMPUTED_VALUE"""),"")</f>
        <v/>
      </c>
      <c r="AA204" s="113" t="str">
        <f>IFERROR(__xludf.DUMMYFUNCTION("""COMPUTED_VALUE"""),"")</f>
        <v/>
      </c>
      <c r="AB204" s="71" t="str">
        <f>IFERROR(__xludf.DUMMYFUNCTION("""COMPUTED_VALUE"""),"")</f>
        <v/>
      </c>
    </row>
    <row r="205">
      <c r="A205" s="105">
        <f>IFERROR(__xludf.DUMMYFUNCTION("""COMPUTED_VALUE"""),45964.57099349537)</f>
        <v>45964.57099</v>
      </c>
      <c r="B205" s="71" t="str">
        <f>IFERROR(__xludf.DUMMYFUNCTION("""COMPUTED_VALUE"""),"Orpheus Wilson")</f>
        <v>Orpheus Wilson</v>
      </c>
      <c r="C205" s="71" t="b">
        <f>IFERROR(__xludf.DUMMYFUNCTION("""COMPUTED_VALUE"""),FALSE)</f>
        <v>0</v>
      </c>
      <c r="D205" s="132">
        <f>IFERROR(__xludf.DUMMYFUNCTION("""COMPUTED_VALUE"""),0.4819444444437977)</f>
        <v>0.4819444444</v>
      </c>
      <c r="E205" s="78">
        <f>IFERROR(__xludf.DUMMYFUNCTION("""COMPUTED_VALUE"""),0.07777777777664596)</f>
        <v>0.07777777778</v>
      </c>
      <c r="F205" s="132">
        <f>IFERROR(__xludf.DUMMYFUNCTION("""COMPUTED_VALUE"""),0.5597222222204437)</f>
        <v>0.5597222222</v>
      </c>
      <c r="G205" s="78">
        <f>IFERROR(__xludf.DUMMYFUNCTION("""COMPUTED_VALUE"""),0.07777777777664596)</f>
        <v>0.07777777778</v>
      </c>
      <c r="H205" s="110">
        <f>IFERROR(__xludf.DUMMYFUNCTION("""COMPUTED_VALUE"""),137.0)</f>
        <v>137</v>
      </c>
      <c r="I205" s="108">
        <f>IFERROR(__xludf.DUMMYFUNCTION("""COMPUTED_VALUE"""),73.39285714392516)</f>
        <v>73.39285714</v>
      </c>
      <c r="J205" s="71" t="str">
        <f>IFERROR(__xludf.DUMMYFUNCTION("""COMPUTED_VALUE"""),"Lunch")</f>
        <v>Lunch</v>
      </c>
      <c r="K205" s="106">
        <f>IFERROR(__xludf.DUMMYFUNCTION("""COMPUTED_VALUE"""),45964.0)</f>
        <v>45964</v>
      </c>
      <c r="L205" s="71" t="str">
        <f>IFERROR(__xludf.DUMMYFUNCTION("""COMPUTED_VALUE"""),"Monday")</f>
        <v>Monday</v>
      </c>
      <c r="M205" s="71" t="str">
        <f>IFERROR(__xludf.DUMMYFUNCTION("""COMPUTED_VALUE"""),"MF")</f>
        <v>MF</v>
      </c>
      <c r="N205" s="109">
        <f>IFERROR(__xludf.DUMMYFUNCTION("""COMPUTED_VALUE"""),1.5261929586273988)</f>
        <v>1.526192959</v>
      </c>
      <c r="O205" s="71" t="str">
        <f>IFERROR(__xludf.DUMMYFUNCTION("""COMPUTED_VALUE"""),"")</f>
        <v/>
      </c>
      <c r="P205" s="71" t="str">
        <f>IFERROR(__xludf.DUMMYFUNCTION("""COMPUTED_VALUE"""),"")</f>
        <v/>
      </c>
      <c r="Q205" s="78" t="str">
        <f>IFERROR(__xludf.DUMMYFUNCTION("""COMPUTED_VALUE"""),"")</f>
        <v/>
      </c>
      <c r="R205" s="78" t="str">
        <f>IFERROR(__xludf.DUMMYFUNCTION("""COMPUTED_VALUE"""),"")</f>
        <v/>
      </c>
      <c r="S205" s="61" t="str">
        <f>IFERROR(__xludf.DUMMYFUNCTION("""COMPUTED_VALUE"""),"")</f>
        <v/>
      </c>
      <c r="T205" s="61" t="str">
        <f>IFERROR(__xludf.DUMMYFUNCTION("""COMPUTED_VALUE"""),"")</f>
        <v/>
      </c>
      <c r="U205" s="133" t="str">
        <f>IFERROR(__xludf.DUMMYFUNCTION("""COMPUTED_VALUE"""),"")</f>
        <v/>
      </c>
      <c r="V205" s="78" t="str">
        <f>IFERROR(__xludf.DUMMYFUNCTION("""COMPUTED_VALUE"""),"")</f>
        <v/>
      </c>
      <c r="W205" s="62" t="str">
        <f>IFERROR(__xludf.DUMMYFUNCTION("""COMPUTED_VALUE"""),"")</f>
        <v/>
      </c>
      <c r="X205" s="62" t="str">
        <f>IFERROR(__xludf.DUMMYFUNCTION("""COMPUTED_VALUE"""),"")</f>
        <v/>
      </c>
      <c r="Y205" s="109" t="str">
        <f>IFERROR(__xludf.DUMMYFUNCTION("""COMPUTED_VALUE"""),"")</f>
        <v/>
      </c>
      <c r="Z205" s="113" t="str">
        <f>IFERROR(__xludf.DUMMYFUNCTION("""COMPUTED_VALUE"""),"")</f>
        <v/>
      </c>
      <c r="AA205" s="113" t="str">
        <f>IFERROR(__xludf.DUMMYFUNCTION("""COMPUTED_VALUE"""),"")</f>
        <v/>
      </c>
      <c r="AB205" s="71" t="str">
        <f>IFERROR(__xludf.DUMMYFUNCTION("""COMPUTED_VALUE"""),"")</f>
        <v/>
      </c>
    </row>
    <row r="206">
      <c r="A206" s="105">
        <f>IFERROR(__xludf.DUMMYFUNCTION("""COMPUTED_VALUE"""),45964.654776111114)</f>
        <v>45964.65478</v>
      </c>
      <c r="B206" s="71" t="str">
        <f>IFERROR(__xludf.DUMMYFUNCTION("""COMPUTED_VALUE"""),"Greta Traynor")</f>
        <v>Greta Traynor</v>
      </c>
      <c r="C206" s="71" t="b">
        <f>IFERROR(__xludf.DUMMYFUNCTION("""COMPUTED_VALUE"""),FALSE)</f>
        <v>0</v>
      </c>
      <c r="D206" s="132">
        <f>IFERROR(__xludf.DUMMYFUNCTION("""COMPUTED_VALUE"""),0.5645833333328483)</f>
        <v>0.5645833333</v>
      </c>
      <c r="E206" s="78">
        <f>IFERROR(__xludf.DUMMYFUNCTION("""COMPUTED_VALUE"""),0.06805555555183673)</f>
        <v>0.06805555555</v>
      </c>
      <c r="F206" s="132">
        <f>IFERROR(__xludf.DUMMYFUNCTION("""COMPUTED_VALUE"""),0.632638888884685)</f>
        <v>0.6326388889</v>
      </c>
      <c r="G206" s="78">
        <f>IFERROR(__xludf.DUMMYFUNCTION("""COMPUTED_VALUE"""),0.06805555555183673)</f>
        <v>0.06805555555</v>
      </c>
      <c r="H206" s="110">
        <f>IFERROR(__xludf.DUMMYFUNCTION("""COMPUTED_VALUE"""),78.0)</f>
        <v>78</v>
      </c>
      <c r="I206" s="108">
        <f>IFERROR(__xludf.DUMMYFUNCTION("""COMPUTED_VALUE"""),47.75510204342585)</f>
        <v>47.75510204</v>
      </c>
      <c r="J206" s="71" t="str">
        <f>IFERROR(__xludf.DUMMYFUNCTION("""COMPUTED_VALUE"""),"Lunch")</f>
        <v>Lunch</v>
      </c>
      <c r="K206" s="106">
        <f>IFERROR(__xludf.DUMMYFUNCTION("""COMPUTED_VALUE"""),45964.0)</f>
        <v>45964</v>
      </c>
      <c r="L206" s="71" t="str">
        <f>IFERROR(__xludf.DUMMYFUNCTION("""COMPUTED_VALUE"""),"Monday")</f>
        <v>Monday</v>
      </c>
      <c r="M206" s="71" t="str">
        <f>IFERROR(__xludf.DUMMYFUNCTION("""COMPUTED_VALUE"""),"MF")</f>
        <v>MF</v>
      </c>
      <c r="N206" s="109">
        <f>IFERROR(__xludf.DUMMYFUNCTION("""COMPUTED_VALUE"""),0.9930598605022712)</f>
        <v>0.9930598605</v>
      </c>
      <c r="O206" s="71" t="str">
        <f>IFERROR(__xludf.DUMMYFUNCTION("""COMPUTED_VALUE"""),"")</f>
        <v/>
      </c>
      <c r="P206" s="71" t="str">
        <f>IFERROR(__xludf.DUMMYFUNCTION("""COMPUTED_VALUE"""),"")</f>
        <v/>
      </c>
      <c r="Q206" s="78" t="str">
        <f>IFERROR(__xludf.DUMMYFUNCTION("""COMPUTED_VALUE"""),"")</f>
        <v/>
      </c>
      <c r="R206" s="78" t="str">
        <f>IFERROR(__xludf.DUMMYFUNCTION("""COMPUTED_VALUE"""),"")</f>
        <v/>
      </c>
      <c r="S206" s="61" t="str">
        <f>IFERROR(__xludf.DUMMYFUNCTION("""COMPUTED_VALUE"""),"")</f>
        <v/>
      </c>
      <c r="T206" s="61" t="str">
        <f>IFERROR(__xludf.DUMMYFUNCTION("""COMPUTED_VALUE"""),"")</f>
        <v/>
      </c>
      <c r="U206" s="133" t="str">
        <f>IFERROR(__xludf.DUMMYFUNCTION("""COMPUTED_VALUE"""),"")</f>
        <v/>
      </c>
      <c r="V206" s="78" t="str">
        <f>IFERROR(__xludf.DUMMYFUNCTION("""COMPUTED_VALUE"""),"")</f>
        <v/>
      </c>
      <c r="W206" s="62" t="str">
        <f>IFERROR(__xludf.DUMMYFUNCTION("""COMPUTED_VALUE"""),"")</f>
        <v/>
      </c>
      <c r="X206" s="62" t="str">
        <f>IFERROR(__xludf.DUMMYFUNCTION("""COMPUTED_VALUE"""),"")</f>
        <v/>
      </c>
      <c r="Y206" s="109" t="str">
        <f>IFERROR(__xludf.DUMMYFUNCTION("""COMPUTED_VALUE"""),"")</f>
        <v/>
      </c>
      <c r="Z206" s="113" t="str">
        <f>IFERROR(__xludf.DUMMYFUNCTION("""COMPUTED_VALUE"""),"")</f>
        <v/>
      </c>
      <c r="AA206" s="113" t="str">
        <f>IFERROR(__xludf.DUMMYFUNCTION("""COMPUTED_VALUE"""),"")</f>
        <v/>
      </c>
      <c r="AB206" s="71" t="str">
        <f>IFERROR(__xludf.DUMMYFUNCTION("""COMPUTED_VALUE"""),"")</f>
        <v/>
      </c>
    </row>
    <row r="207">
      <c r="A207" s="105">
        <f>IFERROR(__xludf.DUMMYFUNCTION("""COMPUTED_VALUE"""),45964.771505983794)</f>
        <v>45964.77151</v>
      </c>
      <c r="B207" s="71" t="str">
        <f>IFERROR(__xludf.DUMMYFUNCTION("""COMPUTED_VALUE"""),"Maureen Surgot")</f>
        <v>Maureen Surgot</v>
      </c>
      <c r="C207" s="71" t="b">
        <f>IFERROR(__xludf.DUMMYFUNCTION("""COMPUTED_VALUE"""),FALSE)</f>
        <v>0</v>
      </c>
      <c r="D207" s="132">
        <f>IFERROR(__xludf.DUMMYFUNCTION("""COMPUTED_VALUE"""),0.6666666666642413)</f>
        <v>0.6666666667</v>
      </c>
      <c r="E207" s="78">
        <f>IFERROR(__xludf.DUMMYFUNCTION("""COMPUTED_VALUE"""),0.1041666666715173)</f>
        <v>0.1041666667</v>
      </c>
      <c r="F207" s="132">
        <f>IFERROR(__xludf.DUMMYFUNCTION("""COMPUTED_VALUE"""),0.7708333333357587)</f>
        <v>0.7708333333</v>
      </c>
      <c r="G207" s="78">
        <f>IFERROR(__xludf.DUMMYFUNCTION("""COMPUTED_VALUE"""),0.1041666666715173)</f>
        <v>0.1041666667</v>
      </c>
      <c r="H207" s="110">
        <f>IFERROR(__xludf.DUMMYFUNCTION("""COMPUTED_VALUE"""),143.0)</f>
        <v>143</v>
      </c>
      <c r="I207" s="108">
        <f>IFERROR(__xludf.DUMMYFUNCTION("""COMPUTED_VALUE"""),57.19999999733642)</f>
        <v>57.2</v>
      </c>
      <c r="J207" s="71" t="str">
        <f>IFERROR(__xludf.DUMMYFUNCTION("""COMPUTED_VALUE"""),"Dinner")</f>
        <v>Dinner</v>
      </c>
      <c r="K207" s="106">
        <f>IFERROR(__xludf.DUMMYFUNCTION("""COMPUTED_VALUE"""),45964.0)</f>
        <v>45964</v>
      </c>
      <c r="L207" s="71" t="str">
        <f>IFERROR(__xludf.DUMMYFUNCTION("""COMPUTED_VALUE"""),"Monday")</f>
        <v>Monday</v>
      </c>
      <c r="M207" s="71" t="str">
        <f>IFERROR(__xludf.DUMMYFUNCTION("""COMPUTED_VALUE"""),"MF")</f>
        <v>MF</v>
      </c>
      <c r="N207" s="109">
        <f>IFERROR(__xludf.DUMMYFUNCTION("""COMPUTED_VALUE"""),1.1271252080302203)</f>
        <v>1.127125208</v>
      </c>
      <c r="O207" s="71" t="str">
        <f>IFERROR(__xludf.DUMMYFUNCTION("""COMPUTED_VALUE"""),"")</f>
        <v/>
      </c>
      <c r="P207" s="71" t="str">
        <f>IFERROR(__xludf.DUMMYFUNCTION("""COMPUTED_VALUE"""),"")</f>
        <v/>
      </c>
      <c r="Q207" s="78" t="str">
        <f>IFERROR(__xludf.DUMMYFUNCTION("""COMPUTED_VALUE"""),"")</f>
        <v/>
      </c>
      <c r="R207" s="78" t="str">
        <f>IFERROR(__xludf.DUMMYFUNCTION("""COMPUTED_VALUE"""),"")</f>
        <v/>
      </c>
      <c r="S207" s="61" t="str">
        <f>IFERROR(__xludf.DUMMYFUNCTION("""COMPUTED_VALUE"""),"")</f>
        <v/>
      </c>
      <c r="T207" s="61" t="str">
        <f>IFERROR(__xludf.DUMMYFUNCTION("""COMPUTED_VALUE"""),"")</f>
        <v/>
      </c>
      <c r="U207" s="133" t="str">
        <f>IFERROR(__xludf.DUMMYFUNCTION("""COMPUTED_VALUE"""),"")</f>
        <v/>
      </c>
      <c r="V207" s="78" t="str">
        <f>IFERROR(__xludf.DUMMYFUNCTION("""COMPUTED_VALUE"""),"")</f>
        <v/>
      </c>
      <c r="W207" s="62" t="str">
        <f>IFERROR(__xludf.DUMMYFUNCTION("""COMPUTED_VALUE"""),"")</f>
        <v/>
      </c>
      <c r="X207" s="62" t="str">
        <f>IFERROR(__xludf.DUMMYFUNCTION("""COMPUTED_VALUE"""),"")</f>
        <v/>
      </c>
      <c r="Y207" s="109" t="str">
        <f>IFERROR(__xludf.DUMMYFUNCTION("""COMPUTED_VALUE"""),"")</f>
        <v/>
      </c>
      <c r="Z207" s="113" t="str">
        <f>IFERROR(__xludf.DUMMYFUNCTION("""COMPUTED_VALUE"""),"")</f>
        <v/>
      </c>
      <c r="AA207" s="113" t="str">
        <f>IFERROR(__xludf.DUMMYFUNCTION("""COMPUTED_VALUE"""),"")</f>
        <v/>
      </c>
      <c r="AB207" s="71" t="str">
        <f>IFERROR(__xludf.DUMMYFUNCTION("""COMPUTED_VALUE"""),"")</f>
        <v/>
      </c>
    </row>
    <row r="208">
      <c r="A208" s="105">
        <f>IFERROR(__xludf.DUMMYFUNCTION("""COMPUTED_VALUE"""),45964.86508927083)</f>
        <v>45964.86509</v>
      </c>
      <c r="B208" s="71" t="str">
        <f>IFERROR(__xludf.DUMMYFUNCTION("""COMPUTED_VALUE"""),"Kaylie Forgue")</f>
        <v>Kaylie Forgue</v>
      </c>
      <c r="C208" s="71" t="b">
        <f>IFERROR(__xludf.DUMMYFUNCTION("""COMPUTED_VALUE"""),FALSE)</f>
        <v>0</v>
      </c>
      <c r="D208" s="132">
        <f>IFERROR(__xludf.DUMMYFUNCTION("""COMPUTED_VALUE"""),0.6840277777810115)</f>
        <v>0.6840277778</v>
      </c>
      <c r="E208" s="78">
        <f>IFERROR(__xludf.DUMMYFUNCTION("""COMPUTED_VALUE"""),0.17777777777519077)</f>
        <v>0.1777777778</v>
      </c>
      <c r="F208" s="132">
        <f>IFERROR(__xludf.DUMMYFUNCTION("""COMPUTED_VALUE"""),0.8618055555562023)</f>
        <v>0.8618055556</v>
      </c>
      <c r="G208" s="78">
        <f>IFERROR(__xludf.DUMMYFUNCTION("""COMPUTED_VALUE"""),0.17777777777519077)</f>
        <v>0.1777777778</v>
      </c>
      <c r="H208" s="110">
        <f>IFERROR(__xludf.DUMMYFUNCTION("""COMPUTED_VALUE"""),137.0)</f>
        <v>137</v>
      </c>
      <c r="I208" s="108">
        <f>IFERROR(__xludf.DUMMYFUNCTION("""COMPUTED_VALUE"""),32.10937500046725)</f>
        <v>32.109375</v>
      </c>
      <c r="J208" s="71" t="str">
        <f>IFERROR(__xludf.DUMMYFUNCTION("""COMPUTED_VALUE"""),"Dinner")</f>
        <v>Dinner</v>
      </c>
      <c r="K208" s="106">
        <f>IFERROR(__xludf.DUMMYFUNCTION("""COMPUTED_VALUE"""),45964.0)</f>
        <v>45964</v>
      </c>
      <c r="L208" s="71" t="str">
        <f>IFERROR(__xludf.DUMMYFUNCTION("""COMPUTED_VALUE"""),"Monday")</f>
        <v>Monday</v>
      </c>
      <c r="M208" s="71" t="str">
        <f>IFERROR(__xludf.DUMMYFUNCTION("""COMPUTED_VALUE"""),"BF")</f>
        <v>BF</v>
      </c>
      <c r="N208" s="109">
        <f>IFERROR(__xludf.DUMMYFUNCTION("""COMPUTED_VALUE"""),0.7577704902926512)</f>
        <v>0.7577704903</v>
      </c>
      <c r="O208" s="71" t="str">
        <f>IFERROR(__xludf.DUMMYFUNCTION("""COMPUTED_VALUE"""),"")</f>
        <v/>
      </c>
      <c r="P208" s="71" t="str">
        <f>IFERROR(__xludf.DUMMYFUNCTION("""COMPUTED_VALUE"""),"")</f>
        <v/>
      </c>
      <c r="Q208" s="78" t="str">
        <f>IFERROR(__xludf.DUMMYFUNCTION("""COMPUTED_VALUE"""),"")</f>
        <v/>
      </c>
      <c r="R208" s="78" t="str">
        <f>IFERROR(__xludf.DUMMYFUNCTION("""COMPUTED_VALUE"""),"")</f>
        <v/>
      </c>
      <c r="S208" s="61" t="str">
        <f>IFERROR(__xludf.DUMMYFUNCTION("""COMPUTED_VALUE"""),"")</f>
        <v/>
      </c>
      <c r="T208" s="61" t="str">
        <f>IFERROR(__xludf.DUMMYFUNCTION("""COMPUTED_VALUE"""),"")</f>
        <v/>
      </c>
      <c r="U208" s="133" t="str">
        <f>IFERROR(__xludf.DUMMYFUNCTION("""COMPUTED_VALUE"""),"")</f>
        <v/>
      </c>
      <c r="V208" s="78" t="str">
        <f>IFERROR(__xludf.DUMMYFUNCTION("""COMPUTED_VALUE"""),"")</f>
        <v/>
      </c>
      <c r="W208" s="62" t="str">
        <f>IFERROR(__xludf.DUMMYFUNCTION("""COMPUTED_VALUE"""),"")</f>
        <v/>
      </c>
      <c r="X208" s="62" t="str">
        <f>IFERROR(__xludf.DUMMYFUNCTION("""COMPUTED_VALUE"""),"")</f>
        <v/>
      </c>
      <c r="Y208" s="109" t="str">
        <f>IFERROR(__xludf.DUMMYFUNCTION("""COMPUTED_VALUE"""),"")</f>
        <v/>
      </c>
      <c r="Z208" s="113" t="str">
        <f>IFERROR(__xludf.DUMMYFUNCTION("""COMPUTED_VALUE"""),"")</f>
        <v/>
      </c>
      <c r="AA208" s="113" t="str">
        <f>IFERROR(__xludf.DUMMYFUNCTION("""COMPUTED_VALUE"""),"")</f>
        <v/>
      </c>
      <c r="AB208" s="71" t="str">
        <f>IFERROR(__xludf.DUMMYFUNCTION("""COMPUTED_VALUE"""),"")</f>
        <v/>
      </c>
    </row>
    <row r="209">
      <c r="A209" s="105">
        <f>IFERROR(__xludf.DUMMYFUNCTION("""COMPUTED_VALUE"""),45964.87081502315)</f>
        <v>45964.87082</v>
      </c>
      <c r="B209" s="71" t="str">
        <f>IFERROR(__xludf.DUMMYFUNCTION("""COMPUTED_VALUE"""),"Laila Maisuria")</f>
        <v>Laila Maisuria</v>
      </c>
      <c r="C209" s="71" t="b">
        <f>IFERROR(__xludf.DUMMYFUNCTION("""COMPUTED_VALUE"""),FALSE)</f>
        <v>0</v>
      </c>
      <c r="D209" s="132">
        <f>IFERROR(__xludf.DUMMYFUNCTION("""COMPUTED_VALUE"""),0.7701388888890506)</f>
        <v>0.7701388889</v>
      </c>
      <c r="E209" s="78">
        <f>IFERROR(__xludf.DUMMYFUNCTION("""COMPUTED_VALUE"""),0.09930555555539389)</f>
        <v>0.09930555556</v>
      </c>
      <c r="F209" s="132">
        <f>IFERROR(__xludf.DUMMYFUNCTION("""COMPUTED_VALUE"""),0.8694444444444445)</f>
        <v>0.8694444444</v>
      </c>
      <c r="G209" s="78">
        <f>IFERROR(__xludf.DUMMYFUNCTION("""COMPUTED_VALUE"""),0.19861111111078777)</f>
        <v>0.1986111111</v>
      </c>
      <c r="H209" s="110">
        <f>IFERROR(__xludf.DUMMYFUNCTION("""COMPUTED_VALUE"""),21.0)</f>
        <v>21</v>
      </c>
      <c r="I209" s="108">
        <f>IFERROR(__xludf.DUMMYFUNCTION("""COMPUTED_VALUE"""),4.405594405601578)</f>
        <v>4.405594406</v>
      </c>
      <c r="J209" s="71" t="str">
        <f>IFERROR(__xludf.DUMMYFUNCTION("""COMPUTED_VALUE"""),"Dinner")</f>
        <v>Dinner</v>
      </c>
      <c r="K209" s="106">
        <f>IFERROR(__xludf.DUMMYFUNCTION("""COMPUTED_VALUE"""),45964.0)</f>
        <v>45964</v>
      </c>
      <c r="L209" s="71" t="str">
        <f>IFERROR(__xludf.DUMMYFUNCTION("""COMPUTED_VALUE"""),"Monday")</f>
        <v>Monday</v>
      </c>
      <c r="M209" s="71" t="str">
        <f>IFERROR(__xludf.DUMMYFUNCTION("""COMPUTED_VALUE"""),"MF")</f>
        <v>MF</v>
      </c>
      <c r="N209" s="109">
        <f>IFERROR(__xludf.DUMMYFUNCTION("""COMPUTED_VALUE"""),0.08681217676821128)</f>
        <v>0.08681217677</v>
      </c>
      <c r="O209" s="71" t="str">
        <f>IFERROR(__xludf.DUMMYFUNCTION("""COMPUTED_VALUE"""),"")</f>
        <v/>
      </c>
      <c r="P209" s="71" t="str">
        <f>IFERROR(__xludf.DUMMYFUNCTION("""COMPUTED_VALUE"""),"")</f>
        <v/>
      </c>
      <c r="Q209" s="78" t="str">
        <f>IFERROR(__xludf.DUMMYFUNCTION("""COMPUTED_VALUE"""),"")</f>
        <v/>
      </c>
      <c r="R209" s="78" t="str">
        <f>IFERROR(__xludf.DUMMYFUNCTION("""COMPUTED_VALUE"""),"")</f>
        <v/>
      </c>
      <c r="S209" s="61" t="str">
        <f>IFERROR(__xludf.DUMMYFUNCTION("""COMPUTED_VALUE"""),"")</f>
        <v/>
      </c>
      <c r="T209" s="61" t="str">
        <f>IFERROR(__xludf.DUMMYFUNCTION("""COMPUTED_VALUE"""),"")</f>
        <v/>
      </c>
      <c r="U209" s="133" t="str">
        <f>IFERROR(__xludf.DUMMYFUNCTION("""COMPUTED_VALUE"""),"")</f>
        <v/>
      </c>
      <c r="V209" s="78" t="str">
        <f>IFERROR(__xludf.DUMMYFUNCTION("""COMPUTED_VALUE"""),"")</f>
        <v/>
      </c>
      <c r="W209" s="62" t="str">
        <f>IFERROR(__xludf.DUMMYFUNCTION("""COMPUTED_VALUE"""),"")</f>
        <v/>
      </c>
      <c r="X209" s="62" t="str">
        <f>IFERROR(__xludf.DUMMYFUNCTION("""COMPUTED_VALUE"""),"")</f>
        <v/>
      </c>
      <c r="Y209" s="109" t="str">
        <f>IFERROR(__xludf.DUMMYFUNCTION("""COMPUTED_VALUE"""),"")</f>
        <v/>
      </c>
      <c r="Z209" s="113" t="str">
        <f>IFERROR(__xludf.DUMMYFUNCTION("""COMPUTED_VALUE"""),"")</f>
        <v/>
      </c>
      <c r="AA209" s="113" t="str">
        <f>IFERROR(__xludf.DUMMYFUNCTION("""COMPUTED_VALUE"""),"")</f>
        <v/>
      </c>
      <c r="AB209" s="71" t="str">
        <f>IFERROR(__xludf.DUMMYFUNCTION("""COMPUTED_VALUE"""),"")</f>
        <v/>
      </c>
    </row>
    <row r="210">
      <c r="A210" s="105">
        <f>IFERROR(__xludf.DUMMYFUNCTION("""COMPUTED_VALUE"""),45964.87081502315)</f>
        <v>45964.87082</v>
      </c>
      <c r="B210" s="71" t="str">
        <f>IFERROR(__xludf.DUMMYFUNCTION("""COMPUTED_VALUE"""),"Laila Maisuria")</f>
        <v>Laila Maisuria</v>
      </c>
      <c r="C210" s="71" t="b">
        <f>IFERROR(__xludf.DUMMYFUNCTION("""COMPUTED_VALUE"""),TRUE)</f>
        <v>1</v>
      </c>
      <c r="D210" s="132">
        <f>IFERROR(__xludf.DUMMYFUNCTION("""COMPUTED_VALUE"""),0.7701388888890506)</f>
        <v>0.7701388889</v>
      </c>
      <c r="E210" s="78">
        <f>IFERROR(__xludf.DUMMYFUNCTION("""COMPUTED_VALUE"""),0.09930555555539389)</f>
        <v>0.09930555556</v>
      </c>
      <c r="F210" s="132">
        <f>IFERROR(__xludf.DUMMYFUNCTION("""COMPUTED_VALUE"""),0.8694444444444445)</f>
        <v>0.8694444444</v>
      </c>
      <c r="G210" s="78" t="str">
        <f>IFERROR(__xludf.DUMMYFUNCTION("""COMPUTED_VALUE"""),"")</f>
        <v/>
      </c>
      <c r="H210" s="110">
        <f>IFERROR(__xludf.DUMMYFUNCTION("""COMPUTED_VALUE"""),49.0)</f>
        <v>49</v>
      </c>
      <c r="I210" s="108" t="str">
        <f>IFERROR(__xludf.DUMMYFUNCTION("""COMPUTED_VALUE"""),"")</f>
        <v/>
      </c>
      <c r="J210" s="71" t="str">
        <f>IFERROR(__xludf.DUMMYFUNCTION("""COMPUTED_VALUE"""),"Dinner")</f>
        <v>Dinner</v>
      </c>
      <c r="K210" s="106">
        <f>IFERROR(__xludf.DUMMYFUNCTION("""COMPUTED_VALUE"""),45964.0)</f>
        <v>45964</v>
      </c>
      <c r="L210" s="71" t="str">
        <f>IFERROR(__xludf.DUMMYFUNCTION("""COMPUTED_VALUE"""),"Monday")</f>
        <v>Monday</v>
      </c>
      <c r="M210" s="71" t="str">
        <f>IFERROR(__xludf.DUMMYFUNCTION("""COMPUTED_VALUE"""),"MF")</f>
        <v>MF</v>
      </c>
      <c r="N210" s="109" t="str">
        <f>IFERROR(__xludf.DUMMYFUNCTION("""COMPUTED_VALUE"""),"")</f>
        <v/>
      </c>
      <c r="O210" s="71">
        <f>IFERROR(__xludf.DUMMYFUNCTION("""COMPUTED_VALUE"""),428.0)</f>
        <v>428</v>
      </c>
      <c r="P210" s="71">
        <f>IFERROR(__xludf.DUMMYFUNCTION("""COMPUTED_VALUE"""),318.0)</f>
        <v>318</v>
      </c>
      <c r="Q210" s="78">
        <f>IFERROR(__xludf.DUMMYFUNCTION("""COMPUTED_VALUE"""),0.4486111111107878)</f>
        <v>0.4486111111</v>
      </c>
      <c r="R210" s="78">
        <f>IFERROR(__xludf.DUMMYFUNCTION("""COMPUTED_VALUE"""),0.36944444444816327)</f>
        <v>0.3694444444</v>
      </c>
      <c r="S210" s="61">
        <f>IFERROR(__xludf.DUMMYFUNCTION("""COMPUTED_VALUE"""),45.688388397572254)</f>
        <v>45.6883884</v>
      </c>
      <c r="T210" s="61">
        <f>IFERROR(__xludf.DUMMYFUNCTION("""COMPUTED_VALUE"""),40.81182065072222)</f>
        <v>40.81182065</v>
      </c>
      <c r="U210" s="133">
        <f>IFERROR(__xludf.DUMMYFUNCTION("""COMPUTED_VALUE"""),746.0)</f>
        <v>746</v>
      </c>
      <c r="V210" s="78">
        <f>IFERROR(__xludf.DUMMYFUNCTION("""COMPUTED_VALUE"""),0.818055555558951)</f>
        <v>0.8180555556</v>
      </c>
      <c r="W210" s="62">
        <f>IFERROR(__xludf.DUMMYFUNCTION("""COMPUTED_VALUE"""),37.99660441410375)</f>
        <v>37.99660441</v>
      </c>
      <c r="X210" s="62">
        <f>IFERROR(__xludf.DUMMYFUNCTION("""COMPUTED_VALUE"""),43.59843079177938)</f>
        <v>43.59843079</v>
      </c>
      <c r="Y210" s="109">
        <f>IFERROR(__xludf.DUMMYFUNCTION("""COMPUTED_VALUE"""),0.8724820199327875)</f>
        <v>0.8724820199</v>
      </c>
      <c r="Z210" s="113">
        <f>IFERROR(__xludf.DUMMYFUNCTION("""COMPUTED_VALUE"""),3996.0)</f>
        <v>3996</v>
      </c>
      <c r="AA210" s="113">
        <f>IFERROR(__xludf.DUMMYFUNCTION("""COMPUTED_VALUE"""),4003.0)</f>
        <v>4003</v>
      </c>
      <c r="AB210" s="113">
        <f>IFERROR(__xludf.DUMMYFUNCTION("""COMPUTED_VALUE"""),7999.0)</f>
        <v>7999</v>
      </c>
    </row>
    <row r="211">
      <c r="A211" s="105">
        <f>IFERROR(__xludf.DUMMYFUNCTION("""COMPUTED_VALUE"""),45965.3941409375)</f>
        <v>45965.39414</v>
      </c>
      <c r="B211" s="71" t="str">
        <f>IFERROR(__xludf.DUMMYFUNCTION("""COMPUTED_VALUE"""),"Evan Morgan")</f>
        <v>Evan Morgan</v>
      </c>
      <c r="C211" s="71" t="b">
        <f>IFERROR(__xludf.DUMMYFUNCTION("""COMPUTED_VALUE"""),FALSE)</f>
        <v>0</v>
      </c>
      <c r="D211" s="132">
        <f>IFERROR(__xludf.DUMMYFUNCTION("""COMPUTED_VALUE"""),0.29166666666424135)</f>
        <v>0.2916666667</v>
      </c>
      <c r="E211" s="78">
        <f>IFERROR(__xludf.DUMMYFUNCTION("""COMPUTED_VALUE"""),0.1423611111167702)</f>
        <v>0.1423611111</v>
      </c>
      <c r="F211" s="132">
        <f>IFERROR(__xludf.DUMMYFUNCTION("""COMPUTED_VALUE"""),0.43402777778101154)</f>
        <v>0.4340277778</v>
      </c>
      <c r="G211" s="78">
        <f>IFERROR(__xludf.DUMMYFUNCTION("""COMPUTED_VALUE"""),0.1423611111167702)</f>
        <v>0.1423611111</v>
      </c>
      <c r="H211" s="110">
        <f>IFERROR(__xludf.DUMMYFUNCTION("""COMPUTED_VALUE"""),53.0)</f>
        <v>53</v>
      </c>
      <c r="I211" s="108">
        <f>IFERROR(__xludf.DUMMYFUNCTION("""COMPUTED_VALUE"""),15.512195121334585)</f>
        <v>15.51219512</v>
      </c>
      <c r="J211" s="71" t="str">
        <f>IFERROR(__xludf.DUMMYFUNCTION("""COMPUTED_VALUE"""),"Breakfast")</f>
        <v>Breakfast</v>
      </c>
      <c r="K211" s="106">
        <f>IFERROR(__xludf.DUMMYFUNCTION("""COMPUTED_VALUE"""),45965.0)</f>
        <v>45965</v>
      </c>
      <c r="L211" s="71" t="str">
        <f>IFERROR(__xludf.DUMMYFUNCTION("""COMPUTED_VALUE"""),"Tuesday")</f>
        <v>Tuesday</v>
      </c>
      <c r="M211" s="71" t="str">
        <f>IFERROR(__xludf.DUMMYFUNCTION("""COMPUTED_VALUE"""),"BF")</f>
        <v>BF</v>
      </c>
      <c r="N211" s="109">
        <f>IFERROR(__xludf.DUMMYFUNCTION("""COMPUTED_VALUE"""),0.6569596737947266)</f>
        <v>0.6569596738</v>
      </c>
      <c r="O211" s="71" t="str">
        <f>IFERROR(__xludf.DUMMYFUNCTION("""COMPUTED_VALUE"""),"")</f>
        <v/>
      </c>
      <c r="P211" s="71" t="str">
        <f>IFERROR(__xludf.DUMMYFUNCTION("""COMPUTED_VALUE"""),"")</f>
        <v/>
      </c>
      <c r="Q211" s="78" t="str">
        <f>IFERROR(__xludf.DUMMYFUNCTION("""COMPUTED_VALUE"""),"")</f>
        <v/>
      </c>
      <c r="R211" s="78" t="str">
        <f>IFERROR(__xludf.DUMMYFUNCTION("""COMPUTED_VALUE"""),"")</f>
        <v/>
      </c>
      <c r="S211" s="61" t="str">
        <f>IFERROR(__xludf.DUMMYFUNCTION("""COMPUTED_VALUE"""),"")</f>
        <v/>
      </c>
      <c r="T211" s="61" t="str">
        <f>IFERROR(__xludf.DUMMYFUNCTION("""COMPUTED_VALUE"""),"")</f>
        <v/>
      </c>
      <c r="U211" s="133" t="str">
        <f>IFERROR(__xludf.DUMMYFUNCTION("""COMPUTED_VALUE"""),"")</f>
        <v/>
      </c>
      <c r="V211" s="78" t="str">
        <f>IFERROR(__xludf.DUMMYFUNCTION("""COMPUTED_VALUE"""),"")</f>
        <v/>
      </c>
      <c r="W211" s="62" t="str">
        <f>IFERROR(__xludf.DUMMYFUNCTION("""COMPUTED_VALUE"""),"")</f>
        <v/>
      </c>
      <c r="X211" s="62" t="str">
        <f>IFERROR(__xludf.DUMMYFUNCTION("""COMPUTED_VALUE"""),"")</f>
        <v/>
      </c>
      <c r="Y211" s="109" t="str">
        <f>IFERROR(__xludf.DUMMYFUNCTION("""COMPUTED_VALUE"""),"")</f>
        <v/>
      </c>
      <c r="Z211" s="113" t="str">
        <f>IFERROR(__xludf.DUMMYFUNCTION("""COMPUTED_VALUE"""),"")</f>
        <v/>
      </c>
      <c r="AA211" s="113" t="str">
        <f>IFERROR(__xludf.DUMMYFUNCTION("""COMPUTED_VALUE"""),"")</f>
        <v/>
      </c>
      <c r="AB211" s="71" t="str">
        <f>IFERROR(__xludf.DUMMYFUNCTION("""COMPUTED_VALUE"""),"")</f>
        <v/>
      </c>
    </row>
    <row r="212">
      <c r="A212" s="105">
        <f>IFERROR(__xludf.DUMMYFUNCTION("""COMPUTED_VALUE"""),45965.47667403935)</f>
        <v>45965.47667</v>
      </c>
      <c r="B212" s="71" t="str">
        <f>IFERROR(__xludf.DUMMYFUNCTION("""COMPUTED_VALUE"""),"Emmett Khan")</f>
        <v>Emmett Khan</v>
      </c>
      <c r="C212" s="71" t="b">
        <f>IFERROR(__xludf.DUMMYFUNCTION("""COMPUTED_VALUE"""),FALSE)</f>
        <v>0</v>
      </c>
      <c r="D212" s="132">
        <f>IFERROR(__xludf.DUMMYFUNCTION("""COMPUTED_VALUE"""),0.39583333333575865)</f>
        <v>0.3958333333</v>
      </c>
      <c r="E212" s="78">
        <f>IFERROR(__xludf.DUMMYFUNCTION("""COMPUTED_VALUE"""),0.0833333333284827)</f>
        <v>0.08333333333</v>
      </c>
      <c r="F212" s="132">
        <f>IFERROR(__xludf.DUMMYFUNCTION("""COMPUTED_VALUE"""),0.47916666666424135)</f>
        <v>0.4791666667</v>
      </c>
      <c r="G212" s="78">
        <f>IFERROR(__xludf.DUMMYFUNCTION("""COMPUTED_VALUE"""),0.0833333333284827)</f>
        <v>0.08333333333</v>
      </c>
      <c r="H212" s="110">
        <f>IFERROR(__xludf.DUMMYFUNCTION("""COMPUTED_VALUE"""),118.0)</f>
        <v>118</v>
      </c>
      <c r="I212" s="108">
        <f>IFERROR(__xludf.DUMMYFUNCTION("""COMPUTED_VALUE"""),59.00000000343425)</f>
        <v>59</v>
      </c>
      <c r="J212" s="71" t="str">
        <f>IFERROR(__xludf.DUMMYFUNCTION("""COMPUTED_VALUE"""),"Breakfast/Lunch")</f>
        <v>Breakfast/Lunch</v>
      </c>
      <c r="K212" s="106">
        <f>IFERROR(__xludf.DUMMYFUNCTION("""COMPUTED_VALUE"""),45965.0)</f>
        <v>45965</v>
      </c>
      <c r="L212" s="71" t="str">
        <f>IFERROR(__xludf.DUMMYFUNCTION("""COMPUTED_VALUE"""),"Tuesday")</f>
        <v>Tuesday</v>
      </c>
      <c r="M212" s="71" t="str">
        <f>IFERROR(__xludf.DUMMYFUNCTION("""COMPUTED_VALUE"""),"BF")</f>
        <v>BF</v>
      </c>
      <c r="N212" s="109">
        <f>IFERROR(__xludf.DUMMYFUNCTION("""COMPUTED_VALUE"""),1.0361271875502907)</f>
        <v>1.036127188</v>
      </c>
      <c r="O212" s="71" t="str">
        <f>IFERROR(__xludf.DUMMYFUNCTION("""COMPUTED_VALUE"""),"")</f>
        <v/>
      </c>
      <c r="P212" s="71" t="str">
        <f>IFERROR(__xludf.DUMMYFUNCTION("""COMPUTED_VALUE"""),"")</f>
        <v/>
      </c>
      <c r="Q212" s="78" t="str">
        <f>IFERROR(__xludf.DUMMYFUNCTION("""COMPUTED_VALUE"""),"")</f>
        <v/>
      </c>
      <c r="R212" s="78" t="str">
        <f>IFERROR(__xludf.DUMMYFUNCTION("""COMPUTED_VALUE"""),"")</f>
        <v/>
      </c>
      <c r="S212" s="61" t="str">
        <f>IFERROR(__xludf.DUMMYFUNCTION("""COMPUTED_VALUE"""),"")</f>
        <v/>
      </c>
      <c r="T212" s="61" t="str">
        <f>IFERROR(__xludf.DUMMYFUNCTION("""COMPUTED_VALUE"""),"")</f>
        <v/>
      </c>
      <c r="U212" s="133" t="str">
        <f>IFERROR(__xludf.DUMMYFUNCTION("""COMPUTED_VALUE"""),"")</f>
        <v/>
      </c>
      <c r="V212" s="78" t="str">
        <f>IFERROR(__xludf.DUMMYFUNCTION("""COMPUTED_VALUE"""),"")</f>
        <v/>
      </c>
      <c r="W212" s="62" t="str">
        <f>IFERROR(__xludf.DUMMYFUNCTION("""COMPUTED_VALUE"""),"")</f>
        <v/>
      </c>
      <c r="X212" s="62" t="str">
        <f>IFERROR(__xludf.DUMMYFUNCTION("""COMPUTED_VALUE"""),"")</f>
        <v/>
      </c>
      <c r="Y212" s="109" t="str">
        <f>IFERROR(__xludf.DUMMYFUNCTION("""COMPUTED_VALUE"""),"")</f>
        <v/>
      </c>
      <c r="Z212" s="113" t="str">
        <f>IFERROR(__xludf.DUMMYFUNCTION("""COMPUTED_VALUE"""),"")</f>
        <v/>
      </c>
      <c r="AA212" s="113" t="str">
        <f>IFERROR(__xludf.DUMMYFUNCTION("""COMPUTED_VALUE"""),"")</f>
        <v/>
      </c>
      <c r="AB212" s="71" t="str">
        <f>IFERROR(__xludf.DUMMYFUNCTION("""COMPUTED_VALUE"""),"")</f>
        <v/>
      </c>
    </row>
    <row r="213">
      <c r="A213" s="105">
        <f>IFERROR(__xludf.DUMMYFUNCTION("""COMPUTED_VALUE"""),45965.62690416667)</f>
        <v>45965.6269</v>
      </c>
      <c r="B213" s="71" t="str">
        <f>IFERROR(__xludf.DUMMYFUNCTION("""COMPUTED_VALUE"""),"Maureen Surgot")</f>
        <v>Maureen Surgot</v>
      </c>
      <c r="C213" s="71" t="b">
        <f>IFERROR(__xludf.DUMMYFUNCTION("""COMPUTED_VALUE"""),FALSE)</f>
        <v>0</v>
      </c>
      <c r="D213" s="132">
        <f>IFERROR(__xludf.DUMMYFUNCTION("""COMPUTED_VALUE"""),0.47916666666424135)</f>
        <v>0.4791666667</v>
      </c>
      <c r="E213" s="78">
        <f>IFERROR(__xludf.DUMMYFUNCTION("""COMPUTED_VALUE"""),0.14583333333575865)</f>
        <v>0.1458333333</v>
      </c>
      <c r="F213" s="132">
        <f>IFERROR(__xludf.DUMMYFUNCTION("""COMPUTED_VALUE"""),0.625)</f>
        <v>0.625</v>
      </c>
      <c r="G213" s="78">
        <f>IFERROR(__xludf.DUMMYFUNCTION("""COMPUTED_VALUE"""),0.14583333333575865)</f>
        <v>0.1458333333</v>
      </c>
      <c r="H213" s="110">
        <f>IFERROR(__xludf.DUMMYFUNCTION("""COMPUTED_VALUE"""),192.0)</f>
        <v>192</v>
      </c>
      <c r="I213" s="108">
        <f>IFERROR(__xludf.DUMMYFUNCTION("""COMPUTED_VALUE"""),54.85714285623054)</f>
        <v>54.85714286</v>
      </c>
      <c r="J213" s="71" t="str">
        <f>IFERROR(__xludf.DUMMYFUNCTION("""COMPUTED_VALUE"""),"Lunch")</f>
        <v>Lunch</v>
      </c>
      <c r="K213" s="106">
        <f>IFERROR(__xludf.DUMMYFUNCTION("""COMPUTED_VALUE"""),45965.0)</f>
        <v>45965</v>
      </c>
      <c r="L213" s="71" t="str">
        <f>IFERROR(__xludf.DUMMYFUNCTION("""COMPUTED_VALUE"""),"Tuesday")</f>
        <v>Tuesday</v>
      </c>
      <c r="M213" s="71" t="str">
        <f>IFERROR(__xludf.DUMMYFUNCTION("""COMPUTED_VALUE"""),"MF")</f>
        <v>MF</v>
      </c>
      <c r="N213" s="109">
        <f>IFERROR(__xludf.DUMMYFUNCTION("""COMPUTED_VALUE"""),1.140745685828995)</f>
        <v>1.140745686</v>
      </c>
      <c r="O213" s="71" t="str">
        <f>IFERROR(__xludf.DUMMYFUNCTION("""COMPUTED_VALUE"""),"")</f>
        <v/>
      </c>
      <c r="P213" s="71" t="str">
        <f>IFERROR(__xludf.DUMMYFUNCTION("""COMPUTED_VALUE"""),"")</f>
        <v/>
      </c>
      <c r="Q213" s="78" t="str">
        <f>IFERROR(__xludf.DUMMYFUNCTION("""COMPUTED_VALUE"""),"")</f>
        <v/>
      </c>
      <c r="R213" s="78" t="str">
        <f>IFERROR(__xludf.DUMMYFUNCTION("""COMPUTED_VALUE"""),"")</f>
        <v/>
      </c>
      <c r="S213" s="61" t="str">
        <f>IFERROR(__xludf.DUMMYFUNCTION("""COMPUTED_VALUE"""),"")</f>
        <v/>
      </c>
      <c r="T213" s="61" t="str">
        <f>IFERROR(__xludf.DUMMYFUNCTION("""COMPUTED_VALUE"""),"")</f>
        <v/>
      </c>
      <c r="U213" s="133" t="str">
        <f>IFERROR(__xludf.DUMMYFUNCTION("""COMPUTED_VALUE"""),"")</f>
        <v/>
      </c>
      <c r="V213" s="78" t="str">
        <f>IFERROR(__xludf.DUMMYFUNCTION("""COMPUTED_VALUE"""),"")</f>
        <v/>
      </c>
      <c r="W213" s="62" t="str">
        <f>IFERROR(__xludf.DUMMYFUNCTION("""COMPUTED_VALUE"""),"")</f>
        <v/>
      </c>
      <c r="X213" s="62" t="str">
        <f>IFERROR(__xludf.DUMMYFUNCTION("""COMPUTED_VALUE"""),"")</f>
        <v/>
      </c>
      <c r="Y213" s="109" t="str">
        <f>IFERROR(__xludf.DUMMYFUNCTION("""COMPUTED_VALUE"""),"")</f>
        <v/>
      </c>
      <c r="Z213" s="113" t="str">
        <f>IFERROR(__xludf.DUMMYFUNCTION("""COMPUTED_VALUE"""),"")</f>
        <v/>
      </c>
      <c r="AA213" s="113" t="str">
        <f>IFERROR(__xludf.DUMMYFUNCTION("""COMPUTED_VALUE"""),"")</f>
        <v/>
      </c>
      <c r="AB213" s="71" t="str">
        <f>IFERROR(__xludf.DUMMYFUNCTION("""COMPUTED_VALUE"""),"")</f>
        <v/>
      </c>
    </row>
    <row r="214">
      <c r="A214" s="105">
        <f>IFERROR(__xludf.DUMMYFUNCTION("""COMPUTED_VALUE"""),45965.65396491898)</f>
        <v>45965.65396</v>
      </c>
      <c r="B214" s="71" t="str">
        <f>IFERROR(__xludf.DUMMYFUNCTION("""COMPUTED_VALUE"""),"Brynn Hornig")</f>
        <v>Brynn Hornig</v>
      </c>
      <c r="C214" s="71" t="b">
        <f>IFERROR(__xludf.DUMMYFUNCTION("""COMPUTED_VALUE"""),FALSE)</f>
        <v>0</v>
      </c>
      <c r="D214" s="132">
        <f>IFERROR(__xludf.DUMMYFUNCTION("""COMPUTED_VALUE"""),0.5208333333357587)</f>
        <v>0.5208333333</v>
      </c>
      <c r="E214" s="78">
        <f>IFERROR(__xludf.DUMMYFUNCTION("""COMPUTED_VALUE"""),0.13541666666424135)</f>
        <v>0.1354166667</v>
      </c>
      <c r="F214" s="132">
        <f>IFERROR(__xludf.DUMMYFUNCTION("""COMPUTED_VALUE"""),0.65625)</f>
        <v>0.65625</v>
      </c>
      <c r="G214" s="78">
        <f>IFERROR(__xludf.DUMMYFUNCTION("""COMPUTED_VALUE"""),0.13541666666424135)</f>
        <v>0.1354166667</v>
      </c>
      <c r="H214" s="110">
        <f>IFERROR(__xludf.DUMMYFUNCTION("""COMPUTED_VALUE"""),79.0)</f>
        <v>79</v>
      </c>
      <c r="I214" s="108">
        <f>IFERROR(__xludf.DUMMYFUNCTION("""COMPUTED_VALUE"""),24.30769230812766)</f>
        <v>24.30769231</v>
      </c>
      <c r="J214" s="71" t="str">
        <f>IFERROR(__xludf.DUMMYFUNCTION("""COMPUTED_VALUE"""),"Lunch")</f>
        <v>Lunch</v>
      </c>
      <c r="K214" s="106">
        <f>IFERROR(__xludf.DUMMYFUNCTION("""COMPUTED_VALUE"""),45965.0)</f>
        <v>45965</v>
      </c>
      <c r="L214" s="71" t="str">
        <f>IFERROR(__xludf.DUMMYFUNCTION("""COMPUTED_VALUE"""),"Tuesday")</f>
        <v>Tuesday</v>
      </c>
      <c r="M214" s="71" t="str">
        <f>IFERROR(__xludf.DUMMYFUNCTION("""COMPUTED_VALUE"""),"BF")</f>
        <v>BF</v>
      </c>
      <c r="N214" s="109">
        <f>IFERROR(__xludf.DUMMYFUNCTION("""COMPUTED_VALUE"""),0.625991082971021)</f>
        <v>0.625991083</v>
      </c>
      <c r="O214" s="71" t="str">
        <f>IFERROR(__xludf.DUMMYFUNCTION("""COMPUTED_VALUE"""),"")</f>
        <v/>
      </c>
      <c r="P214" s="71" t="str">
        <f>IFERROR(__xludf.DUMMYFUNCTION("""COMPUTED_VALUE"""),"")</f>
        <v/>
      </c>
      <c r="Q214" s="78" t="str">
        <f>IFERROR(__xludf.DUMMYFUNCTION("""COMPUTED_VALUE"""),"")</f>
        <v/>
      </c>
      <c r="R214" s="78" t="str">
        <f>IFERROR(__xludf.DUMMYFUNCTION("""COMPUTED_VALUE"""),"")</f>
        <v/>
      </c>
      <c r="S214" s="61" t="str">
        <f>IFERROR(__xludf.DUMMYFUNCTION("""COMPUTED_VALUE"""),"")</f>
        <v/>
      </c>
      <c r="T214" s="61" t="str">
        <f>IFERROR(__xludf.DUMMYFUNCTION("""COMPUTED_VALUE"""),"")</f>
        <v/>
      </c>
      <c r="U214" s="133" t="str">
        <f>IFERROR(__xludf.DUMMYFUNCTION("""COMPUTED_VALUE"""),"")</f>
        <v/>
      </c>
      <c r="V214" s="78" t="str">
        <f>IFERROR(__xludf.DUMMYFUNCTION("""COMPUTED_VALUE"""),"")</f>
        <v/>
      </c>
      <c r="W214" s="62" t="str">
        <f>IFERROR(__xludf.DUMMYFUNCTION("""COMPUTED_VALUE"""),"")</f>
        <v/>
      </c>
      <c r="X214" s="62" t="str">
        <f>IFERROR(__xludf.DUMMYFUNCTION("""COMPUTED_VALUE"""),"")</f>
        <v/>
      </c>
      <c r="Y214" s="109" t="str">
        <f>IFERROR(__xludf.DUMMYFUNCTION("""COMPUTED_VALUE"""),"")</f>
        <v/>
      </c>
      <c r="Z214" s="113" t="str">
        <f>IFERROR(__xludf.DUMMYFUNCTION("""COMPUTED_VALUE"""),"")</f>
        <v/>
      </c>
      <c r="AA214" s="113" t="str">
        <f>IFERROR(__xludf.DUMMYFUNCTION("""COMPUTED_VALUE"""),"")</f>
        <v/>
      </c>
      <c r="AB214" s="71" t="str">
        <f>IFERROR(__xludf.DUMMYFUNCTION("""COMPUTED_VALUE"""),"")</f>
        <v/>
      </c>
    </row>
    <row r="215">
      <c r="A215" s="105">
        <f>IFERROR(__xludf.DUMMYFUNCTION("""COMPUTED_VALUE"""),45965.76771746528)</f>
        <v>45965.76772</v>
      </c>
      <c r="B215" s="71" t="str">
        <f>IFERROR(__xludf.DUMMYFUNCTION("""COMPUTED_VALUE"""),"Kyra Turner")</f>
        <v>Kyra Turner</v>
      </c>
      <c r="C215" s="71" t="b">
        <f>IFERROR(__xludf.DUMMYFUNCTION("""COMPUTED_VALUE"""),FALSE)</f>
        <v>0</v>
      </c>
      <c r="D215" s="132">
        <f>IFERROR(__xludf.DUMMYFUNCTION("""COMPUTED_VALUE"""),0.6875)</f>
        <v>0.6875</v>
      </c>
      <c r="E215" s="78">
        <f>IFERROR(__xludf.DUMMYFUNCTION("""COMPUTED_VALUE"""),0.07499999999708962)</f>
        <v>0.075</v>
      </c>
      <c r="F215" s="132">
        <f>IFERROR(__xludf.DUMMYFUNCTION("""COMPUTED_VALUE"""),0.7624999999970896)</f>
        <v>0.7625</v>
      </c>
      <c r="G215" s="78">
        <f>IFERROR(__xludf.DUMMYFUNCTION("""COMPUTED_VALUE"""),0.1027777777708252)</f>
        <v>0.1027777778</v>
      </c>
      <c r="H215" s="110">
        <f>IFERROR(__xludf.DUMMYFUNCTION("""COMPUTED_VALUE"""),82.0)</f>
        <v>82</v>
      </c>
      <c r="I215" s="108">
        <f>IFERROR(__xludf.DUMMYFUNCTION("""COMPUTED_VALUE"""),33.24324324549204)</f>
        <v>33.24324325</v>
      </c>
      <c r="J215" s="71" t="str">
        <f>IFERROR(__xludf.DUMMYFUNCTION("""COMPUTED_VALUE"""),"Dinner")</f>
        <v>Dinner</v>
      </c>
      <c r="K215" s="106">
        <f>IFERROR(__xludf.DUMMYFUNCTION("""COMPUTED_VALUE"""),45965.0)</f>
        <v>45965</v>
      </c>
      <c r="L215" s="71" t="str">
        <f>IFERROR(__xludf.DUMMYFUNCTION("""COMPUTED_VALUE"""),"Tuesday")</f>
        <v>Tuesday</v>
      </c>
      <c r="M215" s="71" t="str">
        <f>IFERROR(__xludf.DUMMYFUNCTION("""COMPUTED_VALUE"""),"BF")</f>
        <v>BF</v>
      </c>
      <c r="N215" s="109">
        <f>IFERROR(__xludf.DUMMYFUNCTION("""COMPUTED_VALUE"""),0.7845294009206905)</f>
        <v>0.7845294009</v>
      </c>
      <c r="O215" s="71" t="str">
        <f>IFERROR(__xludf.DUMMYFUNCTION("""COMPUTED_VALUE"""),"")</f>
        <v/>
      </c>
      <c r="P215" s="71" t="str">
        <f>IFERROR(__xludf.DUMMYFUNCTION("""COMPUTED_VALUE"""),"")</f>
        <v/>
      </c>
      <c r="Q215" s="78" t="str">
        <f>IFERROR(__xludf.DUMMYFUNCTION("""COMPUTED_VALUE"""),"")</f>
        <v/>
      </c>
      <c r="R215" s="78" t="str">
        <f>IFERROR(__xludf.DUMMYFUNCTION("""COMPUTED_VALUE"""),"")</f>
        <v/>
      </c>
      <c r="S215" s="61" t="str">
        <f>IFERROR(__xludf.DUMMYFUNCTION("""COMPUTED_VALUE"""),"")</f>
        <v/>
      </c>
      <c r="T215" s="61" t="str">
        <f>IFERROR(__xludf.DUMMYFUNCTION("""COMPUTED_VALUE"""),"")</f>
        <v/>
      </c>
      <c r="U215" s="133" t="str">
        <f>IFERROR(__xludf.DUMMYFUNCTION("""COMPUTED_VALUE"""),"")</f>
        <v/>
      </c>
      <c r="V215" s="78" t="str">
        <f>IFERROR(__xludf.DUMMYFUNCTION("""COMPUTED_VALUE"""),"")</f>
        <v/>
      </c>
      <c r="W215" s="62" t="str">
        <f>IFERROR(__xludf.DUMMYFUNCTION("""COMPUTED_VALUE"""),"")</f>
        <v/>
      </c>
      <c r="X215" s="62" t="str">
        <f>IFERROR(__xludf.DUMMYFUNCTION("""COMPUTED_VALUE"""),"")</f>
        <v/>
      </c>
      <c r="Y215" s="109" t="str">
        <f>IFERROR(__xludf.DUMMYFUNCTION("""COMPUTED_VALUE"""),"")</f>
        <v/>
      </c>
      <c r="Z215" s="113" t="str">
        <f>IFERROR(__xludf.DUMMYFUNCTION("""COMPUTED_VALUE"""),"")</f>
        <v/>
      </c>
      <c r="AA215" s="113" t="str">
        <f>IFERROR(__xludf.DUMMYFUNCTION("""COMPUTED_VALUE"""),"")</f>
        <v/>
      </c>
      <c r="AB215" s="71" t="str">
        <f>IFERROR(__xludf.DUMMYFUNCTION("""COMPUTED_VALUE"""),"")</f>
        <v/>
      </c>
    </row>
    <row r="216">
      <c r="A216" s="105">
        <f>IFERROR(__xludf.DUMMYFUNCTION("""COMPUTED_VALUE"""),45965.791311423614)</f>
        <v>45965.79131</v>
      </c>
      <c r="B216" s="71" t="str">
        <f>IFERROR(__xludf.DUMMYFUNCTION("""COMPUTED_VALUE"""),"Kyra Turner")</f>
        <v>Kyra Turner</v>
      </c>
      <c r="C216" s="71" t="b">
        <f>IFERROR(__xludf.DUMMYFUNCTION("""COMPUTED_VALUE"""),TRUE)</f>
        <v>1</v>
      </c>
      <c r="D216" s="132">
        <f>IFERROR(__xludf.DUMMYFUNCTION("""COMPUTED_VALUE"""),0.7638888888905058)</f>
        <v>0.7638888889</v>
      </c>
      <c r="E216" s="78">
        <f>IFERROR(__xludf.DUMMYFUNCTION("""COMPUTED_VALUE"""),0.02777777777373558)</f>
        <v>0.02777777777</v>
      </c>
      <c r="F216" s="132">
        <f>IFERROR(__xludf.DUMMYFUNCTION("""COMPUTED_VALUE"""),0.7916666666642413)</f>
        <v>0.7916666667</v>
      </c>
      <c r="G216" s="78" t="str">
        <f>IFERROR(__xludf.DUMMYFUNCTION("""COMPUTED_VALUE"""),"")</f>
        <v/>
      </c>
      <c r="H216" s="110">
        <f>IFERROR(__xludf.DUMMYFUNCTION("""COMPUTED_VALUE"""),49.0)</f>
        <v>49</v>
      </c>
      <c r="I216" s="108" t="str">
        <f>IFERROR(__xludf.DUMMYFUNCTION("""COMPUTED_VALUE"""),"")</f>
        <v/>
      </c>
      <c r="J216" s="71" t="str">
        <f>IFERROR(__xludf.DUMMYFUNCTION("""COMPUTED_VALUE"""),"Dinner")</f>
        <v>Dinner</v>
      </c>
      <c r="K216" s="106">
        <f>IFERROR(__xludf.DUMMYFUNCTION("""COMPUTED_VALUE"""),45965.0)</f>
        <v>45965</v>
      </c>
      <c r="L216" s="71" t="str">
        <f>IFERROR(__xludf.DUMMYFUNCTION("""COMPUTED_VALUE"""),"Tuesday")</f>
        <v>Tuesday</v>
      </c>
      <c r="M216" s="71" t="str">
        <f>IFERROR(__xludf.DUMMYFUNCTION("""COMPUTED_VALUE"""),"BF")</f>
        <v>BF</v>
      </c>
      <c r="N216" s="109" t="str">
        <f>IFERROR(__xludf.DUMMYFUNCTION("""COMPUTED_VALUE"""),"")</f>
        <v/>
      </c>
      <c r="O216" s="71" t="str">
        <f>IFERROR(__xludf.DUMMYFUNCTION("""COMPUTED_VALUE"""),"")</f>
        <v/>
      </c>
      <c r="P216" s="71" t="str">
        <f>IFERROR(__xludf.DUMMYFUNCTION("""COMPUTED_VALUE"""),"")</f>
        <v/>
      </c>
      <c r="Q216" s="78" t="str">
        <f>IFERROR(__xludf.DUMMYFUNCTION("""COMPUTED_VALUE"""),"")</f>
        <v/>
      </c>
      <c r="R216" s="78" t="str">
        <f>IFERROR(__xludf.DUMMYFUNCTION("""COMPUTED_VALUE"""),"")</f>
        <v/>
      </c>
      <c r="S216" s="61" t="str">
        <f>IFERROR(__xludf.DUMMYFUNCTION("""COMPUTED_VALUE"""),"")</f>
        <v/>
      </c>
      <c r="T216" s="61" t="str">
        <f>IFERROR(__xludf.DUMMYFUNCTION("""COMPUTED_VALUE"""),"")</f>
        <v/>
      </c>
      <c r="U216" s="133" t="str">
        <f>IFERROR(__xludf.DUMMYFUNCTION("""COMPUTED_VALUE"""),"")</f>
        <v/>
      </c>
      <c r="V216" s="78" t="str">
        <f>IFERROR(__xludf.DUMMYFUNCTION("""COMPUTED_VALUE"""),"")</f>
        <v/>
      </c>
      <c r="W216" s="62" t="str">
        <f>IFERROR(__xludf.DUMMYFUNCTION("""COMPUTED_VALUE"""),"")</f>
        <v/>
      </c>
      <c r="X216" s="62" t="str">
        <f>IFERROR(__xludf.DUMMYFUNCTION("""COMPUTED_VALUE"""),"")</f>
        <v/>
      </c>
      <c r="Y216" s="109" t="str">
        <f>IFERROR(__xludf.DUMMYFUNCTION("""COMPUTED_VALUE"""),"")</f>
        <v/>
      </c>
      <c r="Z216" s="113" t="str">
        <f>IFERROR(__xludf.DUMMYFUNCTION("""COMPUTED_VALUE"""),"")</f>
        <v/>
      </c>
      <c r="AA216" s="113" t="str">
        <f>IFERROR(__xludf.DUMMYFUNCTION("""COMPUTED_VALUE"""),"")</f>
        <v/>
      </c>
      <c r="AB216" s="71" t="str">
        <f>IFERROR(__xludf.DUMMYFUNCTION("""COMPUTED_VALUE"""),"")</f>
        <v/>
      </c>
    </row>
    <row r="217">
      <c r="A217" s="105">
        <f>IFERROR(__xludf.DUMMYFUNCTION("""COMPUTED_VALUE"""),45965.86600618056)</f>
        <v>45965.86601</v>
      </c>
      <c r="B217" s="71" t="str">
        <f>IFERROR(__xludf.DUMMYFUNCTION("""COMPUTED_VALUE"""),"Kaylie Forgue")</f>
        <v>Kaylie Forgue</v>
      </c>
      <c r="C217" s="71" t="b">
        <f>IFERROR(__xludf.DUMMYFUNCTION("""COMPUTED_VALUE"""),FALSE)</f>
        <v>0</v>
      </c>
      <c r="D217" s="132">
        <f>IFERROR(__xludf.DUMMYFUNCTION("""COMPUTED_VALUE"""),0.7881944444452529)</f>
        <v>0.7881944444</v>
      </c>
      <c r="E217" s="78">
        <f>IFERROR(__xludf.DUMMYFUNCTION("""COMPUTED_VALUE"""),0.07361111111094942)</f>
        <v>0.07361111111</v>
      </c>
      <c r="F217" s="132">
        <f>IFERROR(__xludf.DUMMYFUNCTION("""COMPUTED_VALUE"""),0.8618055555562023)</f>
        <v>0.8618055556</v>
      </c>
      <c r="G217" s="78">
        <f>IFERROR(__xludf.DUMMYFUNCTION("""COMPUTED_VALUE"""),0.07361111111094942)</f>
        <v>0.07361111111</v>
      </c>
      <c r="H217" s="110">
        <f>IFERROR(__xludf.DUMMYFUNCTION("""COMPUTED_VALUE"""),63.0)</f>
        <v>63</v>
      </c>
      <c r="I217" s="108">
        <f>IFERROR(__xludf.DUMMYFUNCTION("""COMPUTED_VALUE"""),35.660377358568894)</f>
        <v>35.66037736</v>
      </c>
      <c r="J217" s="71" t="str">
        <f>IFERROR(__xludf.DUMMYFUNCTION("""COMPUTED_VALUE"""),"Dinner")</f>
        <v>Dinner</v>
      </c>
      <c r="K217" s="106">
        <f>IFERROR(__xludf.DUMMYFUNCTION("""COMPUTED_VALUE"""),45965.0)</f>
        <v>45965</v>
      </c>
      <c r="L217" s="71" t="str">
        <f>IFERROR(__xludf.DUMMYFUNCTION("""COMPUTED_VALUE"""),"Tuesday")</f>
        <v>Tuesday</v>
      </c>
      <c r="M217" s="71" t="str">
        <f>IFERROR(__xludf.DUMMYFUNCTION("""COMPUTED_VALUE"""),"BF")</f>
        <v>BF</v>
      </c>
      <c r="N217" s="109">
        <f>IFERROR(__xludf.DUMMYFUNCTION("""COMPUTED_VALUE"""),0.841572956017689)</f>
        <v>0.841572956</v>
      </c>
      <c r="O217" s="71">
        <f>IFERROR(__xludf.DUMMYFUNCTION("""COMPUTED_VALUE"""),192.0)</f>
        <v>192</v>
      </c>
      <c r="P217" s="71">
        <f>IFERROR(__xludf.DUMMYFUNCTION("""COMPUTED_VALUE"""),444.0)</f>
        <v>444</v>
      </c>
      <c r="Q217" s="78">
        <f>IFERROR(__xludf.DUMMYFUNCTION("""COMPUTED_VALUE"""),0.14583333333575865)</f>
        <v>0.1458333333</v>
      </c>
      <c r="R217" s="78">
        <f>IFERROR(__xludf.DUMMYFUNCTION("""COMPUTED_VALUE"""),0.5374999999912689)</f>
        <v>0.5375</v>
      </c>
      <c r="S217" s="61">
        <f>IFERROR(__xludf.DUMMYFUNCTION("""COMPUTED_VALUE"""),54.85714285623054)</f>
        <v>54.85714286</v>
      </c>
      <c r="T217" s="61">
        <f>IFERROR(__xludf.DUMMYFUNCTION("""COMPUTED_VALUE"""),33.54470160739148)</f>
        <v>33.54470161</v>
      </c>
      <c r="U217" s="133">
        <f>IFERROR(__xludf.DUMMYFUNCTION("""COMPUTED_VALUE"""),636.0)</f>
        <v>636</v>
      </c>
      <c r="V217" s="78">
        <f>IFERROR(__xludf.DUMMYFUNCTION("""COMPUTED_VALUE"""),0.6833333333270275)</f>
        <v>0.6833333333</v>
      </c>
      <c r="W217" s="62">
        <f>IFERROR(__xludf.DUMMYFUNCTION("""COMPUTED_VALUE"""),38.780487805235914)</f>
        <v>38.78048781</v>
      </c>
      <c r="X217" s="62">
        <f>IFERROR(__xludf.DUMMYFUNCTION("""COMPUTED_VALUE"""),37.09677514886466)</f>
        <v>37.09677515</v>
      </c>
      <c r="Y217" s="109">
        <f>IFERROR(__xludf.DUMMYFUNCTION("""COMPUTED_VALUE"""),0.7043358275590255)</f>
        <v>0.7043358276</v>
      </c>
      <c r="Z217" s="113">
        <f>IFERROR(__xludf.DUMMYFUNCTION("""COMPUTED_VALUE"""),4436.0)</f>
        <v>4436</v>
      </c>
      <c r="AA217" s="113">
        <f>IFERROR(__xludf.DUMMYFUNCTION("""COMPUTED_VALUE"""),3565.0)</f>
        <v>3565</v>
      </c>
      <c r="AB217" s="113">
        <f>IFERROR(__xludf.DUMMYFUNCTION("""COMPUTED_VALUE"""),8001.0)</f>
        <v>8001</v>
      </c>
    </row>
    <row r="218">
      <c r="A218" s="105">
        <f>IFERROR(__xludf.DUMMYFUNCTION("""COMPUTED_VALUE"""),45966.623965023144)</f>
        <v>45966.62397</v>
      </c>
      <c r="B218" s="71" t="str">
        <f>IFERROR(__xludf.DUMMYFUNCTION("""COMPUTED_VALUE"""),"Sarah Wilme")</f>
        <v>Sarah Wilme</v>
      </c>
      <c r="C218" s="71" t="b">
        <f>IFERROR(__xludf.DUMMYFUNCTION("""COMPUTED_VALUE"""),FALSE)</f>
        <v>0</v>
      </c>
      <c r="D218" s="132">
        <f>IFERROR(__xludf.DUMMYFUNCTION("""COMPUTED_VALUE"""),0.523611111115315)</f>
        <v>0.5236111111</v>
      </c>
      <c r="E218" s="78">
        <f>IFERROR(__xludf.DUMMYFUNCTION("""COMPUTED_VALUE"""),0.09999999999579612)</f>
        <v>0.1</v>
      </c>
      <c r="F218" s="132">
        <f>IFERROR(__xludf.DUMMYFUNCTION("""COMPUTED_VALUE"""),0.6236111111111111)</f>
        <v>0.6236111111</v>
      </c>
      <c r="G218" s="78">
        <f>IFERROR(__xludf.DUMMYFUNCTION("""COMPUTED_VALUE"""),0.09999999999579612)</f>
        <v>0.1</v>
      </c>
      <c r="H218" s="110">
        <f>IFERROR(__xludf.DUMMYFUNCTION("""COMPUTED_VALUE"""),99.0)</f>
        <v>99</v>
      </c>
      <c r="I218" s="108">
        <f>IFERROR(__xludf.DUMMYFUNCTION("""COMPUTED_VALUE"""),41.2500000017341)</f>
        <v>41.25</v>
      </c>
      <c r="J218" s="71" t="str">
        <f>IFERROR(__xludf.DUMMYFUNCTION("""COMPUTED_VALUE"""),"Lunch")</f>
        <v>Lunch</v>
      </c>
      <c r="K218" s="106">
        <f>IFERROR(__xludf.DUMMYFUNCTION("""COMPUTED_VALUE"""),45966.0)</f>
        <v>45966</v>
      </c>
      <c r="L218" s="71" t="str">
        <f>IFERROR(__xludf.DUMMYFUNCTION("""COMPUTED_VALUE"""),"Wednesday")</f>
        <v>Wednesday</v>
      </c>
      <c r="M218" s="71" t="str">
        <f>IFERROR(__xludf.DUMMYFUNCTION("""COMPUTED_VALUE"""),"BF")</f>
        <v>BF</v>
      </c>
      <c r="N218" s="109">
        <f>IFERROR(__xludf.DUMMYFUNCTION("""COMPUTED_VALUE"""),1.0623029058585751)</f>
        <v>1.062302906</v>
      </c>
      <c r="O218" s="71" t="str">
        <f>IFERROR(__xludf.DUMMYFUNCTION("""COMPUTED_VALUE"""),"")</f>
        <v/>
      </c>
      <c r="P218" s="71" t="str">
        <f>IFERROR(__xludf.DUMMYFUNCTION("""COMPUTED_VALUE"""),"")</f>
        <v/>
      </c>
      <c r="Q218" s="78" t="str">
        <f>IFERROR(__xludf.DUMMYFUNCTION("""COMPUTED_VALUE"""),"")</f>
        <v/>
      </c>
      <c r="R218" s="78" t="str">
        <f>IFERROR(__xludf.DUMMYFUNCTION("""COMPUTED_VALUE"""),"")</f>
        <v/>
      </c>
      <c r="S218" s="61" t="str">
        <f>IFERROR(__xludf.DUMMYFUNCTION("""COMPUTED_VALUE"""),"")</f>
        <v/>
      </c>
      <c r="T218" s="61" t="str">
        <f>IFERROR(__xludf.DUMMYFUNCTION("""COMPUTED_VALUE"""),"")</f>
        <v/>
      </c>
      <c r="U218" s="133" t="str">
        <f>IFERROR(__xludf.DUMMYFUNCTION("""COMPUTED_VALUE"""),"")</f>
        <v/>
      </c>
      <c r="V218" s="78" t="str">
        <f>IFERROR(__xludf.DUMMYFUNCTION("""COMPUTED_VALUE"""),"")</f>
        <v/>
      </c>
      <c r="W218" s="62" t="str">
        <f>IFERROR(__xludf.DUMMYFUNCTION("""COMPUTED_VALUE"""),"")</f>
        <v/>
      </c>
      <c r="X218" s="62" t="str">
        <f>IFERROR(__xludf.DUMMYFUNCTION("""COMPUTED_VALUE"""),"")</f>
        <v/>
      </c>
      <c r="Y218" s="109" t="str">
        <f>IFERROR(__xludf.DUMMYFUNCTION("""COMPUTED_VALUE"""),"")</f>
        <v/>
      </c>
      <c r="Z218" s="113" t="str">
        <f>IFERROR(__xludf.DUMMYFUNCTION("""COMPUTED_VALUE"""),"")</f>
        <v/>
      </c>
      <c r="AA218" s="113" t="str">
        <f>IFERROR(__xludf.DUMMYFUNCTION("""COMPUTED_VALUE"""),"")</f>
        <v/>
      </c>
      <c r="AB218" s="71" t="str">
        <f>IFERROR(__xludf.DUMMYFUNCTION("""COMPUTED_VALUE"""),"")</f>
        <v/>
      </c>
    </row>
    <row r="219">
      <c r="A219" s="105">
        <f>IFERROR(__xludf.DUMMYFUNCTION("""COMPUTED_VALUE"""),45966.63157795139)</f>
        <v>45966.63158</v>
      </c>
      <c r="B219" s="71" t="str">
        <f>IFERROR(__xludf.DUMMYFUNCTION("""COMPUTED_VALUE"""),"Greta Traynor")</f>
        <v>Greta Traynor</v>
      </c>
      <c r="C219" s="71" t="b">
        <f>IFERROR(__xludf.DUMMYFUNCTION("""COMPUTED_VALUE"""),FALSE)</f>
        <v>0</v>
      </c>
      <c r="D219" s="132">
        <f>IFERROR(__xludf.DUMMYFUNCTION("""COMPUTED_VALUE"""),0.5645833333328483)</f>
        <v>0.5645833333</v>
      </c>
      <c r="E219" s="78">
        <f>IFERROR(__xludf.DUMMYFUNCTION("""COMPUTED_VALUE"""),0.06666666666569654)</f>
        <v>0.06666666667</v>
      </c>
      <c r="F219" s="132">
        <f>IFERROR(__xludf.DUMMYFUNCTION("""COMPUTED_VALUE"""),0.6312499999985448)</f>
        <v>0.63125</v>
      </c>
      <c r="G219" s="78">
        <f>IFERROR(__xludf.DUMMYFUNCTION("""COMPUTED_VALUE"""),0.06666666666569654)</f>
        <v>0.06666666667</v>
      </c>
      <c r="H219" s="110">
        <f>IFERROR(__xludf.DUMMYFUNCTION("""COMPUTED_VALUE"""),67.0)</f>
        <v>67</v>
      </c>
      <c r="I219" s="108">
        <f>IFERROR(__xludf.DUMMYFUNCTION("""COMPUTED_VALUE"""),41.87500000060936)</f>
        <v>41.875</v>
      </c>
      <c r="J219" s="71" t="str">
        <f>IFERROR(__xludf.DUMMYFUNCTION("""COMPUTED_VALUE"""),"Lunch")</f>
        <v>Lunch</v>
      </c>
      <c r="K219" s="106">
        <f>IFERROR(__xludf.DUMMYFUNCTION("""COMPUTED_VALUE"""),45966.0)</f>
        <v>45966</v>
      </c>
      <c r="L219" s="71" t="str">
        <f>IFERROR(__xludf.DUMMYFUNCTION("""COMPUTED_VALUE"""),"Wednesday")</f>
        <v>Wednesday</v>
      </c>
      <c r="M219" s="71" t="str">
        <f>IFERROR(__xludf.DUMMYFUNCTION("""COMPUTED_VALUE"""),"MF")</f>
        <v>MF</v>
      </c>
      <c r="N219" s="109">
        <f>IFERROR(__xludf.DUMMYFUNCTION("""COMPUTED_VALUE"""),0.8707840603360705)</f>
        <v>0.8707840603</v>
      </c>
      <c r="O219" s="71" t="str">
        <f>IFERROR(__xludf.DUMMYFUNCTION("""COMPUTED_VALUE"""),"")</f>
        <v/>
      </c>
      <c r="P219" s="71" t="str">
        <f>IFERROR(__xludf.DUMMYFUNCTION("""COMPUTED_VALUE"""),"")</f>
        <v/>
      </c>
      <c r="Q219" s="78" t="str">
        <f>IFERROR(__xludf.DUMMYFUNCTION("""COMPUTED_VALUE"""),"")</f>
        <v/>
      </c>
      <c r="R219" s="78" t="str">
        <f>IFERROR(__xludf.DUMMYFUNCTION("""COMPUTED_VALUE"""),"")</f>
        <v/>
      </c>
      <c r="S219" s="61" t="str">
        <f>IFERROR(__xludf.DUMMYFUNCTION("""COMPUTED_VALUE"""),"")</f>
        <v/>
      </c>
      <c r="T219" s="61" t="str">
        <f>IFERROR(__xludf.DUMMYFUNCTION("""COMPUTED_VALUE"""),"")</f>
        <v/>
      </c>
      <c r="U219" s="133" t="str">
        <f>IFERROR(__xludf.DUMMYFUNCTION("""COMPUTED_VALUE"""),"")</f>
        <v/>
      </c>
      <c r="V219" s="78" t="str">
        <f>IFERROR(__xludf.DUMMYFUNCTION("""COMPUTED_VALUE"""),"")</f>
        <v/>
      </c>
      <c r="W219" s="62" t="str">
        <f>IFERROR(__xludf.DUMMYFUNCTION("""COMPUTED_VALUE"""),"")</f>
        <v/>
      </c>
      <c r="X219" s="62" t="str">
        <f>IFERROR(__xludf.DUMMYFUNCTION("""COMPUTED_VALUE"""),"")</f>
        <v/>
      </c>
      <c r="Y219" s="109" t="str">
        <f>IFERROR(__xludf.DUMMYFUNCTION("""COMPUTED_VALUE"""),"")</f>
        <v/>
      </c>
      <c r="Z219" s="113" t="str">
        <f>IFERROR(__xludf.DUMMYFUNCTION("""COMPUTED_VALUE"""),"")</f>
        <v/>
      </c>
      <c r="AA219" s="113" t="str">
        <f>IFERROR(__xludf.DUMMYFUNCTION("""COMPUTED_VALUE"""),"")</f>
        <v/>
      </c>
      <c r="AB219" s="71" t="str">
        <f>IFERROR(__xludf.DUMMYFUNCTION("""COMPUTED_VALUE"""),"")</f>
        <v/>
      </c>
    </row>
    <row r="220">
      <c r="A220" s="105">
        <f>IFERROR(__xludf.DUMMYFUNCTION("""COMPUTED_VALUE"""),45966.708209247685)</f>
        <v>45966.70821</v>
      </c>
      <c r="B220" s="71" t="str">
        <f>IFERROR(__xludf.DUMMYFUNCTION("""COMPUTED_VALUE"""),"Orpheus Wilson")</f>
        <v>Orpheus Wilson</v>
      </c>
      <c r="C220" s="71" t="b">
        <f>IFERROR(__xludf.DUMMYFUNCTION("""COMPUTED_VALUE"""),FALSE)</f>
        <v>0</v>
      </c>
      <c r="D220" s="132">
        <f>IFERROR(__xludf.DUMMYFUNCTION("""COMPUTED_VALUE"""),0.6916666666656965)</f>
        <v>0.6916666667</v>
      </c>
      <c r="E220" s="78">
        <f>IFERROR(__xludf.DUMMYFUNCTION("""COMPUTED_VALUE"""),0.011111111110949423)</f>
        <v>0.01111111111</v>
      </c>
      <c r="F220" s="132">
        <f>IFERROR(__xludf.DUMMYFUNCTION("""COMPUTED_VALUE"""),0.702777777776646)</f>
        <v>0.7027777778</v>
      </c>
      <c r="G220" s="78">
        <f>IFERROR(__xludf.DUMMYFUNCTION("""COMPUTED_VALUE"""),0.04861111111677019)</f>
        <v>0.04861111112</v>
      </c>
      <c r="H220" s="110">
        <f>IFERROR(__xludf.DUMMYFUNCTION("""COMPUTED_VALUE"""),27.0)</f>
        <v>27</v>
      </c>
      <c r="I220" s="108">
        <f>IFERROR(__xludf.DUMMYFUNCTION("""COMPUTED_VALUE"""),23.14285714016296)</f>
        <v>23.14285714</v>
      </c>
      <c r="J220" s="71" t="str">
        <f>IFERROR(__xludf.DUMMYFUNCTION("""COMPUTED_VALUE"""),"Dinner")</f>
        <v>Dinner</v>
      </c>
      <c r="K220" s="106">
        <f>IFERROR(__xludf.DUMMYFUNCTION("""COMPUTED_VALUE"""),45966.0)</f>
        <v>45966</v>
      </c>
      <c r="L220" s="71" t="str">
        <f>IFERROR(__xludf.DUMMYFUNCTION("""COMPUTED_VALUE"""),"Wednesday")</f>
        <v>Wednesday</v>
      </c>
      <c r="M220" s="71" t="str">
        <f>IFERROR(__xludf.DUMMYFUNCTION("""COMPUTED_VALUE"""),"MF")</f>
        <v>MF</v>
      </c>
      <c r="N220" s="109">
        <f>IFERROR(__xludf.DUMMYFUNCTION("""COMPUTED_VALUE"""),0.45602967954081325)</f>
        <v>0.4560296795</v>
      </c>
      <c r="O220" s="71" t="str">
        <f>IFERROR(__xludf.DUMMYFUNCTION("""COMPUTED_VALUE"""),"")</f>
        <v/>
      </c>
      <c r="P220" s="71" t="str">
        <f>IFERROR(__xludf.DUMMYFUNCTION("""COMPUTED_VALUE"""),"")</f>
        <v/>
      </c>
      <c r="Q220" s="78" t="str">
        <f>IFERROR(__xludf.DUMMYFUNCTION("""COMPUTED_VALUE"""),"")</f>
        <v/>
      </c>
      <c r="R220" s="78" t="str">
        <f>IFERROR(__xludf.DUMMYFUNCTION("""COMPUTED_VALUE"""),"")</f>
        <v/>
      </c>
      <c r="S220" s="61" t="str">
        <f>IFERROR(__xludf.DUMMYFUNCTION("""COMPUTED_VALUE"""),"")</f>
        <v/>
      </c>
      <c r="T220" s="61" t="str">
        <f>IFERROR(__xludf.DUMMYFUNCTION("""COMPUTED_VALUE"""),"")</f>
        <v/>
      </c>
      <c r="U220" s="133" t="str">
        <f>IFERROR(__xludf.DUMMYFUNCTION("""COMPUTED_VALUE"""),"")</f>
        <v/>
      </c>
      <c r="V220" s="78" t="str">
        <f>IFERROR(__xludf.DUMMYFUNCTION("""COMPUTED_VALUE"""),"")</f>
        <v/>
      </c>
      <c r="W220" s="62" t="str">
        <f>IFERROR(__xludf.DUMMYFUNCTION("""COMPUTED_VALUE"""),"")</f>
        <v/>
      </c>
      <c r="X220" s="62" t="str">
        <f>IFERROR(__xludf.DUMMYFUNCTION("""COMPUTED_VALUE"""),"")</f>
        <v/>
      </c>
      <c r="Y220" s="109" t="str">
        <f>IFERROR(__xludf.DUMMYFUNCTION("""COMPUTED_VALUE"""),"")</f>
        <v/>
      </c>
      <c r="Z220" s="113" t="str">
        <f>IFERROR(__xludf.DUMMYFUNCTION("""COMPUTED_VALUE"""),"")</f>
        <v/>
      </c>
      <c r="AA220" s="113" t="str">
        <f>IFERROR(__xludf.DUMMYFUNCTION("""COMPUTED_VALUE"""),"")</f>
        <v/>
      </c>
      <c r="AB220" s="71" t="str">
        <f>IFERROR(__xludf.DUMMYFUNCTION("""COMPUTED_VALUE"""),"")</f>
        <v/>
      </c>
    </row>
    <row r="221">
      <c r="A221" s="105">
        <f>IFERROR(__xludf.DUMMYFUNCTION("""COMPUTED_VALUE"""),45966.747607673606)</f>
        <v>45966.74761</v>
      </c>
      <c r="B221" s="71" t="str">
        <f>IFERROR(__xludf.DUMMYFUNCTION("""COMPUTED_VALUE"""),"Orpheus Wilson")</f>
        <v>Orpheus Wilson</v>
      </c>
      <c r="C221" s="71" t="b">
        <f>IFERROR(__xludf.DUMMYFUNCTION("""COMPUTED_VALUE"""),TRUE)</f>
        <v>1</v>
      </c>
      <c r="D221" s="132">
        <f>IFERROR(__xludf.DUMMYFUNCTION("""COMPUTED_VALUE"""),0.7090277777751908)</f>
        <v>0.7090277778</v>
      </c>
      <c r="E221" s="78">
        <f>IFERROR(__xludf.DUMMYFUNCTION("""COMPUTED_VALUE"""),0.037500000005820766)</f>
        <v>0.03750000001</v>
      </c>
      <c r="F221" s="132">
        <f>IFERROR(__xludf.DUMMYFUNCTION("""COMPUTED_VALUE"""),0.7465277777810115)</f>
        <v>0.7465277778</v>
      </c>
      <c r="G221" s="78" t="str">
        <f>IFERROR(__xludf.DUMMYFUNCTION("""COMPUTED_VALUE"""),"")</f>
        <v/>
      </c>
      <c r="H221" s="110">
        <f>IFERROR(__xludf.DUMMYFUNCTION("""COMPUTED_VALUE"""),57.0)</f>
        <v>57</v>
      </c>
      <c r="I221" s="108" t="str">
        <f>IFERROR(__xludf.DUMMYFUNCTION("""COMPUTED_VALUE"""),"")</f>
        <v/>
      </c>
      <c r="J221" s="71" t="str">
        <f>IFERROR(__xludf.DUMMYFUNCTION("""COMPUTED_VALUE"""),"Dinner")</f>
        <v>Dinner</v>
      </c>
      <c r="K221" s="106">
        <f>IFERROR(__xludf.DUMMYFUNCTION("""COMPUTED_VALUE"""),45966.0)</f>
        <v>45966</v>
      </c>
      <c r="L221" s="71" t="str">
        <f>IFERROR(__xludf.DUMMYFUNCTION("""COMPUTED_VALUE"""),"Wednesday")</f>
        <v>Wednesday</v>
      </c>
      <c r="M221" s="71" t="str">
        <f>IFERROR(__xludf.DUMMYFUNCTION("""COMPUTED_VALUE"""),"MF")</f>
        <v>MF</v>
      </c>
      <c r="N221" s="109" t="str">
        <f>IFERROR(__xludf.DUMMYFUNCTION("""COMPUTED_VALUE"""),"")</f>
        <v/>
      </c>
      <c r="O221" s="71" t="str">
        <f>IFERROR(__xludf.DUMMYFUNCTION("""COMPUTED_VALUE"""),"")</f>
        <v/>
      </c>
      <c r="P221" s="71" t="str">
        <f>IFERROR(__xludf.DUMMYFUNCTION("""COMPUTED_VALUE"""),"")</f>
        <v/>
      </c>
      <c r="Q221" s="78" t="str">
        <f>IFERROR(__xludf.DUMMYFUNCTION("""COMPUTED_VALUE"""),"")</f>
        <v/>
      </c>
      <c r="R221" s="78" t="str">
        <f>IFERROR(__xludf.DUMMYFUNCTION("""COMPUTED_VALUE"""),"")</f>
        <v/>
      </c>
      <c r="S221" s="61" t="str">
        <f>IFERROR(__xludf.DUMMYFUNCTION("""COMPUTED_VALUE"""),"")</f>
        <v/>
      </c>
      <c r="T221" s="61" t="str">
        <f>IFERROR(__xludf.DUMMYFUNCTION("""COMPUTED_VALUE"""),"")</f>
        <v/>
      </c>
      <c r="U221" s="133" t="str">
        <f>IFERROR(__xludf.DUMMYFUNCTION("""COMPUTED_VALUE"""),"")</f>
        <v/>
      </c>
      <c r="V221" s="78" t="str">
        <f>IFERROR(__xludf.DUMMYFUNCTION("""COMPUTED_VALUE"""),"")</f>
        <v/>
      </c>
      <c r="W221" s="62" t="str">
        <f>IFERROR(__xludf.DUMMYFUNCTION("""COMPUTED_VALUE"""),"")</f>
        <v/>
      </c>
      <c r="X221" s="62" t="str">
        <f>IFERROR(__xludf.DUMMYFUNCTION("""COMPUTED_VALUE"""),"")</f>
        <v/>
      </c>
      <c r="Y221" s="109" t="str">
        <f>IFERROR(__xludf.DUMMYFUNCTION("""COMPUTED_VALUE"""),"")</f>
        <v/>
      </c>
      <c r="Z221" s="113" t="str">
        <f>IFERROR(__xludf.DUMMYFUNCTION("""COMPUTED_VALUE"""),"")</f>
        <v/>
      </c>
      <c r="AA221" s="113" t="str">
        <f>IFERROR(__xludf.DUMMYFUNCTION("""COMPUTED_VALUE"""),"")</f>
        <v/>
      </c>
      <c r="AB221" s="71" t="str">
        <f>IFERROR(__xludf.DUMMYFUNCTION("""COMPUTED_VALUE"""),"")</f>
        <v/>
      </c>
    </row>
    <row r="222">
      <c r="A222" s="105">
        <f>IFERROR(__xludf.DUMMYFUNCTION("""COMPUTED_VALUE"""),45966.87402778935)</f>
        <v>45966.87403</v>
      </c>
      <c r="B222" s="71" t="str">
        <f>IFERROR(__xludf.DUMMYFUNCTION("""COMPUTED_VALUE"""),"Kaylie Forgue")</f>
        <v>Kaylie Forgue</v>
      </c>
      <c r="C222" s="71" t="b">
        <f>IFERROR(__xludf.DUMMYFUNCTION("""COMPUTED_VALUE"""),FALSE)</f>
        <v>0</v>
      </c>
      <c r="D222" s="132">
        <f>IFERROR(__xludf.DUMMYFUNCTION("""COMPUTED_VALUE"""),0.7465277777810115)</f>
        <v>0.7465277778</v>
      </c>
      <c r="E222" s="78">
        <f>IFERROR(__xludf.DUMMYFUNCTION("""COMPUTED_VALUE"""),0.11944444444088731)</f>
        <v>0.1194444444</v>
      </c>
      <c r="F222" s="132">
        <f>IFERROR(__xludf.DUMMYFUNCTION("""COMPUTED_VALUE"""),0.8659722222218988)</f>
        <v>0.8659722222</v>
      </c>
      <c r="G222" s="78">
        <f>IFERROR(__xludf.DUMMYFUNCTION("""COMPUTED_VALUE"""),0.11944444444088731)</f>
        <v>0.1194444444</v>
      </c>
      <c r="H222" s="110">
        <f>IFERROR(__xludf.DUMMYFUNCTION("""COMPUTED_VALUE"""),178.0)</f>
        <v>178</v>
      </c>
      <c r="I222" s="108">
        <f>IFERROR(__xludf.DUMMYFUNCTION("""COMPUTED_VALUE"""),62.09302325766313)</f>
        <v>62.09302326</v>
      </c>
      <c r="J222" s="71" t="str">
        <f>IFERROR(__xludf.DUMMYFUNCTION("""COMPUTED_VALUE"""),"Dinner")</f>
        <v>Dinner</v>
      </c>
      <c r="K222" s="106">
        <f>IFERROR(__xludf.DUMMYFUNCTION("""COMPUTED_VALUE"""),45966.0)</f>
        <v>45966</v>
      </c>
      <c r="L222" s="71" t="str">
        <f>IFERROR(__xludf.DUMMYFUNCTION("""COMPUTED_VALUE"""),"Wednesday")</f>
        <v>Wednesday</v>
      </c>
      <c r="M222" s="71" t="str">
        <f>IFERROR(__xludf.DUMMYFUNCTION("""COMPUTED_VALUE"""),"MF")</f>
        <v>MF</v>
      </c>
      <c r="N222" s="109">
        <f>IFERROR(__xludf.DUMMYFUNCTION("""COMPUTED_VALUE"""),1.2235421636324801)</f>
        <v>1.223542164</v>
      </c>
      <c r="O222" s="71">
        <f>IFERROR(__xludf.DUMMYFUNCTION("""COMPUTED_VALUE"""),329.0)</f>
        <v>329</v>
      </c>
      <c r="P222" s="71">
        <f>IFERROR(__xludf.DUMMYFUNCTION("""COMPUTED_VALUE"""),99.0)</f>
        <v>99</v>
      </c>
      <c r="Q222" s="78">
        <f>IFERROR(__xludf.DUMMYFUNCTION("""COMPUTED_VALUE"""),0.23472222222335404)</f>
        <v>0.2347222222</v>
      </c>
      <c r="R222" s="78">
        <f>IFERROR(__xludf.DUMMYFUNCTION("""COMPUTED_VALUE"""),0.09999999999579612)</f>
        <v>0.1</v>
      </c>
      <c r="S222" s="61">
        <f>IFERROR(__xludf.DUMMYFUNCTION("""COMPUTED_VALUE"""),42.37029346614515)</f>
        <v>42.37029347</v>
      </c>
      <c r="T222" s="61">
        <f>IFERROR(__xludf.DUMMYFUNCTION("""COMPUTED_VALUE"""),41.2500000017341)</f>
        <v>41.25</v>
      </c>
      <c r="U222" s="133">
        <f>IFERROR(__xludf.DUMMYFUNCTION("""COMPUTED_VALUE"""),428.0)</f>
        <v>428</v>
      </c>
      <c r="V222" s="78">
        <f>IFERROR(__xludf.DUMMYFUNCTION("""COMPUTED_VALUE"""),0.33472222221915016)</f>
        <v>0.3347222222</v>
      </c>
      <c r="W222" s="62">
        <f>IFERROR(__xludf.DUMMYFUNCTION("""COMPUTED_VALUE"""),53.27800829924417)</f>
        <v>53.2780083</v>
      </c>
      <c r="X222" s="62">
        <f>IFERROR(__xludf.DUMMYFUNCTION("""COMPUTED_VALUE"""),42.09022010004239)</f>
        <v>42.0902201</v>
      </c>
      <c r="Y222" s="109">
        <f>IFERROR(__xludf.DUMMYFUNCTION("""COMPUTED_VALUE"""),0.7342337205405649)</f>
        <v>0.7342337205</v>
      </c>
      <c r="Z222" s="113">
        <f>IFERROR(__xludf.DUMMYFUNCTION("""COMPUTED_VALUE"""),4562.0)</f>
        <v>4562</v>
      </c>
      <c r="AA222" s="113">
        <f>IFERROR(__xludf.DUMMYFUNCTION("""COMPUTED_VALUE"""),3564.0)</f>
        <v>3564</v>
      </c>
      <c r="AB222" s="113">
        <f>IFERROR(__xludf.DUMMYFUNCTION("""COMPUTED_VALUE"""),8126.0)</f>
        <v>8126</v>
      </c>
    </row>
    <row r="223">
      <c r="A223" s="105">
        <f>IFERROR(__xludf.DUMMYFUNCTION("""COMPUTED_VALUE"""),45967.55860017361)</f>
        <v>45967.5586</v>
      </c>
      <c r="B223" s="71" t="str">
        <f>IFERROR(__xludf.DUMMYFUNCTION("""COMPUTED_VALUE"""),"Maureen Surgot")</f>
        <v>Maureen Surgot</v>
      </c>
      <c r="C223" s="71" t="b">
        <f>IFERROR(__xludf.DUMMYFUNCTION("""COMPUTED_VALUE"""),FALSE)</f>
        <v>0</v>
      </c>
      <c r="D223" s="132">
        <f>IFERROR(__xludf.DUMMYFUNCTION("""COMPUTED_VALUE"""),0.47916666666424135)</f>
        <v>0.4791666667</v>
      </c>
      <c r="E223" s="78">
        <f>IFERROR(__xludf.DUMMYFUNCTION("""COMPUTED_VALUE"""),0.08333333333575865)</f>
        <v>0.08333333334</v>
      </c>
      <c r="F223" s="132">
        <f>IFERROR(__xludf.DUMMYFUNCTION("""COMPUTED_VALUE"""),0.5625)</f>
        <v>0.5625</v>
      </c>
      <c r="G223" s="78">
        <f>IFERROR(__xludf.DUMMYFUNCTION("""COMPUTED_VALUE"""),0.08333333333575865)</f>
        <v>0.08333333334</v>
      </c>
      <c r="H223" s="110">
        <f>IFERROR(__xludf.DUMMYFUNCTION("""COMPUTED_VALUE"""),92.0)</f>
        <v>92</v>
      </c>
      <c r="I223" s="108">
        <f>IFERROR(__xludf.DUMMYFUNCTION("""COMPUTED_VALUE"""),45.999999998661224)</f>
        <v>46</v>
      </c>
      <c r="J223" s="71" t="str">
        <f>IFERROR(__xludf.DUMMYFUNCTION("""COMPUTED_VALUE"""),"Lunch")</f>
        <v>Lunch</v>
      </c>
      <c r="K223" s="106">
        <f>IFERROR(__xludf.DUMMYFUNCTION("""COMPUTED_VALUE"""),45967.0)</f>
        <v>45967</v>
      </c>
      <c r="L223" s="71" t="str">
        <f>IFERROR(__xludf.DUMMYFUNCTION("""COMPUTED_VALUE"""),"Thursday")</f>
        <v>Thursday</v>
      </c>
      <c r="M223" s="71" t="str">
        <f>IFERROR(__xludf.DUMMYFUNCTION("""COMPUTED_VALUE"""),"MF")</f>
        <v>MF</v>
      </c>
      <c r="N223" s="109">
        <f>IFERROR(__xludf.DUMMYFUNCTION("""COMPUTED_VALUE"""),0.9565627886259239)</f>
        <v>0.9565627886</v>
      </c>
      <c r="O223" s="71" t="str">
        <f>IFERROR(__xludf.DUMMYFUNCTION("""COMPUTED_VALUE"""),"")</f>
        <v/>
      </c>
      <c r="P223" s="71" t="str">
        <f>IFERROR(__xludf.DUMMYFUNCTION("""COMPUTED_VALUE"""),"")</f>
        <v/>
      </c>
      <c r="Q223" s="78" t="str">
        <f>IFERROR(__xludf.DUMMYFUNCTION("""COMPUTED_VALUE"""),"")</f>
        <v/>
      </c>
      <c r="R223" s="78" t="str">
        <f>IFERROR(__xludf.DUMMYFUNCTION("""COMPUTED_VALUE"""),"")</f>
        <v/>
      </c>
      <c r="S223" s="61" t="str">
        <f>IFERROR(__xludf.DUMMYFUNCTION("""COMPUTED_VALUE"""),"")</f>
        <v/>
      </c>
      <c r="T223" s="61" t="str">
        <f>IFERROR(__xludf.DUMMYFUNCTION("""COMPUTED_VALUE"""),"")</f>
        <v/>
      </c>
      <c r="U223" s="133" t="str">
        <f>IFERROR(__xludf.DUMMYFUNCTION("""COMPUTED_VALUE"""),"")</f>
        <v/>
      </c>
      <c r="V223" s="78" t="str">
        <f>IFERROR(__xludf.DUMMYFUNCTION("""COMPUTED_VALUE"""),"")</f>
        <v/>
      </c>
      <c r="W223" s="62" t="str">
        <f>IFERROR(__xludf.DUMMYFUNCTION("""COMPUTED_VALUE"""),"")</f>
        <v/>
      </c>
      <c r="X223" s="62" t="str">
        <f>IFERROR(__xludf.DUMMYFUNCTION("""COMPUTED_VALUE"""),"")</f>
        <v/>
      </c>
      <c r="Y223" s="109" t="str">
        <f>IFERROR(__xludf.DUMMYFUNCTION("""COMPUTED_VALUE"""),"")</f>
        <v/>
      </c>
      <c r="Z223" s="113" t="str">
        <f>IFERROR(__xludf.DUMMYFUNCTION("""COMPUTED_VALUE"""),"")</f>
        <v/>
      </c>
      <c r="AA223" s="113" t="str">
        <f>IFERROR(__xludf.DUMMYFUNCTION("""COMPUTED_VALUE"""),"")</f>
        <v/>
      </c>
      <c r="AB223" s="71" t="str">
        <f>IFERROR(__xludf.DUMMYFUNCTION("""COMPUTED_VALUE"""),"")</f>
        <v/>
      </c>
    </row>
    <row r="224">
      <c r="A224" s="105">
        <f>IFERROR(__xludf.DUMMYFUNCTION("""COMPUTED_VALUE"""),45967.57163229167)</f>
        <v>45967.57163</v>
      </c>
      <c r="B224" s="71" t="str">
        <f>IFERROR(__xludf.DUMMYFUNCTION("""COMPUTED_VALUE"""),"Greta Traynor")</f>
        <v>Greta Traynor</v>
      </c>
      <c r="C224" s="71" t="b">
        <f>IFERROR(__xludf.DUMMYFUNCTION("""COMPUTED_VALUE"""),FALSE)</f>
        <v>0</v>
      </c>
      <c r="D224" s="132">
        <f>IFERROR(__xludf.DUMMYFUNCTION("""COMPUTED_VALUE"""),0.5201388888890506)</f>
        <v>0.5201388889</v>
      </c>
      <c r="E224" s="78">
        <f>IFERROR(__xludf.DUMMYFUNCTION("""COMPUTED_VALUE"""),0.05138888888905058)</f>
        <v>0.05138888889</v>
      </c>
      <c r="F224" s="132">
        <f>IFERROR(__xludf.DUMMYFUNCTION("""COMPUTED_VALUE"""),0.5715277777781012)</f>
        <v>0.5715277778</v>
      </c>
      <c r="G224" s="78">
        <f>IFERROR(__xludf.DUMMYFUNCTION("""COMPUTED_VALUE"""),0.05138888888905058)</f>
        <v>0.05138888889</v>
      </c>
      <c r="H224" s="110">
        <f>IFERROR(__xludf.DUMMYFUNCTION("""COMPUTED_VALUE"""),60.0)</f>
        <v>60</v>
      </c>
      <c r="I224" s="108">
        <f>IFERROR(__xludf.DUMMYFUNCTION("""COMPUTED_VALUE"""),48.64864864849558)</f>
        <v>48.64864865</v>
      </c>
      <c r="J224" s="71" t="str">
        <f>IFERROR(__xludf.DUMMYFUNCTION("""COMPUTED_VALUE"""),"Lunch")</f>
        <v>Lunch</v>
      </c>
      <c r="K224" s="106">
        <f>IFERROR(__xludf.DUMMYFUNCTION("""COMPUTED_VALUE"""),45967.0)</f>
        <v>45967</v>
      </c>
      <c r="L224" s="71" t="str">
        <f>IFERROR(__xludf.DUMMYFUNCTION("""COMPUTED_VALUE"""),"Thursday")</f>
        <v>Thursday</v>
      </c>
      <c r="M224" s="71" t="str">
        <f>IFERROR(__xludf.DUMMYFUNCTION("""COMPUTED_VALUE"""),"BF")</f>
        <v>BF</v>
      </c>
      <c r="N224" s="109">
        <f>IFERROR(__xludf.DUMMYFUNCTION("""COMPUTED_VALUE"""),1.2528388078355672)</f>
        <v>1.252838808</v>
      </c>
      <c r="O224" s="71" t="str">
        <f>IFERROR(__xludf.DUMMYFUNCTION("""COMPUTED_VALUE"""),"")</f>
        <v/>
      </c>
      <c r="P224" s="71" t="str">
        <f>IFERROR(__xludf.DUMMYFUNCTION("""COMPUTED_VALUE"""),"")</f>
        <v/>
      </c>
      <c r="Q224" s="78" t="str">
        <f>IFERROR(__xludf.DUMMYFUNCTION("""COMPUTED_VALUE"""),"")</f>
        <v/>
      </c>
      <c r="R224" s="78" t="str">
        <f>IFERROR(__xludf.DUMMYFUNCTION("""COMPUTED_VALUE"""),"")</f>
        <v/>
      </c>
      <c r="S224" s="61" t="str">
        <f>IFERROR(__xludf.DUMMYFUNCTION("""COMPUTED_VALUE"""),"")</f>
        <v/>
      </c>
      <c r="T224" s="61" t="str">
        <f>IFERROR(__xludf.DUMMYFUNCTION("""COMPUTED_VALUE"""),"")</f>
        <v/>
      </c>
      <c r="U224" s="133" t="str">
        <f>IFERROR(__xludf.DUMMYFUNCTION("""COMPUTED_VALUE"""),"")</f>
        <v/>
      </c>
      <c r="V224" s="78" t="str">
        <f>IFERROR(__xludf.DUMMYFUNCTION("""COMPUTED_VALUE"""),"")</f>
        <v/>
      </c>
      <c r="W224" s="62" t="str">
        <f>IFERROR(__xludf.DUMMYFUNCTION("""COMPUTED_VALUE"""),"")</f>
        <v/>
      </c>
      <c r="X224" s="62" t="str">
        <f>IFERROR(__xludf.DUMMYFUNCTION("""COMPUTED_VALUE"""),"")</f>
        <v/>
      </c>
      <c r="Y224" s="109" t="str">
        <f>IFERROR(__xludf.DUMMYFUNCTION("""COMPUTED_VALUE"""),"")</f>
        <v/>
      </c>
      <c r="Z224" s="113" t="str">
        <f>IFERROR(__xludf.DUMMYFUNCTION("""COMPUTED_VALUE"""),"")</f>
        <v/>
      </c>
      <c r="AA224" s="113" t="str">
        <f>IFERROR(__xludf.DUMMYFUNCTION("""COMPUTED_VALUE"""),"")</f>
        <v/>
      </c>
      <c r="AB224" s="71" t="str">
        <f>IFERROR(__xludf.DUMMYFUNCTION("""COMPUTED_VALUE"""),"")</f>
        <v/>
      </c>
    </row>
    <row r="225">
      <c r="A225" s="105">
        <f>IFERROR(__xludf.DUMMYFUNCTION("""COMPUTED_VALUE"""),45967.63191671296)</f>
        <v>45967.63192</v>
      </c>
      <c r="B225" s="71" t="str">
        <f>IFERROR(__xludf.DUMMYFUNCTION("""COMPUTED_VALUE"""),"Brynn Hornig")</f>
        <v>Brynn Hornig</v>
      </c>
      <c r="C225" s="71" t="b">
        <f>IFERROR(__xludf.DUMMYFUNCTION("""COMPUTED_VALUE"""),FALSE)</f>
        <v>0</v>
      </c>
      <c r="D225" s="132">
        <f>IFERROR(__xludf.DUMMYFUNCTION("""COMPUTED_VALUE"""),0.5625)</f>
        <v>0.5625</v>
      </c>
      <c r="E225" s="78">
        <f>IFERROR(__xludf.DUMMYFUNCTION("""COMPUTED_VALUE"""),0.07291666666424135)</f>
        <v>0.07291666666</v>
      </c>
      <c r="F225" s="132">
        <f>IFERROR(__xludf.DUMMYFUNCTION("""COMPUTED_VALUE"""),0.6354166666642413)</f>
        <v>0.6354166667</v>
      </c>
      <c r="G225" s="78">
        <f>IFERROR(__xludf.DUMMYFUNCTION("""COMPUTED_VALUE"""),0.07291666666424135)</f>
        <v>0.07291666666</v>
      </c>
      <c r="H225" s="110">
        <f>IFERROR(__xludf.DUMMYFUNCTION("""COMPUTED_VALUE"""),56.0)</f>
        <v>56</v>
      </c>
      <c r="I225" s="108">
        <f>IFERROR(__xludf.DUMMYFUNCTION("""COMPUTED_VALUE"""),32.00000000106437)</f>
        <v>32</v>
      </c>
      <c r="J225" s="71" t="str">
        <f>IFERROR(__xludf.DUMMYFUNCTION("""COMPUTED_VALUE"""),"Lunch")</f>
        <v>Lunch</v>
      </c>
      <c r="K225" s="106">
        <f>IFERROR(__xludf.DUMMYFUNCTION("""COMPUTED_VALUE"""),45967.0)</f>
        <v>45967</v>
      </c>
      <c r="L225" s="71" t="str">
        <f>IFERROR(__xludf.DUMMYFUNCTION("""COMPUTED_VALUE"""),"Thursday")</f>
        <v>Thursday</v>
      </c>
      <c r="M225" s="71" t="str">
        <f>IFERROR(__xludf.DUMMYFUNCTION("""COMPUTED_VALUE"""),"MF")</f>
        <v>MF</v>
      </c>
      <c r="N225" s="109">
        <f>IFERROR(__xludf.DUMMYFUNCTION("""COMPUTED_VALUE"""),0.6654349834334472)</f>
        <v>0.6654349834</v>
      </c>
      <c r="O225" s="71" t="str">
        <f>IFERROR(__xludf.DUMMYFUNCTION("""COMPUTED_VALUE"""),"")</f>
        <v/>
      </c>
      <c r="P225" s="71" t="str">
        <f>IFERROR(__xludf.DUMMYFUNCTION("""COMPUTED_VALUE"""),"")</f>
        <v/>
      </c>
      <c r="Q225" s="78" t="str">
        <f>IFERROR(__xludf.DUMMYFUNCTION("""COMPUTED_VALUE"""),"")</f>
        <v/>
      </c>
      <c r="R225" s="78" t="str">
        <f>IFERROR(__xludf.DUMMYFUNCTION("""COMPUTED_VALUE"""),"")</f>
        <v/>
      </c>
      <c r="S225" s="61" t="str">
        <f>IFERROR(__xludf.DUMMYFUNCTION("""COMPUTED_VALUE"""),"")</f>
        <v/>
      </c>
      <c r="T225" s="61" t="str">
        <f>IFERROR(__xludf.DUMMYFUNCTION("""COMPUTED_VALUE"""),"")</f>
        <v/>
      </c>
      <c r="U225" s="133" t="str">
        <f>IFERROR(__xludf.DUMMYFUNCTION("""COMPUTED_VALUE"""),"")</f>
        <v/>
      </c>
      <c r="V225" s="78" t="str">
        <f>IFERROR(__xludf.DUMMYFUNCTION("""COMPUTED_VALUE"""),"")</f>
        <v/>
      </c>
      <c r="W225" s="62" t="str">
        <f>IFERROR(__xludf.DUMMYFUNCTION("""COMPUTED_VALUE"""),"")</f>
        <v/>
      </c>
      <c r="X225" s="62" t="str">
        <f>IFERROR(__xludf.DUMMYFUNCTION("""COMPUTED_VALUE"""),"")</f>
        <v/>
      </c>
      <c r="Y225" s="109" t="str">
        <f>IFERROR(__xludf.DUMMYFUNCTION("""COMPUTED_VALUE"""),"")</f>
        <v/>
      </c>
      <c r="Z225" s="113" t="str">
        <f>IFERROR(__xludf.DUMMYFUNCTION("""COMPUTED_VALUE"""),"")</f>
        <v/>
      </c>
      <c r="AA225" s="113" t="str">
        <f>IFERROR(__xludf.DUMMYFUNCTION("""COMPUTED_VALUE"""),"")</f>
        <v/>
      </c>
      <c r="AB225" s="71" t="str">
        <f>IFERROR(__xludf.DUMMYFUNCTION("""COMPUTED_VALUE"""),"")</f>
        <v/>
      </c>
    </row>
    <row r="226">
      <c r="A226" s="105">
        <f>IFERROR(__xludf.DUMMYFUNCTION("""COMPUTED_VALUE"""),45967.652683252316)</f>
        <v>45967.65268</v>
      </c>
      <c r="B226" s="71" t="str">
        <f>IFERROR(__xludf.DUMMYFUNCTION("""COMPUTED_VALUE"""),"Emmett Khan")</f>
        <v>Emmett Khan</v>
      </c>
      <c r="C226" s="71" t="b">
        <f>IFERROR(__xludf.DUMMYFUNCTION("""COMPUTED_VALUE"""),FALSE)</f>
        <v>0</v>
      </c>
      <c r="D226" s="132">
        <f>IFERROR(__xludf.DUMMYFUNCTION("""COMPUTED_VALUE"""),0.5833333333357587)</f>
        <v>0.5833333333</v>
      </c>
      <c r="E226" s="78">
        <f>IFERROR(__xludf.DUMMYFUNCTION("""COMPUTED_VALUE"""),0.07291666666424135)</f>
        <v>0.07291666666</v>
      </c>
      <c r="F226" s="132">
        <f>IFERROR(__xludf.DUMMYFUNCTION("""COMPUTED_VALUE"""),0.65625)</f>
        <v>0.65625</v>
      </c>
      <c r="G226" s="78">
        <f>IFERROR(__xludf.DUMMYFUNCTION("""COMPUTED_VALUE"""),0.07291666666424135)</f>
        <v>0.07291666666</v>
      </c>
      <c r="H226" s="110">
        <f>IFERROR(__xludf.DUMMYFUNCTION("""COMPUTED_VALUE"""),73.0)</f>
        <v>73</v>
      </c>
      <c r="I226" s="108">
        <f>IFERROR(__xludf.DUMMYFUNCTION("""COMPUTED_VALUE"""),41.71428571567319)</f>
        <v>41.71428572</v>
      </c>
      <c r="J226" s="71" t="str">
        <f>IFERROR(__xludf.DUMMYFUNCTION("""COMPUTED_VALUE"""),"Lunch")</f>
        <v>Lunch</v>
      </c>
      <c r="K226" s="106">
        <f>IFERROR(__xludf.DUMMYFUNCTION("""COMPUTED_VALUE"""),45967.0)</f>
        <v>45967</v>
      </c>
      <c r="L226" s="71" t="str">
        <f>IFERROR(__xludf.DUMMYFUNCTION("""COMPUTED_VALUE"""),"Thursday")</f>
        <v>Thursday</v>
      </c>
      <c r="M226" s="71" t="str">
        <f>IFERROR(__xludf.DUMMYFUNCTION("""COMPUTED_VALUE"""),"BF")</f>
        <v>BF</v>
      </c>
      <c r="N226" s="109">
        <f>IFERROR(__xludf.DUMMYFUNCTION("""COMPUTED_VALUE"""),1.0742595619324027)</f>
        <v>1.074259562</v>
      </c>
      <c r="O226" s="71" t="str">
        <f>IFERROR(__xludf.DUMMYFUNCTION("""COMPUTED_VALUE"""),"")</f>
        <v/>
      </c>
      <c r="P226" s="71" t="str">
        <f>IFERROR(__xludf.DUMMYFUNCTION("""COMPUTED_VALUE"""),"")</f>
        <v/>
      </c>
      <c r="Q226" s="78" t="str">
        <f>IFERROR(__xludf.DUMMYFUNCTION("""COMPUTED_VALUE"""),"")</f>
        <v/>
      </c>
      <c r="R226" s="78" t="str">
        <f>IFERROR(__xludf.DUMMYFUNCTION("""COMPUTED_VALUE"""),"")</f>
        <v/>
      </c>
      <c r="S226" s="61" t="str">
        <f>IFERROR(__xludf.DUMMYFUNCTION("""COMPUTED_VALUE"""),"")</f>
        <v/>
      </c>
      <c r="T226" s="61" t="str">
        <f>IFERROR(__xludf.DUMMYFUNCTION("""COMPUTED_VALUE"""),"")</f>
        <v/>
      </c>
      <c r="U226" s="133" t="str">
        <f>IFERROR(__xludf.DUMMYFUNCTION("""COMPUTED_VALUE"""),"")</f>
        <v/>
      </c>
      <c r="V226" s="78" t="str">
        <f>IFERROR(__xludf.DUMMYFUNCTION("""COMPUTED_VALUE"""),"")</f>
        <v/>
      </c>
      <c r="W226" s="62" t="str">
        <f>IFERROR(__xludf.DUMMYFUNCTION("""COMPUTED_VALUE"""),"")</f>
        <v/>
      </c>
      <c r="X226" s="62" t="str">
        <f>IFERROR(__xludf.DUMMYFUNCTION("""COMPUTED_VALUE"""),"")</f>
        <v/>
      </c>
      <c r="Y226" s="109" t="str">
        <f>IFERROR(__xludf.DUMMYFUNCTION("""COMPUTED_VALUE"""),"")</f>
        <v/>
      </c>
      <c r="Z226" s="113" t="str">
        <f>IFERROR(__xludf.DUMMYFUNCTION("""COMPUTED_VALUE"""),"")</f>
        <v/>
      </c>
      <c r="AA226" s="113" t="str">
        <f>IFERROR(__xludf.DUMMYFUNCTION("""COMPUTED_VALUE"""),"")</f>
        <v/>
      </c>
      <c r="AB226" s="71" t="str">
        <f>IFERROR(__xludf.DUMMYFUNCTION("""COMPUTED_VALUE"""),"")</f>
        <v/>
      </c>
    </row>
    <row r="227">
      <c r="A227" s="105">
        <f>IFERROR(__xludf.DUMMYFUNCTION("""COMPUTED_VALUE"""),45967.76247613426)</f>
        <v>45967.76248</v>
      </c>
      <c r="B227" s="71" t="str">
        <f>IFERROR(__xludf.DUMMYFUNCTION("""COMPUTED_VALUE"""),"Elliott Haber")</f>
        <v>Elliott Haber</v>
      </c>
      <c r="C227" s="71" t="b">
        <f>IFERROR(__xludf.DUMMYFUNCTION("""COMPUTED_VALUE"""),FALSE)</f>
        <v>0</v>
      </c>
      <c r="D227" s="132">
        <f>IFERROR(__xludf.DUMMYFUNCTION("""COMPUTED_VALUE"""),0.6666666666642413)</f>
        <v>0.6666666667</v>
      </c>
      <c r="E227" s="78">
        <f>IFERROR(__xludf.DUMMYFUNCTION("""COMPUTED_VALUE"""),0.06041666666715173)</f>
        <v>0.06041666667</v>
      </c>
      <c r="F227" s="132">
        <f>IFERROR(__xludf.DUMMYFUNCTION("""COMPUTED_VALUE"""),0.7270833333313931)</f>
        <v>0.7270833333</v>
      </c>
      <c r="G227" s="78">
        <f>IFERROR(__xludf.DUMMYFUNCTION("""COMPUTED_VALUE"""),0.06041666666715173)</f>
        <v>0.06041666667</v>
      </c>
      <c r="H227" s="110">
        <f>IFERROR(__xludf.DUMMYFUNCTION("""COMPUTED_VALUE"""),98.0)</f>
        <v>98</v>
      </c>
      <c r="I227" s="108">
        <f>IFERROR(__xludf.DUMMYFUNCTION("""COMPUTED_VALUE"""),67.5862068960091)</f>
        <v>67.5862069</v>
      </c>
      <c r="J227" s="71" t="str">
        <f>IFERROR(__xludf.DUMMYFUNCTION("""COMPUTED_VALUE"""),"Dinner")</f>
        <v>Dinner</v>
      </c>
      <c r="K227" s="106">
        <f>IFERROR(__xludf.DUMMYFUNCTION("""COMPUTED_VALUE"""),45967.0)</f>
        <v>45967</v>
      </c>
      <c r="L227" s="71" t="str">
        <f>IFERROR(__xludf.DUMMYFUNCTION("""COMPUTED_VALUE"""),"Thursday")</f>
        <v>Thursday</v>
      </c>
      <c r="M227" s="71" t="str">
        <f>IFERROR(__xludf.DUMMYFUNCTION("""COMPUTED_VALUE"""),"MF")</f>
        <v>MF</v>
      </c>
      <c r="N227" s="109">
        <f>IFERROR(__xludf.DUMMYFUNCTION("""COMPUTED_VALUE"""),1.3317852711745646)</f>
        <v>1.331785271</v>
      </c>
      <c r="O227" s="71" t="str">
        <f>IFERROR(__xludf.DUMMYFUNCTION("""COMPUTED_VALUE"""),"")</f>
        <v/>
      </c>
      <c r="P227" s="71" t="str">
        <f>IFERROR(__xludf.DUMMYFUNCTION("""COMPUTED_VALUE"""),"")</f>
        <v/>
      </c>
      <c r="Q227" s="78" t="str">
        <f>IFERROR(__xludf.DUMMYFUNCTION("""COMPUTED_VALUE"""),"")</f>
        <v/>
      </c>
      <c r="R227" s="78" t="str">
        <f>IFERROR(__xludf.DUMMYFUNCTION("""COMPUTED_VALUE"""),"")</f>
        <v/>
      </c>
      <c r="S227" s="61" t="str">
        <f>IFERROR(__xludf.DUMMYFUNCTION("""COMPUTED_VALUE"""),"")</f>
        <v/>
      </c>
      <c r="T227" s="61" t="str">
        <f>IFERROR(__xludf.DUMMYFUNCTION("""COMPUTED_VALUE"""),"")</f>
        <v/>
      </c>
      <c r="U227" s="133" t="str">
        <f>IFERROR(__xludf.DUMMYFUNCTION("""COMPUTED_VALUE"""),"")</f>
        <v/>
      </c>
      <c r="V227" s="78" t="str">
        <f>IFERROR(__xludf.DUMMYFUNCTION("""COMPUTED_VALUE"""),"")</f>
        <v/>
      </c>
      <c r="W227" s="62" t="str">
        <f>IFERROR(__xludf.DUMMYFUNCTION("""COMPUTED_VALUE"""),"")</f>
        <v/>
      </c>
      <c r="X227" s="62" t="str">
        <f>IFERROR(__xludf.DUMMYFUNCTION("""COMPUTED_VALUE"""),"")</f>
        <v/>
      </c>
      <c r="Y227" s="109" t="str">
        <f>IFERROR(__xludf.DUMMYFUNCTION("""COMPUTED_VALUE"""),"")</f>
        <v/>
      </c>
      <c r="Z227" s="113" t="str">
        <f>IFERROR(__xludf.DUMMYFUNCTION("""COMPUTED_VALUE"""),"")</f>
        <v/>
      </c>
      <c r="AA227" s="113" t="str">
        <f>IFERROR(__xludf.DUMMYFUNCTION("""COMPUTED_VALUE"""),"")</f>
        <v/>
      </c>
      <c r="AB227" s="71" t="str">
        <f>IFERROR(__xludf.DUMMYFUNCTION("""COMPUTED_VALUE"""),"")</f>
        <v/>
      </c>
    </row>
    <row r="228">
      <c r="A228" s="105">
        <f>IFERROR(__xludf.DUMMYFUNCTION("""COMPUTED_VALUE"""),45967.77067375)</f>
        <v>45967.77067</v>
      </c>
      <c r="B228" s="71" t="str">
        <f>IFERROR(__xludf.DUMMYFUNCTION("""COMPUTED_VALUE"""),"Emmett Khan")</f>
        <v>Emmett Khan</v>
      </c>
      <c r="C228" s="71" t="b">
        <f>IFERROR(__xludf.DUMMYFUNCTION("""COMPUTED_VALUE"""),FALSE)</f>
        <v>0</v>
      </c>
      <c r="D228" s="132">
        <f>IFERROR(__xludf.DUMMYFUNCTION("""COMPUTED_VALUE"""),0.6875)</f>
        <v>0.6875</v>
      </c>
      <c r="E228" s="78">
        <f>IFERROR(__xludf.DUMMYFUNCTION("""COMPUTED_VALUE"""),0.08333333333575865)</f>
        <v>0.08333333334</v>
      </c>
      <c r="F228" s="132">
        <f>IFERROR(__xludf.DUMMYFUNCTION("""COMPUTED_VALUE"""),0.7708333333357587)</f>
        <v>0.7708333333</v>
      </c>
      <c r="G228" s="78">
        <f>IFERROR(__xludf.DUMMYFUNCTION("""COMPUTED_VALUE"""),0.08333333333575865)</f>
        <v>0.08333333334</v>
      </c>
      <c r="H228" s="110">
        <f>IFERROR(__xludf.DUMMYFUNCTION("""COMPUTED_VALUE"""),87.0)</f>
        <v>87</v>
      </c>
      <c r="I228" s="108">
        <f>IFERROR(__xludf.DUMMYFUNCTION("""COMPUTED_VALUE"""),43.49999999873398)</f>
        <v>43.5</v>
      </c>
      <c r="J228" s="71" t="str">
        <f>IFERROR(__xludf.DUMMYFUNCTION("""COMPUTED_VALUE"""),"Dinner")</f>
        <v>Dinner</v>
      </c>
      <c r="K228" s="106">
        <f>IFERROR(__xludf.DUMMYFUNCTION("""COMPUTED_VALUE"""),45967.0)</f>
        <v>45967</v>
      </c>
      <c r="L228" s="71" t="str">
        <f>IFERROR(__xludf.DUMMYFUNCTION("""COMPUTED_VALUE"""),"Thursday")</f>
        <v>Thursday</v>
      </c>
      <c r="M228" s="71" t="str">
        <f>IFERROR(__xludf.DUMMYFUNCTION("""COMPUTED_VALUE"""),"BF")</f>
        <v>BF</v>
      </c>
      <c r="N228" s="109">
        <f>IFERROR(__xludf.DUMMYFUNCTION("""COMPUTED_VALUE"""),1.0265854233005565)</f>
        <v>1.026585423</v>
      </c>
      <c r="O228" s="71" t="str">
        <f>IFERROR(__xludf.DUMMYFUNCTION("""COMPUTED_VALUE"""),"")</f>
        <v/>
      </c>
      <c r="P228" s="71" t="str">
        <f>IFERROR(__xludf.DUMMYFUNCTION("""COMPUTED_VALUE"""),"")</f>
        <v/>
      </c>
      <c r="Q228" s="78" t="str">
        <f>IFERROR(__xludf.DUMMYFUNCTION("""COMPUTED_VALUE"""),"")</f>
        <v/>
      </c>
      <c r="R228" s="78" t="str">
        <f>IFERROR(__xludf.DUMMYFUNCTION("""COMPUTED_VALUE"""),"")</f>
        <v/>
      </c>
      <c r="S228" s="61" t="str">
        <f>IFERROR(__xludf.DUMMYFUNCTION("""COMPUTED_VALUE"""),"")</f>
        <v/>
      </c>
      <c r="T228" s="61" t="str">
        <f>IFERROR(__xludf.DUMMYFUNCTION("""COMPUTED_VALUE"""),"")</f>
        <v/>
      </c>
      <c r="U228" s="133" t="str">
        <f>IFERROR(__xludf.DUMMYFUNCTION("""COMPUTED_VALUE"""),"")</f>
        <v/>
      </c>
      <c r="V228" s="78" t="str">
        <f>IFERROR(__xludf.DUMMYFUNCTION("""COMPUTED_VALUE"""),"")</f>
        <v/>
      </c>
      <c r="W228" s="62" t="str">
        <f>IFERROR(__xludf.DUMMYFUNCTION("""COMPUTED_VALUE"""),"")</f>
        <v/>
      </c>
      <c r="X228" s="62" t="str">
        <f>IFERROR(__xludf.DUMMYFUNCTION("""COMPUTED_VALUE"""),"")</f>
        <v/>
      </c>
      <c r="Y228" s="109" t="str">
        <f>IFERROR(__xludf.DUMMYFUNCTION("""COMPUTED_VALUE"""),"")</f>
        <v/>
      </c>
      <c r="Z228" s="113" t="str">
        <f>IFERROR(__xludf.DUMMYFUNCTION("""COMPUTED_VALUE"""),"")</f>
        <v/>
      </c>
      <c r="AA228" s="113" t="str">
        <f>IFERROR(__xludf.DUMMYFUNCTION("""COMPUTED_VALUE"""),"")</f>
        <v/>
      </c>
      <c r="AB228" s="71" t="str">
        <f>IFERROR(__xludf.DUMMYFUNCTION("""COMPUTED_VALUE"""),"")</f>
        <v/>
      </c>
    </row>
    <row r="229">
      <c r="A229" s="105">
        <f>IFERROR(__xludf.DUMMYFUNCTION("""COMPUTED_VALUE"""),45967.789025254635)</f>
        <v>45967.78903</v>
      </c>
      <c r="B229" s="71" t="str">
        <f>IFERROR(__xludf.DUMMYFUNCTION("""COMPUTED_VALUE"""),"Elliott Haber")</f>
        <v>Elliott Haber</v>
      </c>
      <c r="C229" s="71" t="b">
        <f>IFERROR(__xludf.DUMMYFUNCTION("""COMPUTED_VALUE"""),FALSE)</f>
        <v>0</v>
      </c>
      <c r="D229" s="132">
        <f>IFERROR(__xludf.DUMMYFUNCTION("""COMPUTED_VALUE"""),0.7361111111094942)</f>
        <v>0.7361111111</v>
      </c>
      <c r="E229" s="78">
        <f>IFERROR(__xludf.DUMMYFUNCTION("""COMPUTED_VALUE"""),0.041666666671517305)</f>
        <v>0.04166666667</v>
      </c>
      <c r="F229" s="132">
        <f>IFERROR(__xludf.DUMMYFUNCTION("""COMPUTED_VALUE"""),0.7777777777810115)</f>
        <v>0.7777777778</v>
      </c>
      <c r="G229" s="78">
        <f>IFERROR(__xludf.DUMMYFUNCTION("""COMPUTED_VALUE"""),0.12777777777955635)</f>
        <v>0.1277777778</v>
      </c>
      <c r="H229" s="110">
        <f>IFERROR(__xludf.DUMMYFUNCTION("""COMPUTED_VALUE"""),111.0)</f>
        <v>111</v>
      </c>
      <c r="I229" s="108">
        <f>IFERROR(__xludf.DUMMYFUNCTION("""COMPUTED_VALUE"""),36.19565217340923)</f>
        <v>36.19565217</v>
      </c>
      <c r="J229" s="71" t="str">
        <f>IFERROR(__xludf.DUMMYFUNCTION("""COMPUTED_VALUE"""),"Dinner")</f>
        <v>Dinner</v>
      </c>
      <c r="K229" s="106">
        <f>IFERROR(__xludf.DUMMYFUNCTION("""COMPUTED_VALUE"""),45967.0)</f>
        <v>45967</v>
      </c>
      <c r="L229" s="71" t="str">
        <f>IFERROR(__xludf.DUMMYFUNCTION("""COMPUTED_VALUE"""),"Thursday")</f>
        <v>Thursday</v>
      </c>
      <c r="M229" s="71" t="str">
        <f>IFERROR(__xludf.DUMMYFUNCTION("""COMPUTED_VALUE"""),"MF")</f>
        <v>MF</v>
      </c>
      <c r="N229" s="109">
        <f>IFERROR(__xludf.DUMMYFUNCTION("""COMPUTED_VALUE"""),0.7132348249587961)</f>
        <v>0.713234825</v>
      </c>
      <c r="O229" s="71" t="str">
        <f>IFERROR(__xludf.DUMMYFUNCTION("""COMPUTED_VALUE"""),"")</f>
        <v/>
      </c>
      <c r="P229" s="71" t="str">
        <f>IFERROR(__xludf.DUMMYFUNCTION("""COMPUTED_VALUE"""),"")</f>
        <v/>
      </c>
      <c r="Q229" s="78" t="str">
        <f>IFERROR(__xludf.DUMMYFUNCTION("""COMPUTED_VALUE"""),"")</f>
        <v/>
      </c>
      <c r="R229" s="78" t="str">
        <f>IFERROR(__xludf.DUMMYFUNCTION("""COMPUTED_VALUE"""),"")</f>
        <v/>
      </c>
      <c r="S229" s="61" t="str">
        <f>IFERROR(__xludf.DUMMYFUNCTION("""COMPUTED_VALUE"""),"")</f>
        <v/>
      </c>
      <c r="T229" s="61" t="str">
        <f>IFERROR(__xludf.DUMMYFUNCTION("""COMPUTED_VALUE"""),"")</f>
        <v/>
      </c>
      <c r="U229" s="111" t="str">
        <f>IFERROR(__xludf.DUMMYFUNCTION("""COMPUTED_VALUE"""),"")</f>
        <v/>
      </c>
      <c r="V229" s="88" t="str">
        <f>IFERROR(__xludf.DUMMYFUNCTION("""COMPUTED_VALUE"""),"")</f>
        <v/>
      </c>
      <c r="W229" s="62" t="str">
        <f>IFERROR(__xludf.DUMMYFUNCTION("""COMPUTED_VALUE"""),"")</f>
        <v/>
      </c>
      <c r="X229" s="62" t="str">
        <f>IFERROR(__xludf.DUMMYFUNCTION("""COMPUTED_VALUE"""),"")</f>
        <v/>
      </c>
      <c r="Y229" s="109" t="str">
        <f>IFERROR(__xludf.DUMMYFUNCTION("""COMPUTED_VALUE"""),"")</f>
        <v/>
      </c>
      <c r="Z229" s="113" t="str">
        <f>IFERROR(__xludf.DUMMYFUNCTION("""COMPUTED_VALUE"""),"")</f>
        <v/>
      </c>
      <c r="AA229" s="113" t="str">
        <f>IFERROR(__xludf.DUMMYFUNCTION("""COMPUTED_VALUE"""),"")</f>
        <v/>
      </c>
      <c r="AB229" s="71" t="str">
        <f>IFERROR(__xludf.DUMMYFUNCTION("""COMPUTED_VALUE"""),"")</f>
        <v/>
      </c>
    </row>
    <row r="230">
      <c r="A230" s="105">
        <f>IFERROR(__xludf.DUMMYFUNCTION("""COMPUTED_VALUE"""),45967.874680532404)</f>
        <v>45967.87468</v>
      </c>
      <c r="B230" s="71" t="str">
        <f>IFERROR(__xludf.DUMMYFUNCTION("""COMPUTED_VALUE"""),"Elliott Haber")</f>
        <v>Elliott Haber</v>
      </c>
      <c r="C230" s="71" t="b">
        <f>IFERROR(__xludf.DUMMYFUNCTION("""COMPUTED_VALUE"""),TRUE)</f>
        <v>1</v>
      </c>
      <c r="D230" s="132">
        <f>IFERROR(__xludf.DUMMYFUNCTION("""COMPUTED_VALUE"""),0.7881944444452529)</f>
        <v>0.7881944444</v>
      </c>
      <c r="E230" s="78">
        <f>IFERROR(__xludf.DUMMYFUNCTION("""COMPUTED_VALUE"""),0.08611111110803904)</f>
        <v>0.08611111111</v>
      </c>
      <c r="F230" s="132">
        <f>IFERROR(__xludf.DUMMYFUNCTION("""COMPUTED_VALUE"""),0.8743055555532919)</f>
        <v>0.8743055556</v>
      </c>
      <c r="G230" s="78" t="str">
        <f>IFERROR(__xludf.DUMMYFUNCTION("""COMPUTED_VALUE"""),"")</f>
        <v/>
      </c>
      <c r="H230" s="110">
        <f>IFERROR(__xludf.DUMMYFUNCTION("""COMPUTED_VALUE"""),55.0)</f>
        <v>55</v>
      </c>
      <c r="I230" s="108" t="str">
        <f>IFERROR(__xludf.DUMMYFUNCTION("""COMPUTED_VALUE"""),"")</f>
        <v/>
      </c>
      <c r="J230" s="71" t="str">
        <f>IFERROR(__xludf.DUMMYFUNCTION("""COMPUTED_VALUE"""),"Dinner")</f>
        <v>Dinner</v>
      </c>
      <c r="K230" s="106">
        <f>IFERROR(__xludf.DUMMYFUNCTION("""COMPUTED_VALUE"""),45967.0)</f>
        <v>45967</v>
      </c>
      <c r="L230" s="71" t="str">
        <f>IFERROR(__xludf.DUMMYFUNCTION("""COMPUTED_VALUE"""),"Thursday")</f>
        <v>Thursday</v>
      </c>
      <c r="M230" s="71" t="str">
        <f>IFERROR(__xludf.DUMMYFUNCTION("""COMPUTED_VALUE"""),"MF")</f>
        <v>MF</v>
      </c>
      <c r="N230" s="109" t="str">
        <f>IFERROR(__xludf.DUMMYFUNCTION("""COMPUTED_VALUE"""),"")</f>
        <v/>
      </c>
      <c r="O230" s="71">
        <f>IFERROR(__xludf.DUMMYFUNCTION("""COMPUTED_VALUE"""),412.0)</f>
        <v>412</v>
      </c>
      <c r="P230" s="71">
        <f>IFERROR(__xludf.DUMMYFUNCTION("""COMPUTED_VALUE"""),220.0)</f>
        <v>220</v>
      </c>
      <c r="Q230" s="78">
        <f>IFERROR(__xludf.DUMMYFUNCTION("""COMPUTED_VALUE"""),0.3444444444467081)</f>
        <v>0.3444444444</v>
      </c>
      <c r="R230" s="78">
        <f>IFERROR(__xludf.DUMMYFUNCTION("""COMPUTED_VALUE"""),0.20763888888905058)</f>
        <v>0.2076388889</v>
      </c>
      <c r="S230" s="61">
        <f>IFERROR(__xludf.DUMMYFUNCTION("""COMPUTED_VALUE"""),45.445464767285976)</f>
        <v>45.44546477</v>
      </c>
      <c r="T230" s="61">
        <f>IFERROR(__xludf.DUMMYFUNCTION("""COMPUTED_VALUE"""),44.620978120967585)</f>
        <v>44.62097812</v>
      </c>
      <c r="U230" s="133">
        <f>IFERROR(__xludf.DUMMYFUNCTION("""COMPUTED_VALUE"""),632.0)</f>
        <v>632</v>
      </c>
      <c r="V230" s="78">
        <f>IFERROR(__xludf.DUMMYFUNCTION("""COMPUTED_VALUE"""),0.5520833333357587)</f>
        <v>0.5520833333</v>
      </c>
      <c r="W230" s="62">
        <f>IFERROR(__xludf.DUMMYFUNCTION("""COMPUTED_VALUE"""),47.69811320733763)</f>
        <v>47.69811321</v>
      </c>
      <c r="X230" s="62">
        <f>IFERROR(__xludf.DUMMYFUNCTION("""COMPUTED_VALUE"""),45.09211334743524)</f>
        <v>45.09211335</v>
      </c>
      <c r="Y230" s="109">
        <f>IFERROR(__xludf.DUMMYFUNCTION("""COMPUTED_VALUE"""),0.8625590989127228)</f>
        <v>0.8625590989</v>
      </c>
      <c r="Z230" s="113">
        <f>IFERROR(__xludf.DUMMYFUNCTION("""COMPUTED_VALUE"""),4010.0)</f>
        <v>4010</v>
      </c>
      <c r="AA230" s="113">
        <f>IFERROR(__xludf.DUMMYFUNCTION("""COMPUTED_VALUE"""),3570.0)</f>
        <v>3570</v>
      </c>
      <c r="AB230" s="113">
        <f>IFERROR(__xludf.DUMMYFUNCTION("""COMPUTED_VALUE"""),7580.0)</f>
        <v>7580</v>
      </c>
    </row>
    <row r="231">
      <c r="A231" s="105">
        <f>IFERROR(__xludf.DUMMYFUNCTION("""COMPUTED_VALUE"""),45968.55270530093)</f>
        <v>45968.55271</v>
      </c>
      <c r="B231" s="71" t="str">
        <f>IFERROR(__xludf.DUMMYFUNCTION("""COMPUTED_VALUE"""),"Orpheus Wilson")</f>
        <v>Orpheus Wilson</v>
      </c>
      <c r="C231" s="71" t="b">
        <f>IFERROR(__xludf.DUMMYFUNCTION("""COMPUTED_VALUE"""),FALSE)</f>
        <v>0</v>
      </c>
      <c r="D231" s="132">
        <f>IFERROR(__xludf.DUMMYFUNCTION("""COMPUTED_VALUE"""),0.48263888889050577)</f>
        <v>0.4826388889</v>
      </c>
      <c r="E231" s="78">
        <f>IFERROR(__xludf.DUMMYFUNCTION("""COMPUTED_VALUE"""),0.06874999999854481)</f>
        <v>0.06875</v>
      </c>
      <c r="F231" s="132">
        <f>IFERROR(__xludf.DUMMYFUNCTION("""COMPUTED_VALUE"""),0.5513888888890506)</f>
        <v>0.5513888889</v>
      </c>
      <c r="G231" s="78">
        <f>IFERROR(__xludf.DUMMYFUNCTION("""COMPUTED_VALUE"""),0.06874999999854481)</f>
        <v>0.06875</v>
      </c>
      <c r="H231" s="110">
        <f>IFERROR(__xludf.DUMMYFUNCTION("""COMPUTED_VALUE"""),101.0)</f>
        <v>101</v>
      </c>
      <c r="I231" s="108">
        <f>IFERROR(__xludf.DUMMYFUNCTION("""COMPUTED_VALUE"""),61.21212121341685)</f>
        <v>61.21212121</v>
      </c>
      <c r="J231" s="71" t="str">
        <f>IFERROR(__xludf.DUMMYFUNCTION("""COMPUTED_VALUE"""),"Lunch")</f>
        <v>Lunch</v>
      </c>
      <c r="K231" s="106">
        <f>IFERROR(__xludf.DUMMYFUNCTION("""COMPUTED_VALUE"""),45968.0)</f>
        <v>45968</v>
      </c>
      <c r="L231" s="71" t="str">
        <f>IFERROR(__xludf.DUMMYFUNCTION("""COMPUTED_VALUE"""),"Friday")</f>
        <v>Friday</v>
      </c>
      <c r="M231" s="71" t="str">
        <f>IFERROR(__xludf.DUMMYFUNCTION("""COMPUTED_VALUE"""),"MF")</f>
        <v>MF</v>
      </c>
      <c r="N231" s="109">
        <f>IFERROR(__xludf.DUMMYFUNCTION("""COMPUTED_VALUE"""),1.2728964645069178)</f>
        <v>1.272896465</v>
      </c>
      <c r="O231" s="71" t="str">
        <f>IFERROR(__xludf.DUMMYFUNCTION("""COMPUTED_VALUE"""),"")</f>
        <v/>
      </c>
      <c r="P231" s="71" t="str">
        <f>IFERROR(__xludf.DUMMYFUNCTION("""COMPUTED_VALUE"""),"")</f>
        <v/>
      </c>
      <c r="Q231" s="78" t="str">
        <f>IFERROR(__xludf.DUMMYFUNCTION("""COMPUTED_VALUE"""),"")</f>
        <v/>
      </c>
      <c r="R231" s="78" t="str">
        <f>IFERROR(__xludf.DUMMYFUNCTION("""COMPUTED_VALUE"""),"")</f>
        <v/>
      </c>
      <c r="S231" s="61" t="str">
        <f>IFERROR(__xludf.DUMMYFUNCTION("""COMPUTED_VALUE"""),"")</f>
        <v/>
      </c>
      <c r="T231" s="61" t="str">
        <f>IFERROR(__xludf.DUMMYFUNCTION("""COMPUTED_VALUE"""),"")</f>
        <v/>
      </c>
      <c r="U231" s="133" t="str">
        <f>IFERROR(__xludf.DUMMYFUNCTION("""COMPUTED_VALUE"""),"")</f>
        <v/>
      </c>
      <c r="V231" s="78" t="str">
        <f>IFERROR(__xludf.DUMMYFUNCTION("""COMPUTED_VALUE"""),"")</f>
        <v/>
      </c>
      <c r="W231" s="62" t="str">
        <f>IFERROR(__xludf.DUMMYFUNCTION("""COMPUTED_VALUE"""),"")</f>
        <v/>
      </c>
      <c r="X231" s="62" t="str">
        <f>IFERROR(__xludf.DUMMYFUNCTION("""COMPUTED_VALUE"""),"")</f>
        <v/>
      </c>
      <c r="Y231" s="109" t="str">
        <f>IFERROR(__xludf.DUMMYFUNCTION("""COMPUTED_VALUE"""),"")</f>
        <v/>
      </c>
      <c r="Z231" s="113" t="str">
        <f>IFERROR(__xludf.DUMMYFUNCTION("""COMPUTED_VALUE"""),"")</f>
        <v/>
      </c>
      <c r="AA231" s="113" t="str">
        <f>IFERROR(__xludf.DUMMYFUNCTION("""COMPUTED_VALUE"""),"")</f>
        <v/>
      </c>
      <c r="AB231" s="71" t="str">
        <f>IFERROR(__xludf.DUMMYFUNCTION("""COMPUTED_VALUE"""),"")</f>
        <v/>
      </c>
    </row>
    <row r="232">
      <c r="A232" s="105">
        <f>IFERROR(__xludf.DUMMYFUNCTION("""COMPUTED_VALUE"""),45968.59190061342)</f>
        <v>45968.5919</v>
      </c>
      <c r="B232" s="71" t="str">
        <f>IFERROR(__xludf.DUMMYFUNCTION("""COMPUTED_VALUE"""),"Greta Traynor")</f>
        <v>Greta Traynor</v>
      </c>
      <c r="C232" s="71" t="b">
        <f>IFERROR(__xludf.DUMMYFUNCTION("""COMPUTED_VALUE"""),FALSE)</f>
        <v>0</v>
      </c>
      <c r="D232" s="132">
        <f>IFERROR(__xludf.DUMMYFUNCTION("""COMPUTED_VALUE"""),0.5416666666642413)</f>
        <v>0.5416666667</v>
      </c>
      <c r="E232" s="78">
        <f>IFERROR(__xludf.DUMMYFUNCTION("""COMPUTED_VALUE"""),0.04930555555620231)</f>
        <v>0.04930555556</v>
      </c>
      <c r="F232" s="132">
        <f>IFERROR(__xludf.DUMMYFUNCTION("""COMPUTED_VALUE"""),0.5909722222204437)</f>
        <v>0.5909722222</v>
      </c>
      <c r="G232" s="78">
        <f>IFERROR(__xludf.DUMMYFUNCTION("""COMPUTED_VALUE"""),0.04930555555620231)</f>
        <v>0.04930555556</v>
      </c>
      <c r="H232" s="110">
        <f>IFERROR(__xludf.DUMMYFUNCTION("""COMPUTED_VALUE"""),56.0)</f>
        <v>56</v>
      </c>
      <c r="I232" s="108">
        <f>IFERROR(__xludf.DUMMYFUNCTION("""COMPUTED_VALUE"""),47.32394366135107)</f>
        <v>47.32394366</v>
      </c>
      <c r="J232" s="71" t="str">
        <f>IFERROR(__xludf.DUMMYFUNCTION("""COMPUTED_VALUE"""),"Lunch")</f>
        <v>Lunch</v>
      </c>
      <c r="K232" s="106">
        <f>IFERROR(__xludf.DUMMYFUNCTION("""COMPUTED_VALUE"""),45968.0)</f>
        <v>45968</v>
      </c>
      <c r="L232" s="71" t="str">
        <f>IFERROR(__xludf.DUMMYFUNCTION("""COMPUTED_VALUE"""),"Friday")</f>
        <v>Friday</v>
      </c>
      <c r="M232" s="71" t="str">
        <f>IFERROR(__xludf.DUMMYFUNCTION("""COMPUTED_VALUE"""),"BF")</f>
        <v>BF</v>
      </c>
      <c r="N232" s="109">
        <f>IFERROR(__xludf.DUMMYFUNCTION("""COMPUTED_VALUE"""),1.2187239482673298)</f>
        <v>1.218723948</v>
      </c>
      <c r="O232" s="71" t="str">
        <f>IFERROR(__xludf.DUMMYFUNCTION("""COMPUTED_VALUE"""),"")</f>
        <v/>
      </c>
      <c r="P232" s="71" t="str">
        <f>IFERROR(__xludf.DUMMYFUNCTION("""COMPUTED_VALUE"""),"")</f>
        <v/>
      </c>
      <c r="Q232" s="78" t="str">
        <f>IFERROR(__xludf.DUMMYFUNCTION("""COMPUTED_VALUE"""),"")</f>
        <v/>
      </c>
      <c r="R232" s="78" t="str">
        <f>IFERROR(__xludf.DUMMYFUNCTION("""COMPUTED_VALUE"""),"")</f>
        <v/>
      </c>
      <c r="S232" s="61" t="str">
        <f>IFERROR(__xludf.DUMMYFUNCTION("""COMPUTED_VALUE"""),"")</f>
        <v/>
      </c>
      <c r="T232" s="61" t="str">
        <f>IFERROR(__xludf.DUMMYFUNCTION("""COMPUTED_VALUE"""),"")</f>
        <v/>
      </c>
      <c r="U232" s="133" t="str">
        <f>IFERROR(__xludf.DUMMYFUNCTION("""COMPUTED_VALUE"""),"")</f>
        <v/>
      </c>
      <c r="V232" s="78" t="str">
        <f>IFERROR(__xludf.DUMMYFUNCTION("""COMPUTED_VALUE"""),"")</f>
        <v/>
      </c>
      <c r="W232" s="62" t="str">
        <f>IFERROR(__xludf.DUMMYFUNCTION("""COMPUTED_VALUE"""),"")</f>
        <v/>
      </c>
      <c r="X232" s="62" t="str">
        <f>IFERROR(__xludf.DUMMYFUNCTION("""COMPUTED_VALUE"""),"")</f>
        <v/>
      </c>
      <c r="Y232" s="109" t="str">
        <f>IFERROR(__xludf.DUMMYFUNCTION("""COMPUTED_VALUE"""),"")</f>
        <v/>
      </c>
      <c r="Z232" s="113" t="str">
        <f>IFERROR(__xludf.DUMMYFUNCTION("""COMPUTED_VALUE"""),"")</f>
        <v/>
      </c>
      <c r="AA232" s="113" t="str">
        <f>IFERROR(__xludf.DUMMYFUNCTION("""COMPUTED_VALUE"""),"")</f>
        <v/>
      </c>
      <c r="AB232" s="71" t="str">
        <f>IFERROR(__xludf.DUMMYFUNCTION("""COMPUTED_VALUE"""),"")</f>
        <v/>
      </c>
    </row>
    <row r="233">
      <c r="A233" s="105">
        <f>IFERROR(__xludf.DUMMYFUNCTION("""COMPUTED_VALUE"""),45968.63256614583)</f>
        <v>45968.63257</v>
      </c>
      <c r="B233" s="71" t="str">
        <f>IFERROR(__xludf.DUMMYFUNCTION("""COMPUTED_VALUE"""),"Brynn Hornig")</f>
        <v>Brynn Hornig</v>
      </c>
      <c r="C233" s="71" t="b">
        <f>IFERROR(__xludf.DUMMYFUNCTION("""COMPUTED_VALUE"""),FALSE)</f>
        <v>0</v>
      </c>
      <c r="D233" s="132">
        <f>IFERROR(__xludf.DUMMYFUNCTION("""COMPUTED_VALUE"""),0.5520833333357587)</f>
        <v>0.5520833333</v>
      </c>
      <c r="E233" s="78">
        <f>IFERROR(__xludf.DUMMYFUNCTION("""COMPUTED_VALUE"""),0.01736111110949423)</f>
        <v>0.01736111111</v>
      </c>
      <c r="F233" s="132">
        <f>IFERROR(__xludf.DUMMYFUNCTION("""COMPUTED_VALUE"""),0.5694444444452529)</f>
        <v>0.5694444444</v>
      </c>
      <c r="G233" s="78">
        <f>IFERROR(__xludf.DUMMYFUNCTION("""COMPUTED_VALUE"""),0.07986111110949423)</f>
        <v>0.07986111111</v>
      </c>
      <c r="H233" s="110">
        <f>IFERROR(__xludf.DUMMYFUNCTION("""COMPUTED_VALUE"""),37.0)</f>
        <v>37</v>
      </c>
      <c r="I233" s="108">
        <f>IFERROR(__xludf.DUMMYFUNCTION("""COMPUTED_VALUE"""),19.304347826477795)</f>
        <v>19.30434783</v>
      </c>
      <c r="J233" s="71" t="str">
        <f>IFERROR(__xludf.DUMMYFUNCTION("""COMPUTED_VALUE"""),"Lunch")</f>
        <v>Lunch</v>
      </c>
      <c r="K233" s="106">
        <f>IFERROR(__xludf.DUMMYFUNCTION("""COMPUTED_VALUE"""),45968.0)</f>
        <v>45968</v>
      </c>
      <c r="L233" s="71" t="str">
        <f>IFERROR(__xludf.DUMMYFUNCTION("""COMPUTED_VALUE"""),"Friday")</f>
        <v>Friday</v>
      </c>
      <c r="M233" s="71" t="str">
        <f>IFERROR(__xludf.DUMMYFUNCTION("""COMPUTED_VALUE"""),"MF")</f>
        <v>MF</v>
      </c>
      <c r="N233" s="109">
        <f>IFERROR(__xludf.DUMMYFUNCTION("""COMPUTED_VALUE"""),0.4014308867399526)</f>
        <v>0.4014308867</v>
      </c>
      <c r="O233" s="71" t="str">
        <f>IFERROR(__xludf.DUMMYFUNCTION("""COMPUTED_VALUE"""),"")</f>
        <v/>
      </c>
      <c r="P233" s="71" t="str">
        <f>IFERROR(__xludf.DUMMYFUNCTION("""COMPUTED_VALUE"""),"")</f>
        <v/>
      </c>
      <c r="Q233" s="78" t="str">
        <f>IFERROR(__xludf.DUMMYFUNCTION("""COMPUTED_VALUE"""),"")</f>
        <v/>
      </c>
      <c r="R233" s="78" t="str">
        <f>IFERROR(__xludf.DUMMYFUNCTION("""COMPUTED_VALUE"""),"")</f>
        <v/>
      </c>
      <c r="S233" s="61" t="str">
        <f>IFERROR(__xludf.DUMMYFUNCTION("""COMPUTED_VALUE"""),"")</f>
        <v/>
      </c>
      <c r="T233" s="61" t="str">
        <f>IFERROR(__xludf.DUMMYFUNCTION("""COMPUTED_VALUE"""),"")</f>
        <v/>
      </c>
      <c r="U233" s="133" t="str">
        <f>IFERROR(__xludf.DUMMYFUNCTION("""COMPUTED_VALUE"""),"")</f>
        <v/>
      </c>
      <c r="V233" s="78" t="str">
        <f>IFERROR(__xludf.DUMMYFUNCTION("""COMPUTED_VALUE"""),"")</f>
        <v/>
      </c>
      <c r="W233" s="62" t="str">
        <f>IFERROR(__xludf.DUMMYFUNCTION("""COMPUTED_VALUE"""),"")</f>
        <v/>
      </c>
      <c r="X233" s="62" t="str">
        <f>IFERROR(__xludf.DUMMYFUNCTION("""COMPUTED_VALUE"""),"")</f>
        <v/>
      </c>
      <c r="Y233" s="109" t="str">
        <f>IFERROR(__xludf.DUMMYFUNCTION("""COMPUTED_VALUE"""),"")</f>
        <v/>
      </c>
      <c r="Z233" s="113" t="str">
        <f>IFERROR(__xludf.DUMMYFUNCTION("""COMPUTED_VALUE"""),"")</f>
        <v/>
      </c>
      <c r="AA233" s="113" t="str">
        <f>IFERROR(__xludf.DUMMYFUNCTION("""COMPUTED_VALUE"""),"")</f>
        <v/>
      </c>
      <c r="AB233" s="71" t="str">
        <f>IFERROR(__xludf.DUMMYFUNCTION("""COMPUTED_VALUE"""),"")</f>
        <v/>
      </c>
    </row>
    <row r="234">
      <c r="A234" s="105">
        <f>IFERROR(__xludf.DUMMYFUNCTION("""COMPUTED_VALUE"""),45968.6330269676)</f>
        <v>45968.63303</v>
      </c>
      <c r="B234" s="71" t="str">
        <f>IFERROR(__xludf.DUMMYFUNCTION("""COMPUTED_VALUE"""),"Brynn Hornig")</f>
        <v>Brynn Hornig</v>
      </c>
      <c r="C234" s="71" t="b">
        <f>IFERROR(__xludf.DUMMYFUNCTION("""COMPUTED_VALUE"""),TRUE)</f>
        <v>1</v>
      </c>
      <c r="D234" s="132">
        <f>IFERROR(__xludf.DUMMYFUNCTION("""COMPUTED_VALUE"""),0.5729166666642413)</f>
        <v>0.5729166667</v>
      </c>
      <c r="E234" s="78">
        <f>IFERROR(__xludf.DUMMYFUNCTION("""COMPUTED_VALUE"""),0.0625)</f>
        <v>0.0625</v>
      </c>
      <c r="F234" s="132">
        <f>IFERROR(__xludf.DUMMYFUNCTION("""COMPUTED_VALUE"""),0.6354166666642413)</f>
        <v>0.6354166667</v>
      </c>
      <c r="G234" s="78" t="str">
        <f>IFERROR(__xludf.DUMMYFUNCTION("""COMPUTED_VALUE"""),"")</f>
        <v/>
      </c>
      <c r="H234" s="110">
        <f>IFERROR(__xludf.DUMMYFUNCTION("""COMPUTED_VALUE"""),58.0)</f>
        <v>58</v>
      </c>
      <c r="I234" s="108" t="str">
        <f>IFERROR(__xludf.DUMMYFUNCTION("""COMPUTED_VALUE"""),"")</f>
        <v/>
      </c>
      <c r="J234" s="71" t="str">
        <f>IFERROR(__xludf.DUMMYFUNCTION("""COMPUTED_VALUE"""),"Lunch")</f>
        <v>Lunch</v>
      </c>
      <c r="K234" s="106">
        <f>IFERROR(__xludf.DUMMYFUNCTION("""COMPUTED_VALUE"""),45968.0)</f>
        <v>45968</v>
      </c>
      <c r="L234" s="71" t="str">
        <f>IFERROR(__xludf.DUMMYFUNCTION("""COMPUTED_VALUE"""),"Friday")</f>
        <v>Friday</v>
      </c>
      <c r="M234" s="71" t="str">
        <f>IFERROR(__xludf.DUMMYFUNCTION("""COMPUTED_VALUE"""),"MF")</f>
        <v>MF</v>
      </c>
      <c r="N234" s="109" t="str">
        <f>IFERROR(__xludf.DUMMYFUNCTION("""COMPUTED_VALUE"""),"")</f>
        <v/>
      </c>
      <c r="O234" s="71" t="str">
        <f>IFERROR(__xludf.DUMMYFUNCTION("""COMPUTED_VALUE"""),"")</f>
        <v/>
      </c>
      <c r="P234" s="71" t="str">
        <f>IFERROR(__xludf.DUMMYFUNCTION("""COMPUTED_VALUE"""),"")</f>
        <v/>
      </c>
      <c r="Q234" s="88" t="str">
        <f>IFERROR(__xludf.DUMMYFUNCTION("""COMPUTED_VALUE"""),"")</f>
        <v/>
      </c>
      <c r="R234" s="88" t="str">
        <f>IFERROR(__xludf.DUMMYFUNCTION("""COMPUTED_VALUE"""),"")</f>
        <v/>
      </c>
      <c r="S234" s="61" t="str">
        <f>IFERROR(__xludf.DUMMYFUNCTION("""COMPUTED_VALUE"""),"")</f>
        <v/>
      </c>
      <c r="T234" s="61" t="str">
        <f>IFERROR(__xludf.DUMMYFUNCTION("""COMPUTED_VALUE"""),"")</f>
        <v/>
      </c>
      <c r="U234" s="111" t="str">
        <f>IFERROR(__xludf.DUMMYFUNCTION("""COMPUTED_VALUE"""),"")</f>
        <v/>
      </c>
      <c r="V234" s="88" t="str">
        <f>IFERROR(__xludf.DUMMYFUNCTION("""COMPUTED_VALUE"""),"")</f>
        <v/>
      </c>
      <c r="W234" s="62" t="str">
        <f>IFERROR(__xludf.DUMMYFUNCTION("""COMPUTED_VALUE"""),"")</f>
        <v/>
      </c>
      <c r="X234" s="62" t="str">
        <f>IFERROR(__xludf.DUMMYFUNCTION("""COMPUTED_VALUE"""),"")</f>
        <v/>
      </c>
      <c r="Y234" s="109" t="str">
        <f>IFERROR(__xludf.DUMMYFUNCTION("""COMPUTED_VALUE"""),"")</f>
        <v/>
      </c>
      <c r="Z234" s="113" t="str">
        <f>IFERROR(__xludf.DUMMYFUNCTION("""COMPUTED_VALUE"""),"")</f>
        <v/>
      </c>
      <c r="AA234" s="113" t="str">
        <f>IFERROR(__xludf.DUMMYFUNCTION("""COMPUTED_VALUE"""),"")</f>
        <v/>
      </c>
      <c r="AB234" s="71" t="str">
        <f>IFERROR(__xludf.DUMMYFUNCTION("""COMPUTED_VALUE"""),"")</f>
        <v/>
      </c>
    </row>
    <row r="235">
      <c r="A235" s="105">
        <f>IFERROR(__xludf.DUMMYFUNCTION("""COMPUTED_VALUE"""),45968.743408634255)</f>
        <v>45968.74341</v>
      </c>
      <c r="B235" s="71" t="str">
        <f>IFERROR(__xludf.DUMMYFUNCTION("""COMPUTED_VALUE"""),"Emmett Khan")</f>
        <v>Emmett Khan</v>
      </c>
      <c r="C235" s="71" t="b">
        <f>IFERROR(__xludf.DUMMYFUNCTION("""COMPUTED_VALUE"""),FALSE)</f>
        <v>0</v>
      </c>
      <c r="D235" s="132">
        <f>IFERROR(__xludf.DUMMYFUNCTION("""COMPUTED_VALUE"""),0.6666666666642413)</f>
        <v>0.6666666667</v>
      </c>
      <c r="E235" s="78">
        <f>IFERROR(__xludf.DUMMYFUNCTION("""COMPUTED_VALUE"""),0.07361111111094942)</f>
        <v>0.07361111111</v>
      </c>
      <c r="F235" s="132">
        <f>IFERROR(__xludf.DUMMYFUNCTION("""COMPUTED_VALUE"""),0.7402777777751908)</f>
        <v>0.7402777778</v>
      </c>
      <c r="G235" s="78">
        <f>IFERROR(__xludf.DUMMYFUNCTION("""COMPUTED_VALUE"""),0.08402777777519077)</f>
        <v>0.08402777778</v>
      </c>
      <c r="H235" s="110">
        <f>IFERROR(__xludf.DUMMYFUNCTION("""COMPUTED_VALUE"""),193.0)</f>
        <v>193</v>
      </c>
      <c r="I235" s="108">
        <f>IFERROR(__xludf.DUMMYFUNCTION("""COMPUTED_VALUE"""),95.70247934178941)</f>
        <v>95.70247934</v>
      </c>
      <c r="J235" s="71" t="str">
        <f>IFERROR(__xludf.DUMMYFUNCTION("""COMPUTED_VALUE"""),"Dinner")</f>
        <v>Dinner</v>
      </c>
      <c r="K235" s="106">
        <f>IFERROR(__xludf.DUMMYFUNCTION("""COMPUTED_VALUE"""),45968.0)</f>
        <v>45968</v>
      </c>
      <c r="L235" s="71" t="str">
        <f>IFERROR(__xludf.DUMMYFUNCTION("""COMPUTED_VALUE"""),"Friday")</f>
        <v>Friday</v>
      </c>
      <c r="M235" s="71" t="str">
        <f>IFERROR(__xludf.DUMMYFUNCTION("""COMPUTED_VALUE"""),"MF")</f>
        <v>MF</v>
      </c>
      <c r="N235" s="109">
        <f>IFERROR(__xludf.DUMMYFUNCTION("""COMPUTED_VALUE"""),1.8858160304570855)</f>
        <v>1.88581603</v>
      </c>
      <c r="O235" s="71" t="str">
        <f>IFERROR(__xludf.DUMMYFUNCTION("""COMPUTED_VALUE"""),"")</f>
        <v/>
      </c>
      <c r="P235" s="71" t="str">
        <f>IFERROR(__xludf.DUMMYFUNCTION("""COMPUTED_VALUE"""),"")</f>
        <v/>
      </c>
      <c r="Q235" s="78" t="str">
        <f>IFERROR(__xludf.DUMMYFUNCTION("""COMPUTED_VALUE"""),"")</f>
        <v/>
      </c>
      <c r="R235" s="78" t="str">
        <f>IFERROR(__xludf.DUMMYFUNCTION("""COMPUTED_VALUE"""),"")</f>
        <v/>
      </c>
      <c r="S235" s="61" t="str">
        <f>IFERROR(__xludf.DUMMYFUNCTION("""COMPUTED_VALUE"""),"")</f>
        <v/>
      </c>
      <c r="T235" s="61" t="str">
        <f>IFERROR(__xludf.DUMMYFUNCTION("""COMPUTED_VALUE"""),"")</f>
        <v/>
      </c>
      <c r="U235" s="133" t="str">
        <f>IFERROR(__xludf.DUMMYFUNCTION("""COMPUTED_VALUE"""),"")</f>
        <v/>
      </c>
      <c r="V235" s="78" t="str">
        <f>IFERROR(__xludf.DUMMYFUNCTION("""COMPUTED_VALUE"""),"")</f>
        <v/>
      </c>
      <c r="W235" s="62" t="str">
        <f>IFERROR(__xludf.DUMMYFUNCTION("""COMPUTED_VALUE"""),"")</f>
        <v/>
      </c>
      <c r="X235" s="62" t="str">
        <f>IFERROR(__xludf.DUMMYFUNCTION("""COMPUTED_VALUE"""),"")</f>
        <v/>
      </c>
      <c r="Y235" s="109" t="str">
        <f>IFERROR(__xludf.DUMMYFUNCTION("""COMPUTED_VALUE"""),"")</f>
        <v/>
      </c>
      <c r="Z235" s="113" t="str">
        <f>IFERROR(__xludf.DUMMYFUNCTION("""COMPUTED_VALUE"""),"")</f>
        <v/>
      </c>
      <c r="AA235" s="113" t="str">
        <f>IFERROR(__xludf.DUMMYFUNCTION("""COMPUTED_VALUE"""),"")</f>
        <v/>
      </c>
      <c r="AB235" s="71" t="str">
        <f>IFERROR(__xludf.DUMMYFUNCTION("""COMPUTED_VALUE"""),"")</f>
        <v/>
      </c>
    </row>
    <row r="236">
      <c r="A236" s="105">
        <f>IFERROR(__xludf.DUMMYFUNCTION("""COMPUTED_VALUE"""),45968.7624846875)</f>
        <v>45968.76248</v>
      </c>
      <c r="B236" s="71" t="str">
        <f>IFERROR(__xludf.DUMMYFUNCTION("""COMPUTED_VALUE"""),"Emmett Khan")</f>
        <v>Emmett Khan</v>
      </c>
      <c r="C236" s="71" t="b">
        <f>IFERROR(__xludf.DUMMYFUNCTION("""COMPUTED_VALUE"""),TRUE)</f>
        <v>1</v>
      </c>
      <c r="D236" s="132">
        <f>IFERROR(__xludf.DUMMYFUNCTION("""COMPUTED_VALUE"""),0.75)</f>
        <v>0.75</v>
      </c>
      <c r="E236" s="78">
        <f>IFERROR(__xludf.DUMMYFUNCTION("""COMPUTED_VALUE"""),0.010416666664241347)</f>
        <v>0.01041666666</v>
      </c>
      <c r="F236" s="132">
        <f>IFERROR(__xludf.DUMMYFUNCTION("""COMPUTED_VALUE"""),0.7604166666642413)</f>
        <v>0.7604166667</v>
      </c>
      <c r="G236" s="78" t="str">
        <f>IFERROR(__xludf.DUMMYFUNCTION("""COMPUTED_VALUE"""),"")</f>
        <v/>
      </c>
      <c r="H236" s="110">
        <f>IFERROR(__xludf.DUMMYFUNCTION("""COMPUTED_VALUE"""),53.0)</f>
        <v>53</v>
      </c>
      <c r="I236" s="108" t="str">
        <f>IFERROR(__xludf.DUMMYFUNCTION("""COMPUTED_VALUE"""),"")</f>
        <v/>
      </c>
      <c r="J236" s="71" t="str">
        <f>IFERROR(__xludf.DUMMYFUNCTION("""COMPUTED_VALUE"""),"Dinner")</f>
        <v>Dinner</v>
      </c>
      <c r="K236" s="106">
        <f>IFERROR(__xludf.DUMMYFUNCTION("""COMPUTED_VALUE"""),45968.0)</f>
        <v>45968</v>
      </c>
      <c r="L236" s="71" t="str">
        <f>IFERROR(__xludf.DUMMYFUNCTION("""COMPUTED_VALUE"""),"Friday")</f>
        <v>Friday</v>
      </c>
      <c r="M236" s="71" t="str">
        <f>IFERROR(__xludf.DUMMYFUNCTION("""COMPUTED_VALUE"""),"MF")</f>
        <v>MF</v>
      </c>
      <c r="N236" s="109" t="str">
        <f>IFERROR(__xludf.DUMMYFUNCTION("""COMPUTED_VALUE"""),"")</f>
        <v/>
      </c>
      <c r="O236" s="71">
        <f>IFERROR(__xludf.DUMMYFUNCTION("""COMPUTED_VALUE"""),442.0)</f>
        <v>442</v>
      </c>
      <c r="P236" s="71">
        <f>IFERROR(__xludf.DUMMYFUNCTION("""COMPUTED_VALUE"""),56.0)</f>
        <v>56</v>
      </c>
      <c r="Q236" s="78">
        <f>IFERROR(__xludf.DUMMYFUNCTION("""COMPUTED_VALUE"""),0.2326388888832298)</f>
        <v>0.2326388889</v>
      </c>
      <c r="R236" s="78">
        <f>IFERROR(__xludf.DUMMYFUNCTION("""COMPUTED_VALUE"""),0.04930555555620231)</f>
        <v>0.04930555556</v>
      </c>
      <c r="S236" s="61">
        <f>IFERROR(__xludf.DUMMYFUNCTION("""COMPUTED_VALUE"""),58.73964946056136)</f>
        <v>58.73964946</v>
      </c>
      <c r="T236" s="61">
        <f>IFERROR(__xludf.DUMMYFUNCTION("""COMPUTED_VALUE"""),47.32394366135107)</f>
        <v>47.32394366</v>
      </c>
      <c r="U236" s="133">
        <f>IFERROR(__xludf.DUMMYFUNCTION("""COMPUTED_VALUE"""),498.0)</f>
        <v>498</v>
      </c>
      <c r="V236" s="78">
        <f>IFERROR(__xludf.DUMMYFUNCTION("""COMPUTED_VALUE"""),0.2819444444394321)</f>
        <v>0.2819444444</v>
      </c>
      <c r="W236" s="62">
        <f>IFERROR(__xludf.DUMMYFUNCTION("""COMPUTED_VALUE"""),73.59605911460886)</f>
        <v>73.59605911</v>
      </c>
      <c r="X236" s="62">
        <f>IFERROR(__xludf.DUMMYFUNCTION("""COMPUTED_VALUE"""),55.88572301075878)</f>
        <v>55.88572301</v>
      </c>
      <c r="Y236" s="109">
        <f>IFERROR(__xludf.DUMMYFUNCTION("""COMPUTED_VALUE"""),0.8165280865198499)</f>
        <v>0.8165280865</v>
      </c>
      <c r="Z236" s="113">
        <f>IFERROR(__xludf.DUMMYFUNCTION("""COMPUTED_VALUE"""),3355.0)</f>
        <v>3355</v>
      </c>
      <c r="AA236" s="113">
        <f>IFERROR(__xludf.DUMMYFUNCTION("""COMPUTED_VALUE"""),1886.0)</f>
        <v>1886</v>
      </c>
      <c r="AB236" s="113">
        <f>IFERROR(__xludf.DUMMYFUNCTION("""COMPUTED_VALUE"""),5241.0)</f>
        <v>5241</v>
      </c>
    </row>
    <row r="237">
      <c r="A237" s="105">
        <f>IFERROR(__xludf.DUMMYFUNCTION("""COMPUTED_VALUE"""),45971.43348891204)</f>
        <v>45971.43349</v>
      </c>
      <c r="B237" s="71" t="str">
        <f>IFERROR(__xludf.DUMMYFUNCTION("""COMPUTED_VALUE"""),"Sarah Wilme")</f>
        <v>Sarah Wilme</v>
      </c>
      <c r="C237" s="71" t="b">
        <f>IFERROR(__xludf.DUMMYFUNCTION("""COMPUTED_VALUE"""),FALSE)</f>
        <v>0</v>
      </c>
      <c r="D237" s="132">
        <f>IFERROR(__xludf.DUMMYFUNCTION("""COMPUTED_VALUE"""),0.29027777777810115)</f>
        <v>0.2902777778</v>
      </c>
      <c r="E237" s="78">
        <f>IFERROR(__xludf.DUMMYFUNCTION("""COMPUTED_VALUE"""),0.13611111111094942)</f>
        <v>0.1361111111</v>
      </c>
      <c r="F237" s="132">
        <f>IFERROR(__xludf.DUMMYFUNCTION("""COMPUTED_VALUE"""),0.4263888888890506)</f>
        <v>0.4263888889</v>
      </c>
      <c r="G237" s="78">
        <f>IFERROR(__xludf.DUMMYFUNCTION("""COMPUTED_VALUE"""),0.13611111111094942)</f>
        <v>0.1361111111</v>
      </c>
      <c r="H237" s="110">
        <f>IFERROR(__xludf.DUMMYFUNCTION("""COMPUTED_VALUE"""),92.0)</f>
        <v>92</v>
      </c>
      <c r="I237" s="108">
        <f>IFERROR(__xludf.DUMMYFUNCTION("""COMPUTED_VALUE"""),28.163265306155903)</f>
        <v>28.16326531</v>
      </c>
      <c r="J237" s="71" t="str">
        <f>IFERROR(__xludf.DUMMYFUNCTION("""COMPUTED_VALUE"""),"Breakfast")</f>
        <v>Breakfast</v>
      </c>
      <c r="K237" s="106">
        <f>IFERROR(__xludf.DUMMYFUNCTION("""COMPUTED_VALUE"""),45971.0)</f>
        <v>45971</v>
      </c>
      <c r="L237" s="71" t="str">
        <f>IFERROR(__xludf.DUMMYFUNCTION("""COMPUTED_VALUE"""),"Monday")</f>
        <v>Monday</v>
      </c>
      <c r="M237" s="71" t="str">
        <f>IFERROR(__xludf.DUMMYFUNCTION("""COMPUTED_VALUE"""),"BF")</f>
        <v>BF</v>
      </c>
      <c r="N237" s="109">
        <f>IFERROR(__xludf.DUMMYFUNCTION("""COMPUTED_VALUE"""),1.1927473477354442)</f>
        <v>1.192747348</v>
      </c>
      <c r="O237" s="71" t="str">
        <f>IFERROR(__xludf.DUMMYFUNCTION("""COMPUTED_VALUE"""),"")</f>
        <v/>
      </c>
      <c r="P237" s="71" t="str">
        <f>IFERROR(__xludf.DUMMYFUNCTION("""COMPUTED_VALUE"""),"")</f>
        <v/>
      </c>
      <c r="Q237" s="88" t="str">
        <f>IFERROR(__xludf.DUMMYFUNCTION("""COMPUTED_VALUE"""),"")</f>
        <v/>
      </c>
      <c r="R237" s="88" t="str">
        <f>IFERROR(__xludf.DUMMYFUNCTION("""COMPUTED_VALUE"""),"")</f>
        <v/>
      </c>
      <c r="S237" s="61" t="str">
        <f>IFERROR(__xludf.DUMMYFUNCTION("""COMPUTED_VALUE"""),"")</f>
        <v/>
      </c>
      <c r="T237" s="61" t="str">
        <f>IFERROR(__xludf.DUMMYFUNCTION("""COMPUTED_VALUE"""),"")</f>
        <v/>
      </c>
      <c r="U237" s="111" t="str">
        <f>IFERROR(__xludf.DUMMYFUNCTION("""COMPUTED_VALUE"""),"")</f>
        <v/>
      </c>
      <c r="V237" s="88" t="str">
        <f>IFERROR(__xludf.DUMMYFUNCTION("""COMPUTED_VALUE"""),"")</f>
        <v/>
      </c>
      <c r="W237" s="62" t="str">
        <f>IFERROR(__xludf.DUMMYFUNCTION("""COMPUTED_VALUE"""),"")</f>
        <v/>
      </c>
      <c r="X237" s="62" t="str">
        <f>IFERROR(__xludf.DUMMYFUNCTION("""COMPUTED_VALUE"""),"")</f>
        <v/>
      </c>
      <c r="Y237" s="109" t="str">
        <f>IFERROR(__xludf.DUMMYFUNCTION("""COMPUTED_VALUE"""),"")</f>
        <v/>
      </c>
      <c r="Z237" s="113" t="str">
        <f>IFERROR(__xludf.DUMMYFUNCTION("""COMPUTED_VALUE"""),"")</f>
        <v/>
      </c>
      <c r="AA237" s="113" t="str">
        <f>IFERROR(__xludf.DUMMYFUNCTION("""COMPUTED_VALUE"""),"")</f>
        <v/>
      </c>
      <c r="AB237" s="71" t="str">
        <f>IFERROR(__xludf.DUMMYFUNCTION("""COMPUTED_VALUE"""),"")</f>
        <v/>
      </c>
    </row>
    <row r="238">
      <c r="A238" s="105">
        <f>IFERROR(__xludf.DUMMYFUNCTION("""COMPUTED_VALUE"""),45971.49991732639)</f>
        <v>45971.49992</v>
      </c>
      <c r="B238" s="71" t="str">
        <f>IFERROR(__xludf.DUMMYFUNCTION("""COMPUTED_VALUE"""),"Oluwatimilehin Shodipe")</f>
        <v>Oluwatimilehin Shodipe</v>
      </c>
      <c r="C238" s="71" t="b">
        <f>IFERROR(__xludf.DUMMYFUNCTION("""COMPUTED_VALUE"""),FALSE)</f>
        <v>0</v>
      </c>
      <c r="D238" s="132">
        <f>IFERROR(__xludf.DUMMYFUNCTION("""COMPUTED_VALUE"""),0.4423611111124046)</f>
        <v>0.4423611111</v>
      </c>
      <c r="E238" s="78">
        <f>IFERROR(__xludf.DUMMYFUNCTION("""COMPUTED_VALUE"""),0.056249999994179234)</f>
        <v>0.05624999999</v>
      </c>
      <c r="F238" s="132">
        <f>IFERROR(__xludf.DUMMYFUNCTION("""COMPUTED_VALUE"""),0.49861111110658385)</f>
        <v>0.4986111111</v>
      </c>
      <c r="G238" s="78">
        <f>IFERROR(__xludf.DUMMYFUNCTION("""COMPUTED_VALUE"""),0.056249999994179234)</f>
        <v>0.05624999999</v>
      </c>
      <c r="H238" s="110">
        <f>IFERROR(__xludf.DUMMYFUNCTION("""COMPUTED_VALUE"""),86.0)</f>
        <v>86</v>
      </c>
      <c r="I238" s="108">
        <f>IFERROR(__xludf.DUMMYFUNCTION("""COMPUTED_VALUE"""),63.703703710295784)</f>
        <v>63.70370371</v>
      </c>
      <c r="J238" s="71" t="str">
        <f>IFERROR(__xludf.DUMMYFUNCTION("""COMPUTED_VALUE"""),"Breakfast/Lunch")</f>
        <v>Breakfast/Lunch</v>
      </c>
      <c r="K238" s="106">
        <f>IFERROR(__xludf.DUMMYFUNCTION("""COMPUTED_VALUE"""),45971.0)</f>
        <v>45971</v>
      </c>
      <c r="L238" s="71" t="str">
        <f>IFERROR(__xludf.DUMMYFUNCTION("""COMPUTED_VALUE"""),"Monday")</f>
        <v>Monday</v>
      </c>
      <c r="M238" s="71" t="str">
        <f>IFERROR(__xludf.DUMMYFUNCTION("""COMPUTED_VALUE"""),"BF")</f>
        <v>BF</v>
      </c>
      <c r="N238" s="109">
        <f>IFERROR(__xludf.DUMMYFUNCTION("""COMPUTED_VALUE"""),1.118731175560064)</f>
        <v>1.118731176</v>
      </c>
      <c r="O238" s="71" t="str">
        <f>IFERROR(__xludf.DUMMYFUNCTION("""COMPUTED_VALUE"""),"")</f>
        <v/>
      </c>
      <c r="P238" s="71" t="str">
        <f>IFERROR(__xludf.DUMMYFUNCTION("""COMPUTED_VALUE"""),"")</f>
        <v/>
      </c>
      <c r="Q238" s="88" t="str">
        <f>IFERROR(__xludf.DUMMYFUNCTION("""COMPUTED_VALUE"""),"")</f>
        <v/>
      </c>
      <c r="R238" s="88" t="str">
        <f>IFERROR(__xludf.DUMMYFUNCTION("""COMPUTED_VALUE"""),"")</f>
        <v/>
      </c>
      <c r="S238" s="61" t="str">
        <f>IFERROR(__xludf.DUMMYFUNCTION("""COMPUTED_VALUE"""),"")</f>
        <v/>
      </c>
      <c r="T238" s="61" t="str">
        <f>IFERROR(__xludf.DUMMYFUNCTION("""COMPUTED_VALUE"""),"")</f>
        <v/>
      </c>
      <c r="U238" s="111" t="str">
        <f>IFERROR(__xludf.DUMMYFUNCTION("""COMPUTED_VALUE"""),"")</f>
        <v/>
      </c>
      <c r="V238" s="88" t="str">
        <f>IFERROR(__xludf.DUMMYFUNCTION("""COMPUTED_VALUE"""),"")</f>
        <v/>
      </c>
      <c r="W238" s="62" t="str">
        <f>IFERROR(__xludf.DUMMYFUNCTION("""COMPUTED_VALUE"""),"")</f>
        <v/>
      </c>
      <c r="X238" s="62" t="str">
        <f>IFERROR(__xludf.DUMMYFUNCTION("""COMPUTED_VALUE"""),"")</f>
        <v/>
      </c>
      <c r="Y238" s="109" t="str">
        <f>IFERROR(__xludf.DUMMYFUNCTION("""COMPUTED_VALUE"""),"")</f>
        <v/>
      </c>
      <c r="Z238" s="113" t="str">
        <f>IFERROR(__xludf.DUMMYFUNCTION("""COMPUTED_VALUE"""),"")</f>
        <v/>
      </c>
      <c r="AA238" s="113" t="str">
        <f>IFERROR(__xludf.DUMMYFUNCTION("""COMPUTED_VALUE"""),"")</f>
        <v/>
      </c>
      <c r="AB238" s="71" t="str">
        <f>IFERROR(__xludf.DUMMYFUNCTION("""COMPUTED_VALUE"""),"")</f>
        <v/>
      </c>
    </row>
    <row r="239">
      <c r="A239" s="105">
        <f>IFERROR(__xludf.DUMMYFUNCTION("""COMPUTED_VALUE"""),45971.56993041666)</f>
        <v>45971.56993</v>
      </c>
      <c r="B239" s="71" t="str">
        <f>IFERROR(__xludf.DUMMYFUNCTION("""COMPUTED_VALUE"""),"Orpheus Wilson")</f>
        <v>Orpheus Wilson</v>
      </c>
      <c r="C239" s="71" t="b">
        <f>IFERROR(__xludf.DUMMYFUNCTION("""COMPUTED_VALUE"""),FALSE)</f>
        <v>0</v>
      </c>
      <c r="D239" s="132">
        <f>IFERROR(__xludf.DUMMYFUNCTION("""COMPUTED_VALUE"""),0.4881944444423425)</f>
        <v>0.4881944444</v>
      </c>
      <c r="E239" s="78">
        <f>IFERROR(__xludf.DUMMYFUNCTION("""COMPUTED_VALUE"""),0.07361111111094942)</f>
        <v>0.07361111111</v>
      </c>
      <c r="F239" s="132">
        <f>IFERROR(__xludf.DUMMYFUNCTION("""COMPUTED_VALUE"""),0.5618055555532919)</f>
        <v>0.5618055556</v>
      </c>
      <c r="G239" s="78">
        <f>IFERROR(__xludf.DUMMYFUNCTION("""COMPUTED_VALUE"""),0.07361111111094942)</f>
        <v>0.07361111111</v>
      </c>
      <c r="H239" s="110">
        <f>IFERROR(__xludf.DUMMYFUNCTION("""COMPUTED_VALUE"""),157.0)</f>
        <v>157</v>
      </c>
      <c r="I239" s="108">
        <f>IFERROR(__xludf.DUMMYFUNCTION("""COMPUTED_VALUE"""),88.86792452849708)</f>
        <v>88.86792453</v>
      </c>
      <c r="J239" s="71" t="str">
        <f>IFERROR(__xludf.DUMMYFUNCTION("""COMPUTED_VALUE"""),"Lunch")</f>
        <v>Lunch</v>
      </c>
      <c r="K239" s="106">
        <f>IFERROR(__xludf.DUMMYFUNCTION("""COMPUTED_VALUE"""),45971.0)</f>
        <v>45971</v>
      </c>
      <c r="L239" s="71" t="str">
        <f>IFERROR(__xludf.DUMMYFUNCTION("""COMPUTED_VALUE"""),"Monday")</f>
        <v>Monday</v>
      </c>
      <c r="M239" s="71" t="str">
        <f>IFERROR(__xludf.DUMMYFUNCTION("""COMPUTED_VALUE"""),"MF")</f>
        <v>MF</v>
      </c>
      <c r="N239" s="109">
        <f>IFERROR(__xludf.DUMMYFUNCTION("""COMPUTED_VALUE"""),1.8479945588880733)</f>
        <v>1.847994559</v>
      </c>
      <c r="O239" s="71" t="str">
        <f>IFERROR(__xludf.DUMMYFUNCTION("""COMPUTED_VALUE"""),"")</f>
        <v/>
      </c>
      <c r="P239" s="71" t="str">
        <f>IFERROR(__xludf.DUMMYFUNCTION("""COMPUTED_VALUE"""),"")</f>
        <v/>
      </c>
      <c r="Q239" s="78" t="str">
        <f>IFERROR(__xludf.DUMMYFUNCTION("""COMPUTED_VALUE"""),"")</f>
        <v/>
      </c>
      <c r="R239" s="78" t="str">
        <f>IFERROR(__xludf.DUMMYFUNCTION("""COMPUTED_VALUE"""),"")</f>
        <v/>
      </c>
      <c r="S239" s="61" t="str">
        <f>IFERROR(__xludf.DUMMYFUNCTION("""COMPUTED_VALUE"""),"")</f>
        <v/>
      </c>
      <c r="T239" s="61" t="str">
        <f>IFERROR(__xludf.DUMMYFUNCTION("""COMPUTED_VALUE"""),"")</f>
        <v/>
      </c>
      <c r="U239" s="133" t="str">
        <f>IFERROR(__xludf.DUMMYFUNCTION("""COMPUTED_VALUE"""),"")</f>
        <v/>
      </c>
      <c r="V239" s="78" t="str">
        <f>IFERROR(__xludf.DUMMYFUNCTION("""COMPUTED_VALUE"""),"")</f>
        <v/>
      </c>
      <c r="W239" s="62" t="str">
        <f>IFERROR(__xludf.DUMMYFUNCTION("""COMPUTED_VALUE"""),"")</f>
        <v/>
      </c>
      <c r="X239" s="62" t="str">
        <f>IFERROR(__xludf.DUMMYFUNCTION("""COMPUTED_VALUE"""),"")</f>
        <v/>
      </c>
      <c r="Y239" s="109" t="str">
        <f>IFERROR(__xludf.DUMMYFUNCTION("""COMPUTED_VALUE"""),"")</f>
        <v/>
      </c>
      <c r="Z239" s="113" t="str">
        <f>IFERROR(__xludf.DUMMYFUNCTION("""COMPUTED_VALUE"""),"")</f>
        <v/>
      </c>
      <c r="AA239" s="113" t="str">
        <f>IFERROR(__xludf.DUMMYFUNCTION("""COMPUTED_VALUE"""),"")</f>
        <v/>
      </c>
      <c r="AB239" s="71" t="str">
        <f>IFERROR(__xludf.DUMMYFUNCTION("""COMPUTED_VALUE"""),"")</f>
        <v/>
      </c>
    </row>
    <row r="240">
      <c r="A240" s="105">
        <f>IFERROR(__xludf.DUMMYFUNCTION("""COMPUTED_VALUE"""),45971.633528182865)</f>
        <v>45971.63353</v>
      </c>
      <c r="B240" s="71" t="str">
        <f>IFERROR(__xludf.DUMMYFUNCTION("""COMPUTED_VALUE"""),"Greta Traynor")</f>
        <v>Greta Traynor</v>
      </c>
      <c r="C240" s="71" t="b">
        <f>IFERROR(__xludf.DUMMYFUNCTION("""COMPUTED_VALUE"""),FALSE)</f>
        <v>0</v>
      </c>
      <c r="D240" s="132">
        <f>IFERROR(__xludf.DUMMYFUNCTION("""COMPUTED_VALUE"""),0.5638888888934162)</f>
        <v>0.5638888889</v>
      </c>
      <c r="E240" s="78">
        <f>IFERROR(__xludf.DUMMYFUNCTION("""COMPUTED_VALUE"""),0.06944444443797693)</f>
        <v>0.06944444444</v>
      </c>
      <c r="F240" s="132">
        <f>IFERROR(__xludf.DUMMYFUNCTION("""COMPUTED_VALUE"""),0.6333333333313931)</f>
        <v>0.6333333333</v>
      </c>
      <c r="G240" s="78">
        <f>IFERROR(__xludf.DUMMYFUNCTION("""COMPUTED_VALUE"""),0.06944444443797693)</f>
        <v>0.06944444444</v>
      </c>
      <c r="H240" s="110">
        <f>IFERROR(__xludf.DUMMYFUNCTION("""COMPUTED_VALUE"""),83.0)</f>
        <v>83</v>
      </c>
      <c r="I240" s="108">
        <f>IFERROR(__xludf.DUMMYFUNCTION("""COMPUTED_VALUE"""),49.80000000463799)</f>
        <v>49.8</v>
      </c>
      <c r="J240" s="71" t="str">
        <f>IFERROR(__xludf.DUMMYFUNCTION("""COMPUTED_VALUE"""),"Lunch")</f>
        <v>Lunch</v>
      </c>
      <c r="K240" s="106">
        <f>IFERROR(__xludf.DUMMYFUNCTION("""COMPUTED_VALUE"""),45971.0)</f>
        <v>45971</v>
      </c>
      <c r="L240" s="71" t="str">
        <f>IFERROR(__xludf.DUMMYFUNCTION("""COMPUTED_VALUE"""),"Monday")</f>
        <v>Monday</v>
      </c>
      <c r="M240" s="71" t="str">
        <f>IFERROR(__xludf.DUMMYFUNCTION("""COMPUTED_VALUE"""),"MF")</f>
        <v>MF</v>
      </c>
      <c r="N240" s="109">
        <f>IFERROR(__xludf.DUMMYFUNCTION("""COMPUTED_VALUE"""),1.0355831930303032)</f>
        <v>1.035583193</v>
      </c>
      <c r="O240" s="71" t="str">
        <f>IFERROR(__xludf.DUMMYFUNCTION("""COMPUTED_VALUE"""),"")</f>
        <v/>
      </c>
      <c r="P240" s="71" t="str">
        <f>IFERROR(__xludf.DUMMYFUNCTION("""COMPUTED_VALUE"""),"")</f>
        <v/>
      </c>
      <c r="Q240" s="78" t="str">
        <f>IFERROR(__xludf.DUMMYFUNCTION("""COMPUTED_VALUE"""),"")</f>
        <v/>
      </c>
      <c r="R240" s="78" t="str">
        <f>IFERROR(__xludf.DUMMYFUNCTION("""COMPUTED_VALUE"""),"")</f>
        <v/>
      </c>
      <c r="S240" s="61" t="str">
        <f>IFERROR(__xludf.DUMMYFUNCTION("""COMPUTED_VALUE"""),"")</f>
        <v/>
      </c>
      <c r="T240" s="61" t="str">
        <f>IFERROR(__xludf.DUMMYFUNCTION("""COMPUTED_VALUE"""),"")</f>
        <v/>
      </c>
      <c r="U240" s="133" t="str">
        <f>IFERROR(__xludf.DUMMYFUNCTION("""COMPUTED_VALUE"""),"")</f>
        <v/>
      </c>
      <c r="V240" s="78" t="str">
        <f>IFERROR(__xludf.DUMMYFUNCTION("""COMPUTED_VALUE"""),"")</f>
        <v/>
      </c>
      <c r="W240" s="62" t="str">
        <f>IFERROR(__xludf.DUMMYFUNCTION("""COMPUTED_VALUE"""),"")</f>
        <v/>
      </c>
      <c r="X240" s="62" t="str">
        <f>IFERROR(__xludf.DUMMYFUNCTION("""COMPUTED_VALUE"""),"")</f>
        <v/>
      </c>
      <c r="Y240" s="109" t="str">
        <f>IFERROR(__xludf.DUMMYFUNCTION("""COMPUTED_VALUE"""),"")</f>
        <v/>
      </c>
      <c r="Z240" s="113" t="str">
        <f>IFERROR(__xludf.DUMMYFUNCTION("""COMPUTED_VALUE"""),"")</f>
        <v/>
      </c>
      <c r="AA240" s="113" t="str">
        <f>IFERROR(__xludf.DUMMYFUNCTION("""COMPUTED_VALUE"""),"")</f>
        <v/>
      </c>
      <c r="AB240" s="71" t="str">
        <f>IFERROR(__xludf.DUMMYFUNCTION("""COMPUTED_VALUE"""),"")</f>
        <v/>
      </c>
    </row>
    <row r="241">
      <c r="A241" s="105">
        <f>IFERROR(__xludf.DUMMYFUNCTION("""COMPUTED_VALUE"""),45971.76520185186)</f>
        <v>45971.7652</v>
      </c>
      <c r="B241" s="71" t="str">
        <f>IFERROR(__xludf.DUMMYFUNCTION("""COMPUTED_VALUE"""),"Maureen Surgot")</f>
        <v>Maureen Surgot</v>
      </c>
      <c r="C241" s="71" t="b">
        <f>IFERROR(__xludf.DUMMYFUNCTION("""COMPUTED_VALUE"""),FALSE)</f>
        <v>0</v>
      </c>
      <c r="D241" s="132">
        <f>IFERROR(__xludf.DUMMYFUNCTION("""COMPUTED_VALUE"""),0.6666666666642413)</f>
        <v>0.6666666667</v>
      </c>
      <c r="E241" s="78">
        <f>IFERROR(__xludf.DUMMYFUNCTION("""COMPUTED_VALUE"""),0.1041666666715173)</f>
        <v>0.1041666667</v>
      </c>
      <c r="F241" s="132">
        <f>IFERROR(__xludf.DUMMYFUNCTION("""COMPUTED_VALUE"""),0.7708333333357587)</f>
        <v>0.7708333333</v>
      </c>
      <c r="G241" s="78">
        <f>IFERROR(__xludf.DUMMYFUNCTION("""COMPUTED_VALUE"""),0.1041666666715173)</f>
        <v>0.1041666667</v>
      </c>
      <c r="H241" s="110">
        <f>IFERROR(__xludf.DUMMYFUNCTION("""COMPUTED_VALUE"""),106.0)</f>
        <v>106</v>
      </c>
      <c r="I241" s="108">
        <f>IFERROR(__xludf.DUMMYFUNCTION("""COMPUTED_VALUE"""),42.3999999980256)</f>
        <v>42.4</v>
      </c>
      <c r="J241" s="71" t="str">
        <f>IFERROR(__xludf.DUMMYFUNCTION("""COMPUTED_VALUE"""),"Dinner")</f>
        <v>Dinner</v>
      </c>
      <c r="K241" s="106">
        <f>IFERROR(__xludf.DUMMYFUNCTION("""COMPUTED_VALUE"""),45971.0)</f>
        <v>45971</v>
      </c>
      <c r="L241" s="71" t="str">
        <f>IFERROR(__xludf.DUMMYFUNCTION("""COMPUTED_VALUE"""),"Monday")</f>
        <v>Monday</v>
      </c>
      <c r="M241" s="71" t="str">
        <f>IFERROR(__xludf.DUMMYFUNCTION("""COMPUTED_VALUE"""),"MF")</f>
        <v>MF</v>
      </c>
      <c r="N241" s="109">
        <f>IFERROR(__xludf.DUMMYFUNCTION("""COMPUTED_VALUE"""),0.8354914129454781)</f>
        <v>0.8354914129</v>
      </c>
      <c r="O241" s="71" t="str">
        <f>IFERROR(__xludf.DUMMYFUNCTION("""COMPUTED_VALUE"""),"")</f>
        <v/>
      </c>
      <c r="P241" s="71" t="str">
        <f>IFERROR(__xludf.DUMMYFUNCTION("""COMPUTED_VALUE"""),"")</f>
        <v/>
      </c>
      <c r="Q241" s="78" t="str">
        <f>IFERROR(__xludf.DUMMYFUNCTION("""COMPUTED_VALUE"""),"")</f>
        <v/>
      </c>
      <c r="R241" s="78" t="str">
        <f>IFERROR(__xludf.DUMMYFUNCTION("""COMPUTED_VALUE"""),"")</f>
        <v/>
      </c>
      <c r="S241" s="61" t="str">
        <f>IFERROR(__xludf.DUMMYFUNCTION("""COMPUTED_VALUE"""),"")</f>
        <v/>
      </c>
      <c r="T241" s="61" t="str">
        <f>IFERROR(__xludf.DUMMYFUNCTION("""COMPUTED_VALUE"""),"")</f>
        <v/>
      </c>
      <c r="U241" s="133" t="str">
        <f>IFERROR(__xludf.DUMMYFUNCTION("""COMPUTED_VALUE"""),"")</f>
        <v/>
      </c>
      <c r="V241" s="78" t="str">
        <f>IFERROR(__xludf.DUMMYFUNCTION("""COMPUTED_VALUE"""),"")</f>
        <v/>
      </c>
      <c r="W241" s="62" t="str">
        <f>IFERROR(__xludf.DUMMYFUNCTION("""COMPUTED_VALUE"""),"")</f>
        <v/>
      </c>
      <c r="X241" s="62" t="str">
        <f>IFERROR(__xludf.DUMMYFUNCTION("""COMPUTED_VALUE"""),"")</f>
        <v/>
      </c>
      <c r="Y241" s="109" t="str">
        <f>IFERROR(__xludf.DUMMYFUNCTION("""COMPUTED_VALUE"""),"")</f>
        <v/>
      </c>
      <c r="Z241" s="113" t="str">
        <f>IFERROR(__xludf.DUMMYFUNCTION("""COMPUTED_VALUE"""),"")</f>
        <v/>
      </c>
      <c r="AA241" s="113" t="str">
        <f>IFERROR(__xludf.DUMMYFUNCTION("""COMPUTED_VALUE"""),"")</f>
        <v/>
      </c>
      <c r="AB241" s="71" t="str">
        <f>IFERROR(__xludf.DUMMYFUNCTION("""COMPUTED_VALUE"""),"")</f>
        <v/>
      </c>
    </row>
    <row r="242">
      <c r="A242" s="105">
        <f>IFERROR(__xludf.DUMMYFUNCTION("""COMPUTED_VALUE"""),45971.880996747685)</f>
        <v>45971.881</v>
      </c>
      <c r="B242" s="71" t="str">
        <f>IFERROR(__xludf.DUMMYFUNCTION("""COMPUTED_VALUE"""),"Elliott Haber")</f>
        <v>Elliott Haber</v>
      </c>
      <c r="C242" s="71" t="b">
        <f>IFERROR(__xludf.DUMMYFUNCTION("""COMPUTED_VALUE"""),FALSE)</f>
        <v>0</v>
      </c>
      <c r="D242" s="132">
        <f>IFERROR(__xludf.DUMMYFUNCTION("""COMPUTED_VALUE"""),0.773611111115315)</f>
        <v>0.7736111111</v>
      </c>
      <c r="E242" s="78">
        <f>IFERROR(__xludf.DUMMYFUNCTION("""COMPUTED_VALUE"""),0.09999999999126885)</f>
        <v>0.09999999999</v>
      </c>
      <c r="F242" s="132">
        <f>IFERROR(__xludf.DUMMYFUNCTION("""COMPUTED_VALUE"""),0.8736111111065838)</f>
        <v>0.8736111111</v>
      </c>
      <c r="G242" s="78">
        <f>IFERROR(__xludf.DUMMYFUNCTION("""COMPUTED_VALUE"""),0.09999999999126885)</f>
        <v>0.09999999999</v>
      </c>
      <c r="H242" s="110">
        <f>IFERROR(__xludf.DUMMYFUNCTION("""COMPUTED_VALUE"""),109.0)</f>
        <v>109</v>
      </c>
      <c r="I242" s="108">
        <f>IFERROR(__xludf.DUMMYFUNCTION("""COMPUTED_VALUE"""),45.41666667063206)</f>
        <v>45.41666667</v>
      </c>
      <c r="J242" s="71" t="str">
        <f>IFERROR(__xludf.DUMMYFUNCTION("""COMPUTED_VALUE"""),"Dinner")</f>
        <v>Dinner</v>
      </c>
      <c r="K242" s="106">
        <f>IFERROR(__xludf.DUMMYFUNCTION("""COMPUTED_VALUE"""),45971.0)</f>
        <v>45971</v>
      </c>
      <c r="L242" s="71" t="str">
        <f>IFERROR(__xludf.DUMMYFUNCTION("""COMPUTED_VALUE"""),"Monday")</f>
        <v>Monday</v>
      </c>
      <c r="M242" s="71" t="str">
        <f>IFERROR(__xludf.DUMMYFUNCTION("""COMPUTED_VALUE"""),"MF")</f>
        <v>MF</v>
      </c>
      <c r="N242" s="109">
        <f>IFERROR(__xludf.DUMMYFUNCTION("""COMPUTED_VALUE"""),0.8949347879643194)</f>
        <v>0.894934788</v>
      </c>
      <c r="O242" s="71" t="str">
        <f>IFERROR(__xludf.DUMMYFUNCTION("""COMPUTED_VALUE"""),"")</f>
        <v/>
      </c>
      <c r="P242" s="71" t="str">
        <f>IFERROR(__xludf.DUMMYFUNCTION("""COMPUTED_VALUE"""),"")</f>
        <v/>
      </c>
      <c r="Q242" s="88" t="str">
        <f>IFERROR(__xludf.DUMMYFUNCTION("""COMPUTED_VALUE"""),"")</f>
        <v/>
      </c>
      <c r="R242" s="88" t="str">
        <f>IFERROR(__xludf.DUMMYFUNCTION("""COMPUTED_VALUE"""),"")</f>
        <v/>
      </c>
      <c r="S242" s="61" t="str">
        <f>IFERROR(__xludf.DUMMYFUNCTION("""COMPUTED_VALUE"""),"")</f>
        <v/>
      </c>
      <c r="T242" s="61" t="str">
        <f>IFERROR(__xludf.DUMMYFUNCTION("""COMPUTED_VALUE"""),"")</f>
        <v/>
      </c>
      <c r="U242" s="111" t="str">
        <f>IFERROR(__xludf.DUMMYFUNCTION("""COMPUTED_VALUE"""),"")</f>
        <v/>
      </c>
      <c r="V242" s="88" t="str">
        <f>IFERROR(__xludf.DUMMYFUNCTION("""COMPUTED_VALUE"""),"")</f>
        <v/>
      </c>
      <c r="W242" s="62" t="str">
        <f>IFERROR(__xludf.DUMMYFUNCTION("""COMPUTED_VALUE"""),"")</f>
        <v/>
      </c>
      <c r="X242" s="62" t="str">
        <f>IFERROR(__xludf.DUMMYFUNCTION("""COMPUTED_VALUE"""),"")</f>
        <v/>
      </c>
      <c r="Y242" s="109" t="str">
        <f>IFERROR(__xludf.DUMMYFUNCTION("""COMPUTED_VALUE"""),"")</f>
        <v/>
      </c>
      <c r="Z242" s="113" t="str">
        <f>IFERROR(__xludf.DUMMYFUNCTION("""COMPUTED_VALUE"""),"")</f>
        <v/>
      </c>
      <c r="AA242" s="113" t="str">
        <f>IFERROR(__xludf.DUMMYFUNCTION("""COMPUTED_VALUE"""),"")</f>
        <v/>
      </c>
      <c r="AB242" s="71" t="str">
        <f>IFERROR(__xludf.DUMMYFUNCTION("""COMPUTED_VALUE"""),"")</f>
        <v/>
      </c>
    </row>
    <row r="243">
      <c r="A243" s="105">
        <f>IFERROR(__xludf.DUMMYFUNCTION("""COMPUTED_VALUE"""),45972.050429525465)</f>
        <v>45972.05043</v>
      </c>
      <c r="B243" s="71" t="str">
        <f>IFERROR(__xludf.DUMMYFUNCTION("""COMPUTED_VALUE"""),"Kaylie Forgue")</f>
        <v>Kaylie Forgue</v>
      </c>
      <c r="C243" s="71" t="b">
        <f>IFERROR(__xludf.DUMMYFUNCTION("""COMPUTED_VALUE"""),FALSE)</f>
        <v>0</v>
      </c>
      <c r="D243" s="132">
        <f>IFERROR(__xludf.DUMMYFUNCTION("""COMPUTED_VALUE"""),0.6888888888934162)</f>
        <v>0.6888888889</v>
      </c>
      <c r="E243" s="78">
        <f>IFERROR(__xludf.DUMMYFUNCTION("""COMPUTED_VALUE"""),0.17361111110949423)</f>
        <v>0.1736111111</v>
      </c>
      <c r="F243" s="132">
        <f>IFERROR(__xludf.DUMMYFUNCTION("""COMPUTED_VALUE"""),0.8625000000029104)</f>
        <v>0.8625</v>
      </c>
      <c r="G243" s="78">
        <f>IFERROR(__xludf.DUMMYFUNCTION("""COMPUTED_VALUE"""),0.17361111110949423)</f>
        <v>0.1736111111</v>
      </c>
      <c r="H243" s="110">
        <f>IFERROR(__xludf.DUMMYFUNCTION("""COMPUTED_VALUE"""),177.0)</f>
        <v>177</v>
      </c>
      <c r="I243" s="108">
        <f>IFERROR(__xludf.DUMMYFUNCTION("""COMPUTED_VALUE"""),42.48000000039563)</f>
        <v>42.48</v>
      </c>
      <c r="J243" s="71" t="str">
        <f>IFERROR(__xludf.DUMMYFUNCTION("""COMPUTED_VALUE"""),"Dinner")</f>
        <v>Dinner</v>
      </c>
      <c r="K243" s="106">
        <f>IFERROR(__xludf.DUMMYFUNCTION("""COMPUTED_VALUE"""),45971.0)</f>
        <v>45971</v>
      </c>
      <c r="L243" s="71" t="str">
        <f>IFERROR(__xludf.DUMMYFUNCTION("""COMPUTED_VALUE"""),"Monday")</f>
        <v>Monday</v>
      </c>
      <c r="M243" s="71" t="str">
        <f>IFERROR(__xludf.DUMMYFUNCTION("""COMPUTED_VALUE"""),"BF")</f>
        <v>BF</v>
      </c>
      <c r="N243" s="109">
        <f>IFERROR(__xludf.DUMMYFUNCTION("""COMPUTED_VALUE"""),1.0025137651375398)</f>
        <v>1.002513765</v>
      </c>
      <c r="O243" s="71">
        <f>IFERROR(__xludf.DUMMYFUNCTION("""COMPUTED_VALUE"""),455.0)</f>
        <v>455</v>
      </c>
      <c r="P243" s="71">
        <f>IFERROR(__xludf.DUMMYFUNCTION("""COMPUTED_VALUE"""),355.0)</f>
        <v>355</v>
      </c>
      <c r="Q243" s="78">
        <f>IFERROR(__xludf.DUMMYFUNCTION("""COMPUTED_VALUE"""),0.3472222222117125)</f>
        <v>0.3472222222</v>
      </c>
      <c r="R243" s="78">
        <f>IFERROR(__xludf.DUMMYFUNCTION("""COMPUTED_VALUE"""),0.3659722222146229)</f>
        <v>0.3659722222</v>
      </c>
      <c r="S243" s="61">
        <f>IFERROR(__xludf.DUMMYFUNCTION("""COMPUTED_VALUE"""),56.621147800448185)</f>
        <v>56.6211478</v>
      </c>
      <c r="T243" s="61">
        <f>IFERROR(__xludf.DUMMYFUNCTION("""COMPUTED_VALUE"""),44.78232300561577)</f>
        <v>44.78232301</v>
      </c>
      <c r="U243" s="133">
        <f>IFERROR(__xludf.DUMMYFUNCTION("""COMPUTED_VALUE"""),810.0)</f>
        <v>810</v>
      </c>
      <c r="V243" s="78">
        <f>IFERROR(__xludf.DUMMYFUNCTION("""COMPUTED_VALUE"""),0.7131944444263354)</f>
        <v>0.7131944444</v>
      </c>
      <c r="W243" s="62">
        <f>IFERROR(__xludf.DUMMYFUNCTION("""COMPUTED_VALUE"""),47.32229795641093)</f>
        <v>47.32229796</v>
      </c>
      <c r="X243" s="62">
        <f>IFERROR(__xludf.DUMMYFUNCTION("""COMPUTED_VALUE"""),51.547365745520004)</f>
        <v>51.54736575</v>
      </c>
      <c r="Y243" s="109">
        <f>IFERROR(__xludf.DUMMYFUNCTION("""COMPUTED_VALUE"""),1.1692372262669015)</f>
        <v>1.169237226</v>
      </c>
      <c r="Z243" s="113">
        <f>IFERROR(__xludf.DUMMYFUNCTION("""COMPUTED_VALUE"""),3333.0)</f>
        <v>3333</v>
      </c>
      <c r="AA243" s="113">
        <f>IFERROR(__xludf.DUMMYFUNCTION("""COMPUTED_VALUE"""),3744.0)</f>
        <v>3744</v>
      </c>
      <c r="AB243" s="113">
        <f>IFERROR(__xludf.DUMMYFUNCTION("""COMPUTED_VALUE"""),7077.0)</f>
        <v>7077</v>
      </c>
    </row>
    <row r="244">
      <c r="A244" s="105">
        <f>IFERROR(__xludf.DUMMYFUNCTION("""COMPUTED_VALUE"""),45972.39550226852)</f>
        <v>45972.3955</v>
      </c>
      <c r="B244" s="71" t="str">
        <f>IFERROR(__xludf.DUMMYFUNCTION("""COMPUTED_VALUE"""),"Evan Morgan")</f>
        <v>Evan Morgan</v>
      </c>
      <c r="C244" s="71" t="b">
        <f>IFERROR(__xludf.DUMMYFUNCTION("""COMPUTED_VALUE"""),FALSE)</f>
        <v>0</v>
      </c>
      <c r="D244" s="132">
        <f>IFERROR(__xludf.DUMMYFUNCTION("""COMPUTED_VALUE"""),0.29166666666424135)</f>
        <v>0.2916666667</v>
      </c>
      <c r="E244" s="78">
        <f>IFERROR(__xludf.DUMMYFUNCTION("""COMPUTED_VALUE"""),0.1041666666715173)</f>
        <v>0.1041666667</v>
      </c>
      <c r="F244" s="132">
        <f>IFERROR(__xludf.DUMMYFUNCTION("""COMPUTED_VALUE"""),0.39583333333575865)</f>
        <v>0.3958333333</v>
      </c>
      <c r="G244" s="78">
        <f>IFERROR(__xludf.DUMMYFUNCTION("""COMPUTED_VALUE"""),0.1041666666715173)</f>
        <v>0.1041666667</v>
      </c>
      <c r="H244" s="110">
        <f>IFERROR(__xludf.DUMMYFUNCTION("""COMPUTED_VALUE"""),12.0)</f>
        <v>12</v>
      </c>
      <c r="I244" s="108">
        <f>IFERROR(__xludf.DUMMYFUNCTION("""COMPUTED_VALUE"""),4.799999999776483)</f>
        <v>4.8</v>
      </c>
      <c r="J244" s="71" t="str">
        <f>IFERROR(__xludf.DUMMYFUNCTION("""COMPUTED_VALUE"""),"Breakfast")</f>
        <v>Breakfast</v>
      </c>
      <c r="K244" s="106">
        <f>IFERROR(__xludf.DUMMYFUNCTION("""COMPUTED_VALUE"""),45972.0)</f>
        <v>45972</v>
      </c>
      <c r="L244" s="71" t="str">
        <f>IFERROR(__xludf.DUMMYFUNCTION("""COMPUTED_VALUE"""),"Tuesday")</f>
        <v>Tuesday</v>
      </c>
      <c r="M244" s="71" t="str">
        <f>IFERROR(__xludf.DUMMYFUNCTION("""COMPUTED_VALUE"""),"BF")</f>
        <v>BF</v>
      </c>
      <c r="N244" s="109">
        <f>IFERROR(__xludf.DUMMYFUNCTION("""COMPUTED_VALUE"""),0.20328563490868104)</f>
        <v>0.2032856349</v>
      </c>
      <c r="O244" s="71" t="str">
        <f>IFERROR(__xludf.DUMMYFUNCTION("""COMPUTED_VALUE"""),"")</f>
        <v/>
      </c>
      <c r="P244" s="71">
        <f>IFERROR(__xludf.DUMMYFUNCTION("""COMPUTED_VALUE"""),12.0)</f>
        <v>12</v>
      </c>
      <c r="Q244" s="78" t="str">
        <f>IFERROR(__xludf.DUMMYFUNCTION("""COMPUTED_VALUE"""),"")</f>
        <v/>
      </c>
      <c r="R244" s="78">
        <f>IFERROR(__xludf.DUMMYFUNCTION("""COMPUTED_VALUE"""),0.1041666666715173)</f>
        <v>0.1041666667</v>
      </c>
      <c r="S244" s="61" t="str">
        <f>IFERROR(__xludf.DUMMYFUNCTION("""COMPUTED_VALUE"""),"")</f>
        <v/>
      </c>
      <c r="T244" s="61">
        <f>IFERROR(__xludf.DUMMYFUNCTION("""COMPUTED_VALUE"""),4.799999999776483)</f>
        <v>4.8</v>
      </c>
      <c r="U244" s="133">
        <f>IFERROR(__xludf.DUMMYFUNCTION("""COMPUTED_VALUE"""),12.0)</f>
        <v>12</v>
      </c>
      <c r="V244" s="78">
        <f>IFERROR(__xludf.DUMMYFUNCTION("""COMPUTED_VALUE"""),0.1041666666715173)</f>
        <v>0.1041666667</v>
      </c>
      <c r="W244" s="62">
        <f>IFERROR(__xludf.DUMMYFUNCTION("""COMPUTED_VALUE"""),4.799999999776483)</f>
        <v>4.8</v>
      </c>
      <c r="X244" s="62">
        <f>IFERROR(__xludf.DUMMYFUNCTION("""COMPUTED_VALUE"""),4.799999999776483)</f>
        <v>4.8</v>
      </c>
      <c r="Y244" s="109">
        <f>IFERROR(__xludf.DUMMYFUNCTION("""COMPUTED_VALUE"""),0.20328563490868104)</f>
        <v>0.2032856349</v>
      </c>
      <c r="Z244" s="113">
        <f>IFERROR(__xludf.DUMMYFUNCTION("""COMPUTED_VALUE"""),2715.0)</f>
        <v>2715</v>
      </c>
      <c r="AA244" s="113">
        <f>IFERROR(__xludf.DUMMYFUNCTION("""COMPUTED_VALUE"""),2382.0)</f>
        <v>2382</v>
      </c>
      <c r="AB244" s="113">
        <f>IFERROR(__xludf.DUMMYFUNCTION("""COMPUTED_VALUE"""),5097.0)</f>
        <v>5097</v>
      </c>
    </row>
    <row r="245">
      <c r="A245" s="105">
        <f>IFERROR(__xludf.DUMMYFUNCTION("""COMPUTED_VALUE"""),45973.632249849536)</f>
        <v>45973.63225</v>
      </c>
      <c r="B245" s="71" t="str">
        <f>IFERROR(__xludf.DUMMYFUNCTION("""COMPUTED_VALUE"""),"Greta Traynor")</f>
        <v>Greta Traynor</v>
      </c>
      <c r="C245" s="71" t="b">
        <f>IFERROR(__xludf.DUMMYFUNCTION("""COMPUTED_VALUE"""),FALSE)</f>
        <v>0</v>
      </c>
      <c r="D245" s="132">
        <f>IFERROR(__xludf.DUMMYFUNCTION("""COMPUTED_VALUE"""),0.5652777777795563)</f>
        <v>0.5652777778</v>
      </c>
      <c r="E245" s="78">
        <f>IFERROR(__xludf.DUMMYFUNCTION("""COMPUTED_VALUE"""),0.06736111110512866)</f>
        <v>0.06736111111</v>
      </c>
      <c r="F245" s="132">
        <f>IFERROR(__xludf.DUMMYFUNCTION("""COMPUTED_VALUE"""),0.632638888884685)</f>
        <v>0.6326388889</v>
      </c>
      <c r="G245" s="78">
        <f>IFERROR(__xludf.DUMMYFUNCTION("""COMPUTED_VALUE"""),0.06736111110512866)</f>
        <v>0.06736111111</v>
      </c>
      <c r="H245" s="110">
        <f>IFERROR(__xludf.DUMMYFUNCTION("""COMPUTED_VALUE"""),84.0)</f>
        <v>84</v>
      </c>
      <c r="I245" s="108">
        <f>IFERROR(__xludf.DUMMYFUNCTION("""COMPUTED_VALUE"""),51.95876289121249)</f>
        <v>51.95876289</v>
      </c>
      <c r="J245" s="71" t="str">
        <f>IFERROR(__xludf.DUMMYFUNCTION("""COMPUTED_VALUE"""),"Lunch")</f>
        <v>Lunch</v>
      </c>
      <c r="K245" s="106">
        <f>IFERROR(__xludf.DUMMYFUNCTION("""COMPUTED_VALUE"""),45973.0)</f>
        <v>45973</v>
      </c>
      <c r="L245" s="71" t="str">
        <f>IFERROR(__xludf.DUMMYFUNCTION("""COMPUTED_VALUE"""),"Wednesday")</f>
        <v>Wednesday</v>
      </c>
      <c r="M245" s="71" t="str">
        <f>IFERROR(__xludf.DUMMYFUNCTION("""COMPUTED_VALUE"""),"MF")</f>
        <v>MF</v>
      </c>
      <c r="N245" s="109">
        <f>IFERROR(__xludf.DUMMYFUNCTION("""COMPUTED_VALUE"""),1.080474328830824)</f>
        <v>1.080474329</v>
      </c>
      <c r="O245" s="71" t="str">
        <f>IFERROR(__xludf.DUMMYFUNCTION("""COMPUTED_VALUE"""),"")</f>
        <v/>
      </c>
      <c r="P245" s="71" t="str">
        <f>IFERROR(__xludf.DUMMYFUNCTION("""COMPUTED_VALUE"""),"")</f>
        <v/>
      </c>
      <c r="Q245" s="78" t="str">
        <f>IFERROR(__xludf.DUMMYFUNCTION("""COMPUTED_VALUE"""),"")</f>
        <v/>
      </c>
      <c r="R245" s="78" t="str">
        <f>IFERROR(__xludf.DUMMYFUNCTION("""COMPUTED_VALUE"""),"")</f>
        <v/>
      </c>
      <c r="S245" s="61" t="str">
        <f>IFERROR(__xludf.DUMMYFUNCTION("""COMPUTED_VALUE"""),"")</f>
        <v/>
      </c>
      <c r="T245" s="61" t="str">
        <f>IFERROR(__xludf.DUMMYFUNCTION("""COMPUTED_VALUE"""),"")</f>
        <v/>
      </c>
      <c r="U245" s="133" t="str">
        <f>IFERROR(__xludf.DUMMYFUNCTION("""COMPUTED_VALUE"""),"")</f>
        <v/>
      </c>
      <c r="V245" s="78" t="str">
        <f>IFERROR(__xludf.DUMMYFUNCTION("""COMPUTED_VALUE"""),"")</f>
        <v/>
      </c>
      <c r="W245" s="62" t="str">
        <f>IFERROR(__xludf.DUMMYFUNCTION("""COMPUTED_VALUE"""),"")</f>
        <v/>
      </c>
      <c r="X245" s="62" t="str">
        <f>IFERROR(__xludf.DUMMYFUNCTION("""COMPUTED_VALUE"""),"")</f>
        <v/>
      </c>
      <c r="Y245" s="109" t="str">
        <f>IFERROR(__xludf.DUMMYFUNCTION("""COMPUTED_VALUE"""),"")</f>
        <v/>
      </c>
      <c r="Z245" s="113" t="str">
        <f>IFERROR(__xludf.DUMMYFUNCTION("""COMPUTED_VALUE"""),"")</f>
        <v/>
      </c>
      <c r="AA245" s="113" t="str">
        <f>IFERROR(__xludf.DUMMYFUNCTION("""COMPUTED_VALUE"""),"")</f>
        <v/>
      </c>
      <c r="AB245" s="71" t="str">
        <f>IFERROR(__xludf.DUMMYFUNCTION("""COMPUTED_VALUE"""),"")</f>
        <v/>
      </c>
    </row>
    <row r="246">
      <c r="A246" s="105">
        <f>IFERROR(__xludf.DUMMYFUNCTION("""COMPUTED_VALUE"""),45973.68696310185)</f>
        <v>45973.68696</v>
      </c>
      <c r="B246" s="71" t="str">
        <f>IFERROR(__xludf.DUMMYFUNCTION("""COMPUTED_VALUE"""),"Sarah Wilme")</f>
        <v>Sarah Wilme</v>
      </c>
      <c r="C246" s="71" t="b">
        <f>IFERROR(__xludf.DUMMYFUNCTION("""COMPUTED_VALUE"""),FALSE)</f>
        <v>0</v>
      </c>
      <c r="D246" s="132">
        <f>IFERROR(__xludf.DUMMYFUNCTION("""COMPUTED_VALUE"""),0.523611111115315)</f>
        <v>0.5236111111</v>
      </c>
      <c r="E246" s="78">
        <f>IFERROR(__xludf.DUMMYFUNCTION("""COMPUTED_VALUE"""),0.1381944444437977)</f>
        <v>0.1381944444</v>
      </c>
      <c r="F246" s="132">
        <f>IFERROR(__xludf.DUMMYFUNCTION("""COMPUTED_VALUE"""),0.6618055555591127)</f>
        <v>0.6618055556</v>
      </c>
      <c r="G246" s="78">
        <f>IFERROR(__xludf.DUMMYFUNCTION("""COMPUTED_VALUE"""),0.20138888889050577)</f>
        <v>0.2013888889</v>
      </c>
      <c r="H246" s="110">
        <f>IFERROR(__xludf.DUMMYFUNCTION("""COMPUTED_VALUE"""),124.0)</f>
        <v>124</v>
      </c>
      <c r="I246" s="108">
        <f>IFERROR(__xludf.DUMMYFUNCTION("""COMPUTED_VALUE"""),25.655172413587128)</f>
        <v>25.65517241</v>
      </c>
      <c r="J246" s="71" t="str">
        <f>IFERROR(__xludf.DUMMYFUNCTION("""COMPUTED_VALUE"""),"Lunch")</f>
        <v>Lunch</v>
      </c>
      <c r="K246" s="106">
        <f>IFERROR(__xludf.DUMMYFUNCTION("""COMPUTED_VALUE"""),45973.0)</f>
        <v>45973</v>
      </c>
      <c r="L246" s="71" t="str">
        <f>IFERROR(__xludf.DUMMYFUNCTION("""COMPUTED_VALUE"""),"Wednesday")</f>
        <v>Wednesday</v>
      </c>
      <c r="M246" s="71" t="str">
        <f>IFERROR(__xludf.DUMMYFUNCTION("""COMPUTED_VALUE"""),"BF")</f>
        <v>BF</v>
      </c>
      <c r="N246" s="109">
        <f>IFERROR(__xludf.DUMMYFUNCTION("""COMPUTED_VALUE"""),0.6606924655541977)</f>
        <v>0.6606924656</v>
      </c>
      <c r="O246" s="71" t="str">
        <f>IFERROR(__xludf.DUMMYFUNCTION("""COMPUTED_VALUE"""),"")</f>
        <v/>
      </c>
      <c r="P246" s="71" t="str">
        <f>IFERROR(__xludf.DUMMYFUNCTION("""COMPUTED_VALUE"""),"")</f>
        <v/>
      </c>
      <c r="Q246" s="78" t="str">
        <f>IFERROR(__xludf.DUMMYFUNCTION("""COMPUTED_VALUE"""),"")</f>
        <v/>
      </c>
      <c r="R246" s="78" t="str">
        <f>IFERROR(__xludf.DUMMYFUNCTION("""COMPUTED_VALUE"""),"")</f>
        <v/>
      </c>
      <c r="S246" s="61" t="str">
        <f>IFERROR(__xludf.DUMMYFUNCTION("""COMPUTED_VALUE"""),"")</f>
        <v/>
      </c>
      <c r="T246" s="61" t="str">
        <f>IFERROR(__xludf.DUMMYFUNCTION("""COMPUTED_VALUE"""),"")</f>
        <v/>
      </c>
      <c r="U246" s="133" t="str">
        <f>IFERROR(__xludf.DUMMYFUNCTION("""COMPUTED_VALUE"""),"")</f>
        <v/>
      </c>
      <c r="V246" s="78" t="str">
        <f>IFERROR(__xludf.DUMMYFUNCTION("""COMPUTED_VALUE"""),"")</f>
        <v/>
      </c>
      <c r="W246" s="62" t="str">
        <f>IFERROR(__xludf.DUMMYFUNCTION("""COMPUTED_VALUE"""),"")</f>
        <v/>
      </c>
      <c r="X246" s="62" t="str">
        <f>IFERROR(__xludf.DUMMYFUNCTION("""COMPUTED_VALUE"""),"")</f>
        <v/>
      </c>
      <c r="Y246" s="109" t="str">
        <f>IFERROR(__xludf.DUMMYFUNCTION("""COMPUTED_VALUE"""),"")</f>
        <v/>
      </c>
      <c r="Z246" s="113" t="str">
        <f>IFERROR(__xludf.DUMMYFUNCTION("""COMPUTED_VALUE"""),"")</f>
        <v/>
      </c>
      <c r="AA246" s="113" t="str">
        <f>IFERROR(__xludf.DUMMYFUNCTION("""COMPUTED_VALUE"""),"")</f>
        <v/>
      </c>
      <c r="AB246" s="71" t="str">
        <f>IFERROR(__xludf.DUMMYFUNCTION("""COMPUTED_VALUE"""),"")</f>
        <v/>
      </c>
    </row>
    <row r="247">
      <c r="A247" s="105">
        <f>IFERROR(__xludf.DUMMYFUNCTION("""COMPUTED_VALUE"""),45973.74741351852)</f>
        <v>45973.74741</v>
      </c>
      <c r="B247" s="71" t="str">
        <f>IFERROR(__xludf.DUMMYFUNCTION("""COMPUTED_VALUE"""),"Sarah Wilme")</f>
        <v>Sarah Wilme</v>
      </c>
      <c r="C247" s="71" t="b">
        <f>IFERROR(__xludf.DUMMYFUNCTION("""COMPUTED_VALUE"""),TRUE)</f>
        <v>1</v>
      </c>
      <c r="D247" s="132">
        <f>IFERROR(__xludf.DUMMYFUNCTION("""COMPUTED_VALUE"""),0.6819444444408873)</f>
        <v>0.6819444444</v>
      </c>
      <c r="E247" s="78">
        <f>IFERROR(__xludf.DUMMYFUNCTION("""COMPUTED_VALUE"""),0.06319444444670808)</f>
        <v>0.06319444445</v>
      </c>
      <c r="F247" s="132">
        <f>IFERROR(__xludf.DUMMYFUNCTION("""COMPUTED_VALUE"""),0.7451388888875954)</f>
        <v>0.7451388889</v>
      </c>
      <c r="G247" s="78" t="str">
        <f>IFERROR(__xludf.DUMMYFUNCTION("""COMPUTED_VALUE"""),"")</f>
        <v/>
      </c>
      <c r="H247" s="110">
        <f>IFERROR(__xludf.DUMMYFUNCTION("""COMPUTED_VALUE"""),43.0)</f>
        <v>43</v>
      </c>
      <c r="I247" s="108" t="str">
        <f>IFERROR(__xludf.DUMMYFUNCTION("""COMPUTED_VALUE"""),"")</f>
        <v/>
      </c>
      <c r="J247" s="71" t="str">
        <f>IFERROR(__xludf.DUMMYFUNCTION("""COMPUTED_VALUE"""),"Dinner")</f>
        <v>Dinner</v>
      </c>
      <c r="K247" s="106">
        <f>IFERROR(__xludf.DUMMYFUNCTION("""COMPUTED_VALUE"""),45973.0)</f>
        <v>45973</v>
      </c>
      <c r="L247" s="71" t="str">
        <f>IFERROR(__xludf.DUMMYFUNCTION("""COMPUTED_VALUE"""),"Wednesday")</f>
        <v>Wednesday</v>
      </c>
      <c r="M247" s="71" t="str">
        <f>IFERROR(__xludf.DUMMYFUNCTION("""COMPUTED_VALUE"""),"BF")</f>
        <v>BF</v>
      </c>
      <c r="N247" s="109" t="str">
        <f>IFERROR(__xludf.DUMMYFUNCTION("""COMPUTED_VALUE"""),"")</f>
        <v/>
      </c>
      <c r="O247" s="71" t="str">
        <f>IFERROR(__xludf.DUMMYFUNCTION("""COMPUTED_VALUE"""),"")</f>
        <v/>
      </c>
      <c r="P247" s="71" t="str">
        <f>IFERROR(__xludf.DUMMYFUNCTION("""COMPUTED_VALUE"""),"")</f>
        <v/>
      </c>
      <c r="Q247" s="78" t="str">
        <f>IFERROR(__xludf.DUMMYFUNCTION("""COMPUTED_VALUE"""),"")</f>
        <v/>
      </c>
      <c r="R247" s="78" t="str">
        <f>IFERROR(__xludf.DUMMYFUNCTION("""COMPUTED_VALUE"""),"")</f>
        <v/>
      </c>
      <c r="S247" s="61" t="str">
        <f>IFERROR(__xludf.DUMMYFUNCTION("""COMPUTED_VALUE"""),"")</f>
        <v/>
      </c>
      <c r="T247" s="61" t="str">
        <f>IFERROR(__xludf.DUMMYFUNCTION("""COMPUTED_VALUE"""),"")</f>
        <v/>
      </c>
      <c r="U247" s="133" t="str">
        <f>IFERROR(__xludf.DUMMYFUNCTION("""COMPUTED_VALUE"""),"")</f>
        <v/>
      </c>
      <c r="V247" s="78" t="str">
        <f>IFERROR(__xludf.DUMMYFUNCTION("""COMPUTED_VALUE"""),"")</f>
        <v/>
      </c>
      <c r="W247" s="62" t="str">
        <f>IFERROR(__xludf.DUMMYFUNCTION("""COMPUTED_VALUE"""),"")</f>
        <v/>
      </c>
      <c r="X247" s="62" t="str">
        <f>IFERROR(__xludf.DUMMYFUNCTION("""COMPUTED_VALUE"""),"")</f>
        <v/>
      </c>
      <c r="Y247" s="109" t="str">
        <f>IFERROR(__xludf.DUMMYFUNCTION("""COMPUTED_VALUE"""),"")</f>
        <v/>
      </c>
      <c r="Z247" s="113" t="str">
        <f>IFERROR(__xludf.DUMMYFUNCTION("""COMPUTED_VALUE"""),"")</f>
        <v/>
      </c>
      <c r="AA247" s="113" t="str">
        <f>IFERROR(__xludf.DUMMYFUNCTION("""COMPUTED_VALUE"""),"")</f>
        <v/>
      </c>
      <c r="AB247" s="71" t="str">
        <f>IFERROR(__xludf.DUMMYFUNCTION("""COMPUTED_VALUE"""),"")</f>
        <v/>
      </c>
    </row>
    <row r="248">
      <c r="A248" s="105">
        <f>IFERROR(__xludf.DUMMYFUNCTION("""COMPUTED_VALUE"""),45973.74806305555)</f>
        <v>45973.74806</v>
      </c>
      <c r="B248" s="71" t="str">
        <f>IFERROR(__xludf.DUMMYFUNCTION("""COMPUTED_VALUE"""),"Orpheus Wilson")</f>
        <v>Orpheus Wilson</v>
      </c>
      <c r="C248" s="71" t="b">
        <f>IFERROR(__xludf.DUMMYFUNCTION("""COMPUTED_VALUE"""),FALSE)</f>
        <v>0</v>
      </c>
      <c r="D248" s="132">
        <f>IFERROR(__xludf.DUMMYFUNCTION("""COMPUTED_VALUE"""),0.6937499999985448)</f>
        <v>0.69375</v>
      </c>
      <c r="E248" s="78">
        <f>IFERROR(__xludf.DUMMYFUNCTION("""COMPUTED_VALUE"""),0.053472222221898846)</f>
        <v>0.05347222222</v>
      </c>
      <c r="F248" s="132">
        <f>IFERROR(__xludf.DUMMYFUNCTION("""COMPUTED_VALUE"""),0.7472222222204437)</f>
        <v>0.7472222222</v>
      </c>
      <c r="G248" s="78">
        <f>IFERROR(__xludf.DUMMYFUNCTION("""COMPUTED_VALUE"""),0.053472222221898846)</f>
        <v>0.05347222222</v>
      </c>
      <c r="H248" s="110">
        <f>IFERROR(__xludf.DUMMYFUNCTION("""COMPUTED_VALUE"""),95.0)</f>
        <v>95</v>
      </c>
      <c r="I248" s="108">
        <f>IFERROR(__xludf.DUMMYFUNCTION("""COMPUTED_VALUE"""),74.02597402642171)</f>
        <v>74.02597403</v>
      </c>
      <c r="J248" s="71" t="str">
        <f>IFERROR(__xludf.DUMMYFUNCTION("""COMPUTED_VALUE"""),"Dinner")</f>
        <v>Dinner</v>
      </c>
      <c r="K248" s="106">
        <f>IFERROR(__xludf.DUMMYFUNCTION("""COMPUTED_VALUE"""),45973.0)</f>
        <v>45973</v>
      </c>
      <c r="L248" s="71" t="str">
        <f>IFERROR(__xludf.DUMMYFUNCTION("""COMPUTED_VALUE"""),"Wednesday")</f>
        <v>Wednesday</v>
      </c>
      <c r="M248" s="71" t="str">
        <f>IFERROR(__xludf.DUMMYFUNCTION("""COMPUTED_VALUE"""),"MF")</f>
        <v>MF</v>
      </c>
      <c r="N248" s="109">
        <f>IFERROR(__xludf.DUMMYFUNCTION("""COMPUTED_VALUE"""),1.4586807933226498)</f>
        <v>1.458680793</v>
      </c>
      <c r="O248" s="71" t="str">
        <f>IFERROR(__xludf.DUMMYFUNCTION("""COMPUTED_VALUE"""),"")</f>
        <v/>
      </c>
      <c r="P248" s="71" t="str">
        <f>IFERROR(__xludf.DUMMYFUNCTION("""COMPUTED_VALUE"""),"")</f>
        <v/>
      </c>
      <c r="Q248" s="78" t="str">
        <f>IFERROR(__xludf.DUMMYFUNCTION("""COMPUTED_VALUE"""),"")</f>
        <v/>
      </c>
      <c r="R248" s="78" t="str">
        <f>IFERROR(__xludf.DUMMYFUNCTION("""COMPUTED_VALUE"""),"")</f>
        <v/>
      </c>
      <c r="S248" s="61" t="str">
        <f>IFERROR(__xludf.DUMMYFUNCTION("""COMPUTED_VALUE"""),"")</f>
        <v/>
      </c>
      <c r="T248" s="61" t="str">
        <f>IFERROR(__xludf.DUMMYFUNCTION("""COMPUTED_VALUE"""),"")</f>
        <v/>
      </c>
      <c r="U248" s="133" t="str">
        <f>IFERROR(__xludf.DUMMYFUNCTION("""COMPUTED_VALUE"""),"")</f>
        <v/>
      </c>
      <c r="V248" s="78" t="str">
        <f>IFERROR(__xludf.DUMMYFUNCTION("""COMPUTED_VALUE"""),"")</f>
        <v/>
      </c>
      <c r="W248" s="62" t="str">
        <f>IFERROR(__xludf.DUMMYFUNCTION("""COMPUTED_VALUE"""),"")</f>
        <v/>
      </c>
      <c r="X248" s="62" t="str">
        <f>IFERROR(__xludf.DUMMYFUNCTION("""COMPUTED_VALUE"""),"")</f>
        <v/>
      </c>
      <c r="Y248" s="109" t="str">
        <f>IFERROR(__xludf.DUMMYFUNCTION("""COMPUTED_VALUE"""),"")</f>
        <v/>
      </c>
      <c r="Z248" s="113" t="str">
        <f>IFERROR(__xludf.DUMMYFUNCTION("""COMPUTED_VALUE"""),"")</f>
        <v/>
      </c>
      <c r="AA248" s="113" t="str">
        <f>IFERROR(__xludf.DUMMYFUNCTION("""COMPUTED_VALUE"""),"")</f>
        <v/>
      </c>
      <c r="AB248" s="71" t="str">
        <f>IFERROR(__xludf.DUMMYFUNCTION("""COMPUTED_VALUE"""),"")</f>
        <v/>
      </c>
    </row>
    <row r="249">
      <c r="A249" s="105">
        <f>IFERROR(__xludf.DUMMYFUNCTION("""COMPUTED_VALUE"""),45973.87150219908)</f>
        <v>45973.8715</v>
      </c>
      <c r="B249" s="71" t="str">
        <f>IFERROR(__xludf.DUMMYFUNCTION("""COMPUTED_VALUE"""),"Kaylie Forgue")</f>
        <v>Kaylie Forgue</v>
      </c>
      <c r="C249" s="71" t="b">
        <f>IFERROR(__xludf.DUMMYFUNCTION("""COMPUTED_VALUE"""),FALSE)</f>
        <v>0</v>
      </c>
      <c r="D249" s="132">
        <f>IFERROR(__xludf.DUMMYFUNCTION("""COMPUTED_VALUE"""),0.7472222222204437)</f>
        <v>0.7472222222</v>
      </c>
      <c r="E249" s="78">
        <f>IFERROR(__xludf.DUMMYFUNCTION("""COMPUTED_VALUE"""),0.11875000000145519)</f>
        <v>0.11875</v>
      </c>
      <c r="F249" s="132">
        <f>IFERROR(__xludf.DUMMYFUNCTION("""COMPUTED_VALUE"""),0.8659722222218988)</f>
        <v>0.8659722222</v>
      </c>
      <c r="G249" s="78">
        <f>IFERROR(__xludf.DUMMYFUNCTION("""COMPUTED_VALUE"""),0.23750000000291038)</f>
        <v>0.2375</v>
      </c>
      <c r="H249" s="110">
        <f>IFERROR(__xludf.DUMMYFUNCTION("""COMPUTED_VALUE"""),166.0)</f>
        <v>166</v>
      </c>
      <c r="I249" s="108">
        <f>IFERROR(__xludf.DUMMYFUNCTION("""COMPUTED_VALUE"""),29.122807017186982)</f>
        <v>29.12280702</v>
      </c>
      <c r="J249" s="71" t="str">
        <f>IFERROR(__xludf.DUMMYFUNCTION("""COMPUTED_VALUE"""),"Dinner")</f>
        <v>Dinner</v>
      </c>
      <c r="K249" s="106">
        <f>IFERROR(__xludf.DUMMYFUNCTION("""COMPUTED_VALUE"""),45973.0)</f>
        <v>45973</v>
      </c>
      <c r="L249" s="71" t="str">
        <f>IFERROR(__xludf.DUMMYFUNCTION("""COMPUTED_VALUE"""),"Wednesday")</f>
        <v>Wednesday</v>
      </c>
      <c r="M249" s="71" t="str">
        <f>IFERROR(__xludf.DUMMYFUNCTION("""COMPUTED_VALUE"""),"MF")</f>
        <v>MF</v>
      </c>
      <c r="N249" s="109">
        <f>IFERROR(__xludf.DUMMYFUNCTION("""COMPUTED_VALUE"""),0.5738645090769121)</f>
        <v>0.5738645091</v>
      </c>
      <c r="O249" s="71" t="str">
        <f>IFERROR(__xludf.DUMMYFUNCTION("""COMPUTED_VALUE"""),"")</f>
        <v/>
      </c>
      <c r="P249" s="71" t="str">
        <f>IFERROR(__xludf.DUMMYFUNCTION("""COMPUTED_VALUE"""),"")</f>
        <v/>
      </c>
      <c r="Q249" s="88" t="str">
        <f>IFERROR(__xludf.DUMMYFUNCTION("""COMPUTED_VALUE"""),"")</f>
        <v/>
      </c>
      <c r="R249" s="88" t="str">
        <f>IFERROR(__xludf.DUMMYFUNCTION("""COMPUTED_VALUE"""),"")</f>
        <v/>
      </c>
      <c r="S249" s="61" t="str">
        <f>IFERROR(__xludf.DUMMYFUNCTION("""COMPUTED_VALUE"""),"")</f>
        <v/>
      </c>
      <c r="T249" s="61" t="str">
        <f>IFERROR(__xludf.DUMMYFUNCTION("""COMPUTED_VALUE"""),"")</f>
        <v/>
      </c>
      <c r="U249" s="111" t="str">
        <f>IFERROR(__xludf.DUMMYFUNCTION("""COMPUTED_VALUE"""),"")</f>
        <v/>
      </c>
      <c r="V249" s="88" t="str">
        <f>IFERROR(__xludf.DUMMYFUNCTION("""COMPUTED_VALUE"""),"")</f>
        <v/>
      </c>
      <c r="W249" s="62" t="str">
        <f>IFERROR(__xludf.DUMMYFUNCTION("""COMPUTED_VALUE"""),"")</f>
        <v/>
      </c>
      <c r="X249" s="62" t="str">
        <f>IFERROR(__xludf.DUMMYFUNCTION("""COMPUTED_VALUE"""),"")</f>
        <v/>
      </c>
      <c r="Y249" s="109" t="str">
        <f>IFERROR(__xludf.DUMMYFUNCTION("""COMPUTED_VALUE"""),"")</f>
        <v/>
      </c>
      <c r="Z249" s="113" t="str">
        <f>IFERROR(__xludf.DUMMYFUNCTION("""COMPUTED_VALUE"""),"")</f>
        <v/>
      </c>
      <c r="AA249" s="113" t="str">
        <f>IFERROR(__xludf.DUMMYFUNCTION("""COMPUTED_VALUE"""),"")</f>
        <v/>
      </c>
      <c r="AB249" s="71" t="str">
        <f>IFERROR(__xludf.DUMMYFUNCTION("""COMPUTED_VALUE"""),"")</f>
        <v/>
      </c>
    </row>
    <row r="250">
      <c r="A250" s="105">
        <f>IFERROR(__xludf.DUMMYFUNCTION("""COMPUTED_VALUE"""),45973.87310570602)</f>
        <v>45973.87311</v>
      </c>
      <c r="B250" s="71" t="str">
        <f>IFERROR(__xludf.DUMMYFUNCTION("""COMPUTED_VALUE"""),"Kaylie Forgue")</f>
        <v>Kaylie Forgue</v>
      </c>
      <c r="C250" s="71" t="b">
        <f>IFERROR(__xludf.DUMMYFUNCTION("""COMPUTED_VALUE"""),TRUE)</f>
        <v>1</v>
      </c>
      <c r="D250" s="132">
        <f>IFERROR(__xludf.DUMMYFUNCTION("""COMPUTED_VALUE"""),0.7472222222204437)</f>
        <v>0.7472222222</v>
      </c>
      <c r="E250" s="78">
        <f>IFERROR(__xludf.DUMMYFUNCTION("""COMPUTED_VALUE"""),0.11875000000145519)</f>
        <v>0.11875</v>
      </c>
      <c r="F250" s="132">
        <f>IFERROR(__xludf.DUMMYFUNCTION("""COMPUTED_VALUE"""),0.8659722222218988)</f>
        <v>0.8659722222</v>
      </c>
      <c r="G250" s="78" t="str">
        <f>IFERROR(__xludf.DUMMYFUNCTION("""COMPUTED_VALUE"""),"")</f>
        <v/>
      </c>
      <c r="H250" s="110">
        <f>IFERROR(__xludf.DUMMYFUNCTION("""COMPUTED_VALUE"""),166.0)</f>
        <v>166</v>
      </c>
      <c r="I250" s="108" t="str">
        <f>IFERROR(__xludf.DUMMYFUNCTION("""COMPUTED_VALUE"""),"")</f>
        <v/>
      </c>
      <c r="J250" s="71" t="str">
        <f>IFERROR(__xludf.DUMMYFUNCTION("""COMPUTED_VALUE"""),"Dinner")</f>
        <v>Dinner</v>
      </c>
      <c r="K250" s="106">
        <f>IFERROR(__xludf.DUMMYFUNCTION("""COMPUTED_VALUE"""),45973.0)</f>
        <v>45973</v>
      </c>
      <c r="L250" s="71" t="str">
        <f>IFERROR(__xludf.DUMMYFUNCTION("""COMPUTED_VALUE"""),"Wednesday")</f>
        <v>Wednesday</v>
      </c>
      <c r="M250" s="71" t="str">
        <f>IFERROR(__xludf.DUMMYFUNCTION("""COMPUTED_VALUE"""),"MF")</f>
        <v>MF</v>
      </c>
      <c r="N250" s="109" t="str">
        <f>IFERROR(__xludf.DUMMYFUNCTION("""COMPUTED_VALUE"""),"")</f>
        <v/>
      </c>
      <c r="O250" s="71">
        <f>IFERROR(__xludf.DUMMYFUNCTION("""COMPUTED_VALUE"""),511.0)</f>
        <v>511</v>
      </c>
      <c r="P250" s="71">
        <f>IFERROR(__xludf.DUMMYFUNCTION("""COMPUTED_VALUE"""),167.0)</f>
        <v>167</v>
      </c>
      <c r="Q250" s="78">
        <f>IFERROR(__xludf.DUMMYFUNCTION("""COMPUTED_VALUE"""),0.3583333333299379)</f>
        <v>0.3583333333</v>
      </c>
      <c r="R250" s="78">
        <f>IFERROR(__xludf.DUMMYFUNCTION("""COMPUTED_VALUE"""),0.20138888889050577)</f>
        <v>0.2013888889</v>
      </c>
      <c r="S250" s="61">
        <f>IFERROR(__xludf.DUMMYFUNCTION("""COMPUTED_VALUE"""),51.702514644940386)</f>
        <v>51.70251464</v>
      </c>
      <c r="T250" s="61">
        <f>IFERROR(__xludf.DUMMYFUNCTION("""COMPUTED_VALUE"""),25.655172413587128)</f>
        <v>25.65517241</v>
      </c>
      <c r="U250" s="133">
        <f>IFERROR(__xludf.DUMMYFUNCTION("""COMPUTED_VALUE"""),678.0)</f>
        <v>678</v>
      </c>
      <c r="V250" s="78">
        <f>IFERROR(__xludf.DUMMYFUNCTION("""COMPUTED_VALUE"""),0.5597222222204437)</f>
        <v>0.5597222222</v>
      </c>
      <c r="W250" s="62">
        <f>IFERROR(__xludf.DUMMYFUNCTION("""COMPUTED_VALUE"""),50.471464020011496)</f>
        <v>50.47146402</v>
      </c>
      <c r="X250" s="62">
        <f>IFERROR(__xludf.DUMMYFUNCTION("""COMPUTED_VALUE"""),45.19067908710207)</f>
        <v>45.19067909</v>
      </c>
      <c r="Y250" s="109">
        <f>IFERROR(__xludf.DUMMYFUNCTION("""COMPUTED_VALUE"""),0.6541869780090536)</f>
        <v>0.654186978</v>
      </c>
      <c r="Z250" s="113">
        <f>IFERROR(__xludf.DUMMYFUNCTION("""COMPUTED_VALUE"""),3914.0)</f>
        <v>3914</v>
      </c>
      <c r="AA250" s="113">
        <f>IFERROR(__xludf.DUMMYFUNCTION("""COMPUTED_VALUE"""),3675.0)</f>
        <v>3675</v>
      </c>
      <c r="AB250" s="113">
        <f>IFERROR(__xludf.DUMMYFUNCTION("""COMPUTED_VALUE"""),7589.0)</f>
        <v>7589</v>
      </c>
    </row>
    <row r="251">
      <c r="A251" s="105">
        <f>IFERROR(__xludf.DUMMYFUNCTION("""COMPUTED_VALUE"""),45974.43631740741)</f>
        <v>45974.43632</v>
      </c>
      <c r="B251" s="71" t="str">
        <f>IFERROR(__xludf.DUMMYFUNCTION("""COMPUTED_VALUE"""),"Evan Morgan")</f>
        <v>Evan Morgan</v>
      </c>
      <c r="C251" s="71" t="b">
        <f>IFERROR(__xludf.DUMMYFUNCTION("""COMPUTED_VALUE"""),FALSE)</f>
        <v>0</v>
      </c>
      <c r="D251" s="132">
        <f>IFERROR(__xludf.DUMMYFUNCTION("""COMPUTED_VALUE"""),0.29166666666424135)</f>
        <v>0.2916666667</v>
      </c>
      <c r="E251" s="78">
        <f>IFERROR(__xludf.DUMMYFUNCTION("""COMPUTED_VALUE"""),0.1423611111167702)</f>
        <v>0.1423611111</v>
      </c>
      <c r="F251" s="132">
        <f>IFERROR(__xludf.DUMMYFUNCTION("""COMPUTED_VALUE"""),0.43402777778101154)</f>
        <v>0.4340277778</v>
      </c>
      <c r="G251" s="78">
        <f>IFERROR(__xludf.DUMMYFUNCTION("""COMPUTED_VALUE"""),0.1423611111167702)</f>
        <v>0.1423611111</v>
      </c>
      <c r="H251" s="110">
        <f>IFERROR(__xludf.DUMMYFUNCTION("""COMPUTED_VALUE"""),95.0)</f>
        <v>95</v>
      </c>
      <c r="I251" s="108">
        <f>IFERROR(__xludf.DUMMYFUNCTION("""COMPUTED_VALUE"""),27.8048780476752)</f>
        <v>27.80487805</v>
      </c>
      <c r="J251" s="71" t="str">
        <f>IFERROR(__xludf.DUMMYFUNCTION("""COMPUTED_VALUE"""),"Breakfast")</f>
        <v>Breakfast</v>
      </c>
      <c r="K251" s="106">
        <f>IFERROR(__xludf.DUMMYFUNCTION("""COMPUTED_VALUE"""),45974.0)</f>
        <v>45974</v>
      </c>
      <c r="L251" s="71" t="str">
        <f>IFERROR(__xludf.DUMMYFUNCTION("""COMPUTED_VALUE"""),"Thursday")</f>
        <v>Thursday</v>
      </c>
      <c r="M251" s="71" t="str">
        <f>IFERROR(__xludf.DUMMYFUNCTION("""COMPUTED_VALUE"""),"BF")</f>
        <v>BF</v>
      </c>
      <c r="N251" s="109">
        <f>IFERROR(__xludf.DUMMYFUNCTION("""COMPUTED_VALUE"""),1.1775692266131892)</f>
        <v>1.177569227</v>
      </c>
      <c r="O251" s="71" t="str">
        <f>IFERROR(__xludf.DUMMYFUNCTION("""COMPUTED_VALUE"""),"")</f>
        <v/>
      </c>
      <c r="P251" s="71" t="str">
        <f>IFERROR(__xludf.DUMMYFUNCTION("""COMPUTED_VALUE"""),"")</f>
        <v/>
      </c>
      <c r="Q251" s="78" t="str">
        <f>IFERROR(__xludf.DUMMYFUNCTION("""COMPUTED_VALUE"""),"")</f>
        <v/>
      </c>
      <c r="R251" s="78" t="str">
        <f>IFERROR(__xludf.DUMMYFUNCTION("""COMPUTED_VALUE"""),"")</f>
        <v/>
      </c>
      <c r="S251" s="61" t="str">
        <f>IFERROR(__xludf.DUMMYFUNCTION("""COMPUTED_VALUE"""),"")</f>
        <v/>
      </c>
      <c r="T251" s="61" t="str">
        <f>IFERROR(__xludf.DUMMYFUNCTION("""COMPUTED_VALUE"""),"")</f>
        <v/>
      </c>
      <c r="U251" s="133" t="str">
        <f>IFERROR(__xludf.DUMMYFUNCTION("""COMPUTED_VALUE"""),"")</f>
        <v/>
      </c>
      <c r="V251" s="78" t="str">
        <f>IFERROR(__xludf.DUMMYFUNCTION("""COMPUTED_VALUE"""),"")</f>
        <v/>
      </c>
      <c r="W251" s="62" t="str">
        <f>IFERROR(__xludf.DUMMYFUNCTION("""COMPUTED_VALUE"""),"")</f>
        <v/>
      </c>
      <c r="X251" s="62" t="str">
        <f>IFERROR(__xludf.DUMMYFUNCTION("""COMPUTED_VALUE"""),"")</f>
        <v/>
      </c>
      <c r="Y251" s="109" t="str">
        <f>IFERROR(__xludf.DUMMYFUNCTION("""COMPUTED_VALUE"""),"")</f>
        <v/>
      </c>
      <c r="Z251" s="113" t="str">
        <f>IFERROR(__xludf.DUMMYFUNCTION("""COMPUTED_VALUE"""),"")</f>
        <v/>
      </c>
      <c r="AA251" s="113" t="str">
        <f>IFERROR(__xludf.DUMMYFUNCTION("""COMPUTED_VALUE"""),"")</f>
        <v/>
      </c>
      <c r="AB251" s="71" t="str">
        <f>IFERROR(__xludf.DUMMYFUNCTION("""COMPUTED_VALUE"""),"")</f>
        <v/>
      </c>
    </row>
    <row r="252">
      <c r="A252" s="105">
        <f>IFERROR(__xludf.DUMMYFUNCTION("""COMPUTED_VALUE"""),45974.561210381944)</f>
        <v>45974.56121</v>
      </c>
      <c r="B252" s="71" t="str">
        <f>IFERROR(__xludf.DUMMYFUNCTION("""COMPUTED_VALUE"""),"Maureen Surgot")</f>
        <v>Maureen Surgot</v>
      </c>
      <c r="C252" s="71" t="b">
        <f>IFERROR(__xludf.DUMMYFUNCTION("""COMPUTED_VALUE"""),FALSE)</f>
        <v>0</v>
      </c>
      <c r="D252" s="132">
        <f>IFERROR(__xludf.DUMMYFUNCTION("""COMPUTED_VALUE"""),0.47916666666424135)</f>
        <v>0.4791666667</v>
      </c>
      <c r="E252" s="78">
        <f>IFERROR(__xludf.DUMMYFUNCTION("""COMPUTED_VALUE"""),0.08333333333575865)</f>
        <v>0.08333333334</v>
      </c>
      <c r="F252" s="132">
        <f>IFERROR(__xludf.DUMMYFUNCTION("""COMPUTED_VALUE"""),0.5625)</f>
        <v>0.5625</v>
      </c>
      <c r="G252" s="78">
        <f>IFERROR(__xludf.DUMMYFUNCTION("""COMPUTED_VALUE"""),0.08333333333575865)</f>
        <v>0.08333333334</v>
      </c>
      <c r="H252" s="110">
        <f>IFERROR(__xludf.DUMMYFUNCTION("""COMPUTED_VALUE"""),84.0)</f>
        <v>84</v>
      </c>
      <c r="I252" s="108">
        <f>IFERROR(__xludf.DUMMYFUNCTION("""COMPUTED_VALUE"""),41.99999999877764)</f>
        <v>42</v>
      </c>
      <c r="J252" s="71" t="str">
        <f>IFERROR(__xludf.DUMMYFUNCTION("""COMPUTED_VALUE"""),"Lunch")</f>
        <v>Lunch</v>
      </c>
      <c r="K252" s="106">
        <f>IFERROR(__xludf.DUMMYFUNCTION("""COMPUTED_VALUE"""),45974.0)</f>
        <v>45974</v>
      </c>
      <c r="L252" s="71" t="str">
        <f>IFERROR(__xludf.DUMMYFUNCTION("""COMPUTED_VALUE"""),"Thursday")</f>
        <v>Thursday</v>
      </c>
      <c r="M252" s="71" t="str">
        <f>IFERROR(__xludf.DUMMYFUNCTION("""COMPUTED_VALUE"""),"MF")</f>
        <v>MF</v>
      </c>
      <c r="N252" s="109">
        <f>IFERROR(__xludf.DUMMYFUNCTION("""COMPUTED_VALUE"""),0.8733834157019306)</f>
        <v>0.8733834157</v>
      </c>
      <c r="O252" s="71" t="str">
        <f>IFERROR(__xludf.DUMMYFUNCTION("""COMPUTED_VALUE"""),"")</f>
        <v/>
      </c>
      <c r="P252" s="71" t="str">
        <f>IFERROR(__xludf.DUMMYFUNCTION("""COMPUTED_VALUE"""),"")</f>
        <v/>
      </c>
      <c r="Q252" s="88" t="str">
        <f>IFERROR(__xludf.DUMMYFUNCTION("""COMPUTED_VALUE"""),"")</f>
        <v/>
      </c>
      <c r="R252" s="88" t="str">
        <f>IFERROR(__xludf.DUMMYFUNCTION("""COMPUTED_VALUE"""),"")</f>
        <v/>
      </c>
      <c r="S252" s="61" t="str">
        <f>IFERROR(__xludf.DUMMYFUNCTION("""COMPUTED_VALUE"""),"")</f>
        <v/>
      </c>
      <c r="T252" s="61" t="str">
        <f>IFERROR(__xludf.DUMMYFUNCTION("""COMPUTED_VALUE"""),"")</f>
        <v/>
      </c>
      <c r="U252" s="111" t="str">
        <f>IFERROR(__xludf.DUMMYFUNCTION("""COMPUTED_VALUE"""),"")</f>
        <v/>
      </c>
      <c r="V252" s="88" t="str">
        <f>IFERROR(__xludf.DUMMYFUNCTION("""COMPUTED_VALUE"""),"")</f>
        <v/>
      </c>
      <c r="W252" s="62" t="str">
        <f>IFERROR(__xludf.DUMMYFUNCTION("""COMPUTED_VALUE"""),"")</f>
        <v/>
      </c>
      <c r="X252" s="62" t="str">
        <f>IFERROR(__xludf.DUMMYFUNCTION("""COMPUTED_VALUE"""),"")</f>
        <v/>
      </c>
      <c r="Y252" s="109" t="str">
        <f>IFERROR(__xludf.DUMMYFUNCTION("""COMPUTED_VALUE"""),"")</f>
        <v/>
      </c>
      <c r="Z252" s="113" t="str">
        <f>IFERROR(__xludf.DUMMYFUNCTION("""COMPUTED_VALUE"""),"")</f>
        <v/>
      </c>
      <c r="AA252" s="113" t="str">
        <f>IFERROR(__xludf.DUMMYFUNCTION("""COMPUTED_VALUE"""),"")</f>
        <v/>
      </c>
      <c r="AB252" s="71" t="str">
        <f>IFERROR(__xludf.DUMMYFUNCTION("""COMPUTED_VALUE"""),"")</f>
        <v/>
      </c>
    </row>
    <row r="253">
      <c r="A253" s="105">
        <f>IFERROR(__xludf.DUMMYFUNCTION("""COMPUTED_VALUE"""),45974.571731296295)</f>
        <v>45974.57173</v>
      </c>
      <c r="B253" s="71" t="str">
        <f>IFERROR(__xludf.DUMMYFUNCTION("""COMPUTED_VALUE"""),"Greta Traynor")</f>
        <v>Greta Traynor</v>
      </c>
      <c r="C253" s="71" t="b">
        <f>IFERROR(__xludf.DUMMYFUNCTION("""COMPUTED_VALUE"""),FALSE)</f>
        <v>0</v>
      </c>
      <c r="D253" s="132">
        <f>IFERROR(__xludf.DUMMYFUNCTION("""COMPUTED_VALUE"""),0.5215277777751908)</f>
        <v>0.5215277778</v>
      </c>
      <c r="E253" s="78">
        <f>IFERROR(__xludf.DUMMYFUNCTION("""COMPUTED_VALUE"""),0.04930555555620231)</f>
        <v>0.04930555556</v>
      </c>
      <c r="F253" s="132">
        <f>IFERROR(__xludf.DUMMYFUNCTION("""COMPUTED_VALUE"""),0.5708333333313931)</f>
        <v>0.5708333333</v>
      </c>
      <c r="G253" s="78">
        <f>IFERROR(__xludf.DUMMYFUNCTION("""COMPUTED_VALUE"""),0.04930555555620231)</f>
        <v>0.04930555556</v>
      </c>
      <c r="H253" s="110">
        <f>IFERROR(__xludf.DUMMYFUNCTION("""COMPUTED_VALUE"""),58.0)</f>
        <v>58</v>
      </c>
      <c r="I253" s="108">
        <f>IFERROR(__xludf.DUMMYFUNCTION("""COMPUTED_VALUE"""),49.01408450639933)</f>
        <v>49.01408451</v>
      </c>
      <c r="J253" s="71" t="str">
        <f>IFERROR(__xludf.DUMMYFUNCTION("""COMPUTED_VALUE"""),"Lunch")</f>
        <v>Lunch</v>
      </c>
      <c r="K253" s="106">
        <f>IFERROR(__xludf.DUMMYFUNCTION("""COMPUTED_VALUE"""),45974.0)</f>
        <v>45974</v>
      </c>
      <c r="L253" s="71" t="str">
        <f>IFERROR(__xludf.DUMMYFUNCTION("""COMPUTED_VALUE"""),"Thursday")</f>
        <v>Thursday</v>
      </c>
      <c r="M253" s="71" t="str">
        <f>IFERROR(__xludf.DUMMYFUNCTION("""COMPUTED_VALUE"""),"BF")</f>
        <v>BF</v>
      </c>
      <c r="N253" s="109">
        <f>IFERROR(__xludf.DUMMYFUNCTION("""COMPUTED_VALUE"""),1.2622498035625915)</f>
        <v>1.262249804</v>
      </c>
      <c r="O253" s="71" t="str">
        <f>IFERROR(__xludf.DUMMYFUNCTION("""COMPUTED_VALUE"""),"")</f>
        <v/>
      </c>
      <c r="P253" s="71" t="str">
        <f>IFERROR(__xludf.DUMMYFUNCTION("""COMPUTED_VALUE"""),"")</f>
        <v/>
      </c>
      <c r="Q253" s="78" t="str">
        <f>IFERROR(__xludf.DUMMYFUNCTION("""COMPUTED_VALUE"""),"")</f>
        <v/>
      </c>
      <c r="R253" s="78" t="str">
        <f>IFERROR(__xludf.DUMMYFUNCTION("""COMPUTED_VALUE"""),"")</f>
        <v/>
      </c>
      <c r="S253" s="61" t="str">
        <f>IFERROR(__xludf.DUMMYFUNCTION("""COMPUTED_VALUE"""),"")</f>
        <v/>
      </c>
      <c r="T253" s="61" t="str">
        <f>IFERROR(__xludf.DUMMYFUNCTION("""COMPUTED_VALUE"""),"")</f>
        <v/>
      </c>
      <c r="U253" s="133" t="str">
        <f>IFERROR(__xludf.DUMMYFUNCTION("""COMPUTED_VALUE"""),"")</f>
        <v/>
      </c>
      <c r="V253" s="78" t="str">
        <f>IFERROR(__xludf.DUMMYFUNCTION("""COMPUTED_VALUE"""),"")</f>
        <v/>
      </c>
      <c r="W253" s="62" t="str">
        <f>IFERROR(__xludf.DUMMYFUNCTION("""COMPUTED_VALUE"""),"")</f>
        <v/>
      </c>
      <c r="X253" s="62" t="str">
        <f>IFERROR(__xludf.DUMMYFUNCTION("""COMPUTED_VALUE"""),"")</f>
        <v/>
      </c>
      <c r="Y253" s="109" t="str">
        <f>IFERROR(__xludf.DUMMYFUNCTION("""COMPUTED_VALUE"""),"")</f>
        <v/>
      </c>
      <c r="Z253" s="113" t="str">
        <f>IFERROR(__xludf.DUMMYFUNCTION("""COMPUTED_VALUE"""),"")</f>
        <v/>
      </c>
      <c r="AA253" s="113" t="str">
        <f>IFERROR(__xludf.DUMMYFUNCTION("""COMPUTED_VALUE"""),"")</f>
        <v/>
      </c>
      <c r="AB253" s="71" t="str">
        <f>IFERROR(__xludf.DUMMYFUNCTION("""COMPUTED_VALUE"""),"")</f>
        <v/>
      </c>
    </row>
    <row r="254">
      <c r="A254" s="105">
        <f>IFERROR(__xludf.DUMMYFUNCTION("""COMPUTED_VALUE"""),45974.632200775464)</f>
        <v>45974.6322</v>
      </c>
      <c r="B254" s="71" t="str">
        <f>IFERROR(__xludf.DUMMYFUNCTION("""COMPUTED_VALUE"""),"Brynn Hornig")</f>
        <v>Brynn Hornig</v>
      </c>
      <c r="C254" s="71" t="b">
        <f>IFERROR(__xludf.DUMMYFUNCTION("""COMPUTED_VALUE"""),FALSE)</f>
        <v>0</v>
      </c>
      <c r="D254" s="132">
        <f>IFERROR(__xludf.DUMMYFUNCTION("""COMPUTED_VALUE"""),0.5625)</f>
        <v>0.5625</v>
      </c>
      <c r="E254" s="78">
        <f>IFERROR(__xludf.DUMMYFUNCTION("""COMPUTED_VALUE"""),0.07291666666424135)</f>
        <v>0.07291666666</v>
      </c>
      <c r="F254" s="132">
        <f>IFERROR(__xludf.DUMMYFUNCTION("""COMPUTED_VALUE"""),0.6354166666642413)</f>
        <v>0.6354166667</v>
      </c>
      <c r="G254" s="78">
        <f>IFERROR(__xludf.DUMMYFUNCTION("""COMPUTED_VALUE"""),0.07291666666424135)</f>
        <v>0.07291666666</v>
      </c>
      <c r="H254" s="110">
        <f>IFERROR(__xludf.DUMMYFUNCTION("""COMPUTED_VALUE"""),64.0)</f>
        <v>64</v>
      </c>
      <c r="I254" s="108">
        <f>IFERROR(__xludf.DUMMYFUNCTION("""COMPUTED_VALUE"""),36.57142857264499)</f>
        <v>36.57142857</v>
      </c>
      <c r="J254" s="71" t="str">
        <f>IFERROR(__xludf.DUMMYFUNCTION("""COMPUTED_VALUE"""),"Lunch")</f>
        <v>Lunch</v>
      </c>
      <c r="K254" s="106">
        <f>IFERROR(__xludf.DUMMYFUNCTION("""COMPUTED_VALUE"""),45974.0)</f>
        <v>45974</v>
      </c>
      <c r="L254" s="71" t="str">
        <f>IFERROR(__xludf.DUMMYFUNCTION("""COMPUTED_VALUE"""),"Thursday")</f>
        <v>Thursday</v>
      </c>
      <c r="M254" s="71" t="str">
        <f>IFERROR(__xludf.DUMMYFUNCTION("""COMPUTED_VALUE"""),"MF")</f>
        <v>MF</v>
      </c>
      <c r="N254" s="109">
        <f>IFERROR(__xludf.DUMMYFUNCTION("""COMPUTED_VALUE"""),0.7604971239239395)</f>
        <v>0.7604971239</v>
      </c>
      <c r="O254" s="71" t="str">
        <f>IFERROR(__xludf.DUMMYFUNCTION("""COMPUTED_VALUE"""),"")</f>
        <v/>
      </c>
      <c r="P254" s="71" t="str">
        <f>IFERROR(__xludf.DUMMYFUNCTION("""COMPUTED_VALUE"""),"")</f>
        <v/>
      </c>
      <c r="Q254" s="78" t="str">
        <f>IFERROR(__xludf.DUMMYFUNCTION("""COMPUTED_VALUE"""),"")</f>
        <v/>
      </c>
      <c r="R254" s="78" t="str">
        <f>IFERROR(__xludf.DUMMYFUNCTION("""COMPUTED_VALUE"""),"")</f>
        <v/>
      </c>
      <c r="S254" s="61" t="str">
        <f>IFERROR(__xludf.DUMMYFUNCTION("""COMPUTED_VALUE"""),"")</f>
        <v/>
      </c>
      <c r="T254" s="61" t="str">
        <f>IFERROR(__xludf.DUMMYFUNCTION("""COMPUTED_VALUE"""),"")</f>
        <v/>
      </c>
      <c r="U254" s="133" t="str">
        <f>IFERROR(__xludf.DUMMYFUNCTION("""COMPUTED_VALUE"""),"")</f>
        <v/>
      </c>
      <c r="V254" s="78" t="str">
        <f>IFERROR(__xludf.DUMMYFUNCTION("""COMPUTED_VALUE"""),"")</f>
        <v/>
      </c>
      <c r="W254" s="62" t="str">
        <f>IFERROR(__xludf.DUMMYFUNCTION("""COMPUTED_VALUE"""),"")</f>
        <v/>
      </c>
      <c r="X254" s="62" t="str">
        <f>IFERROR(__xludf.DUMMYFUNCTION("""COMPUTED_VALUE"""),"")</f>
        <v/>
      </c>
      <c r="Y254" s="109" t="str">
        <f>IFERROR(__xludf.DUMMYFUNCTION("""COMPUTED_VALUE"""),"")</f>
        <v/>
      </c>
      <c r="Z254" s="113" t="str">
        <f>IFERROR(__xludf.DUMMYFUNCTION("""COMPUTED_VALUE"""),"")</f>
        <v/>
      </c>
      <c r="AA254" s="113" t="str">
        <f>IFERROR(__xludf.DUMMYFUNCTION("""COMPUTED_VALUE"""),"")</f>
        <v/>
      </c>
      <c r="AB254" s="71" t="str">
        <f>IFERROR(__xludf.DUMMYFUNCTION("""COMPUTED_VALUE"""),"")</f>
        <v/>
      </c>
    </row>
    <row r="255">
      <c r="A255" s="105">
        <f>IFERROR(__xludf.DUMMYFUNCTION("""COMPUTED_VALUE"""),45974.65386791667)</f>
        <v>45974.65387</v>
      </c>
      <c r="B255" s="71" t="str">
        <f>IFERROR(__xludf.DUMMYFUNCTION("""COMPUTED_VALUE"""),"Emmett Khan")</f>
        <v>Emmett Khan</v>
      </c>
      <c r="C255" s="71" t="b">
        <f>IFERROR(__xludf.DUMMYFUNCTION("""COMPUTED_VALUE"""),FALSE)</f>
        <v>0</v>
      </c>
      <c r="D255" s="132">
        <f>IFERROR(__xludf.DUMMYFUNCTION("""COMPUTED_VALUE"""),0.5833333333357587)</f>
        <v>0.5833333333</v>
      </c>
      <c r="E255" s="78">
        <f>IFERROR(__xludf.DUMMYFUNCTION("""COMPUTED_VALUE"""),0.07291666666424135)</f>
        <v>0.07291666666</v>
      </c>
      <c r="F255" s="132">
        <f>IFERROR(__xludf.DUMMYFUNCTION("""COMPUTED_VALUE"""),0.65625)</f>
        <v>0.65625</v>
      </c>
      <c r="G255" s="78">
        <f>IFERROR(__xludf.DUMMYFUNCTION("""COMPUTED_VALUE"""),0.07291666666424135)</f>
        <v>0.07291666666</v>
      </c>
      <c r="H255" s="110">
        <f>IFERROR(__xludf.DUMMYFUNCTION("""COMPUTED_VALUE"""),78.0)</f>
        <v>78</v>
      </c>
      <c r="I255" s="108">
        <f>IFERROR(__xludf.DUMMYFUNCTION("""COMPUTED_VALUE"""),44.57142857291109)</f>
        <v>44.57142857</v>
      </c>
      <c r="J255" s="71" t="str">
        <f>IFERROR(__xludf.DUMMYFUNCTION("""COMPUTED_VALUE"""),"Lunch")</f>
        <v>Lunch</v>
      </c>
      <c r="K255" s="106">
        <f>IFERROR(__xludf.DUMMYFUNCTION("""COMPUTED_VALUE"""),45974.0)</f>
        <v>45974</v>
      </c>
      <c r="L255" s="71" t="str">
        <f>IFERROR(__xludf.DUMMYFUNCTION("""COMPUTED_VALUE"""),"Thursday")</f>
        <v>Thursday</v>
      </c>
      <c r="M255" s="71" t="str">
        <f>IFERROR(__xludf.DUMMYFUNCTION("""COMPUTED_VALUE"""),"BF")</f>
        <v>BF</v>
      </c>
      <c r="N255" s="109">
        <f>IFERROR(__xludf.DUMMYFUNCTION("""COMPUTED_VALUE"""),1.1478389839825673)</f>
        <v>1.147838984</v>
      </c>
      <c r="O255" s="71" t="str">
        <f>IFERROR(__xludf.DUMMYFUNCTION("""COMPUTED_VALUE"""),"")</f>
        <v/>
      </c>
      <c r="P255" s="71" t="str">
        <f>IFERROR(__xludf.DUMMYFUNCTION("""COMPUTED_VALUE"""),"")</f>
        <v/>
      </c>
      <c r="Q255" s="78" t="str">
        <f>IFERROR(__xludf.DUMMYFUNCTION("""COMPUTED_VALUE"""),"")</f>
        <v/>
      </c>
      <c r="R255" s="78" t="str">
        <f>IFERROR(__xludf.DUMMYFUNCTION("""COMPUTED_VALUE"""),"")</f>
        <v/>
      </c>
      <c r="S255" s="61" t="str">
        <f>IFERROR(__xludf.DUMMYFUNCTION("""COMPUTED_VALUE"""),"")</f>
        <v/>
      </c>
      <c r="T255" s="61" t="str">
        <f>IFERROR(__xludf.DUMMYFUNCTION("""COMPUTED_VALUE"""),"")</f>
        <v/>
      </c>
      <c r="U255" s="133" t="str">
        <f>IFERROR(__xludf.DUMMYFUNCTION("""COMPUTED_VALUE"""),"")</f>
        <v/>
      </c>
      <c r="V255" s="78" t="str">
        <f>IFERROR(__xludf.DUMMYFUNCTION("""COMPUTED_VALUE"""),"")</f>
        <v/>
      </c>
      <c r="W255" s="62" t="str">
        <f>IFERROR(__xludf.DUMMYFUNCTION("""COMPUTED_VALUE"""),"")</f>
        <v/>
      </c>
      <c r="X255" s="62" t="str">
        <f>IFERROR(__xludf.DUMMYFUNCTION("""COMPUTED_VALUE"""),"")</f>
        <v/>
      </c>
      <c r="Y255" s="109" t="str">
        <f>IFERROR(__xludf.DUMMYFUNCTION("""COMPUTED_VALUE"""),"")</f>
        <v/>
      </c>
      <c r="Z255" s="113" t="str">
        <f>IFERROR(__xludf.DUMMYFUNCTION("""COMPUTED_VALUE"""),"")</f>
        <v/>
      </c>
      <c r="AA255" s="113" t="str">
        <f>IFERROR(__xludf.DUMMYFUNCTION("""COMPUTED_VALUE"""),"")</f>
        <v/>
      </c>
      <c r="AB255" s="71" t="str">
        <f>IFERROR(__xludf.DUMMYFUNCTION("""COMPUTED_VALUE"""),"")</f>
        <v/>
      </c>
    </row>
    <row r="256">
      <c r="A256" s="105">
        <f>IFERROR(__xludf.DUMMYFUNCTION("""COMPUTED_VALUE"""),45974.82500539352)</f>
        <v>45974.82501</v>
      </c>
      <c r="B256" s="71" t="str">
        <f>IFERROR(__xludf.DUMMYFUNCTION("""COMPUTED_VALUE"""),"Elliott Haber")</f>
        <v>Elliott Haber</v>
      </c>
      <c r="C256" s="71" t="b">
        <f>IFERROR(__xludf.DUMMYFUNCTION("""COMPUTED_VALUE"""),FALSE)</f>
        <v>0</v>
      </c>
      <c r="D256" s="132">
        <f>IFERROR(__xludf.DUMMYFUNCTION("""COMPUTED_VALUE"""),0.6701388888905058)</f>
        <v>0.6701388889</v>
      </c>
      <c r="E256" s="78">
        <f>IFERROR(__xludf.DUMMYFUNCTION("""COMPUTED_VALUE"""),0.10069444444525288)</f>
        <v>0.1006944444</v>
      </c>
      <c r="F256" s="132">
        <f>IFERROR(__xludf.DUMMYFUNCTION("""COMPUTED_VALUE"""),0.7708333333357587)</f>
        <v>0.7708333333</v>
      </c>
      <c r="G256" s="78">
        <f>IFERROR(__xludf.DUMMYFUNCTION("""COMPUTED_VALUE"""),0.15833333334012423)</f>
        <v>0.1583333333</v>
      </c>
      <c r="H256" s="110">
        <f>IFERROR(__xludf.DUMMYFUNCTION("""COMPUTED_VALUE"""),120.0)</f>
        <v>120</v>
      </c>
      <c r="I256" s="108">
        <f>IFERROR(__xludf.DUMMYFUNCTION("""COMPUTED_VALUE"""),31.578947367066636)</f>
        <v>31.57894737</v>
      </c>
      <c r="J256" s="71" t="str">
        <f>IFERROR(__xludf.DUMMYFUNCTION("""COMPUTED_VALUE"""),"Dinner")</f>
        <v>Dinner</v>
      </c>
      <c r="K256" s="106">
        <f>IFERROR(__xludf.DUMMYFUNCTION("""COMPUTED_VALUE"""),45974.0)</f>
        <v>45974</v>
      </c>
      <c r="L256" s="71" t="str">
        <f>IFERROR(__xludf.DUMMYFUNCTION("""COMPUTED_VALUE"""),"Thursday")</f>
        <v>Thursday</v>
      </c>
      <c r="M256" s="71" t="str">
        <f>IFERROR(__xludf.DUMMYFUNCTION("""COMPUTED_VALUE"""),"MF")</f>
        <v>MF</v>
      </c>
      <c r="N256" s="109">
        <f>IFERROR(__xludf.DUMMYFUNCTION("""COMPUTED_VALUE"""),0.6222627206667449)</f>
        <v>0.6222627207</v>
      </c>
      <c r="O256" s="71" t="str">
        <f>IFERROR(__xludf.DUMMYFUNCTION("""COMPUTED_VALUE"""),"")</f>
        <v/>
      </c>
      <c r="P256" s="71" t="str">
        <f>IFERROR(__xludf.DUMMYFUNCTION("""COMPUTED_VALUE"""),"")</f>
        <v/>
      </c>
      <c r="Q256" s="78" t="str">
        <f>IFERROR(__xludf.DUMMYFUNCTION("""COMPUTED_VALUE"""),"")</f>
        <v/>
      </c>
      <c r="R256" s="78" t="str">
        <f>IFERROR(__xludf.DUMMYFUNCTION("""COMPUTED_VALUE"""),"")</f>
        <v/>
      </c>
      <c r="S256" s="61" t="str">
        <f>IFERROR(__xludf.DUMMYFUNCTION("""COMPUTED_VALUE"""),"")</f>
        <v/>
      </c>
      <c r="T256" s="61" t="str">
        <f>IFERROR(__xludf.DUMMYFUNCTION("""COMPUTED_VALUE"""),"")</f>
        <v/>
      </c>
      <c r="U256" s="133" t="str">
        <f>IFERROR(__xludf.DUMMYFUNCTION("""COMPUTED_VALUE"""),"")</f>
        <v/>
      </c>
      <c r="V256" s="78" t="str">
        <f>IFERROR(__xludf.DUMMYFUNCTION("""COMPUTED_VALUE"""),"")</f>
        <v/>
      </c>
      <c r="W256" s="62" t="str">
        <f>IFERROR(__xludf.DUMMYFUNCTION("""COMPUTED_VALUE"""),"")</f>
        <v/>
      </c>
      <c r="X256" s="62" t="str">
        <f>IFERROR(__xludf.DUMMYFUNCTION("""COMPUTED_VALUE"""),"")</f>
        <v/>
      </c>
      <c r="Y256" s="109" t="str">
        <f>IFERROR(__xludf.DUMMYFUNCTION("""COMPUTED_VALUE"""),"")</f>
        <v/>
      </c>
      <c r="Z256" s="113" t="str">
        <f>IFERROR(__xludf.DUMMYFUNCTION("""COMPUTED_VALUE"""),"")</f>
        <v/>
      </c>
      <c r="AA256" s="113" t="str">
        <f>IFERROR(__xludf.DUMMYFUNCTION("""COMPUTED_VALUE"""),"")</f>
        <v/>
      </c>
      <c r="AB256" s="71" t="str">
        <f>IFERROR(__xludf.DUMMYFUNCTION("""COMPUTED_VALUE"""),"")</f>
        <v/>
      </c>
    </row>
    <row r="257">
      <c r="A257" s="105">
        <f>IFERROR(__xludf.DUMMYFUNCTION("""COMPUTED_VALUE"""),45974.837980578704)</f>
        <v>45974.83798</v>
      </c>
      <c r="B257" s="71" t="str">
        <f>IFERROR(__xludf.DUMMYFUNCTION("""COMPUTED_VALUE"""),"Elliott Haber")</f>
        <v>Elliott Haber</v>
      </c>
      <c r="C257" s="71" t="b">
        <f>IFERROR(__xludf.DUMMYFUNCTION("""COMPUTED_VALUE"""),TRUE)</f>
        <v>1</v>
      </c>
      <c r="D257" s="132">
        <f>IFERROR(__xludf.DUMMYFUNCTION("""COMPUTED_VALUE"""),0.7756944444408873)</f>
        <v>0.7756944444</v>
      </c>
      <c r="E257" s="78">
        <f>IFERROR(__xludf.DUMMYFUNCTION("""COMPUTED_VALUE"""),0.05763888889487134)</f>
        <v>0.05763888889</v>
      </c>
      <c r="F257" s="132">
        <f>IFERROR(__xludf.DUMMYFUNCTION("""COMPUTED_VALUE"""),0.8333333333357587)</f>
        <v>0.8333333333</v>
      </c>
      <c r="G257" s="78" t="str">
        <f>IFERROR(__xludf.DUMMYFUNCTION("""COMPUTED_VALUE"""),"")</f>
        <v/>
      </c>
      <c r="H257" s="110">
        <f>IFERROR(__xludf.DUMMYFUNCTION("""COMPUTED_VALUE"""),105.0)</f>
        <v>105</v>
      </c>
      <c r="I257" s="108" t="str">
        <f>IFERROR(__xludf.DUMMYFUNCTION("""COMPUTED_VALUE"""),"")</f>
        <v/>
      </c>
      <c r="J257" s="71" t="str">
        <f>IFERROR(__xludf.DUMMYFUNCTION("""COMPUTED_VALUE"""),"Dinner")</f>
        <v>Dinner</v>
      </c>
      <c r="K257" s="106">
        <f>IFERROR(__xludf.DUMMYFUNCTION("""COMPUTED_VALUE"""),45974.0)</f>
        <v>45974</v>
      </c>
      <c r="L257" s="71" t="str">
        <f>IFERROR(__xludf.DUMMYFUNCTION("""COMPUTED_VALUE"""),"Thursday")</f>
        <v>Thursday</v>
      </c>
      <c r="M257" s="71" t="str">
        <f>IFERROR(__xludf.DUMMYFUNCTION("""COMPUTED_VALUE"""),"MF")</f>
        <v>MF</v>
      </c>
      <c r="N257" s="109" t="str">
        <f>IFERROR(__xludf.DUMMYFUNCTION("""COMPUTED_VALUE"""),"")</f>
        <v/>
      </c>
      <c r="O257" s="71" t="str">
        <f>IFERROR(__xludf.DUMMYFUNCTION("""COMPUTED_VALUE"""),"")</f>
        <v/>
      </c>
      <c r="P257" s="71" t="str">
        <f>IFERROR(__xludf.DUMMYFUNCTION("""COMPUTED_VALUE"""),"")</f>
        <v/>
      </c>
      <c r="Q257" s="78" t="str">
        <f>IFERROR(__xludf.DUMMYFUNCTION("""COMPUTED_VALUE"""),"")</f>
        <v/>
      </c>
      <c r="R257" s="78" t="str">
        <f>IFERROR(__xludf.DUMMYFUNCTION("""COMPUTED_VALUE"""),"")</f>
        <v/>
      </c>
      <c r="S257" s="61" t="str">
        <f>IFERROR(__xludf.DUMMYFUNCTION("""COMPUTED_VALUE"""),"")</f>
        <v/>
      </c>
      <c r="T257" s="61" t="str">
        <f>IFERROR(__xludf.DUMMYFUNCTION("""COMPUTED_VALUE"""),"")</f>
        <v/>
      </c>
      <c r="U257" s="133" t="str">
        <f>IFERROR(__xludf.DUMMYFUNCTION("""COMPUTED_VALUE"""),"")</f>
        <v/>
      </c>
      <c r="V257" s="78" t="str">
        <f>IFERROR(__xludf.DUMMYFUNCTION("""COMPUTED_VALUE"""),"")</f>
        <v/>
      </c>
      <c r="W257" s="62" t="str">
        <f>IFERROR(__xludf.DUMMYFUNCTION("""COMPUTED_VALUE"""),"")</f>
        <v/>
      </c>
      <c r="X257" s="62" t="str">
        <f>IFERROR(__xludf.DUMMYFUNCTION("""COMPUTED_VALUE"""),"")</f>
        <v/>
      </c>
      <c r="Y257" s="109" t="str">
        <f>IFERROR(__xludf.DUMMYFUNCTION("""COMPUTED_VALUE"""),"")</f>
        <v/>
      </c>
      <c r="Z257" s="113" t="str">
        <f>IFERROR(__xludf.DUMMYFUNCTION("""COMPUTED_VALUE"""),"")</f>
        <v/>
      </c>
      <c r="AA257" s="113" t="str">
        <f>IFERROR(__xludf.DUMMYFUNCTION("""COMPUTED_VALUE"""),"")</f>
        <v/>
      </c>
      <c r="AB257" s="71" t="str">
        <f>IFERROR(__xludf.DUMMYFUNCTION("""COMPUTED_VALUE"""),"")</f>
        <v/>
      </c>
    </row>
    <row r="258">
      <c r="A258" s="105">
        <f>IFERROR(__xludf.DUMMYFUNCTION("""COMPUTED_VALUE"""),45974.87807975695)</f>
        <v>45974.87808</v>
      </c>
      <c r="B258" s="71" t="str">
        <f>IFERROR(__xludf.DUMMYFUNCTION("""COMPUTED_VALUE"""),"Elliott Haber")</f>
        <v>Elliott Haber</v>
      </c>
      <c r="C258" s="71" t="b">
        <f>IFERROR(__xludf.DUMMYFUNCTION("""COMPUTED_VALUE"""),TRUE)</f>
        <v>1</v>
      </c>
      <c r="D258" s="132">
        <f>IFERROR(__xludf.DUMMYFUNCTION("""COMPUTED_VALUE"""),0.84375)</f>
        <v>0.84375</v>
      </c>
      <c r="E258" s="78">
        <f>IFERROR(__xludf.DUMMYFUNCTION("""COMPUTED_VALUE"""),0.03125)</f>
        <v>0.03125</v>
      </c>
      <c r="F258" s="132">
        <f>IFERROR(__xludf.DUMMYFUNCTION("""COMPUTED_VALUE"""),0.875)</f>
        <v>0.875</v>
      </c>
      <c r="G258" s="78" t="str">
        <f>IFERROR(__xludf.DUMMYFUNCTION("""COMPUTED_VALUE"""),"")</f>
        <v/>
      </c>
      <c r="H258" s="110">
        <f>IFERROR(__xludf.DUMMYFUNCTION("""COMPUTED_VALUE"""),27.0)</f>
        <v>27</v>
      </c>
      <c r="I258" s="108" t="str">
        <f>IFERROR(__xludf.DUMMYFUNCTION("""COMPUTED_VALUE"""),"")</f>
        <v/>
      </c>
      <c r="J258" s="71" t="str">
        <f>IFERROR(__xludf.DUMMYFUNCTION("""COMPUTED_VALUE"""),"Dinner")</f>
        <v>Dinner</v>
      </c>
      <c r="K258" s="106">
        <f>IFERROR(__xludf.DUMMYFUNCTION("""COMPUTED_VALUE"""),45974.0)</f>
        <v>45974</v>
      </c>
      <c r="L258" s="71" t="str">
        <f>IFERROR(__xludf.DUMMYFUNCTION("""COMPUTED_VALUE"""),"Thursday")</f>
        <v>Thursday</v>
      </c>
      <c r="M258" s="71" t="str">
        <f>IFERROR(__xludf.DUMMYFUNCTION("""COMPUTED_VALUE"""),"MF")</f>
        <v>MF</v>
      </c>
      <c r="N258" s="109" t="str">
        <f>IFERROR(__xludf.DUMMYFUNCTION("""COMPUTED_VALUE"""),"")</f>
        <v/>
      </c>
      <c r="O258" s="71">
        <f>IFERROR(__xludf.DUMMYFUNCTION("""COMPUTED_VALUE"""),400.0)</f>
        <v>400</v>
      </c>
      <c r="P258" s="71">
        <f>IFERROR(__xludf.DUMMYFUNCTION("""COMPUTED_VALUE"""),231.0)</f>
        <v>231</v>
      </c>
      <c r="Q258" s="78">
        <f>IFERROR(__xludf.DUMMYFUNCTION("""COMPUTED_VALUE"""),0.3458333333401242)</f>
        <v>0.3458333333</v>
      </c>
      <c r="R258" s="78">
        <f>IFERROR(__xludf.DUMMYFUNCTION("""COMPUTED_VALUE"""),0.26458333333721384)</f>
        <v>0.2645833333</v>
      </c>
      <c r="S258" s="61">
        <f>IFERROR(__xludf.DUMMYFUNCTION("""COMPUTED_VALUE"""),36.71679197949642)</f>
        <v>36.71679198</v>
      </c>
      <c r="T258" s="61">
        <f>IFERROR(__xludf.DUMMYFUNCTION("""COMPUTED_VALUE"""),40.46346370899521)</f>
        <v>40.46346371</v>
      </c>
      <c r="U258" s="133">
        <f>IFERROR(__xludf.DUMMYFUNCTION("""COMPUTED_VALUE"""),631.0)</f>
        <v>631</v>
      </c>
      <c r="V258" s="78">
        <f>IFERROR(__xludf.DUMMYFUNCTION("""COMPUTED_VALUE"""),0.6104166666773381)</f>
        <v>0.6104166667</v>
      </c>
      <c r="W258" s="62">
        <f>IFERROR(__xludf.DUMMYFUNCTION("""COMPUTED_VALUE"""),43.07167235419582)</f>
        <v>43.07167235</v>
      </c>
      <c r="X258" s="62">
        <f>IFERROR(__xludf.DUMMYFUNCTION("""COMPUTED_VALUE"""),38.59012784424581)</f>
        <v>38.59012784</v>
      </c>
      <c r="Y258" s="109">
        <f>IFERROR(__xludf.DUMMYFUNCTION("""COMPUTED_VALUE"""),0.715179311415502)</f>
        <v>0.7151793114</v>
      </c>
      <c r="Z258" s="113">
        <f>IFERROR(__xludf.DUMMYFUNCTION("""COMPUTED_VALUE"""),3682.0)</f>
        <v>3682</v>
      </c>
      <c r="AA258" s="113">
        <f>IFERROR(__xludf.DUMMYFUNCTION("""COMPUTED_VALUE"""),3651.0)</f>
        <v>3651</v>
      </c>
      <c r="AB258" s="113">
        <f>IFERROR(__xludf.DUMMYFUNCTION("""COMPUTED_VALUE"""),7333.0)</f>
        <v>7333</v>
      </c>
    </row>
    <row r="259">
      <c r="A259" s="105">
        <f>IFERROR(__xludf.DUMMYFUNCTION("""COMPUTED_VALUE"""),45975.59140770833)</f>
        <v>45975.59141</v>
      </c>
      <c r="B259" s="71" t="str">
        <f>IFERROR(__xludf.DUMMYFUNCTION("""COMPUTED_VALUE"""),"Greta Traynor")</f>
        <v>Greta Traynor</v>
      </c>
      <c r="C259" s="71" t="b">
        <f>IFERROR(__xludf.DUMMYFUNCTION("""COMPUTED_VALUE"""),FALSE)</f>
        <v>0</v>
      </c>
      <c r="D259" s="132">
        <f>IFERROR(__xludf.DUMMYFUNCTION("""COMPUTED_VALUE"""),0.5430555555576575)</f>
        <v>0.5430555556</v>
      </c>
      <c r="E259" s="78">
        <f>IFERROR(__xludf.DUMMYFUNCTION("""COMPUTED_VALUE"""),0.04791666666456473)</f>
        <v>0.04791666666</v>
      </c>
      <c r="F259" s="132">
        <f>IFERROR(__xludf.DUMMYFUNCTION("""COMPUTED_VALUE"""),0.5909722222222222)</f>
        <v>0.5909722222</v>
      </c>
      <c r="G259" s="78">
        <f>IFERROR(__xludf.DUMMYFUNCTION("""COMPUTED_VALUE"""),0.04791666666456473)</f>
        <v>0.04791666666</v>
      </c>
      <c r="H259" s="110">
        <f>IFERROR(__xludf.DUMMYFUNCTION("""COMPUTED_VALUE"""),53.0)</f>
        <v>53</v>
      </c>
      <c r="I259" s="108">
        <f>IFERROR(__xludf.DUMMYFUNCTION("""COMPUTED_VALUE"""),46.086956523760804)</f>
        <v>46.08695652</v>
      </c>
      <c r="J259" s="71" t="str">
        <f>IFERROR(__xludf.DUMMYFUNCTION("""COMPUTED_VALUE"""),"Lunch")</f>
        <v>Lunch</v>
      </c>
      <c r="K259" s="106">
        <f>IFERROR(__xludf.DUMMYFUNCTION("""COMPUTED_VALUE"""),45975.0)</f>
        <v>45975</v>
      </c>
      <c r="L259" s="71" t="str">
        <f>IFERROR(__xludf.DUMMYFUNCTION("""COMPUTED_VALUE"""),"Friday")</f>
        <v>Friday</v>
      </c>
      <c r="M259" s="71" t="str">
        <f>IFERROR(__xludf.DUMMYFUNCTION("""COMPUTED_VALUE"""),"BF")</f>
        <v>BF</v>
      </c>
      <c r="N259" s="109">
        <f>IFERROR(__xludf.DUMMYFUNCTION("""COMPUTED_VALUE"""),1.1868680687348065)</f>
        <v>1.186868069</v>
      </c>
      <c r="O259" s="71" t="str">
        <f>IFERROR(__xludf.DUMMYFUNCTION("""COMPUTED_VALUE"""),"")</f>
        <v/>
      </c>
      <c r="P259" s="71" t="str">
        <f>IFERROR(__xludf.DUMMYFUNCTION("""COMPUTED_VALUE"""),"")</f>
        <v/>
      </c>
      <c r="Q259" s="78" t="str">
        <f>IFERROR(__xludf.DUMMYFUNCTION("""COMPUTED_VALUE"""),"")</f>
        <v/>
      </c>
      <c r="R259" s="78" t="str">
        <f>IFERROR(__xludf.DUMMYFUNCTION("""COMPUTED_VALUE"""),"")</f>
        <v/>
      </c>
      <c r="S259" s="61" t="str">
        <f>IFERROR(__xludf.DUMMYFUNCTION("""COMPUTED_VALUE"""),"")</f>
        <v/>
      </c>
      <c r="T259" s="61" t="str">
        <f>IFERROR(__xludf.DUMMYFUNCTION("""COMPUTED_VALUE"""),"")</f>
        <v/>
      </c>
      <c r="U259" s="133" t="str">
        <f>IFERROR(__xludf.DUMMYFUNCTION("""COMPUTED_VALUE"""),"")</f>
        <v/>
      </c>
      <c r="V259" s="78" t="str">
        <f>IFERROR(__xludf.DUMMYFUNCTION("""COMPUTED_VALUE"""),"")</f>
        <v/>
      </c>
      <c r="W259" s="62" t="str">
        <f>IFERROR(__xludf.DUMMYFUNCTION("""COMPUTED_VALUE"""),"")</f>
        <v/>
      </c>
      <c r="X259" s="62" t="str">
        <f>IFERROR(__xludf.DUMMYFUNCTION("""COMPUTED_VALUE"""),"")</f>
        <v/>
      </c>
      <c r="Y259" s="109" t="str">
        <f>IFERROR(__xludf.DUMMYFUNCTION("""COMPUTED_VALUE"""),"")</f>
        <v/>
      </c>
      <c r="Z259" s="113" t="str">
        <f>IFERROR(__xludf.DUMMYFUNCTION("""COMPUTED_VALUE"""),"")</f>
        <v/>
      </c>
      <c r="AA259" s="113" t="str">
        <f>IFERROR(__xludf.DUMMYFUNCTION("""COMPUTED_VALUE"""),"")</f>
        <v/>
      </c>
      <c r="AB259" s="71"/>
    </row>
    <row r="260">
      <c r="A260" s="105">
        <f>IFERROR(__xludf.DUMMYFUNCTION("""COMPUTED_VALUE"""),45975.63173871528)</f>
        <v>45975.63174</v>
      </c>
      <c r="B260" s="71" t="str">
        <f>IFERROR(__xludf.DUMMYFUNCTION("""COMPUTED_VALUE"""),"Brynn Hornig")</f>
        <v>Brynn Hornig</v>
      </c>
      <c r="C260" s="71" t="b">
        <f>IFERROR(__xludf.DUMMYFUNCTION("""COMPUTED_VALUE"""),FALSE)</f>
        <v>0</v>
      </c>
      <c r="D260" s="132">
        <f>IFERROR(__xludf.DUMMYFUNCTION("""COMPUTED_VALUE"""),0.5520833333357587)</f>
        <v>0.5520833333</v>
      </c>
      <c r="E260" s="78">
        <f>IFERROR(__xludf.DUMMYFUNCTION("""COMPUTED_VALUE"""),0.0833333333284827)</f>
        <v>0.08333333333</v>
      </c>
      <c r="F260" s="132">
        <f>IFERROR(__xludf.DUMMYFUNCTION("""COMPUTED_VALUE"""),0.6354166666642413)</f>
        <v>0.6354166667</v>
      </c>
      <c r="G260" s="78">
        <f>IFERROR(__xludf.DUMMYFUNCTION("""COMPUTED_VALUE"""),0.0833333333284827)</f>
        <v>0.08333333333</v>
      </c>
      <c r="H260" s="110">
        <f>IFERROR(__xludf.DUMMYFUNCTION("""COMPUTED_VALUE"""),93.0)</f>
        <v>93</v>
      </c>
      <c r="I260" s="108">
        <f>IFERROR(__xludf.DUMMYFUNCTION("""COMPUTED_VALUE"""),46.500000002706656)</f>
        <v>46.5</v>
      </c>
      <c r="J260" s="71" t="str">
        <f>IFERROR(__xludf.DUMMYFUNCTION("""COMPUTED_VALUE"""),"Lunch")</f>
        <v>Lunch</v>
      </c>
      <c r="K260" s="106">
        <f>IFERROR(__xludf.DUMMYFUNCTION("""COMPUTED_VALUE"""),45975.0)</f>
        <v>45975</v>
      </c>
      <c r="L260" s="71" t="str">
        <f>IFERROR(__xludf.DUMMYFUNCTION("""COMPUTED_VALUE"""),"Friday")</f>
        <v>Friday</v>
      </c>
      <c r="M260" s="71" t="str">
        <f>IFERROR(__xludf.DUMMYFUNCTION("""COMPUTED_VALUE"""),"MF")</f>
        <v>MF</v>
      </c>
      <c r="N260" s="109">
        <f>IFERROR(__xludf.DUMMYFUNCTION("""COMPUTED_VALUE"""),0.9669602103258499)</f>
        <v>0.9669602103</v>
      </c>
      <c r="O260" s="71" t="str">
        <f>IFERROR(__xludf.DUMMYFUNCTION("""COMPUTED_VALUE"""),"")</f>
        <v/>
      </c>
      <c r="P260" s="71" t="str">
        <f>IFERROR(__xludf.DUMMYFUNCTION("""COMPUTED_VALUE"""),"")</f>
        <v/>
      </c>
      <c r="Q260" s="78" t="str">
        <f>IFERROR(__xludf.DUMMYFUNCTION("""COMPUTED_VALUE"""),"")</f>
        <v/>
      </c>
      <c r="R260" s="78" t="str">
        <f>IFERROR(__xludf.DUMMYFUNCTION("""COMPUTED_VALUE"""),"")</f>
        <v/>
      </c>
      <c r="S260" s="61" t="str">
        <f>IFERROR(__xludf.DUMMYFUNCTION("""COMPUTED_VALUE"""),"")</f>
        <v/>
      </c>
      <c r="T260" s="61" t="str">
        <f>IFERROR(__xludf.DUMMYFUNCTION("""COMPUTED_VALUE"""),"")</f>
        <v/>
      </c>
      <c r="U260" s="133" t="str">
        <f>IFERROR(__xludf.DUMMYFUNCTION("""COMPUTED_VALUE"""),"")</f>
        <v/>
      </c>
      <c r="V260" s="78" t="str">
        <f>IFERROR(__xludf.DUMMYFUNCTION("""COMPUTED_VALUE"""),"")</f>
        <v/>
      </c>
      <c r="W260" s="62" t="str">
        <f>IFERROR(__xludf.DUMMYFUNCTION("""COMPUTED_VALUE"""),"")</f>
        <v/>
      </c>
      <c r="X260" s="62" t="str">
        <f>IFERROR(__xludf.DUMMYFUNCTION("""COMPUTED_VALUE"""),"")</f>
        <v/>
      </c>
      <c r="Y260" s="109" t="str">
        <f>IFERROR(__xludf.DUMMYFUNCTION("""COMPUTED_VALUE"""),"")</f>
        <v/>
      </c>
      <c r="Z260" s="113" t="str">
        <f>IFERROR(__xludf.DUMMYFUNCTION("""COMPUTED_VALUE"""),"")</f>
        <v/>
      </c>
      <c r="AA260" s="113" t="str">
        <f>IFERROR(__xludf.DUMMYFUNCTION("""COMPUTED_VALUE"""),"")</f>
        <v/>
      </c>
      <c r="AB260" s="71"/>
    </row>
    <row r="261">
      <c r="A261" s="105">
        <f>IFERROR(__xludf.DUMMYFUNCTION("""COMPUTED_VALUE"""),45975.759074733796)</f>
        <v>45975.75907</v>
      </c>
      <c r="B261" s="71" t="str">
        <f>IFERROR(__xludf.DUMMYFUNCTION("""COMPUTED_VALUE"""),"Emmett Khan")</f>
        <v>Emmett Khan</v>
      </c>
      <c r="C261" s="71" t="b">
        <f>IFERROR(__xludf.DUMMYFUNCTION("""COMPUTED_VALUE"""),FALSE)</f>
        <v>0</v>
      </c>
      <c r="D261" s="132">
        <f>IFERROR(__xludf.DUMMYFUNCTION("""COMPUTED_VALUE"""),0.6666666666642413)</f>
        <v>0.6666666667</v>
      </c>
      <c r="E261" s="78">
        <f>IFERROR(__xludf.DUMMYFUNCTION("""COMPUTED_VALUE"""),0.09375)</f>
        <v>0.09375</v>
      </c>
      <c r="F261" s="132">
        <f>IFERROR(__xludf.DUMMYFUNCTION("""COMPUTED_VALUE"""),0.7604166666642413)</f>
        <v>0.7604166667</v>
      </c>
      <c r="G261" s="78">
        <f>IFERROR(__xludf.DUMMYFUNCTION("""COMPUTED_VALUE"""),0.09375)</f>
        <v>0.09375</v>
      </c>
      <c r="H261" s="110">
        <f>IFERROR(__xludf.DUMMYFUNCTION("""COMPUTED_VALUE"""),191.0)</f>
        <v>191</v>
      </c>
      <c r="I261" s="108">
        <f>IFERROR(__xludf.DUMMYFUNCTION("""COMPUTED_VALUE"""),84.88888888888889)</f>
        <v>84.88888889</v>
      </c>
      <c r="J261" s="71" t="str">
        <f>IFERROR(__xludf.DUMMYFUNCTION("""COMPUTED_VALUE"""),"Dinner")</f>
        <v>Dinner</v>
      </c>
      <c r="K261" s="106">
        <f>IFERROR(__xludf.DUMMYFUNCTION("""COMPUTED_VALUE"""),45975.0)</f>
        <v>45975</v>
      </c>
      <c r="L261" s="71" t="str">
        <f>IFERROR(__xludf.DUMMYFUNCTION("""COMPUTED_VALUE"""),"Friday")</f>
        <v>Friday</v>
      </c>
      <c r="M261" s="71" t="str">
        <f>IFERROR(__xludf.DUMMYFUNCTION("""COMPUTED_VALUE"""),"MF")</f>
        <v>MF</v>
      </c>
      <c r="N261" s="109">
        <f>IFERROR(__xludf.DUMMYFUNCTION("""COMPUTED_VALUE"""),1.672734380293682)</f>
        <v>1.67273438</v>
      </c>
      <c r="O261" s="71">
        <f>IFERROR(__xludf.DUMMYFUNCTION("""COMPUTED_VALUE"""),284.0)</f>
        <v>284</v>
      </c>
      <c r="P261" s="71">
        <f>IFERROR(__xludf.DUMMYFUNCTION("""COMPUTED_VALUE"""),53.0)</f>
        <v>53</v>
      </c>
      <c r="Q261" s="78">
        <f>IFERROR(__xludf.DUMMYFUNCTION("""COMPUTED_VALUE"""),0.1770833333284827)</f>
        <v>0.1770833333</v>
      </c>
      <c r="R261" s="78">
        <f>IFERROR(__xludf.DUMMYFUNCTION("""COMPUTED_VALUE"""),0.04791666666456473)</f>
        <v>0.04791666666</v>
      </c>
      <c r="S261" s="61">
        <f>IFERROR(__xludf.DUMMYFUNCTION("""COMPUTED_VALUE"""),65.69444444579777)</f>
        <v>65.69444445</v>
      </c>
      <c r="T261" s="61">
        <f>IFERROR(__xludf.DUMMYFUNCTION("""COMPUTED_VALUE"""),46.086956523760804)</f>
        <v>46.08695652</v>
      </c>
      <c r="U261" s="133">
        <f>IFERROR(__xludf.DUMMYFUNCTION("""COMPUTED_VALUE"""),337.0)</f>
        <v>337</v>
      </c>
      <c r="V261" s="78">
        <f>IFERROR(__xludf.DUMMYFUNCTION("""COMPUTED_VALUE"""),0.22499999999304743)</f>
        <v>0.225</v>
      </c>
      <c r="W261" s="62">
        <f>IFERROR(__xludf.DUMMYFUNCTION("""COMPUTED_VALUE"""),62.40740740933582)</f>
        <v>62.40740741</v>
      </c>
      <c r="X261" s="62">
        <f>IFERROR(__xludf.DUMMYFUNCTION("""COMPUTED_VALUE"""),59.15861513845211)</f>
        <v>59.15861514</v>
      </c>
      <c r="Y261" s="109">
        <f>IFERROR(__xludf.DUMMYFUNCTION("""COMPUTED_VALUE"""),1.292316298649823)</f>
        <v>1.292316299</v>
      </c>
      <c r="Z261" s="113">
        <f>IFERROR(__xludf.DUMMYFUNCTION("""COMPUTED_VALUE"""),3821.0)</f>
        <v>3821</v>
      </c>
      <c r="AA261" s="113">
        <f>IFERROR(__xludf.DUMMYFUNCTION("""COMPUTED_VALUE"""),2217.0)</f>
        <v>2217</v>
      </c>
      <c r="AB261" s="71"/>
    </row>
    <row r="262">
      <c r="A262" s="105">
        <f>IFERROR(__xludf.DUMMYFUNCTION("""COMPUTED_VALUE"""),45978.435646990736)</f>
        <v>45978.43565</v>
      </c>
      <c r="B262" s="71" t="str">
        <f>IFERROR(__xludf.DUMMYFUNCTION("""COMPUTED_VALUE"""),"Sarah Wilme")</f>
        <v>Sarah Wilme</v>
      </c>
      <c r="C262" s="71" t="b">
        <f>IFERROR(__xludf.DUMMYFUNCTION("""COMPUTED_VALUE"""),FALSE)</f>
        <v>0</v>
      </c>
      <c r="D262" s="132">
        <f>IFERROR(__xludf.DUMMYFUNCTION("""COMPUTED_VALUE"""),0.2923611111109494)</f>
        <v>0.2923611111</v>
      </c>
      <c r="E262" s="78">
        <f>IFERROR(__xludf.DUMMYFUNCTION("""COMPUTED_VALUE"""),0.1416666666700621)</f>
        <v>0.1416666667</v>
      </c>
      <c r="F262" s="132">
        <f>IFERROR(__xludf.DUMMYFUNCTION("""COMPUTED_VALUE"""),0.43402777778101154)</f>
        <v>0.4340277778</v>
      </c>
      <c r="G262" s="78">
        <f>IFERROR(__xludf.DUMMYFUNCTION("""COMPUTED_VALUE"""),0.1416666666700621)</f>
        <v>0.1416666667</v>
      </c>
      <c r="H262" s="110">
        <f>IFERROR(__xludf.DUMMYFUNCTION("""COMPUTED_VALUE"""),110.0)</f>
        <v>110</v>
      </c>
      <c r="I262" s="108">
        <f>IFERROR(__xludf.DUMMYFUNCTION("""COMPUTED_VALUE"""),32.35294117569516)</f>
        <v>32.35294118</v>
      </c>
      <c r="J262" s="71" t="str">
        <f>IFERROR(__xludf.DUMMYFUNCTION("""COMPUTED_VALUE"""),"Breakfast")</f>
        <v>Breakfast</v>
      </c>
      <c r="K262" s="106">
        <f>IFERROR(__xludf.DUMMYFUNCTION("""COMPUTED_VALUE"""),45978.0)</f>
        <v>45978</v>
      </c>
      <c r="L262" s="71" t="str">
        <f>IFERROR(__xludf.DUMMYFUNCTION("""COMPUTED_VALUE"""),"Monday")</f>
        <v>Monday</v>
      </c>
      <c r="M262" s="71" t="str">
        <f>IFERROR(__xludf.DUMMYFUNCTION("""COMPUTED_VALUE"""),"BF")</f>
        <v>BF</v>
      </c>
      <c r="N262" s="109">
        <f>IFERROR(__xludf.DUMMYFUNCTION("""COMPUTED_VALUE"""),1.3701850392438875)</f>
        <v>1.370185039</v>
      </c>
      <c r="O262" s="71" t="str">
        <f>IFERROR(__xludf.DUMMYFUNCTION("""COMPUTED_VALUE"""),"")</f>
        <v/>
      </c>
      <c r="P262" s="71" t="str">
        <f>IFERROR(__xludf.DUMMYFUNCTION("""COMPUTED_VALUE"""),"")</f>
        <v/>
      </c>
      <c r="Q262" s="78" t="str">
        <f>IFERROR(__xludf.DUMMYFUNCTION("""COMPUTED_VALUE"""),"")</f>
        <v/>
      </c>
      <c r="R262" s="78" t="str">
        <f>IFERROR(__xludf.DUMMYFUNCTION("""COMPUTED_VALUE"""),"")</f>
        <v/>
      </c>
      <c r="S262" s="61" t="str">
        <f>IFERROR(__xludf.DUMMYFUNCTION("""COMPUTED_VALUE"""),"")</f>
        <v/>
      </c>
      <c r="T262" s="61" t="str">
        <f>IFERROR(__xludf.DUMMYFUNCTION("""COMPUTED_VALUE"""),"")</f>
        <v/>
      </c>
      <c r="U262" s="133" t="str">
        <f>IFERROR(__xludf.DUMMYFUNCTION("""COMPUTED_VALUE"""),"")</f>
        <v/>
      </c>
      <c r="V262" s="78" t="str">
        <f>IFERROR(__xludf.DUMMYFUNCTION("""COMPUTED_VALUE"""),"")</f>
        <v/>
      </c>
      <c r="W262" s="62" t="str">
        <f>IFERROR(__xludf.DUMMYFUNCTION("""COMPUTED_VALUE"""),"")</f>
        <v/>
      </c>
      <c r="X262" s="62" t="str">
        <f>IFERROR(__xludf.DUMMYFUNCTION("""COMPUTED_VALUE"""),"")</f>
        <v/>
      </c>
      <c r="Y262" s="109" t="str">
        <f>IFERROR(__xludf.DUMMYFUNCTION("""COMPUTED_VALUE"""),"")</f>
        <v/>
      </c>
      <c r="Z262" s="113" t="str">
        <f>IFERROR(__xludf.DUMMYFUNCTION("""COMPUTED_VALUE"""),"")</f>
        <v/>
      </c>
      <c r="AA262" s="113" t="str">
        <f>IFERROR(__xludf.DUMMYFUNCTION("""COMPUTED_VALUE"""),"")</f>
        <v/>
      </c>
      <c r="AB262" s="71"/>
    </row>
    <row r="263">
      <c r="A263" s="105">
        <f>IFERROR(__xludf.DUMMYFUNCTION("""COMPUTED_VALUE"""),45978.49990913195)</f>
        <v>45978.49991</v>
      </c>
      <c r="B263" s="71" t="str">
        <f>IFERROR(__xludf.DUMMYFUNCTION("""COMPUTED_VALUE"""),"Oluwatimilehin Shodipe")</f>
        <v>Oluwatimilehin Shodipe</v>
      </c>
      <c r="C263" s="71" t="b">
        <f>IFERROR(__xludf.DUMMYFUNCTION("""COMPUTED_VALUE"""),FALSE)</f>
        <v>0</v>
      </c>
      <c r="D263" s="132">
        <f>IFERROR(__xludf.DUMMYFUNCTION("""COMPUTED_VALUE"""),0.44166666666569654)</f>
        <v>0.4416666667</v>
      </c>
      <c r="E263" s="78">
        <f>IFERROR(__xludf.DUMMYFUNCTION("""COMPUTED_VALUE"""),0.05833333333430346)</f>
        <v>0.05833333333</v>
      </c>
      <c r="F263" s="132">
        <f>IFERROR(__xludf.DUMMYFUNCTION("""COMPUTED_VALUE"""),0.5)</f>
        <v>0.5</v>
      </c>
      <c r="G263" s="78">
        <f>IFERROR(__xludf.DUMMYFUNCTION("""COMPUTED_VALUE"""),0.05833333333430346)</f>
        <v>0.05833333333</v>
      </c>
      <c r="H263" s="110">
        <f>IFERROR(__xludf.DUMMYFUNCTION("""COMPUTED_VALUE"""),80.0)</f>
        <v>80</v>
      </c>
      <c r="I263" s="108">
        <f>IFERROR(__xludf.DUMMYFUNCTION("""COMPUTED_VALUE"""),57.142857141906816)</f>
        <v>57.14285714</v>
      </c>
      <c r="J263" s="71" t="str">
        <f>IFERROR(__xludf.DUMMYFUNCTION("""COMPUTED_VALUE"""),"Breakfast/Lunch")</f>
        <v>Breakfast/Lunch</v>
      </c>
      <c r="K263" s="106">
        <f>IFERROR(__xludf.DUMMYFUNCTION("""COMPUTED_VALUE"""),45978.0)</f>
        <v>45978</v>
      </c>
      <c r="L263" s="71" t="str">
        <f>IFERROR(__xludf.DUMMYFUNCTION("""COMPUTED_VALUE"""),"Monday")</f>
        <v>Monday</v>
      </c>
      <c r="M263" s="71" t="str">
        <f>IFERROR(__xludf.DUMMYFUNCTION("""COMPUTED_VALUE"""),"BF")</f>
        <v>BF</v>
      </c>
      <c r="N263" s="109">
        <f>IFERROR(__xludf.DUMMYFUNCTION("""COMPUTED_VALUE"""),1.0035130145014513)</f>
        <v>1.003513015</v>
      </c>
      <c r="O263" s="71" t="str">
        <f>IFERROR(__xludf.DUMMYFUNCTION("""COMPUTED_VALUE"""),"")</f>
        <v/>
      </c>
      <c r="P263" s="71" t="str">
        <f>IFERROR(__xludf.DUMMYFUNCTION("""COMPUTED_VALUE"""),"")</f>
        <v/>
      </c>
      <c r="Q263" s="78" t="str">
        <f>IFERROR(__xludf.DUMMYFUNCTION("""COMPUTED_VALUE"""),"")</f>
        <v/>
      </c>
      <c r="R263" s="78" t="str">
        <f>IFERROR(__xludf.DUMMYFUNCTION("""COMPUTED_VALUE"""),"")</f>
        <v/>
      </c>
      <c r="S263" s="61" t="str">
        <f>IFERROR(__xludf.DUMMYFUNCTION("""COMPUTED_VALUE"""),"")</f>
        <v/>
      </c>
      <c r="T263" s="61" t="str">
        <f>IFERROR(__xludf.DUMMYFUNCTION("""COMPUTED_VALUE"""),"")</f>
        <v/>
      </c>
      <c r="U263" s="133" t="str">
        <f>IFERROR(__xludf.DUMMYFUNCTION("""COMPUTED_VALUE"""),"")</f>
        <v/>
      </c>
      <c r="V263" s="78" t="str">
        <f>IFERROR(__xludf.DUMMYFUNCTION("""COMPUTED_VALUE"""),"")</f>
        <v/>
      </c>
      <c r="W263" s="62" t="str">
        <f>IFERROR(__xludf.DUMMYFUNCTION("""COMPUTED_VALUE"""),"")</f>
        <v/>
      </c>
      <c r="X263" s="62" t="str">
        <f>IFERROR(__xludf.DUMMYFUNCTION("""COMPUTED_VALUE"""),"")</f>
        <v/>
      </c>
      <c r="Y263" s="109" t="str">
        <f>IFERROR(__xludf.DUMMYFUNCTION("""COMPUTED_VALUE"""),"")</f>
        <v/>
      </c>
      <c r="Z263" s="113" t="str">
        <f>IFERROR(__xludf.DUMMYFUNCTION("""COMPUTED_VALUE"""),"")</f>
        <v/>
      </c>
      <c r="AA263" s="113" t="str">
        <f>IFERROR(__xludf.DUMMYFUNCTION("""COMPUTED_VALUE"""),"")</f>
        <v/>
      </c>
      <c r="AB263" s="71"/>
    </row>
    <row r="264">
      <c r="A264" s="105">
        <f>IFERROR(__xludf.DUMMYFUNCTION("""COMPUTED_VALUE"""),45978.5752328588)</f>
        <v>45978.57523</v>
      </c>
      <c r="B264" s="71" t="str">
        <f>IFERROR(__xludf.DUMMYFUNCTION("""COMPUTED_VALUE"""),"Orpheus Wilson")</f>
        <v>Orpheus Wilson</v>
      </c>
      <c r="C264" s="71" t="b">
        <f>IFERROR(__xludf.DUMMYFUNCTION("""COMPUTED_VALUE"""),FALSE)</f>
        <v>0</v>
      </c>
      <c r="D264" s="132">
        <f>IFERROR(__xludf.DUMMYFUNCTION("""COMPUTED_VALUE"""),0.48263888889050577)</f>
        <v>0.4826388889</v>
      </c>
      <c r="E264" s="78">
        <f>IFERROR(__xludf.DUMMYFUNCTION("""COMPUTED_VALUE"""),0.07847222221607808)</f>
        <v>0.07847222222</v>
      </c>
      <c r="F264" s="132">
        <f>IFERROR(__xludf.DUMMYFUNCTION("""COMPUTED_VALUE"""),0.5611111111065838)</f>
        <v>0.5611111111</v>
      </c>
      <c r="G264" s="78">
        <f>IFERROR(__xludf.DUMMYFUNCTION("""COMPUTED_VALUE"""),0.07847222221607808)</f>
        <v>0.07847222222</v>
      </c>
      <c r="H264" s="110">
        <f>IFERROR(__xludf.DUMMYFUNCTION("""COMPUTED_VALUE"""),148.0)</f>
        <v>148</v>
      </c>
      <c r="I264" s="108">
        <f>IFERROR(__xludf.DUMMYFUNCTION("""COMPUTED_VALUE"""),78.58407080261307)</f>
        <v>78.5840708</v>
      </c>
      <c r="J264" s="71" t="str">
        <f>IFERROR(__xludf.DUMMYFUNCTION("""COMPUTED_VALUE"""),"Lunch")</f>
        <v>Lunch</v>
      </c>
      <c r="K264" s="106">
        <f>IFERROR(__xludf.DUMMYFUNCTION("""COMPUTED_VALUE"""),45978.0)</f>
        <v>45978</v>
      </c>
      <c r="L264" s="71" t="str">
        <f>IFERROR(__xludf.DUMMYFUNCTION("""COMPUTED_VALUE"""),"Monday")</f>
        <v>Monday</v>
      </c>
      <c r="M264" s="71" t="str">
        <f>IFERROR(__xludf.DUMMYFUNCTION("""COMPUTED_VALUE"""),"MF")</f>
        <v>MF</v>
      </c>
      <c r="N264" s="109">
        <f>IFERROR(__xludf.DUMMYFUNCTION("""COMPUTED_VALUE"""),1.634143432841573)</f>
        <v>1.634143433</v>
      </c>
      <c r="O264" s="71" t="str">
        <f>IFERROR(__xludf.DUMMYFUNCTION("""COMPUTED_VALUE"""),"")</f>
        <v/>
      </c>
      <c r="P264" s="71" t="str">
        <f>IFERROR(__xludf.DUMMYFUNCTION("""COMPUTED_VALUE"""),"")</f>
        <v/>
      </c>
      <c r="Q264" s="78" t="str">
        <f>IFERROR(__xludf.DUMMYFUNCTION("""COMPUTED_VALUE"""),"")</f>
        <v/>
      </c>
      <c r="R264" s="78" t="str">
        <f>IFERROR(__xludf.DUMMYFUNCTION("""COMPUTED_VALUE"""),"")</f>
        <v/>
      </c>
      <c r="S264" s="61" t="str">
        <f>IFERROR(__xludf.DUMMYFUNCTION("""COMPUTED_VALUE"""),"")</f>
        <v/>
      </c>
      <c r="T264" s="61" t="str">
        <f>IFERROR(__xludf.DUMMYFUNCTION("""COMPUTED_VALUE"""),"")</f>
        <v/>
      </c>
      <c r="U264" s="133" t="str">
        <f>IFERROR(__xludf.DUMMYFUNCTION("""COMPUTED_VALUE"""),"")</f>
        <v/>
      </c>
      <c r="V264" s="78" t="str">
        <f>IFERROR(__xludf.DUMMYFUNCTION("""COMPUTED_VALUE"""),"")</f>
        <v/>
      </c>
      <c r="W264" s="62" t="str">
        <f>IFERROR(__xludf.DUMMYFUNCTION("""COMPUTED_VALUE"""),"")</f>
        <v/>
      </c>
      <c r="X264" s="62" t="str">
        <f>IFERROR(__xludf.DUMMYFUNCTION("""COMPUTED_VALUE"""),"")</f>
        <v/>
      </c>
      <c r="Y264" s="109" t="str">
        <f>IFERROR(__xludf.DUMMYFUNCTION("""COMPUTED_VALUE"""),"")</f>
        <v/>
      </c>
      <c r="Z264" s="113" t="str">
        <f>IFERROR(__xludf.DUMMYFUNCTION("""COMPUTED_VALUE"""),"")</f>
        <v/>
      </c>
      <c r="AA264" s="113" t="str">
        <f>IFERROR(__xludf.DUMMYFUNCTION("""COMPUTED_VALUE"""),"")</f>
        <v/>
      </c>
      <c r="AB264" s="71"/>
    </row>
    <row r="265">
      <c r="A265" s="105">
        <f>IFERROR(__xludf.DUMMYFUNCTION("""COMPUTED_VALUE"""),45978.63615226852)</f>
        <v>45978.63615</v>
      </c>
      <c r="B265" s="71" t="str">
        <f>IFERROR(__xludf.DUMMYFUNCTION("""COMPUTED_VALUE"""),"Oluwatimilehin Shodipe")</f>
        <v>Oluwatimilehin Shodipe</v>
      </c>
      <c r="C265" s="71" t="b">
        <f>IFERROR(__xludf.DUMMYFUNCTION("""COMPUTED_VALUE"""),FALSE)</f>
        <v>0</v>
      </c>
      <c r="D265" s="132">
        <f>IFERROR(__xludf.DUMMYFUNCTION("""COMPUTED_VALUE"""),0.5625)</f>
        <v>0.5625</v>
      </c>
      <c r="E265" s="78">
        <f>IFERROR(__xludf.DUMMYFUNCTION("""COMPUTED_VALUE"""),0.07291666666666663)</f>
        <v>0.07291666667</v>
      </c>
      <c r="F265" s="132">
        <f>IFERROR(__xludf.DUMMYFUNCTION("""COMPUTED_VALUE"""),0.6354166666666666)</f>
        <v>0.6354166667</v>
      </c>
      <c r="G265" s="78">
        <f>IFERROR(__xludf.DUMMYFUNCTION("""COMPUTED_VALUE"""),0.07291666666666663)</f>
        <v>0.07291666667</v>
      </c>
      <c r="H265" s="110">
        <f>IFERROR(__xludf.DUMMYFUNCTION("""COMPUTED_VALUE"""),83.0)</f>
        <v>83</v>
      </c>
      <c r="I265" s="108">
        <f>IFERROR(__xludf.DUMMYFUNCTION("""COMPUTED_VALUE"""),47.42857142857145)</f>
        <v>47.42857143</v>
      </c>
      <c r="J265" s="71" t="str">
        <f>IFERROR(__xludf.DUMMYFUNCTION("""COMPUTED_VALUE"""),"Lunch")</f>
        <v>Lunch</v>
      </c>
      <c r="K265" s="106">
        <f>IFERROR(__xludf.DUMMYFUNCTION("""COMPUTED_VALUE"""),45978.0)</f>
        <v>45978</v>
      </c>
      <c r="L265" s="71" t="str">
        <f>IFERROR(__xludf.DUMMYFUNCTION("""COMPUTED_VALUE"""),"Monday")</f>
        <v>Monday</v>
      </c>
      <c r="M265" s="71" t="str">
        <f>IFERROR(__xludf.DUMMYFUNCTION("""COMPUTED_VALUE"""),"MF")</f>
        <v>MF</v>
      </c>
      <c r="N265" s="109">
        <f>IFERROR(__xludf.DUMMYFUNCTION("""COMPUTED_VALUE"""),0.9862697075560548)</f>
        <v>0.9862697076</v>
      </c>
      <c r="O265" s="71" t="str">
        <f>IFERROR(__xludf.DUMMYFUNCTION("""COMPUTED_VALUE"""),"")</f>
        <v/>
      </c>
      <c r="P265" s="71" t="str">
        <f>IFERROR(__xludf.DUMMYFUNCTION("""COMPUTED_VALUE"""),"")</f>
        <v/>
      </c>
      <c r="Q265" s="78" t="str">
        <f>IFERROR(__xludf.DUMMYFUNCTION("""COMPUTED_VALUE"""),"")</f>
        <v/>
      </c>
      <c r="R265" s="78" t="str">
        <f>IFERROR(__xludf.DUMMYFUNCTION("""COMPUTED_VALUE"""),"")</f>
        <v/>
      </c>
      <c r="S265" s="61" t="str">
        <f>IFERROR(__xludf.DUMMYFUNCTION("""COMPUTED_VALUE"""),"")</f>
        <v/>
      </c>
      <c r="T265" s="61" t="str">
        <f>IFERROR(__xludf.DUMMYFUNCTION("""COMPUTED_VALUE"""),"")</f>
        <v/>
      </c>
      <c r="U265" s="133" t="str">
        <f>IFERROR(__xludf.DUMMYFUNCTION("""COMPUTED_VALUE"""),"")</f>
        <v/>
      </c>
      <c r="V265" s="78" t="str">
        <f>IFERROR(__xludf.DUMMYFUNCTION("""COMPUTED_VALUE"""),"")</f>
        <v/>
      </c>
      <c r="W265" s="62" t="str">
        <f>IFERROR(__xludf.DUMMYFUNCTION("""COMPUTED_VALUE"""),"")</f>
        <v/>
      </c>
      <c r="X265" s="62" t="str">
        <f>IFERROR(__xludf.DUMMYFUNCTION("""COMPUTED_VALUE"""),"")</f>
        <v/>
      </c>
      <c r="Y265" s="109" t="str">
        <f>IFERROR(__xludf.DUMMYFUNCTION("""COMPUTED_VALUE"""),"")</f>
        <v/>
      </c>
      <c r="Z265" s="113" t="str">
        <f>IFERROR(__xludf.DUMMYFUNCTION("""COMPUTED_VALUE"""),"")</f>
        <v/>
      </c>
      <c r="AA265" s="113" t="str">
        <f>IFERROR(__xludf.DUMMYFUNCTION("""COMPUTED_VALUE"""),"")</f>
        <v/>
      </c>
      <c r="AB265" s="71"/>
    </row>
    <row r="266">
      <c r="A266" s="105">
        <f>IFERROR(__xludf.DUMMYFUNCTION("""COMPUTED_VALUE"""),45978.769177395836)</f>
        <v>45978.76918</v>
      </c>
      <c r="B266" s="71" t="str">
        <f>IFERROR(__xludf.DUMMYFUNCTION("""COMPUTED_VALUE"""),"Maureen Surgot")</f>
        <v>Maureen Surgot</v>
      </c>
      <c r="C266" s="71" t="b">
        <f>IFERROR(__xludf.DUMMYFUNCTION("""COMPUTED_VALUE"""),FALSE)</f>
        <v>0</v>
      </c>
      <c r="D266" s="132">
        <f>IFERROR(__xludf.DUMMYFUNCTION("""COMPUTED_VALUE"""),0.6666666666642413)</f>
        <v>0.6666666667</v>
      </c>
      <c r="E266" s="78">
        <f>IFERROR(__xludf.DUMMYFUNCTION("""COMPUTED_VALUE"""),0.1041666666715173)</f>
        <v>0.1041666667</v>
      </c>
      <c r="F266" s="132">
        <f>IFERROR(__xludf.DUMMYFUNCTION("""COMPUTED_VALUE"""),0.7708333333357587)</f>
        <v>0.7708333333</v>
      </c>
      <c r="G266" s="78">
        <f>IFERROR(__xludf.DUMMYFUNCTION("""COMPUTED_VALUE"""),0.1041666666715173)</f>
        <v>0.1041666667</v>
      </c>
      <c r="H266" s="110">
        <f>IFERROR(__xludf.DUMMYFUNCTION("""COMPUTED_VALUE"""),101.0)</f>
        <v>101</v>
      </c>
      <c r="I266" s="108">
        <f>IFERROR(__xludf.DUMMYFUNCTION("""COMPUTED_VALUE"""),40.39999999811873)</f>
        <v>40.4</v>
      </c>
      <c r="J266" s="71" t="str">
        <f>IFERROR(__xludf.DUMMYFUNCTION("""COMPUTED_VALUE"""),"Dinner")</f>
        <v>Dinner</v>
      </c>
      <c r="K266" s="106">
        <f>IFERROR(__xludf.DUMMYFUNCTION("""COMPUTED_VALUE"""),45978.0)</f>
        <v>45978</v>
      </c>
      <c r="L266" s="71" t="str">
        <f>IFERROR(__xludf.DUMMYFUNCTION("""COMPUTED_VALUE"""),"Monday")</f>
        <v>Monday</v>
      </c>
      <c r="M266" s="71" t="str">
        <f>IFERROR(__xludf.DUMMYFUNCTION("""COMPUTED_VALUE"""),"MF")</f>
        <v>MF</v>
      </c>
      <c r="N266" s="109">
        <f>IFERROR(__xludf.DUMMYFUNCTION("""COMPUTED_VALUE"""),0.7960814406367291)</f>
        <v>0.7960814406</v>
      </c>
      <c r="O266" s="71" t="str">
        <f>IFERROR(__xludf.DUMMYFUNCTION("""COMPUTED_VALUE"""),"")</f>
        <v/>
      </c>
      <c r="P266" s="71" t="str">
        <f>IFERROR(__xludf.DUMMYFUNCTION("""COMPUTED_VALUE"""),"")</f>
        <v/>
      </c>
      <c r="Q266" s="78" t="str">
        <f>IFERROR(__xludf.DUMMYFUNCTION("""COMPUTED_VALUE"""),"")</f>
        <v/>
      </c>
      <c r="R266" s="78" t="str">
        <f>IFERROR(__xludf.DUMMYFUNCTION("""COMPUTED_VALUE"""),"")</f>
        <v/>
      </c>
      <c r="S266" s="61" t="str">
        <f>IFERROR(__xludf.DUMMYFUNCTION("""COMPUTED_VALUE"""),"")</f>
        <v/>
      </c>
      <c r="T266" s="61" t="str">
        <f>IFERROR(__xludf.DUMMYFUNCTION("""COMPUTED_VALUE"""),"")</f>
        <v/>
      </c>
      <c r="U266" s="133" t="str">
        <f>IFERROR(__xludf.DUMMYFUNCTION("""COMPUTED_VALUE"""),"")</f>
        <v/>
      </c>
      <c r="V266" s="78" t="str">
        <f>IFERROR(__xludf.DUMMYFUNCTION("""COMPUTED_VALUE"""),"")</f>
        <v/>
      </c>
      <c r="W266" s="62" t="str">
        <f>IFERROR(__xludf.DUMMYFUNCTION("""COMPUTED_VALUE"""),"")</f>
        <v/>
      </c>
      <c r="X266" s="62" t="str">
        <f>IFERROR(__xludf.DUMMYFUNCTION("""COMPUTED_VALUE"""),"")</f>
        <v/>
      </c>
      <c r="Y266" s="109" t="str">
        <f>IFERROR(__xludf.DUMMYFUNCTION("""COMPUTED_VALUE"""),"")</f>
        <v/>
      </c>
      <c r="Z266" s="113" t="str">
        <f>IFERROR(__xludf.DUMMYFUNCTION("""COMPUTED_VALUE"""),"")</f>
        <v/>
      </c>
      <c r="AA266" s="113" t="str">
        <f>IFERROR(__xludf.DUMMYFUNCTION("""COMPUTED_VALUE"""),"")</f>
        <v/>
      </c>
      <c r="AB266" s="71"/>
    </row>
    <row r="267">
      <c r="A267" s="105">
        <f>IFERROR(__xludf.DUMMYFUNCTION("""COMPUTED_VALUE"""),45978.87134006944)</f>
        <v>45978.87134</v>
      </c>
      <c r="B267" s="71" t="str">
        <f>IFERROR(__xludf.DUMMYFUNCTION("""COMPUTED_VALUE"""),"Laila Maisuria")</f>
        <v>Laila Maisuria</v>
      </c>
      <c r="C267" s="71" t="b">
        <f>IFERROR(__xludf.DUMMYFUNCTION("""COMPUTED_VALUE"""),FALSE)</f>
        <v>0</v>
      </c>
      <c r="D267" s="132">
        <f>IFERROR(__xludf.DUMMYFUNCTION("""COMPUTED_VALUE"""),0.7694444444423425)</f>
        <v>0.7694444444</v>
      </c>
      <c r="E267" s="78">
        <f>IFERROR(__xludf.DUMMYFUNCTION("""COMPUTED_VALUE"""),0.0354166666729725)</f>
        <v>0.03541666667</v>
      </c>
      <c r="F267" s="132">
        <f>IFERROR(__xludf.DUMMYFUNCTION("""COMPUTED_VALUE"""),0.804861111115315)</f>
        <v>0.8048611111</v>
      </c>
      <c r="G267" s="78">
        <f>IFERROR(__xludf.DUMMYFUNCTION("""COMPUTED_VALUE"""),0.09722222222626442)</f>
        <v>0.09722222223</v>
      </c>
      <c r="H267" s="110">
        <f>IFERROR(__xludf.DUMMYFUNCTION("""COMPUTED_VALUE"""),49.0)</f>
        <v>49</v>
      </c>
      <c r="I267" s="108">
        <f>IFERROR(__xludf.DUMMYFUNCTION("""COMPUTED_VALUE"""),20.999999999126885)</f>
        <v>21</v>
      </c>
      <c r="J267" s="71" t="str">
        <f>IFERROR(__xludf.DUMMYFUNCTION("""COMPUTED_VALUE"""),"Dinner")</f>
        <v>Dinner</v>
      </c>
      <c r="K267" s="106">
        <f>IFERROR(__xludf.DUMMYFUNCTION("""COMPUTED_VALUE"""),45978.0)</f>
        <v>45978</v>
      </c>
      <c r="L267" s="71" t="str">
        <f>IFERROR(__xludf.DUMMYFUNCTION("""COMPUTED_VALUE"""),"Monday")</f>
        <v>Monday</v>
      </c>
      <c r="M267" s="71" t="str">
        <f>IFERROR(__xludf.DUMMYFUNCTION("""COMPUTED_VALUE"""),"BF")</f>
        <v>BF</v>
      </c>
      <c r="N267" s="109">
        <f>IFERROR(__xludf.DUMMYFUNCTION("""COMPUTED_VALUE"""),0.49559296296650085)</f>
        <v>0.495592963</v>
      </c>
      <c r="O267" s="71" t="str">
        <f>IFERROR(__xludf.DUMMYFUNCTION("""COMPUTED_VALUE"""),"")</f>
        <v/>
      </c>
      <c r="P267" s="71" t="str">
        <f>IFERROR(__xludf.DUMMYFUNCTION("""COMPUTED_VALUE"""),"")</f>
        <v/>
      </c>
      <c r="Q267" s="78" t="str">
        <f>IFERROR(__xludf.DUMMYFUNCTION("""COMPUTED_VALUE"""),"")</f>
        <v/>
      </c>
      <c r="R267" s="78" t="str">
        <f>IFERROR(__xludf.DUMMYFUNCTION("""COMPUTED_VALUE"""),"")</f>
        <v/>
      </c>
      <c r="S267" s="61" t="str">
        <f>IFERROR(__xludf.DUMMYFUNCTION("""COMPUTED_VALUE"""),"")</f>
        <v/>
      </c>
      <c r="T267" s="61" t="str">
        <f>IFERROR(__xludf.DUMMYFUNCTION("""COMPUTED_VALUE"""),"")</f>
        <v/>
      </c>
      <c r="U267" s="133" t="str">
        <f>IFERROR(__xludf.DUMMYFUNCTION("""COMPUTED_VALUE"""),"")</f>
        <v/>
      </c>
      <c r="V267" s="78" t="str">
        <f>IFERROR(__xludf.DUMMYFUNCTION("""COMPUTED_VALUE"""),"")</f>
        <v/>
      </c>
      <c r="W267" s="62" t="str">
        <f>IFERROR(__xludf.DUMMYFUNCTION("""COMPUTED_VALUE"""),"")</f>
        <v/>
      </c>
      <c r="X267" s="62" t="str">
        <f>IFERROR(__xludf.DUMMYFUNCTION("""COMPUTED_VALUE"""),"")</f>
        <v/>
      </c>
      <c r="Y267" s="109" t="str">
        <f>IFERROR(__xludf.DUMMYFUNCTION("""COMPUTED_VALUE"""),"")</f>
        <v/>
      </c>
      <c r="Z267" s="113" t="str">
        <f>IFERROR(__xludf.DUMMYFUNCTION("""COMPUTED_VALUE"""),"")</f>
        <v/>
      </c>
      <c r="AA267" s="113" t="str">
        <f>IFERROR(__xludf.DUMMYFUNCTION("""COMPUTED_VALUE"""),"")</f>
        <v/>
      </c>
      <c r="AB267" s="71"/>
    </row>
    <row r="268">
      <c r="A268" s="105">
        <f>IFERROR(__xludf.DUMMYFUNCTION("""COMPUTED_VALUE"""),45978.87205515047)</f>
        <v>45978.87206</v>
      </c>
      <c r="B268" s="71" t="str">
        <f>IFERROR(__xludf.DUMMYFUNCTION("""COMPUTED_VALUE"""),"Laila Maisuria")</f>
        <v>Laila Maisuria</v>
      </c>
      <c r="C268" s="71" t="b">
        <f>IFERROR(__xludf.DUMMYFUNCTION("""COMPUTED_VALUE"""),TRUE)</f>
        <v>1</v>
      </c>
      <c r="D268" s="132">
        <f>IFERROR(__xludf.DUMMYFUNCTION("""COMPUTED_VALUE"""),0.8083333333343035)</f>
        <v>0.8083333333</v>
      </c>
      <c r="E268" s="78">
        <f>IFERROR(__xludf.DUMMYFUNCTION("""COMPUTED_VALUE"""),0.061805555553291924)</f>
        <v>0.06180555555</v>
      </c>
      <c r="F268" s="132">
        <f>IFERROR(__xludf.DUMMYFUNCTION("""COMPUTED_VALUE"""),0.8701388888875954)</f>
        <v>0.8701388889</v>
      </c>
      <c r="G268" s="78" t="str">
        <f>IFERROR(__xludf.DUMMYFUNCTION("""COMPUTED_VALUE"""),"")</f>
        <v/>
      </c>
      <c r="H268" s="110">
        <f>IFERROR(__xludf.DUMMYFUNCTION("""COMPUTED_VALUE"""),48.0)</f>
        <v>48</v>
      </c>
      <c r="I268" s="108" t="str">
        <f>IFERROR(__xludf.DUMMYFUNCTION("""COMPUTED_VALUE"""),"")</f>
        <v/>
      </c>
      <c r="J268" s="71" t="str">
        <f>IFERROR(__xludf.DUMMYFUNCTION("""COMPUTED_VALUE"""),"Dinner")</f>
        <v>Dinner</v>
      </c>
      <c r="K268" s="106">
        <f>IFERROR(__xludf.DUMMYFUNCTION("""COMPUTED_VALUE"""),45978.0)</f>
        <v>45978</v>
      </c>
      <c r="L268" s="71" t="str">
        <f>IFERROR(__xludf.DUMMYFUNCTION("""COMPUTED_VALUE"""),"Monday")</f>
        <v>Monday</v>
      </c>
      <c r="M268" s="71" t="str">
        <f>IFERROR(__xludf.DUMMYFUNCTION("""COMPUTED_VALUE"""),"MF")</f>
        <v>MF</v>
      </c>
      <c r="N268" s="109" t="str">
        <f>IFERROR(__xludf.DUMMYFUNCTION("""COMPUTED_VALUE"""),"")</f>
        <v/>
      </c>
      <c r="O268" s="71" t="str">
        <f>IFERROR(__xludf.DUMMYFUNCTION("""COMPUTED_VALUE"""),"")</f>
        <v/>
      </c>
      <c r="P268" s="71" t="str">
        <f>IFERROR(__xludf.DUMMYFUNCTION("""COMPUTED_VALUE"""),"")</f>
        <v/>
      </c>
      <c r="Q268" s="78" t="str">
        <f>IFERROR(__xludf.DUMMYFUNCTION("""COMPUTED_VALUE"""),"")</f>
        <v/>
      </c>
      <c r="R268" s="78" t="str">
        <f>IFERROR(__xludf.DUMMYFUNCTION("""COMPUTED_VALUE"""),"")</f>
        <v/>
      </c>
      <c r="S268" s="61" t="str">
        <f>IFERROR(__xludf.DUMMYFUNCTION("""COMPUTED_VALUE"""),"")</f>
        <v/>
      </c>
      <c r="T268" s="61" t="str">
        <f>IFERROR(__xludf.DUMMYFUNCTION("""COMPUTED_VALUE"""),"")</f>
        <v/>
      </c>
      <c r="U268" s="133" t="str">
        <f>IFERROR(__xludf.DUMMYFUNCTION("""COMPUTED_VALUE"""),"")</f>
        <v/>
      </c>
      <c r="V268" s="78" t="str">
        <f>IFERROR(__xludf.DUMMYFUNCTION("""COMPUTED_VALUE"""),"")</f>
        <v/>
      </c>
      <c r="W268" s="62" t="str">
        <f>IFERROR(__xludf.DUMMYFUNCTION("""COMPUTED_VALUE"""),"")</f>
        <v/>
      </c>
      <c r="X268" s="62" t="str">
        <f>IFERROR(__xludf.DUMMYFUNCTION("""COMPUTED_VALUE"""),"")</f>
        <v/>
      </c>
      <c r="Y268" s="109" t="str">
        <f>IFERROR(__xludf.DUMMYFUNCTION("""COMPUTED_VALUE"""),"")</f>
        <v/>
      </c>
      <c r="Z268" s="113" t="str">
        <f>IFERROR(__xludf.DUMMYFUNCTION("""COMPUTED_VALUE"""),"")</f>
        <v/>
      </c>
      <c r="AA268" s="113" t="str">
        <f>IFERROR(__xludf.DUMMYFUNCTION("""COMPUTED_VALUE"""),"")</f>
        <v/>
      </c>
      <c r="AB268" s="71"/>
    </row>
    <row r="269">
      <c r="A269" s="105">
        <f>IFERROR(__xludf.DUMMYFUNCTION("""COMPUTED_VALUE"""),45978.873767627316)</f>
        <v>45978.87377</v>
      </c>
      <c r="B269" s="71" t="str">
        <f>IFERROR(__xludf.DUMMYFUNCTION("""COMPUTED_VALUE"""),"Kaylie Forgue")</f>
        <v>Kaylie Forgue</v>
      </c>
      <c r="C269" s="71" t="b">
        <f>IFERROR(__xludf.DUMMYFUNCTION("""COMPUTED_VALUE"""),FALSE)</f>
        <v>0</v>
      </c>
      <c r="D269" s="132">
        <f>IFERROR(__xludf.DUMMYFUNCTION("""COMPUTED_VALUE"""),0.6868055555532919)</f>
        <v>0.6868055556</v>
      </c>
      <c r="E269" s="78">
        <f>IFERROR(__xludf.DUMMYFUNCTION("""COMPUTED_VALUE"""),0.17569444444961846)</f>
        <v>0.1756944444</v>
      </c>
      <c r="F269" s="132">
        <f>IFERROR(__xludf.DUMMYFUNCTION("""COMPUTED_VALUE"""),0.8625000000029104)</f>
        <v>0.8625</v>
      </c>
      <c r="G269" s="78">
        <f>IFERROR(__xludf.DUMMYFUNCTION("""COMPUTED_VALUE"""),0.17569444444961846)</f>
        <v>0.1756944444</v>
      </c>
      <c r="H269" s="110">
        <f>IFERROR(__xludf.DUMMYFUNCTION("""COMPUTED_VALUE"""),180.0)</f>
        <v>180</v>
      </c>
      <c r="I269" s="108">
        <f>IFERROR(__xludf.DUMMYFUNCTION("""COMPUTED_VALUE"""),42.68774703431601)</f>
        <v>42.68774703</v>
      </c>
      <c r="J269" s="71" t="str">
        <f>IFERROR(__xludf.DUMMYFUNCTION("""COMPUTED_VALUE"""),"Dinner")</f>
        <v>Dinner</v>
      </c>
      <c r="K269" s="106">
        <f>IFERROR(__xludf.DUMMYFUNCTION("""COMPUTED_VALUE"""),45978.0)</f>
        <v>45978</v>
      </c>
      <c r="L269" s="71" t="str">
        <f>IFERROR(__xludf.DUMMYFUNCTION("""COMPUTED_VALUE"""),"Monday")</f>
        <v>Monday</v>
      </c>
      <c r="M269" s="71" t="str">
        <f>IFERROR(__xludf.DUMMYFUNCTION("""COMPUTED_VALUE"""),"BF")</f>
        <v>BF</v>
      </c>
      <c r="N269" s="109">
        <f>IFERROR(__xludf.DUMMYFUNCTION("""COMPUTED_VALUE"""),1.0074165255228915)</f>
        <v>1.007416526</v>
      </c>
      <c r="O269" s="71">
        <f>IFERROR(__xludf.DUMMYFUNCTION("""COMPUTED_VALUE"""),380.0)</f>
        <v>380</v>
      </c>
      <c r="P269" s="71">
        <f>IFERROR(__xludf.DUMMYFUNCTION("""COMPUTED_VALUE"""),419.0)</f>
        <v>419</v>
      </c>
      <c r="Q269" s="78">
        <f>IFERROR(__xludf.DUMMYFUNCTION("""COMPUTED_VALUE"""),0.31736111110755394)</f>
        <v>0.3173611111</v>
      </c>
      <c r="R269" s="78">
        <f>IFERROR(__xludf.DUMMYFUNCTION("""COMPUTED_VALUE"""),0.41111111112695653)</f>
        <v>0.4111111111</v>
      </c>
      <c r="S269" s="61">
        <f>IFERROR(__xludf.DUMMYFUNCTION("""COMPUTED_VALUE"""),55.47088074310108)</f>
        <v>55.47088074</v>
      </c>
      <c r="T269" s="61">
        <f>IFERROR(__xludf.DUMMYFUNCTION("""COMPUTED_VALUE"""),38.29588633776122)</f>
        <v>38.29588634</v>
      </c>
      <c r="U269" s="133">
        <f>IFERROR(__xludf.DUMMYFUNCTION("""COMPUTED_VALUE"""),799.0)</f>
        <v>799</v>
      </c>
      <c r="V269" s="78">
        <f>IFERROR(__xludf.DUMMYFUNCTION("""COMPUTED_VALUE"""),0.7284722222345105)</f>
        <v>0.7284722222</v>
      </c>
      <c r="W269" s="62">
        <f>IFERROR(__xludf.DUMMYFUNCTION("""COMPUTED_VALUE"""),45.70066730142166)</f>
        <v>45.7006673</v>
      </c>
      <c r="X269" s="62">
        <f>IFERROR(__xludf.DUMMYFUNCTION("""COMPUTED_VALUE"""),45.65659822576402)</f>
        <v>45.65659823</v>
      </c>
      <c r="Y269" s="109">
        <f>IFERROR(__xludf.DUMMYFUNCTION("""COMPUTED_VALUE"""),0.9260853625906751)</f>
        <v>0.9260853626</v>
      </c>
      <c r="Z269" s="113" t="str">
        <f>IFERROR(__xludf.DUMMYFUNCTION("""COMPUTED_VALUE"""),"")</f>
        <v/>
      </c>
      <c r="AA269" s="113" t="str">
        <f>IFERROR(__xludf.DUMMYFUNCTION("""COMPUTED_VALUE"""),"")</f>
        <v/>
      </c>
      <c r="AB269" s="71"/>
    </row>
    <row r="270">
      <c r="A270" s="105">
        <f>IFERROR(__xludf.DUMMYFUNCTION("""COMPUTED_VALUE"""),45979.394294513884)</f>
        <v>45979.39429</v>
      </c>
      <c r="B270" s="71" t="str">
        <f>IFERROR(__xludf.DUMMYFUNCTION("""COMPUTED_VALUE"""),"Evan Morgan")</f>
        <v>Evan Morgan</v>
      </c>
      <c r="C270" s="71" t="b">
        <f>IFERROR(__xludf.DUMMYFUNCTION("""COMPUTED_VALUE"""),FALSE)</f>
        <v>0</v>
      </c>
      <c r="D270" s="132">
        <f>IFERROR(__xludf.DUMMYFUNCTION("""COMPUTED_VALUE"""),0.29166666666424135)</f>
        <v>0.2916666667</v>
      </c>
      <c r="E270" s="78">
        <f>IFERROR(__xludf.DUMMYFUNCTION("""COMPUTED_VALUE"""),0.10069444444525288)</f>
        <v>0.1006944444</v>
      </c>
      <c r="F270" s="132">
        <f>IFERROR(__xludf.DUMMYFUNCTION("""COMPUTED_VALUE"""),0.39236111110949423)</f>
        <v>0.3923611111</v>
      </c>
      <c r="G270" s="78">
        <f>IFERROR(__xludf.DUMMYFUNCTION("""COMPUTED_VALUE"""),0.10069444444525288)</f>
        <v>0.1006944444</v>
      </c>
      <c r="H270" s="110">
        <f>IFERROR(__xludf.DUMMYFUNCTION("""COMPUTED_VALUE"""),69.0)</f>
        <v>69</v>
      </c>
      <c r="I270" s="108">
        <f>IFERROR(__xludf.DUMMYFUNCTION("""COMPUTED_VALUE"""),28.551724137701804)</f>
        <v>28.55172414</v>
      </c>
      <c r="J270" s="71" t="str">
        <f>IFERROR(__xludf.DUMMYFUNCTION("""COMPUTED_VALUE"""),"Breakfast")</f>
        <v>Breakfast</v>
      </c>
      <c r="K270" s="106">
        <f>IFERROR(__xludf.DUMMYFUNCTION("""COMPUTED_VALUE"""),45979.0)</f>
        <v>45979</v>
      </c>
      <c r="L270" s="71" t="str">
        <f>IFERROR(__xludf.DUMMYFUNCTION("""COMPUTED_VALUE"""),"Tuesday")</f>
        <v>Tuesday</v>
      </c>
      <c r="M270" s="71" t="str">
        <f>IFERROR(__xludf.DUMMYFUNCTION("""COMPUTED_VALUE"""),"BF")</f>
        <v>BF</v>
      </c>
      <c r="N270" s="109">
        <f>IFERROR(__xludf.DUMMYFUNCTION("""COMPUTED_VALUE"""),1.2091990352792712)</f>
        <v>1.209199035</v>
      </c>
      <c r="O270" s="71" t="str">
        <f>IFERROR(__xludf.DUMMYFUNCTION("""COMPUTED_VALUE"""),"")</f>
        <v/>
      </c>
      <c r="P270" s="71" t="str">
        <f>IFERROR(__xludf.DUMMYFUNCTION("""COMPUTED_VALUE"""),"")</f>
        <v/>
      </c>
      <c r="Q270" s="78" t="str">
        <f>IFERROR(__xludf.DUMMYFUNCTION("""COMPUTED_VALUE"""),"")</f>
        <v/>
      </c>
      <c r="R270" s="78" t="str">
        <f>IFERROR(__xludf.DUMMYFUNCTION("""COMPUTED_VALUE"""),"")</f>
        <v/>
      </c>
      <c r="S270" s="61" t="str">
        <f>IFERROR(__xludf.DUMMYFUNCTION("""COMPUTED_VALUE"""),"")</f>
        <v/>
      </c>
      <c r="T270" s="61" t="str">
        <f>IFERROR(__xludf.DUMMYFUNCTION("""COMPUTED_VALUE"""),"")</f>
        <v/>
      </c>
      <c r="U270" s="133" t="str">
        <f>IFERROR(__xludf.DUMMYFUNCTION("""COMPUTED_VALUE"""),"")</f>
        <v/>
      </c>
      <c r="V270" s="78" t="str">
        <f>IFERROR(__xludf.DUMMYFUNCTION("""COMPUTED_VALUE"""),"")</f>
        <v/>
      </c>
      <c r="W270" s="62" t="str">
        <f>IFERROR(__xludf.DUMMYFUNCTION("""COMPUTED_VALUE"""),"")</f>
        <v/>
      </c>
      <c r="X270" s="62" t="str">
        <f>IFERROR(__xludf.DUMMYFUNCTION("""COMPUTED_VALUE"""),"")</f>
        <v/>
      </c>
      <c r="Y270" s="109" t="str">
        <f>IFERROR(__xludf.DUMMYFUNCTION("""COMPUTED_VALUE"""),"")</f>
        <v/>
      </c>
      <c r="Z270" s="113" t="str">
        <f>IFERROR(__xludf.DUMMYFUNCTION("""COMPUTED_VALUE"""),"")</f>
        <v/>
      </c>
      <c r="AA270" s="113" t="str">
        <f>IFERROR(__xludf.DUMMYFUNCTION("""COMPUTED_VALUE"""),"")</f>
        <v/>
      </c>
      <c r="AB270" s="71"/>
    </row>
    <row r="271">
      <c r="A271" s="105">
        <f>IFERROR(__xludf.DUMMYFUNCTION("""COMPUTED_VALUE"""),45979.47521820602)</f>
        <v>45979.47522</v>
      </c>
      <c r="B271" s="71" t="str">
        <f>IFERROR(__xludf.DUMMYFUNCTION("""COMPUTED_VALUE"""),"Emmett Khan")</f>
        <v>Emmett Khan</v>
      </c>
      <c r="C271" s="71" t="b">
        <f>IFERROR(__xludf.DUMMYFUNCTION("""COMPUTED_VALUE"""),FALSE)</f>
        <v>0</v>
      </c>
      <c r="D271" s="132">
        <f>IFERROR(__xludf.DUMMYFUNCTION("""COMPUTED_VALUE"""),0.39583333333575865)</f>
        <v>0.3958333333</v>
      </c>
      <c r="E271" s="78">
        <f>IFERROR(__xludf.DUMMYFUNCTION("""COMPUTED_VALUE"""),0.0833333333284827)</f>
        <v>0.08333333333</v>
      </c>
      <c r="F271" s="132">
        <f>IFERROR(__xludf.DUMMYFUNCTION("""COMPUTED_VALUE"""),0.47916666666424135)</f>
        <v>0.4791666667</v>
      </c>
      <c r="G271" s="78">
        <f>IFERROR(__xludf.DUMMYFUNCTION("""COMPUTED_VALUE"""),0.0833333333284827)</f>
        <v>0.08333333333</v>
      </c>
      <c r="H271" s="110">
        <f>IFERROR(__xludf.DUMMYFUNCTION("""COMPUTED_VALUE"""),108.0)</f>
        <v>108</v>
      </c>
      <c r="I271" s="108">
        <f>IFERROR(__xludf.DUMMYFUNCTION("""COMPUTED_VALUE"""),54.000000003143214)</f>
        <v>54</v>
      </c>
      <c r="J271" s="71" t="str">
        <f>IFERROR(__xludf.DUMMYFUNCTION("""COMPUTED_VALUE"""),"Breakfast/Lunch")</f>
        <v>Breakfast/Lunch</v>
      </c>
      <c r="K271" s="106">
        <f>IFERROR(__xludf.DUMMYFUNCTION("""COMPUTED_VALUE"""),45979.0)</f>
        <v>45979</v>
      </c>
      <c r="L271" s="71" t="str">
        <f>IFERROR(__xludf.DUMMYFUNCTION("""COMPUTED_VALUE"""),"Tuesday")</f>
        <v>Tuesday</v>
      </c>
      <c r="M271" s="71" t="str">
        <f>IFERROR(__xludf.DUMMYFUNCTION("""COMPUTED_VALUE"""),"BF")</f>
        <v>BF</v>
      </c>
      <c r="N271" s="109">
        <f>IFERROR(__xludf.DUMMYFUNCTION("""COMPUTED_VALUE"""),0.9483197987748422)</f>
        <v>0.9483197988</v>
      </c>
      <c r="O271" s="71" t="str">
        <f>IFERROR(__xludf.DUMMYFUNCTION("""COMPUTED_VALUE"""),"")</f>
        <v/>
      </c>
      <c r="P271" s="71" t="str">
        <f>IFERROR(__xludf.DUMMYFUNCTION("""COMPUTED_VALUE"""),"")</f>
        <v/>
      </c>
      <c r="Q271" s="78" t="str">
        <f>IFERROR(__xludf.DUMMYFUNCTION("""COMPUTED_VALUE"""),"")</f>
        <v/>
      </c>
      <c r="R271" s="78" t="str">
        <f>IFERROR(__xludf.DUMMYFUNCTION("""COMPUTED_VALUE"""),"")</f>
        <v/>
      </c>
      <c r="S271" s="61" t="str">
        <f>IFERROR(__xludf.DUMMYFUNCTION("""COMPUTED_VALUE"""),"")</f>
        <v/>
      </c>
      <c r="T271" s="61" t="str">
        <f>IFERROR(__xludf.DUMMYFUNCTION("""COMPUTED_VALUE"""),"")</f>
        <v/>
      </c>
      <c r="U271" s="133" t="str">
        <f>IFERROR(__xludf.DUMMYFUNCTION("""COMPUTED_VALUE"""),"")</f>
        <v/>
      </c>
      <c r="V271" s="78" t="str">
        <f>IFERROR(__xludf.DUMMYFUNCTION("""COMPUTED_VALUE"""),"")</f>
        <v/>
      </c>
      <c r="W271" s="62" t="str">
        <f>IFERROR(__xludf.DUMMYFUNCTION("""COMPUTED_VALUE"""),"")</f>
        <v/>
      </c>
      <c r="X271" s="62" t="str">
        <f>IFERROR(__xludf.DUMMYFUNCTION("""COMPUTED_VALUE"""),"")</f>
        <v/>
      </c>
      <c r="Y271" s="109" t="str">
        <f>IFERROR(__xludf.DUMMYFUNCTION("""COMPUTED_VALUE"""),"")</f>
        <v/>
      </c>
      <c r="Z271" s="113" t="str">
        <f>IFERROR(__xludf.DUMMYFUNCTION("""COMPUTED_VALUE"""),"")</f>
        <v/>
      </c>
      <c r="AA271" s="113" t="str">
        <f>IFERROR(__xludf.DUMMYFUNCTION("""COMPUTED_VALUE"""),"")</f>
        <v/>
      </c>
      <c r="AB271" s="71"/>
    </row>
    <row r="272">
      <c r="A272" s="105">
        <f>IFERROR(__xludf.DUMMYFUNCTION("""COMPUTED_VALUE"""),45979.59900386574)</f>
        <v>45979.599</v>
      </c>
      <c r="B272" s="71" t="str">
        <f>IFERROR(__xludf.DUMMYFUNCTION("""COMPUTED_VALUE"""),"Maureen Surgot")</f>
        <v>Maureen Surgot</v>
      </c>
      <c r="C272" s="71" t="b">
        <f>IFERROR(__xludf.DUMMYFUNCTION("""COMPUTED_VALUE"""),FALSE)</f>
        <v>0</v>
      </c>
      <c r="D272" s="132">
        <f>IFERROR(__xludf.DUMMYFUNCTION("""COMPUTED_VALUE"""),0.47916666666424135)</f>
        <v>0.4791666667</v>
      </c>
      <c r="E272" s="78">
        <f>IFERROR(__xludf.DUMMYFUNCTION("""COMPUTED_VALUE"""),0.11805555555474712)</f>
        <v>0.1180555556</v>
      </c>
      <c r="F272" s="132">
        <f>IFERROR(__xludf.DUMMYFUNCTION("""COMPUTED_VALUE"""),0.5972222222189885)</f>
        <v>0.5972222222</v>
      </c>
      <c r="G272" s="78">
        <f>IFERROR(__xludf.DUMMYFUNCTION("""COMPUTED_VALUE"""),0.11805555555474712)</f>
        <v>0.1180555556</v>
      </c>
      <c r="H272" s="110">
        <f>IFERROR(__xludf.DUMMYFUNCTION("""COMPUTED_VALUE"""),150.0)</f>
        <v>150</v>
      </c>
      <c r="I272" s="108">
        <f>IFERROR(__xludf.DUMMYFUNCTION("""COMPUTED_VALUE"""),52.94117647095077)</f>
        <v>52.94117647</v>
      </c>
      <c r="J272" s="71" t="str">
        <f>IFERROR(__xludf.DUMMYFUNCTION("""COMPUTED_VALUE"""),"Lunch")</f>
        <v>Lunch</v>
      </c>
      <c r="K272" s="106">
        <f>IFERROR(__xludf.DUMMYFUNCTION("""COMPUTED_VALUE"""),45979.0)</f>
        <v>45979</v>
      </c>
      <c r="L272" s="71" t="str">
        <f>IFERROR(__xludf.DUMMYFUNCTION("""COMPUTED_VALUE"""),"Tuesday")</f>
        <v>Tuesday</v>
      </c>
      <c r="M272" s="71" t="str">
        <f>IFERROR(__xludf.DUMMYFUNCTION("""COMPUTED_VALUE"""),"MF")</f>
        <v>MF</v>
      </c>
      <c r="N272" s="109">
        <f>IFERROR(__xludf.DUMMYFUNCTION("""COMPUTED_VALUE"""),1.1009034652100802)</f>
        <v>1.100903465</v>
      </c>
      <c r="O272" s="71" t="str">
        <f>IFERROR(__xludf.DUMMYFUNCTION("""COMPUTED_VALUE"""),"")</f>
        <v/>
      </c>
      <c r="P272" s="71" t="str">
        <f>IFERROR(__xludf.DUMMYFUNCTION("""COMPUTED_VALUE"""),"")</f>
        <v/>
      </c>
      <c r="Q272" s="78" t="str">
        <f>IFERROR(__xludf.DUMMYFUNCTION("""COMPUTED_VALUE"""),"")</f>
        <v/>
      </c>
      <c r="R272" s="78" t="str">
        <f>IFERROR(__xludf.DUMMYFUNCTION("""COMPUTED_VALUE"""),"")</f>
        <v/>
      </c>
      <c r="S272" s="61" t="str">
        <f>IFERROR(__xludf.DUMMYFUNCTION("""COMPUTED_VALUE"""),"")</f>
        <v/>
      </c>
      <c r="T272" s="61" t="str">
        <f>IFERROR(__xludf.DUMMYFUNCTION("""COMPUTED_VALUE"""),"")</f>
        <v/>
      </c>
      <c r="U272" s="133" t="str">
        <f>IFERROR(__xludf.DUMMYFUNCTION("""COMPUTED_VALUE"""),"")</f>
        <v/>
      </c>
      <c r="V272" s="78" t="str">
        <f>IFERROR(__xludf.DUMMYFUNCTION("""COMPUTED_VALUE"""),"")</f>
        <v/>
      </c>
      <c r="W272" s="62" t="str">
        <f>IFERROR(__xludf.DUMMYFUNCTION("""COMPUTED_VALUE"""),"")</f>
        <v/>
      </c>
      <c r="X272" s="62" t="str">
        <f>IFERROR(__xludf.DUMMYFUNCTION("""COMPUTED_VALUE"""),"")</f>
        <v/>
      </c>
      <c r="Y272" s="109" t="str">
        <f>IFERROR(__xludf.DUMMYFUNCTION("""COMPUTED_VALUE"""),"")</f>
        <v/>
      </c>
      <c r="Z272" s="113" t="str">
        <f>IFERROR(__xludf.DUMMYFUNCTION("""COMPUTED_VALUE"""),"")</f>
        <v/>
      </c>
      <c r="AA272" s="113" t="str">
        <f>IFERROR(__xludf.DUMMYFUNCTION("""COMPUTED_VALUE"""),"")</f>
        <v/>
      </c>
      <c r="AB272" s="71"/>
    </row>
    <row r="273">
      <c r="A273" s="105">
        <f>IFERROR(__xludf.DUMMYFUNCTION("""COMPUTED_VALUE"""),45979.65409070602)</f>
        <v>45979.65409</v>
      </c>
      <c r="B273" s="71" t="str">
        <f>IFERROR(__xludf.DUMMYFUNCTION("""COMPUTED_VALUE"""),"Brynn Hornig")</f>
        <v>Brynn Hornig</v>
      </c>
      <c r="C273" s="71" t="b">
        <f>IFERROR(__xludf.DUMMYFUNCTION("""COMPUTED_VALUE"""),FALSE)</f>
        <v>0</v>
      </c>
      <c r="D273" s="132">
        <f>IFERROR(__xludf.DUMMYFUNCTION("""COMPUTED_VALUE"""),0.5208333333357587)</f>
        <v>0.5208333333</v>
      </c>
      <c r="E273" s="78">
        <f>IFERROR(__xludf.DUMMYFUNCTION("""COMPUTED_VALUE"""),0.13541666666424135)</f>
        <v>0.1354166667</v>
      </c>
      <c r="F273" s="132">
        <f>IFERROR(__xludf.DUMMYFUNCTION("""COMPUTED_VALUE"""),0.65625)</f>
        <v>0.65625</v>
      </c>
      <c r="G273" s="78">
        <f>IFERROR(__xludf.DUMMYFUNCTION("""COMPUTED_VALUE"""),0.13541666666424135)</f>
        <v>0.1354166667</v>
      </c>
      <c r="H273" s="110">
        <f>IFERROR(__xludf.DUMMYFUNCTION("""COMPUTED_VALUE"""),105.0)</f>
        <v>105</v>
      </c>
      <c r="I273" s="108">
        <f>IFERROR(__xludf.DUMMYFUNCTION("""COMPUTED_VALUE"""),32.30769230827094)</f>
        <v>32.30769231</v>
      </c>
      <c r="J273" s="71" t="str">
        <f>IFERROR(__xludf.DUMMYFUNCTION("""COMPUTED_VALUE"""),"Lunch")</f>
        <v>Lunch</v>
      </c>
      <c r="K273" s="106">
        <f>IFERROR(__xludf.DUMMYFUNCTION("""COMPUTED_VALUE"""),45979.0)</f>
        <v>45979</v>
      </c>
      <c r="L273" s="71" t="str">
        <f>IFERROR(__xludf.DUMMYFUNCTION("""COMPUTED_VALUE"""),"Tuesday")</f>
        <v>Tuesday</v>
      </c>
      <c r="M273" s="71" t="str">
        <f>IFERROR(__xludf.DUMMYFUNCTION("""COMPUTED_VALUE"""),"BF")</f>
        <v>BF</v>
      </c>
      <c r="N273" s="109">
        <f>IFERROR(__xludf.DUMMYFUNCTION("""COMPUTED_VALUE"""),0.832013464708319)</f>
        <v>0.8320134647</v>
      </c>
      <c r="O273" s="71" t="str">
        <f>IFERROR(__xludf.DUMMYFUNCTION("""COMPUTED_VALUE"""),"")</f>
        <v/>
      </c>
      <c r="P273" s="71" t="str">
        <f>IFERROR(__xludf.DUMMYFUNCTION("""COMPUTED_VALUE"""),"")</f>
        <v/>
      </c>
      <c r="Q273" s="78" t="str">
        <f>IFERROR(__xludf.DUMMYFUNCTION("""COMPUTED_VALUE"""),"")</f>
        <v/>
      </c>
      <c r="R273" s="78" t="str">
        <f>IFERROR(__xludf.DUMMYFUNCTION("""COMPUTED_VALUE"""),"")</f>
        <v/>
      </c>
      <c r="S273" s="61" t="str">
        <f>IFERROR(__xludf.DUMMYFUNCTION("""COMPUTED_VALUE"""),"")</f>
        <v/>
      </c>
      <c r="T273" s="61" t="str">
        <f>IFERROR(__xludf.DUMMYFUNCTION("""COMPUTED_VALUE"""),"")</f>
        <v/>
      </c>
      <c r="U273" s="133" t="str">
        <f>IFERROR(__xludf.DUMMYFUNCTION("""COMPUTED_VALUE"""),"")</f>
        <v/>
      </c>
      <c r="V273" s="78" t="str">
        <f>IFERROR(__xludf.DUMMYFUNCTION("""COMPUTED_VALUE"""),"")</f>
        <v/>
      </c>
      <c r="W273" s="62" t="str">
        <f>IFERROR(__xludf.DUMMYFUNCTION("""COMPUTED_VALUE"""),"")</f>
        <v/>
      </c>
      <c r="X273" s="62" t="str">
        <f>IFERROR(__xludf.DUMMYFUNCTION("""COMPUTED_VALUE"""),"")</f>
        <v/>
      </c>
      <c r="Y273" s="109" t="str">
        <f>IFERROR(__xludf.DUMMYFUNCTION("""COMPUTED_VALUE"""),"")</f>
        <v/>
      </c>
      <c r="Z273" s="113" t="str">
        <f>IFERROR(__xludf.DUMMYFUNCTION("""COMPUTED_VALUE"""),"")</f>
        <v/>
      </c>
      <c r="AA273" s="113" t="str">
        <f>IFERROR(__xludf.DUMMYFUNCTION("""COMPUTED_VALUE"""),"")</f>
        <v/>
      </c>
      <c r="AB273" s="71"/>
    </row>
    <row r="274">
      <c r="A274" s="105">
        <f>IFERROR(__xludf.DUMMYFUNCTION("""COMPUTED_VALUE"""),45979.74853539352)</f>
        <v>45979.74854</v>
      </c>
      <c r="B274" s="71" t="str">
        <f>IFERROR(__xludf.DUMMYFUNCTION("""COMPUTED_VALUE"""),"Kyra Turner")</f>
        <v>Kyra Turner</v>
      </c>
      <c r="C274" s="71" t="b">
        <f>IFERROR(__xludf.DUMMYFUNCTION("""COMPUTED_VALUE"""),FALSE)</f>
        <v>0</v>
      </c>
      <c r="D274" s="132">
        <f>IFERROR(__xludf.DUMMYFUNCTION("""COMPUTED_VALUE"""),0.6875)</f>
        <v>0.6875</v>
      </c>
      <c r="E274" s="78">
        <f>IFERROR(__xludf.DUMMYFUNCTION("""COMPUTED_VALUE"""),0.06041666666715173)</f>
        <v>0.06041666667</v>
      </c>
      <c r="F274" s="132">
        <f>IFERROR(__xludf.DUMMYFUNCTION("""COMPUTED_VALUE"""),0.7479166666671517)</f>
        <v>0.7479166667</v>
      </c>
      <c r="G274" s="78">
        <f>IFERROR(__xludf.DUMMYFUNCTION("""COMPUTED_VALUE"""),0.10138888889196096)</f>
        <v>0.1013888889</v>
      </c>
      <c r="H274" s="110">
        <f>IFERROR(__xludf.DUMMYFUNCTION("""COMPUTED_VALUE"""),67.0)</f>
        <v>67</v>
      </c>
      <c r="I274" s="108">
        <f>IFERROR(__xludf.DUMMYFUNCTION("""COMPUTED_VALUE"""),27.53424657450818)</f>
        <v>27.53424657</v>
      </c>
      <c r="J274" s="71" t="str">
        <f>IFERROR(__xludf.DUMMYFUNCTION("""COMPUTED_VALUE"""),"Dinner")</f>
        <v>Dinner</v>
      </c>
      <c r="K274" s="106">
        <f>IFERROR(__xludf.DUMMYFUNCTION("""COMPUTED_VALUE"""),45979.0)</f>
        <v>45979</v>
      </c>
      <c r="L274" s="71" t="str">
        <f>IFERROR(__xludf.DUMMYFUNCTION("""COMPUTED_VALUE"""),"Tuesday")</f>
        <v>Tuesday</v>
      </c>
      <c r="M274" s="71" t="str">
        <f>IFERROR(__xludf.DUMMYFUNCTION("""COMPUTED_VALUE"""),"BF")</f>
        <v>BF</v>
      </c>
      <c r="N274" s="109">
        <f>IFERROR(__xludf.DUMMYFUNCTION("""COMPUTED_VALUE"""),0.6497989925465755)</f>
        <v>0.6497989925</v>
      </c>
      <c r="O274" s="71" t="str">
        <f>IFERROR(__xludf.DUMMYFUNCTION("""COMPUTED_VALUE"""),"")</f>
        <v/>
      </c>
      <c r="P274" s="71" t="str">
        <f>IFERROR(__xludf.DUMMYFUNCTION("""COMPUTED_VALUE"""),"")</f>
        <v/>
      </c>
      <c r="Q274" s="78" t="str">
        <f>IFERROR(__xludf.DUMMYFUNCTION("""COMPUTED_VALUE"""),"")</f>
        <v/>
      </c>
      <c r="R274" s="78" t="str">
        <f>IFERROR(__xludf.DUMMYFUNCTION("""COMPUTED_VALUE"""),"")</f>
        <v/>
      </c>
      <c r="S274" s="61" t="str">
        <f>IFERROR(__xludf.DUMMYFUNCTION("""COMPUTED_VALUE"""),"")</f>
        <v/>
      </c>
      <c r="T274" s="61" t="str">
        <f>IFERROR(__xludf.DUMMYFUNCTION("""COMPUTED_VALUE"""),"")</f>
        <v/>
      </c>
      <c r="U274" s="133" t="str">
        <f>IFERROR(__xludf.DUMMYFUNCTION("""COMPUTED_VALUE"""),"")</f>
        <v/>
      </c>
      <c r="V274" s="78" t="str">
        <f>IFERROR(__xludf.DUMMYFUNCTION("""COMPUTED_VALUE"""),"")</f>
        <v/>
      </c>
      <c r="W274" s="62" t="str">
        <f>IFERROR(__xludf.DUMMYFUNCTION("""COMPUTED_VALUE"""),"")</f>
        <v/>
      </c>
      <c r="X274" s="62" t="str">
        <f>IFERROR(__xludf.DUMMYFUNCTION("""COMPUTED_VALUE"""),"")</f>
        <v/>
      </c>
      <c r="Y274" s="109" t="str">
        <f>IFERROR(__xludf.DUMMYFUNCTION("""COMPUTED_VALUE"""),"")</f>
        <v/>
      </c>
      <c r="Z274" s="113" t="str">
        <f>IFERROR(__xludf.DUMMYFUNCTION("""COMPUTED_VALUE"""),"")</f>
        <v/>
      </c>
      <c r="AA274" s="113" t="str">
        <f>IFERROR(__xludf.DUMMYFUNCTION("""COMPUTED_VALUE"""),"")</f>
        <v/>
      </c>
      <c r="AB274" s="71"/>
    </row>
    <row r="275">
      <c r="A275" s="105">
        <f>IFERROR(__xludf.DUMMYFUNCTION("""COMPUTED_VALUE"""),45979.79073059028)</f>
        <v>45979.79073</v>
      </c>
      <c r="B275" s="71" t="str">
        <f>IFERROR(__xludf.DUMMYFUNCTION("""COMPUTED_VALUE"""),"Kyra Turner")</f>
        <v>Kyra Turner</v>
      </c>
      <c r="C275" s="71" t="b">
        <f>IFERROR(__xludf.DUMMYFUNCTION("""COMPUTED_VALUE"""),TRUE)</f>
        <v>1</v>
      </c>
      <c r="D275" s="132">
        <f>IFERROR(__xludf.DUMMYFUNCTION("""COMPUTED_VALUE"""),0.7493055555532919)</f>
        <v>0.7493055556</v>
      </c>
      <c r="E275" s="78">
        <f>IFERROR(__xludf.DUMMYFUNCTION("""COMPUTED_VALUE"""),0.04097222222480923)</f>
        <v>0.04097222222</v>
      </c>
      <c r="F275" s="132">
        <f>IFERROR(__xludf.DUMMYFUNCTION("""COMPUTED_VALUE"""),0.7902777777781012)</f>
        <v>0.7902777778</v>
      </c>
      <c r="G275" s="78" t="str">
        <f>IFERROR(__xludf.DUMMYFUNCTION("""COMPUTED_VALUE"""),"")</f>
        <v/>
      </c>
      <c r="H275" s="110">
        <f>IFERROR(__xludf.DUMMYFUNCTION("""COMPUTED_VALUE"""),75.0)</f>
        <v>75</v>
      </c>
      <c r="I275" s="108" t="str">
        <f>IFERROR(__xludf.DUMMYFUNCTION("""COMPUTED_VALUE"""),"")</f>
        <v/>
      </c>
      <c r="J275" s="71" t="str">
        <f>IFERROR(__xludf.DUMMYFUNCTION("""COMPUTED_VALUE"""),"Dinner")</f>
        <v>Dinner</v>
      </c>
      <c r="K275" s="106">
        <f>IFERROR(__xludf.DUMMYFUNCTION("""COMPUTED_VALUE"""),45979.0)</f>
        <v>45979</v>
      </c>
      <c r="L275" s="71" t="str">
        <f>IFERROR(__xludf.DUMMYFUNCTION("""COMPUTED_VALUE"""),"Tuesday")</f>
        <v>Tuesday</v>
      </c>
      <c r="M275" s="71" t="str">
        <f>IFERROR(__xludf.DUMMYFUNCTION("""COMPUTED_VALUE"""),"BF")</f>
        <v>BF</v>
      </c>
      <c r="N275" s="109" t="str">
        <f>IFERROR(__xludf.DUMMYFUNCTION("""COMPUTED_VALUE"""),"")</f>
        <v/>
      </c>
      <c r="O275" s="71" t="str">
        <f>IFERROR(__xludf.DUMMYFUNCTION("""COMPUTED_VALUE"""),"")</f>
        <v/>
      </c>
      <c r="P275" s="71" t="str">
        <f>IFERROR(__xludf.DUMMYFUNCTION("""COMPUTED_VALUE"""),"")</f>
        <v/>
      </c>
      <c r="Q275" s="78" t="str">
        <f>IFERROR(__xludf.DUMMYFUNCTION("""COMPUTED_VALUE"""),"")</f>
        <v/>
      </c>
      <c r="R275" s="78" t="str">
        <f>IFERROR(__xludf.DUMMYFUNCTION("""COMPUTED_VALUE"""),"")</f>
        <v/>
      </c>
      <c r="S275" s="61" t="str">
        <f>IFERROR(__xludf.DUMMYFUNCTION("""COMPUTED_VALUE"""),"")</f>
        <v/>
      </c>
      <c r="T275" s="61" t="str">
        <f>IFERROR(__xludf.DUMMYFUNCTION("""COMPUTED_VALUE"""),"")</f>
        <v/>
      </c>
      <c r="U275" s="133" t="str">
        <f>IFERROR(__xludf.DUMMYFUNCTION("""COMPUTED_VALUE"""),"")</f>
        <v/>
      </c>
      <c r="V275" s="78" t="str">
        <f>IFERROR(__xludf.DUMMYFUNCTION("""COMPUTED_VALUE"""),"")</f>
        <v/>
      </c>
      <c r="W275" s="62" t="str">
        <f>IFERROR(__xludf.DUMMYFUNCTION("""COMPUTED_VALUE"""),"")</f>
        <v/>
      </c>
      <c r="X275" s="62" t="str">
        <f>IFERROR(__xludf.DUMMYFUNCTION("""COMPUTED_VALUE"""),"")</f>
        <v/>
      </c>
      <c r="Y275" s="109" t="str">
        <f>IFERROR(__xludf.DUMMYFUNCTION("""COMPUTED_VALUE"""),"")</f>
        <v/>
      </c>
      <c r="Z275" s="113" t="str">
        <f>IFERROR(__xludf.DUMMYFUNCTION("""COMPUTED_VALUE"""),"")</f>
        <v/>
      </c>
      <c r="AA275" s="113" t="str">
        <f>IFERROR(__xludf.DUMMYFUNCTION("""COMPUTED_VALUE"""),"")</f>
        <v/>
      </c>
      <c r="AB275" s="71"/>
    </row>
    <row r="276">
      <c r="A276" s="105">
        <f>IFERROR(__xludf.DUMMYFUNCTION("""COMPUTED_VALUE"""),45979.86386215278)</f>
        <v>45979.86386</v>
      </c>
      <c r="B276" s="71" t="str">
        <f>IFERROR(__xludf.DUMMYFUNCTION("""COMPUTED_VALUE"""),"Kaylie Forgue")</f>
        <v>Kaylie Forgue</v>
      </c>
      <c r="C276" s="71" t="b">
        <f>IFERROR(__xludf.DUMMYFUNCTION("""COMPUTED_VALUE"""),FALSE)</f>
        <v>0</v>
      </c>
      <c r="D276" s="132">
        <f>IFERROR(__xludf.DUMMYFUNCTION("""COMPUTED_VALUE"""),0.7909722222248092)</f>
        <v>0.7909722222</v>
      </c>
      <c r="E276" s="78">
        <f>IFERROR(__xludf.DUMMYFUNCTION("""COMPUTED_VALUE"""),0.06944444443797693)</f>
        <v>0.06944444444</v>
      </c>
      <c r="F276" s="132">
        <f>IFERROR(__xludf.DUMMYFUNCTION("""COMPUTED_VALUE"""),0.8604166666627862)</f>
        <v>0.8604166667</v>
      </c>
      <c r="G276" s="78">
        <f>IFERROR(__xludf.DUMMYFUNCTION("""COMPUTED_VALUE"""),0.06944444443797693)</f>
        <v>0.06944444444</v>
      </c>
      <c r="H276" s="110">
        <f>IFERROR(__xludf.DUMMYFUNCTION("""COMPUTED_VALUE"""),54.0)</f>
        <v>54</v>
      </c>
      <c r="I276" s="108">
        <f>IFERROR(__xludf.DUMMYFUNCTION("""COMPUTED_VALUE"""),32.40000000301748)</f>
        <v>32.4</v>
      </c>
      <c r="J276" s="71" t="str">
        <f>IFERROR(__xludf.DUMMYFUNCTION("""COMPUTED_VALUE"""),"Dinner")</f>
        <v>Dinner</v>
      </c>
      <c r="K276" s="106">
        <f>IFERROR(__xludf.DUMMYFUNCTION("""COMPUTED_VALUE"""),45979.0)</f>
        <v>45979</v>
      </c>
      <c r="L276" s="71" t="str">
        <f>IFERROR(__xludf.DUMMYFUNCTION("""COMPUTED_VALUE"""),"Tuesday")</f>
        <v>Tuesday</v>
      </c>
      <c r="M276" s="71" t="str">
        <f>IFERROR(__xludf.DUMMYFUNCTION("""COMPUTED_VALUE"""),"BF")</f>
        <v>BF</v>
      </c>
      <c r="N276" s="109">
        <f>IFERROR(__xludf.DUMMYFUNCTION("""COMPUTED_VALUE"""),0.7646291429656038)</f>
        <v>0.764629143</v>
      </c>
      <c r="O276" s="71">
        <f>IFERROR(__xludf.DUMMYFUNCTION("""COMPUTED_VALUE"""),150.0)</f>
        <v>150</v>
      </c>
      <c r="P276" s="71">
        <f>IFERROR(__xludf.DUMMYFUNCTION("""COMPUTED_VALUE"""),478.0)</f>
        <v>478</v>
      </c>
      <c r="Q276" s="78">
        <f>IFERROR(__xludf.DUMMYFUNCTION("""COMPUTED_VALUE"""),0.11805555555474712)</f>
        <v>0.1180555556</v>
      </c>
      <c r="R276" s="78">
        <f>IFERROR(__xludf.DUMMYFUNCTION("""COMPUTED_VALUE"""),0.4902777777679148)</f>
        <v>0.4902777778</v>
      </c>
      <c r="S276" s="61">
        <f>IFERROR(__xludf.DUMMYFUNCTION("""COMPUTED_VALUE"""),52.94117647095077)</f>
        <v>52.94117647</v>
      </c>
      <c r="T276" s="61">
        <f>IFERROR(__xludf.DUMMYFUNCTION("""COMPUTED_VALUE"""),34.95873260532832)</f>
        <v>34.95873261</v>
      </c>
      <c r="U276" s="133">
        <f>IFERROR(__xludf.DUMMYFUNCTION("""COMPUTED_VALUE"""),628.0)</f>
        <v>628</v>
      </c>
      <c r="V276" s="78">
        <f>IFERROR(__xludf.DUMMYFUNCTION("""COMPUTED_VALUE"""),0.6083333333226619)</f>
        <v>0.6083333333</v>
      </c>
      <c r="W276" s="62">
        <f>IFERROR(__xludf.DUMMYFUNCTION("""COMPUTED_VALUE"""),43.01369863089153)</f>
        <v>43.01369863</v>
      </c>
      <c r="X276" s="62">
        <f>IFERROR(__xludf.DUMMYFUNCTION("""COMPUTED_VALUE"""),37.95580658293206)</f>
        <v>37.95580658</v>
      </c>
      <c r="Y276" s="109">
        <f>IFERROR(__xludf.DUMMYFUNCTION("""COMPUTED_VALUE"""),0.7632140717413728)</f>
        <v>0.7632140717</v>
      </c>
      <c r="Z276" s="113" t="str">
        <f>IFERROR(__xludf.DUMMYFUNCTION("""COMPUTED_VALUE"""),"")</f>
        <v/>
      </c>
      <c r="AA276" s="113" t="str">
        <f>IFERROR(__xludf.DUMMYFUNCTION("""COMPUTED_VALUE"""),"")</f>
        <v/>
      </c>
      <c r="AB276" s="71"/>
    </row>
    <row r="277">
      <c r="A277" s="105">
        <f>IFERROR(__xludf.DUMMYFUNCTION("""COMPUTED_VALUE"""),45980.63355293982)</f>
        <v>45980.63355</v>
      </c>
      <c r="B277" s="71" t="str">
        <f>IFERROR(__xludf.DUMMYFUNCTION("""COMPUTED_VALUE"""),"Greta Traynor")</f>
        <v>Greta Traynor</v>
      </c>
      <c r="C277" s="71" t="b">
        <f>IFERROR(__xludf.DUMMYFUNCTION("""COMPUTED_VALUE"""),FALSE)</f>
        <v>0</v>
      </c>
      <c r="D277" s="132">
        <f>IFERROR(__xludf.DUMMYFUNCTION("""COMPUTED_VALUE"""),0.5680555555591127)</f>
        <v>0.5680555556</v>
      </c>
      <c r="E277" s="78">
        <f>IFERROR(__xludf.DUMMYFUNCTION("""COMPUTED_VALUE"""),0.06527777777228039)</f>
        <v>0.06527777777</v>
      </c>
      <c r="F277" s="132">
        <f>IFERROR(__xludf.DUMMYFUNCTION("""COMPUTED_VALUE"""),0.6333333333313931)</f>
        <v>0.6333333333</v>
      </c>
      <c r="G277" s="78">
        <f>IFERROR(__xludf.DUMMYFUNCTION("""COMPUTED_VALUE"""),0.06527777777228039)</f>
        <v>0.06527777777</v>
      </c>
      <c r="H277" s="110">
        <f>IFERROR(__xludf.DUMMYFUNCTION("""COMPUTED_VALUE"""),73.0)</f>
        <v>73</v>
      </c>
      <c r="I277" s="108">
        <f>IFERROR(__xludf.DUMMYFUNCTION("""COMPUTED_VALUE"""),46.59574468477514)</f>
        <v>46.59574468</v>
      </c>
      <c r="J277" s="71" t="str">
        <f>IFERROR(__xludf.DUMMYFUNCTION("""COMPUTED_VALUE"""),"Lunch")</f>
        <v>Lunch</v>
      </c>
      <c r="K277" s="106">
        <f>IFERROR(__xludf.DUMMYFUNCTION("""COMPUTED_VALUE"""),45980.0)</f>
        <v>45980</v>
      </c>
      <c r="L277" s="71" t="str">
        <f>IFERROR(__xludf.DUMMYFUNCTION("""COMPUTED_VALUE"""),"Wednesday")</f>
        <v>Wednesday</v>
      </c>
      <c r="M277" s="71" t="str">
        <f>IFERROR(__xludf.DUMMYFUNCTION("""COMPUTED_VALUE"""),"MF")</f>
        <v>MF</v>
      </c>
      <c r="N277" s="109">
        <f>IFERROR(__xludf.DUMMYFUNCTION("""COMPUTED_VALUE"""),0.9689512059797237)</f>
        <v>0.968951206</v>
      </c>
      <c r="O277" s="71" t="str">
        <f>IFERROR(__xludf.DUMMYFUNCTION("""COMPUTED_VALUE"""),"")</f>
        <v/>
      </c>
      <c r="P277" s="71" t="str">
        <f>IFERROR(__xludf.DUMMYFUNCTION("""COMPUTED_VALUE"""),"")</f>
        <v/>
      </c>
      <c r="Q277" s="78" t="str">
        <f>IFERROR(__xludf.DUMMYFUNCTION("""COMPUTED_VALUE"""),"")</f>
        <v/>
      </c>
      <c r="R277" s="78" t="str">
        <f>IFERROR(__xludf.DUMMYFUNCTION("""COMPUTED_VALUE"""),"")</f>
        <v/>
      </c>
      <c r="S277" s="61" t="str">
        <f>IFERROR(__xludf.DUMMYFUNCTION("""COMPUTED_VALUE"""),"")</f>
        <v/>
      </c>
      <c r="T277" s="61" t="str">
        <f>IFERROR(__xludf.DUMMYFUNCTION("""COMPUTED_VALUE"""),"")</f>
        <v/>
      </c>
      <c r="U277" s="133" t="str">
        <f>IFERROR(__xludf.DUMMYFUNCTION("""COMPUTED_VALUE"""),"")</f>
        <v/>
      </c>
      <c r="V277" s="78" t="str">
        <f>IFERROR(__xludf.DUMMYFUNCTION("""COMPUTED_VALUE"""),"")</f>
        <v/>
      </c>
      <c r="W277" s="62" t="str">
        <f>IFERROR(__xludf.DUMMYFUNCTION("""COMPUTED_VALUE"""),"")</f>
        <v/>
      </c>
      <c r="X277" s="62" t="str">
        <f>IFERROR(__xludf.DUMMYFUNCTION("""COMPUTED_VALUE"""),"")</f>
        <v/>
      </c>
      <c r="Y277" s="109" t="str">
        <f>IFERROR(__xludf.DUMMYFUNCTION("""COMPUTED_VALUE"""),"")</f>
        <v/>
      </c>
      <c r="Z277" s="113" t="str">
        <f>IFERROR(__xludf.DUMMYFUNCTION("""COMPUTED_VALUE"""),"")</f>
        <v/>
      </c>
      <c r="AA277" s="113" t="str">
        <f>IFERROR(__xludf.DUMMYFUNCTION("""COMPUTED_VALUE"""),"")</f>
        <v/>
      </c>
      <c r="AB277" s="71"/>
    </row>
    <row r="278">
      <c r="A278" s="105">
        <f>IFERROR(__xludf.DUMMYFUNCTION("""COMPUTED_VALUE"""),45980.658918981484)</f>
        <v>45980.65892</v>
      </c>
      <c r="B278" s="71" t="str">
        <f>IFERROR(__xludf.DUMMYFUNCTION("""COMPUTED_VALUE"""),"Sarah Wilme")</f>
        <v>Sarah Wilme</v>
      </c>
      <c r="C278" s="71" t="b">
        <f>IFERROR(__xludf.DUMMYFUNCTION("""COMPUTED_VALUE"""),FALSE)</f>
        <v>0</v>
      </c>
      <c r="D278" s="132">
        <f>IFERROR(__xludf.DUMMYFUNCTION("""COMPUTED_VALUE"""),0.5215277777751908)</f>
        <v>0.5215277778</v>
      </c>
      <c r="E278" s="78">
        <f>IFERROR(__xludf.DUMMYFUNCTION("""COMPUTED_VALUE"""),0.13472222222480923)</f>
        <v>0.1347222222</v>
      </c>
      <c r="F278" s="132">
        <f>IFERROR(__xludf.DUMMYFUNCTION("""COMPUTED_VALUE"""),0.65625)</f>
        <v>0.65625</v>
      </c>
      <c r="G278" s="78">
        <f>IFERROR(__xludf.DUMMYFUNCTION("""COMPUTED_VALUE"""),0.13472222222480923)</f>
        <v>0.1347222222</v>
      </c>
      <c r="H278" s="110">
        <f>IFERROR(__xludf.DUMMYFUNCTION("""COMPUTED_VALUE"""),126.0)</f>
        <v>126</v>
      </c>
      <c r="I278" s="108">
        <f>IFERROR(__xludf.DUMMYFUNCTION("""COMPUTED_VALUE"""),38.96907216420015)</f>
        <v>38.96907216</v>
      </c>
      <c r="J278" s="71" t="str">
        <f>IFERROR(__xludf.DUMMYFUNCTION("""COMPUTED_VALUE"""),"Lunch")</f>
        <v>Lunch</v>
      </c>
      <c r="K278" s="106">
        <f>IFERROR(__xludf.DUMMYFUNCTION("""COMPUTED_VALUE"""),45980.0)</f>
        <v>45980</v>
      </c>
      <c r="L278" s="71" t="str">
        <f>IFERROR(__xludf.DUMMYFUNCTION("""COMPUTED_VALUE"""),"Wednesday")</f>
        <v>Wednesday</v>
      </c>
      <c r="M278" s="71" t="str">
        <f>IFERROR(__xludf.DUMMYFUNCTION("""COMPUTED_VALUE"""),"BF")</f>
        <v>BF</v>
      </c>
      <c r="N278" s="109">
        <f>IFERROR(__xludf.DUMMYFUNCTION("""COMPUTED_VALUE"""),1.003562632652171)</f>
        <v>1.003562633</v>
      </c>
      <c r="O278" s="71" t="str">
        <f>IFERROR(__xludf.DUMMYFUNCTION("""COMPUTED_VALUE"""),"")</f>
        <v/>
      </c>
      <c r="P278" s="71" t="str">
        <f>IFERROR(__xludf.DUMMYFUNCTION("""COMPUTED_VALUE"""),"")</f>
        <v/>
      </c>
      <c r="Q278" s="78" t="str">
        <f>IFERROR(__xludf.DUMMYFUNCTION("""COMPUTED_VALUE"""),"")</f>
        <v/>
      </c>
      <c r="R278" s="78" t="str">
        <f>IFERROR(__xludf.DUMMYFUNCTION("""COMPUTED_VALUE"""),"")</f>
        <v/>
      </c>
      <c r="S278" s="61" t="str">
        <f>IFERROR(__xludf.DUMMYFUNCTION("""COMPUTED_VALUE"""),"")</f>
        <v/>
      </c>
      <c r="T278" s="61" t="str">
        <f>IFERROR(__xludf.DUMMYFUNCTION("""COMPUTED_VALUE"""),"")</f>
        <v/>
      </c>
      <c r="U278" s="133" t="str">
        <f>IFERROR(__xludf.DUMMYFUNCTION("""COMPUTED_VALUE"""),"")</f>
        <v/>
      </c>
      <c r="V278" s="78" t="str">
        <f>IFERROR(__xludf.DUMMYFUNCTION("""COMPUTED_VALUE"""),"")</f>
        <v/>
      </c>
      <c r="W278" s="62" t="str">
        <f>IFERROR(__xludf.DUMMYFUNCTION("""COMPUTED_VALUE"""),"")</f>
        <v/>
      </c>
      <c r="X278" s="62" t="str">
        <f>IFERROR(__xludf.DUMMYFUNCTION("""COMPUTED_VALUE"""),"")</f>
        <v/>
      </c>
      <c r="Y278" s="109" t="str">
        <f>IFERROR(__xludf.DUMMYFUNCTION("""COMPUTED_VALUE"""),"")</f>
        <v/>
      </c>
      <c r="Z278" s="113" t="str">
        <f>IFERROR(__xludf.DUMMYFUNCTION("""COMPUTED_VALUE"""),"")</f>
        <v/>
      </c>
      <c r="AA278" s="113" t="str">
        <f>IFERROR(__xludf.DUMMYFUNCTION("""COMPUTED_VALUE"""),"")</f>
        <v/>
      </c>
      <c r="AB278" s="71"/>
    </row>
    <row r="279">
      <c r="A279" s="105">
        <f>IFERROR(__xludf.DUMMYFUNCTION("""COMPUTED_VALUE"""),45980.731551122684)</f>
        <v>45980.73155</v>
      </c>
      <c r="B279" s="71" t="str">
        <f>IFERROR(__xludf.DUMMYFUNCTION("""COMPUTED_VALUE"""),"Orpheus Wilson")</f>
        <v>Orpheus Wilson</v>
      </c>
      <c r="C279" s="71" t="b">
        <f>IFERROR(__xludf.DUMMYFUNCTION("""COMPUTED_VALUE"""),FALSE)</f>
        <v>0</v>
      </c>
      <c r="D279" s="132">
        <f>IFERROR(__xludf.DUMMYFUNCTION("""COMPUTED_VALUE"""),0.6895833333328483)</f>
        <v>0.6895833333</v>
      </c>
      <c r="E279" s="78">
        <f>IFERROR(__xludf.DUMMYFUNCTION("""COMPUTED_VALUE"""),0.03749999999854481)</f>
        <v>0.0375</v>
      </c>
      <c r="F279" s="132">
        <f>IFERROR(__xludf.DUMMYFUNCTION("""COMPUTED_VALUE"""),0.7270833333313931)</f>
        <v>0.7270833333</v>
      </c>
      <c r="G279" s="78">
        <f>IFERROR(__xludf.DUMMYFUNCTION("""COMPUTED_VALUE"""),0.05000000000291038)</f>
        <v>0.05</v>
      </c>
      <c r="H279" s="110">
        <f>IFERROR(__xludf.DUMMYFUNCTION("""COMPUTED_VALUE"""),72.0)</f>
        <v>72</v>
      </c>
      <c r="I279" s="108">
        <f>IFERROR(__xludf.DUMMYFUNCTION("""COMPUTED_VALUE"""),59.99999999650754)</f>
        <v>60</v>
      </c>
      <c r="J279" s="71" t="str">
        <f>IFERROR(__xludf.DUMMYFUNCTION("""COMPUTED_VALUE"""),"Dinner")</f>
        <v>Dinner</v>
      </c>
      <c r="K279" s="106">
        <f>IFERROR(__xludf.DUMMYFUNCTION("""COMPUTED_VALUE"""),45980.0)</f>
        <v>45980</v>
      </c>
      <c r="L279" s="71" t="str">
        <f>IFERROR(__xludf.DUMMYFUNCTION("""COMPUTED_VALUE"""),"Wednesday")</f>
        <v>Wednesday</v>
      </c>
      <c r="M279" s="71" t="str">
        <f>IFERROR(__xludf.DUMMYFUNCTION("""COMPUTED_VALUE"""),"MF")</f>
        <v>MF</v>
      </c>
      <c r="N279" s="109">
        <f>IFERROR(__xludf.DUMMYFUNCTION("""COMPUTED_VALUE"""),1.182299169248705)</f>
        <v>1.182299169</v>
      </c>
      <c r="O279" s="71" t="str">
        <f>IFERROR(__xludf.DUMMYFUNCTION("""COMPUTED_VALUE"""),"")</f>
        <v/>
      </c>
      <c r="P279" s="71" t="str">
        <f>IFERROR(__xludf.DUMMYFUNCTION("""COMPUTED_VALUE"""),"")</f>
        <v/>
      </c>
      <c r="Q279" s="78" t="str">
        <f>IFERROR(__xludf.DUMMYFUNCTION("""COMPUTED_VALUE"""),"")</f>
        <v/>
      </c>
      <c r="R279" s="78" t="str">
        <f>IFERROR(__xludf.DUMMYFUNCTION("""COMPUTED_VALUE"""),"")</f>
        <v/>
      </c>
      <c r="S279" s="61" t="str">
        <f>IFERROR(__xludf.DUMMYFUNCTION("""COMPUTED_VALUE"""),"")</f>
        <v/>
      </c>
      <c r="T279" s="61" t="str">
        <f>IFERROR(__xludf.DUMMYFUNCTION("""COMPUTED_VALUE"""),"")</f>
        <v/>
      </c>
      <c r="U279" s="133" t="str">
        <f>IFERROR(__xludf.DUMMYFUNCTION("""COMPUTED_VALUE"""),"")</f>
        <v/>
      </c>
      <c r="V279" s="78" t="str">
        <f>IFERROR(__xludf.DUMMYFUNCTION("""COMPUTED_VALUE"""),"")</f>
        <v/>
      </c>
      <c r="W279" s="62" t="str">
        <f>IFERROR(__xludf.DUMMYFUNCTION("""COMPUTED_VALUE"""),"")</f>
        <v/>
      </c>
      <c r="X279" s="62" t="str">
        <f>IFERROR(__xludf.DUMMYFUNCTION("""COMPUTED_VALUE"""),"")</f>
        <v/>
      </c>
      <c r="Y279" s="109" t="str">
        <f>IFERROR(__xludf.DUMMYFUNCTION("""COMPUTED_VALUE"""),"")</f>
        <v/>
      </c>
      <c r="Z279" s="113" t="str">
        <f>IFERROR(__xludf.DUMMYFUNCTION("""COMPUTED_VALUE"""),"")</f>
        <v/>
      </c>
      <c r="AA279" s="113" t="str">
        <f>IFERROR(__xludf.DUMMYFUNCTION("""COMPUTED_VALUE"""),"")</f>
        <v/>
      </c>
      <c r="AB279" s="71"/>
    </row>
    <row r="280">
      <c r="A280" s="105">
        <f>IFERROR(__xludf.DUMMYFUNCTION("""COMPUTED_VALUE"""),45980.74541121528)</f>
        <v>45980.74541</v>
      </c>
      <c r="B280" s="71" t="str">
        <f>IFERROR(__xludf.DUMMYFUNCTION("""COMPUTED_VALUE"""),"Orpheus Wilson")</f>
        <v>Orpheus Wilson</v>
      </c>
      <c r="C280" s="71" t="b">
        <f>IFERROR(__xludf.DUMMYFUNCTION("""COMPUTED_VALUE"""),TRUE)</f>
        <v>1</v>
      </c>
      <c r="D280" s="132">
        <f>IFERROR(__xludf.DUMMYFUNCTION("""COMPUTED_VALUE"""),0.7312499999970896)</f>
        <v>0.73125</v>
      </c>
      <c r="E280" s="78">
        <f>IFERROR(__xludf.DUMMYFUNCTION("""COMPUTED_VALUE"""),0.012500000004365575)</f>
        <v>0.0125</v>
      </c>
      <c r="F280" s="132">
        <f>IFERROR(__xludf.DUMMYFUNCTION("""COMPUTED_VALUE"""),0.7437500000014552)</f>
        <v>0.74375</v>
      </c>
      <c r="G280" s="78" t="str">
        <f>IFERROR(__xludf.DUMMYFUNCTION("""COMPUTED_VALUE"""),"")</f>
        <v/>
      </c>
      <c r="H280" s="110">
        <f>IFERROR(__xludf.DUMMYFUNCTION("""COMPUTED_VALUE"""),24.0)</f>
        <v>24</v>
      </c>
      <c r="I280" s="108" t="str">
        <f>IFERROR(__xludf.DUMMYFUNCTION("""COMPUTED_VALUE"""),"")</f>
        <v/>
      </c>
      <c r="J280" s="71" t="str">
        <f>IFERROR(__xludf.DUMMYFUNCTION("""COMPUTED_VALUE"""),"Dinner")</f>
        <v>Dinner</v>
      </c>
      <c r="K280" s="106">
        <f>IFERROR(__xludf.DUMMYFUNCTION("""COMPUTED_VALUE"""),45980.0)</f>
        <v>45980</v>
      </c>
      <c r="L280" s="71" t="str">
        <f>IFERROR(__xludf.DUMMYFUNCTION("""COMPUTED_VALUE"""),"Wednesday")</f>
        <v>Wednesday</v>
      </c>
      <c r="M280" s="71" t="str">
        <f>IFERROR(__xludf.DUMMYFUNCTION("""COMPUTED_VALUE"""),"MF")</f>
        <v>MF</v>
      </c>
      <c r="N280" s="109" t="str">
        <f>IFERROR(__xludf.DUMMYFUNCTION("""COMPUTED_VALUE"""),"")</f>
        <v/>
      </c>
      <c r="O280" s="71" t="str">
        <f>IFERROR(__xludf.DUMMYFUNCTION("""COMPUTED_VALUE"""),"")</f>
        <v/>
      </c>
      <c r="P280" s="71" t="str">
        <f>IFERROR(__xludf.DUMMYFUNCTION("""COMPUTED_VALUE"""),"")</f>
        <v/>
      </c>
      <c r="Q280" s="78" t="str">
        <f>IFERROR(__xludf.DUMMYFUNCTION("""COMPUTED_VALUE"""),"")</f>
        <v/>
      </c>
      <c r="R280" s="78" t="str">
        <f>IFERROR(__xludf.DUMMYFUNCTION("""COMPUTED_VALUE"""),"")</f>
        <v/>
      </c>
      <c r="S280" s="61" t="str">
        <f>IFERROR(__xludf.DUMMYFUNCTION("""COMPUTED_VALUE"""),"")</f>
        <v/>
      </c>
      <c r="T280" s="61" t="str">
        <f>IFERROR(__xludf.DUMMYFUNCTION("""COMPUTED_VALUE"""),"")</f>
        <v/>
      </c>
      <c r="U280" s="133" t="str">
        <f>IFERROR(__xludf.DUMMYFUNCTION("""COMPUTED_VALUE"""),"")</f>
        <v/>
      </c>
      <c r="V280" s="78" t="str">
        <f>IFERROR(__xludf.DUMMYFUNCTION("""COMPUTED_VALUE"""),"")</f>
        <v/>
      </c>
      <c r="W280" s="62" t="str">
        <f>IFERROR(__xludf.DUMMYFUNCTION("""COMPUTED_VALUE"""),"")</f>
        <v/>
      </c>
      <c r="X280" s="62" t="str">
        <f>IFERROR(__xludf.DUMMYFUNCTION("""COMPUTED_VALUE"""),"")</f>
        <v/>
      </c>
      <c r="Y280" s="109" t="str">
        <f>IFERROR(__xludf.DUMMYFUNCTION("""COMPUTED_VALUE"""),"")</f>
        <v/>
      </c>
      <c r="Z280" s="113" t="str">
        <f>IFERROR(__xludf.DUMMYFUNCTION("""COMPUTED_VALUE"""),"")</f>
        <v/>
      </c>
      <c r="AA280" s="113" t="str">
        <f>IFERROR(__xludf.DUMMYFUNCTION("""COMPUTED_VALUE"""),"")</f>
        <v/>
      </c>
      <c r="AB280" s="71"/>
    </row>
    <row r="281">
      <c r="A281" s="105">
        <f>IFERROR(__xludf.DUMMYFUNCTION("""COMPUTED_VALUE"""),45980.7498690162)</f>
        <v>45980.74987</v>
      </c>
      <c r="B281" s="71" t="str">
        <f>IFERROR(__xludf.DUMMYFUNCTION("""COMPUTED_VALUE"""),"Sarah Wilme")</f>
        <v>Sarah Wilme</v>
      </c>
      <c r="C281" s="71" t="b">
        <f>IFERROR(__xludf.DUMMYFUNCTION("""COMPUTED_VALUE"""),FALSE)</f>
        <v>0</v>
      </c>
      <c r="D281" s="132">
        <f>IFERROR(__xludf.DUMMYFUNCTION("""COMPUTED_VALUE"""),0.6868055555532919)</f>
        <v>0.6868055556</v>
      </c>
      <c r="E281" s="78">
        <f>IFERROR(__xludf.DUMMYFUNCTION("""COMPUTED_VALUE"""),0.06041666666715173)</f>
        <v>0.06041666667</v>
      </c>
      <c r="F281" s="132">
        <f>IFERROR(__xludf.DUMMYFUNCTION("""COMPUTED_VALUE"""),0.7472222222204437)</f>
        <v>0.7472222222</v>
      </c>
      <c r="G281" s="78">
        <f>IFERROR(__xludf.DUMMYFUNCTION("""COMPUTED_VALUE"""),0.06041666666715173)</f>
        <v>0.06041666667</v>
      </c>
      <c r="H281" s="110">
        <f>IFERROR(__xludf.DUMMYFUNCTION("""COMPUTED_VALUE"""),75.0)</f>
        <v>75</v>
      </c>
      <c r="I281" s="108">
        <f>IFERROR(__xludf.DUMMYFUNCTION("""COMPUTED_VALUE"""),51.72413793061921)</f>
        <v>51.72413793</v>
      </c>
      <c r="J281" s="71" t="str">
        <f>IFERROR(__xludf.DUMMYFUNCTION("""COMPUTED_VALUE"""),"Dinner")</f>
        <v>Dinner</v>
      </c>
      <c r="K281" s="106">
        <f>IFERROR(__xludf.DUMMYFUNCTION("""COMPUTED_VALUE"""),45980.0)</f>
        <v>45980</v>
      </c>
      <c r="L281" s="71" t="str">
        <f>IFERROR(__xludf.DUMMYFUNCTION("""COMPUTED_VALUE"""),"Wednesday")</f>
        <v>Wednesday</v>
      </c>
      <c r="M281" s="71" t="str">
        <f>IFERROR(__xludf.DUMMYFUNCTION("""COMPUTED_VALUE"""),"BF")</f>
        <v>BF</v>
      </c>
      <c r="N281" s="109">
        <f>IFERROR(__xludf.DUMMYFUNCTION("""COMPUTED_VALUE"""),1.2206723226185396)</f>
        <v>1.220672323</v>
      </c>
      <c r="O281" s="71" t="str">
        <f>IFERROR(__xludf.DUMMYFUNCTION("""COMPUTED_VALUE"""),"")</f>
        <v/>
      </c>
      <c r="P281" s="71" t="str">
        <f>IFERROR(__xludf.DUMMYFUNCTION("""COMPUTED_VALUE"""),"")</f>
        <v/>
      </c>
      <c r="Q281" s="78" t="str">
        <f>IFERROR(__xludf.DUMMYFUNCTION("""COMPUTED_VALUE"""),"")</f>
        <v/>
      </c>
      <c r="R281" s="78" t="str">
        <f>IFERROR(__xludf.DUMMYFUNCTION("""COMPUTED_VALUE"""),"")</f>
        <v/>
      </c>
      <c r="S281" s="61" t="str">
        <f>IFERROR(__xludf.DUMMYFUNCTION("""COMPUTED_VALUE"""),"")</f>
        <v/>
      </c>
      <c r="T281" s="61" t="str">
        <f>IFERROR(__xludf.DUMMYFUNCTION("""COMPUTED_VALUE"""),"")</f>
        <v/>
      </c>
      <c r="U281" s="133" t="str">
        <f>IFERROR(__xludf.DUMMYFUNCTION("""COMPUTED_VALUE"""),"")</f>
        <v/>
      </c>
      <c r="V281" s="78" t="str">
        <f>IFERROR(__xludf.DUMMYFUNCTION("""COMPUTED_VALUE"""),"")</f>
        <v/>
      </c>
      <c r="W281" s="62" t="str">
        <f>IFERROR(__xludf.DUMMYFUNCTION("""COMPUTED_VALUE"""),"")</f>
        <v/>
      </c>
      <c r="X281" s="62" t="str">
        <f>IFERROR(__xludf.DUMMYFUNCTION("""COMPUTED_VALUE"""),"")</f>
        <v/>
      </c>
      <c r="Y281" s="109" t="str">
        <f>IFERROR(__xludf.DUMMYFUNCTION("""COMPUTED_VALUE"""),"")</f>
        <v/>
      </c>
      <c r="Z281" s="113" t="str">
        <f>IFERROR(__xludf.DUMMYFUNCTION("""COMPUTED_VALUE"""),"")</f>
        <v/>
      </c>
      <c r="AA281" s="113" t="str">
        <f>IFERROR(__xludf.DUMMYFUNCTION("""COMPUTED_VALUE"""),"")</f>
        <v/>
      </c>
      <c r="AB281" s="71"/>
    </row>
    <row r="282">
      <c r="A282" s="105">
        <f>IFERROR(__xludf.DUMMYFUNCTION("""COMPUTED_VALUE"""),45980.87240158565)</f>
        <v>45980.8724</v>
      </c>
      <c r="B282" s="71" t="str">
        <f>IFERROR(__xludf.DUMMYFUNCTION("""COMPUTED_VALUE"""),"Kaylie Forgue")</f>
        <v>Kaylie Forgue</v>
      </c>
      <c r="C282" s="71" t="b">
        <f>IFERROR(__xludf.DUMMYFUNCTION("""COMPUTED_VALUE"""),FALSE)</f>
        <v>0</v>
      </c>
      <c r="D282" s="132">
        <f>IFERROR(__xludf.DUMMYFUNCTION("""COMPUTED_VALUE"""),0.7430555555555556)</f>
        <v>0.7430555556</v>
      </c>
      <c r="E282" s="78">
        <f>IFERROR(__xludf.DUMMYFUNCTION("""COMPUTED_VALUE"""),0.12361111111305134)</f>
        <v>0.1236111111</v>
      </c>
      <c r="F282" s="132">
        <f>IFERROR(__xludf.DUMMYFUNCTION("""COMPUTED_VALUE"""),0.8666666666686069)</f>
        <v>0.8666666667</v>
      </c>
      <c r="G282" s="78">
        <f>IFERROR(__xludf.DUMMYFUNCTION("""COMPUTED_VALUE"""),0.12361111111305134)</f>
        <v>0.1236111111</v>
      </c>
      <c r="H282" s="110">
        <f>IFERROR(__xludf.DUMMYFUNCTION("""COMPUTED_VALUE"""),177.0)</f>
        <v>177</v>
      </c>
      <c r="I282" s="108">
        <f>IFERROR(__xludf.DUMMYFUNCTION("""COMPUTED_VALUE"""),59.66292134737812)</f>
        <v>59.66292135</v>
      </c>
      <c r="J282" s="71" t="str">
        <f>IFERROR(__xludf.DUMMYFUNCTION("""COMPUTED_VALUE"""),"Dinner")</f>
        <v>Dinner</v>
      </c>
      <c r="K282" s="106">
        <f>IFERROR(__xludf.DUMMYFUNCTION("""COMPUTED_VALUE"""),45980.0)</f>
        <v>45980</v>
      </c>
      <c r="L282" s="71" t="str">
        <f>IFERROR(__xludf.DUMMYFUNCTION("""COMPUTED_VALUE"""),"Wednesday")</f>
        <v>Wednesday</v>
      </c>
      <c r="M282" s="71" t="str">
        <f>IFERROR(__xludf.DUMMYFUNCTION("""COMPUTED_VALUE"""),"MF")</f>
        <v>MF</v>
      </c>
      <c r="N282" s="109">
        <f>IFERROR(__xludf.DUMMYFUNCTION("""COMPUTED_VALUE"""),1.1756570391343655)</f>
        <v>1.175657039</v>
      </c>
      <c r="O282" s="71">
        <f>IFERROR(__xludf.DUMMYFUNCTION("""COMPUTED_VALUE"""),346.0)</f>
        <v>346</v>
      </c>
      <c r="P282" s="71">
        <f>IFERROR(__xludf.DUMMYFUNCTION("""COMPUTED_VALUE"""),201.0)</f>
        <v>201</v>
      </c>
      <c r="Q282" s="78">
        <f>IFERROR(__xludf.DUMMYFUNCTION("""COMPUTED_VALUE"""),0.2388888888882421)</f>
        <v>0.2388888889</v>
      </c>
      <c r="R282" s="78">
        <f>IFERROR(__xludf.DUMMYFUNCTION("""COMPUTED_VALUE"""),0.19513888889196096)</f>
        <v>0.1951388889</v>
      </c>
      <c r="S282" s="61">
        <f>IFERROR(__xludf.DUMMYFUNCTION("""COMPUTED_VALUE"""),55.41955534288693)</f>
        <v>55.41955534</v>
      </c>
      <c r="T282" s="61">
        <f>IFERROR(__xludf.DUMMYFUNCTION("""COMPUTED_VALUE"""),45.34660504740968)</f>
        <v>45.34660505</v>
      </c>
      <c r="U282" s="133">
        <f>IFERROR(__xludf.DUMMYFUNCTION("""COMPUTED_VALUE"""),547.0)</f>
        <v>547</v>
      </c>
      <c r="V282" s="78">
        <f>IFERROR(__xludf.DUMMYFUNCTION("""COMPUTED_VALUE"""),0.4340277777802031)</f>
        <v>0.4340277778</v>
      </c>
      <c r="W282" s="62">
        <f>IFERROR(__xludf.DUMMYFUNCTION("""COMPUTED_VALUE"""),52.51199999970657)</f>
        <v>52.512</v>
      </c>
      <c r="X282" s="62">
        <f>IFERROR(__xludf.DUMMYFUNCTION("""COMPUTED_VALUE"""),51.39037522469603)</f>
        <v>51.39037522</v>
      </c>
      <c r="Y282" s="109">
        <f>IFERROR(__xludf.DUMMYFUNCTION("""COMPUTED_VALUE"""),0.9240747760929819)</f>
        <v>0.9240747761</v>
      </c>
      <c r="Z282" s="113" t="str">
        <f>IFERROR(__xludf.DUMMYFUNCTION("""COMPUTED_VALUE"""),"")</f>
        <v/>
      </c>
      <c r="AA282" s="113" t="str">
        <f>IFERROR(__xludf.DUMMYFUNCTION("""COMPUTED_VALUE"""),"")</f>
        <v/>
      </c>
      <c r="AB282" s="71"/>
    </row>
    <row r="283">
      <c r="A283" s="105">
        <f>IFERROR(__xludf.DUMMYFUNCTION("""COMPUTED_VALUE"""),45981.435133506944)</f>
        <v>45981.43513</v>
      </c>
      <c r="B283" s="71" t="str">
        <f>IFERROR(__xludf.DUMMYFUNCTION("""COMPUTED_VALUE"""),"Evan Morgan")</f>
        <v>Evan Morgan</v>
      </c>
      <c r="C283" s="71" t="b">
        <f>IFERROR(__xludf.DUMMYFUNCTION("""COMPUTED_VALUE"""),FALSE)</f>
        <v>0</v>
      </c>
      <c r="D283" s="132">
        <f>IFERROR(__xludf.DUMMYFUNCTION("""COMPUTED_VALUE"""),0.29166666666424135)</f>
        <v>0.2916666667</v>
      </c>
      <c r="E283" s="78">
        <f>IFERROR(__xludf.DUMMYFUNCTION("""COMPUTED_VALUE"""),0.14097222222335404)</f>
        <v>0.1409722222</v>
      </c>
      <c r="F283" s="132">
        <f>IFERROR(__xludf.DUMMYFUNCTION("""COMPUTED_VALUE"""),0.4326388888875954)</f>
        <v>0.4326388889</v>
      </c>
      <c r="G283" s="78">
        <f>IFERROR(__xludf.DUMMYFUNCTION("""COMPUTED_VALUE"""),0.14097222222335404)</f>
        <v>0.1409722222</v>
      </c>
      <c r="H283" s="110">
        <f>IFERROR(__xludf.DUMMYFUNCTION("""COMPUTED_VALUE"""),97.0)</f>
        <v>97</v>
      </c>
      <c r="I283" s="108">
        <f>IFERROR(__xludf.DUMMYFUNCTION("""COMPUTED_VALUE"""),28.669950738686076)</f>
        <v>28.66995074</v>
      </c>
      <c r="J283" s="71" t="str">
        <f>IFERROR(__xludf.DUMMYFUNCTION("""COMPUTED_VALUE"""),"Breakfast")</f>
        <v>Breakfast</v>
      </c>
      <c r="K283" s="106">
        <f>IFERROR(__xludf.DUMMYFUNCTION("""COMPUTED_VALUE"""),45981.0)</f>
        <v>45981</v>
      </c>
      <c r="L283" s="71" t="str">
        <f>IFERROR(__xludf.DUMMYFUNCTION("""COMPUTED_VALUE"""),"Thursday")</f>
        <v>Thursday</v>
      </c>
      <c r="M283" s="71" t="str">
        <f>IFERROR(__xludf.DUMMYFUNCTION("""COMPUTED_VALUE"""),"BF")</f>
        <v>BF</v>
      </c>
      <c r="N283" s="109">
        <f>IFERROR(__xludf.DUMMYFUNCTION("""COMPUTED_VALUE"""),1.2142060706220426)</f>
        <v>1.214206071</v>
      </c>
      <c r="O283" s="71" t="str">
        <f>IFERROR(__xludf.DUMMYFUNCTION("""COMPUTED_VALUE"""),"")</f>
        <v/>
      </c>
      <c r="P283" s="71" t="str">
        <f>IFERROR(__xludf.DUMMYFUNCTION("""COMPUTED_VALUE"""),"")</f>
        <v/>
      </c>
      <c r="Q283" s="78" t="str">
        <f>IFERROR(__xludf.DUMMYFUNCTION("""COMPUTED_VALUE"""),"")</f>
        <v/>
      </c>
      <c r="R283" s="78" t="str">
        <f>IFERROR(__xludf.DUMMYFUNCTION("""COMPUTED_VALUE"""),"")</f>
        <v/>
      </c>
      <c r="S283" s="61" t="str">
        <f>IFERROR(__xludf.DUMMYFUNCTION("""COMPUTED_VALUE"""),"")</f>
        <v/>
      </c>
      <c r="T283" s="61" t="str">
        <f>IFERROR(__xludf.DUMMYFUNCTION("""COMPUTED_VALUE"""),"")</f>
        <v/>
      </c>
      <c r="U283" s="133" t="str">
        <f>IFERROR(__xludf.DUMMYFUNCTION("""COMPUTED_VALUE"""),"")</f>
        <v/>
      </c>
      <c r="V283" s="78" t="str">
        <f>IFERROR(__xludf.DUMMYFUNCTION("""COMPUTED_VALUE"""),"")</f>
        <v/>
      </c>
      <c r="W283" s="62" t="str">
        <f>IFERROR(__xludf.DUMMYFUNCTION("""COMPUTED_VALUE"""),"")</f>
        <v/>
      </c>
      <c r="X283" s="62" t="str">
        <f>IFERROR(__xludf.DUMMYFUNCTION("""COMPUTED_VALUE"""),"")</f>
        <v/>
      </c>
      <c r="Y283" s="109" t="str">
        <f>IFERROR(__xludf.DUMMYFUNCTION("""COMPUTED_VALUE"""),"")</f>
        <v/>
      </c>
      <c r="Z283" s="113" t="str">
        <f>IFERROR(__xludf.DUMMYFUNCTION("""COMPUTED_VALUE"""),"")</f>
        <v/>
      </c>
      <c r="AA283" s="113" t="str">
        <f>IFERROR(__xludf.DUMMYFUNCTION("""COMPUTED_VALUE"""),"")</f>
        <v/>
      </c>
      <c r="AB283" s="71"/>
    </row>
    <row r="284">
      <c r="A284" s="105">
        <f>IFERROR(__xludf.DUMMYFUNCTION("""COMPUTED_VALUE"""),45981.56321090278)</f>
        <v>45981.56321</v>
      </c>
      <c r="B284" s="71" t="str">
        <f>IFERROR(__xludf.DUMMYFUNCTION("""COMPUTED_VALUE"""),"Maureen Surgot")</f>
        <v>Maureen Surgot</v>
      </c>
      <c r="C284" s="71" t="b">
        <f>IFERROR(__xludf.DUMMYFUNCTION("""COMPUTED_VALUE"""),FALSE)</f>
        <v>0</v>
      </c>
      <c r="D284" s="132">
        <f>IFERROR(__xludf.DUMMYFUNCTION("""COMPUTED_VALUE"""),0.47916666666424135)</f>
        <v>0.4791666667</v>
      </c>
      <c r="E284" s="78">
        <f>IFERROR(__xludf.DUMMYFUNCTION("""COMPUTED_VALUE"""),0.08333333333575865)</f>
        <v>0.08333333334</v>
      </c>
      <c r="F284" s="132">
        <f>IFERROR(__xludf.DUMMYFUNCTION("""COMPUTED_VALUE"""),0.5625)</f>
        <v>0.5625</v>
      </c>
      <c r="G284" s="78">
        <f>IFERROR(__xludf.DUMMYFUNCTION("""COMPUTED_VALUE"""),0.08333333333575865)</f>
        <v>0.08333333334</v>
      </c>
      <c r="H284" s="110">
        <f>IFERROR(__xludf.DUMMYFUNCTION("""COMPUTED_VALUE"""),116.0)</f>
        <v>116</v>
      </c>
      <c r="I284" s="108">
        <f>IFERROR(__xludf.DUMMYFUNCTION("""COMPUTED_VALUE"""),57.99999999831198)</f>
        <v>58</v>
      </c>
      <c r="J284" s="71" t="str">
        <f>IFERROR(__xludf.DUMMYFUNCTION("""COMPUTED_VALUE"""),"Lunch")</f>
        <v>Lunch</v>
      </c>
      <c r="K284" s="106">
        <f>IFERROR(__xludf.DUMMYFUNCTION("""COMPUTED_VALUE"""),45981.0)</f>
        <v>45981</v>
      </c>
      <c r="L284" s="71" t="str">
        <f>IFERROR(__xludf.DUMMYFUNCTION("""COMPUTED_VALUE"""),"Thursday")</f>
        <v>Thursday</v>
      </c>
      <c r="M284" s="71" t="str">
        <f>IFERROR(__xludf.DUMMYFUNCTION("""COMPUTED_VALUE"""),"MF")</f>
        <v>MF</v>
      </c>
      <c r="N284" s="109">
        <f>IFERROR(__xludf.DUMMYFUNCTION("""COMPUTED_VALUE"""),1.206100907397904)</f>
        <v>1.206100907</v>
      </c>
      <c r="O284" s="71" t="str">
        <f>IFERROR(__xludf.DUMMYFUNCTION("""COMPUTED_VALUE"""),"")</f>
        <v/>
      </c>
      <c r="P284" s="71" t="str">
        <f>IFERROR(__xludf.DUMMYFUNCTION("""COMPUTED_VALUE"""),"")</f>
        <v/>
      </c>
      <c r="Q284" s="78" t="str">
        <f>IFERROR(__xludf.DUMMYFUNCTION("""COMPUTED_VALUE"""),"")</f>
        <v/>
      </c>
      <c r="R284" s="78" t="str">
        <f>IFERROR(__xludf.DUMMYFUNCTION("""COMPUTED_VALUE"""),"")</f>
        <v/>
      </c>
      <c r="S284" s="61" t="str">
        <f>IFERROR(__xludf.DUMMYFUNCTION("""COMPUTED_VALUE"""),"")</f>
        <v/>
      </c>
      <c r="T284" s="61" t="str">
        <f>IFERROR(__xludf.DUMMYFUNCTION("""COMPUTED_VALUE"""),"")</f>
        <v/>
      </c>
      <c r="U284" s="133" t="str">
        <f>IFERROR(__xludf.DUMMYFUNCTION("""COMPUTED_VALUE"""),"")</f>
        <v/>
      </c>
      <c r="V284" s="78" t="str">
        <f>IFERROR(__xludf.DUMMYFUNCTION("""COMPUTED_VALUE"""),"")</f>
        <v/>
      </c>
      <c r="W284" s="62" t="str">
        <f>IFERROR(__xludf.DUMMYFUNCTION("""COMPUTED_VALUE"""),"")</f>
        <v/>
      </c>
      <c r="X284" s="62" t="str">
        <f>IFERROR(__xludf.DUMMYFUNCTION("""COMPUTED_VALUE"""),"")</f>
        <v/>
      </c>
      <c r="Y284" s="109" t="str">
        <f>IFERROR(__xludf.DUMMYFUNCTION("""COMPUTED_VALUE"""),"")</f>
        <v/>
      </c>
      <c r="Z284" s="113" t="str">
        <f>IFERROR(__xludf.DUMMYFUNCTION("""COMPUTED_VALUE"""),"")</f>
        <v/>
      </c>
      <c r="AA284" s="113" t="str">
        <f>IFERROR(__xludf.DUMMYFUNCTION("""COMPUTED_VALUE"""),"")</f>
        <v/>
      </c>
      <c r="AB284" s="71"/>
    </row>
    <row r="285">
      <c r="A285" s="105">
        <f>IFERROR(__xludf.DUMMYFUNCTION("""COMPUTED_VALUE"""),45981.57200241898)</f>
        <v>45981.572</v>
      </c>
      <c r="B285" s="71" t="str">
        <f>IFERROR(__xludf.DUMMYFUNCTION("""COMPUTED_VALUE"""),"Greta Traynor")</f>
        <v>Greta Traynor</v>
      </c>
      <c r="C285" s="71" t="b">
        <f>IFERROR(__xludf.DUMMYFUNCTION("""COMPUTED_VALUE"""),FALSE)</f>
        <v>0</v>
      </c>
      <c r="D285" s="132">
        <f>IFERROR(__xludf.DUMMYFUNCTION("""COMPUTED_VALUE"""),0.5194444444423425)</f>
        <v>0.5194444444</v>
      </c>
      <c r="E285" s="78">
        <f>IFERROR(__xludf.DUMMYFUNCTION("""COMPUTED_VALUE"""),0.05208333333575865)</f>
        <v>0.05208333334</v>
      </c>
      <c r="F285" s="132">
        <f>IFERROR(__xludf.DUMMYFUNCTION("""COMPUTED_VALUE"""),0.5715277777781012)</f>
        <v>0.5715277778</v>
      </c>
      <c r="G285" s="78">
        <f>IFERROR(__xludf.DUMMYFUNCTION("""COMPUTED_VALUE"""),0.05208333333575865)</f>
        <v>0.05208333334</v>
      </c>
      <c r="H285" s="110">
        <f>IFERROR(__xludf.DUMMYFUNCTION("""COMPUTED_VALUE"""),57.0)</f>
        <v>57</v>
      </c>
      <c r="I285" s="108">
        <f>IFERROR(__xludf.DUMMYFUNCTION("""COMPUTED_VALUE"""),45.59999999787659)</f>
        <v>45.6</v>
      </c>
      <c r="J285" s="71" t="str">
        <f>IFERROR(__xludf.DUMMYFUNCTION("""COMPUTED_VALUE"""),"Lunch")</f>
        <v>Lunch</v>
      </c>
      <c r="K285" s="106">
        <f>IFERROR(__xludf.DUMMYFUNCTION("""COMPUTED_VALUE"""),45981.0)</f>
        <v>45981</v>
      </c>
      <c r="L285" s="71" t="str">
        <f>IFERROR(__xludf.DUMMYFUNCTION("""COMPUTED_VALUE"""),"Thursday")</f>
        <v>Thursday</v>
      </c>
      <c r="M285" s="71" t="str">
        <f>IFERROR(__xludf.DUMMYFUNCTION("""COMPUTED_VALUE"""),"BF")</f>
        <v>BF</v>
      </c>
      <c r="N285" s="109">
        <f>IFERROR(__xludf.DUMMYFUNCTION("""COMPUTED_VALUE"""),1.1743275758268827)</f>
        <v>1.174327576</v>
      </c>
      <c r="O285" s="71" t="str">
        <f>IFERROR(__xludf.DUMMYFUNCTION("""COMPUTED_VALUE"""),"")</f>
        <v/>
      </c>
      <c r="P285" s="71" t="str">
        <f>IFERROR(__xludf.DUMMYFUNCTION("""COMPUTED_VALUE"""),"")</f>
        <v/>
      </c>
      <c r="Q285" s="78" t="str">
        <f>IFERROR(__xludf.DUMMYFUNCTION("""COMPUTED_VALUE"""),"")</f>
        <v/>
      </c>
      <c r="R285" s="78" t="str">
        <f>IFERROR(__xludf.DUMMYFUNCTION("""COMPUTED_VALUE"""),"")</f>
        <v/>
      </c>
      <c r="S285" s="61" t="str">
        <f>IFERROR(__xludf.DUMMYFUNCTION("""COMPUTED_VALUE"""),"")</f>
        <v/>
      </c>
      <c r="T285" s="61" t="str">
        <f>IFERROR(__xludf.DUMMYFUNCTION("""COMPUTED_VALUE"""),"")</f>
        <v/>
      </c>
      <c r="U285" s="133" t="str">
        <f>IFERROR(__xludf.DUMMYFUNCTION("""COMPUTED_VALUE"""),"")</f>
        <v/>
      </c>
      <c r="V285" s="78" t="str">
        <f>IFERROR(__xludf.DUMMYFUNCTION("""COMPUTED_VALUE"""),"")</f>
        <v/>
      </c>
      <c r="W285" s="62" t="str">
        <f>IFERROR(__xludf.DUMMYFUNCTION("""COMPUTED_VALUE"""),"")</f>
        <v/>
      </c>
      <c r="X285" s="62" t="str">
        <f>IFERROR(__xludf.DUMMYFUNCTION("""COMPUTED_VALUE"""),"")</f>
        <v/>
      </c>
      <c r="Y285" s="109" t="str">
        <f>IFERROR(__xludf.DUMMYFUNCTION("""COMPUTED_VALUE"""),"")</f>
        <v/>
      </c>
      <c r="Z285" s="113" t="str">
        <f>IFERROR(__xludf.DUMMYFUNCTION("""COMPUTED_VALUE"""),"")</f>
        <v/>
      </c>
      <c r="AA285" s="113" t="str">
        <f>IFERROR(__xludf.DUMMYFUNCTION("""COMPUTED_VALUE"""),"")</f>
        <v/>
      </c>
      <c r="AB285" s="71"/>
    </row>
    <row r="286">
      <c r="A286" s="105">
        <f>IFERROR(__xludf.DUMMYFUNCTION("""COMPUTED_VALUE"""),45981.586221527774)</f>
        <v>45981.58622</v>
      </c>
      <c r="B286" s="71" t="str">
        <f>IFERROR(__xludf.DUMMYFUNCTION("""COMPUTED_VALUE"""),"Brynn Hornig")</f>
        <v>Brynn Hornig</v>
      </c>
      <c r="C286" s="71" t="b">
        <f>IFERROR(__xludf.DUMMYFUNCTION("""COMPUTED_VALUE"""),FALSE)</f>
        <v>0</v>
      </c>
      <c r="D286" s="132">
        <f>IFERROR(__xludf.DUMMYFUNCTION("""COMPUTED_VALUE"""),0.5625)</f>
        <v>0.5625</v>
      </c>
      <c r="E286" s="78">
        <f>IFERROR(__xludf.DUMMYFUNCTION("""COMPUTED_VALUE"""),0.022916666668606922)</f>
        <v>0.02291666667</v>
      </c>
      <c r="F286" s="132">
        <f>IFERROR(__xludf.DUMMYFUNCTION("""COMPUTED_VALUE"""),0.5854166666686069)</f>
        <v>0.5854166667</v>
      </c>
      <c r="G286" s="78">
        <f>IFERROR(__xludf.DUMMYFUNCTION("""COMPUTED_VALUE"""),0.07291666666424135)</f>
        <v>0.07291666666</v>
      </c>
      <c r="H286" s="110">
        <f>IFERROR(__xludf.DUMMYFUNCTION("""COMPUTED_VALUE"""),37.0)</f>
        <v>37</v>
      </c>
      <c r="I286" s="108">
        <f>IFERROR(__xludf.DUMMYFUNCTION("""COMPUTED_VALUE"""),21.142857143560388)</f>
        <v>21.14285714</v>
      </c>
      <c r="J286" s="71" t="str">
        <f>IFERROR(__xludf.DUMMYFUNCTION("""COMPUTED_VALUE"""),"Lunch")</f>
        <v>Lunch</v>
      </c>
      <c r="K286" s="106">
        <f>IFERROR(__xludf.DUMMYFUNCTION("""COMPUTED_VALUE"""),45981.0)</f>
        <v>45981</v>
      </c>
      <c r="L286" s="71" t="str">
        <f>IFERROR(__xludf.DUMMYFUNCTION("""COMPUTED_VALUE"""),"Thursday")</f>
        <v>Thursday</v>
      </c>
      <c r="M286" s="71" t="str">
        <f>IFERROR(__xludf.DUMMYFUNCTION("""COMPUTED_VALUE"""),"MF")</f>
        <v>MF</v>
      </c>
      <c r="N286" s="109">
        <f>IFERROR(__xludf.DUMMYFUNCTION("""COMPUTED_VALUE"""),0.4396623997685276)</f>
        <v>0.4396623998</v>
      </c>
      <c r="O286" s="71" t="str">
        <f>IFERROR(__xludf.DUMMYFUNCTION("""COMPUTED_VALUE"""),"")</f>
        <v/>
      </c>
      <c r="P286" s="71" t="str">
        <f>IFERROR(__xludf.DUMMYFUNCTION("""COMPUTED_VALUE"""),"")</f>
        <v/>
      </c>
      <c r="Q286" s="78" t="str">
        <f>IFERROR(__xludf.DUMMYFUNCTION("""COMPUTED_VALUE"""),"")</f>
        <v/>
      </c>
      <c r="R286" s="78" t="str">
        <f>IFERROR(__xludf.DUMMYFUNCTION("""COMPUTED_VALUE"""),"")</f>
        <v/>
      </c>
      <c r="S286" s="61" t="str">
        <f>IFERROR(__xludf.DUMMYFUNCTION("""COMPUTED_VALUE"""),"")</f>
        <v/>
      </c>
      <c r="T286" s="61" t="str">
        <f>IFERROR(__xludf.DUMMYFUNCTION("""COMPUTED_VALUE"""),"")</f>
        <v/>
      </c>
      <c r="U286" s="133" t="str">
        <f>IFERROR(__xludf.DUMMYFUNCTION("""COMPUTED_VALUE"""),"")</f>
        <v/>
      </c>
      <c r="V286" s="78" t="str">
        <f>IFERROR(__xludf.DUMMYFUNCTION("""COMPUTED_VALUE"""),"")</f>
        <v/>
      </c>
      <c r="W286" s="62" t="str">
        <f>IFERROR(__xludf.DUMMYFUNCTION("""COMPUTED_VALUE"""),"")</f>
        <v/>
      </c>
      <c r="X286" s="62" t="str">
        <f>IFERROR(__xludf.DUMMYFUNCTION("""COMPUTED_VALUE"""),"")</f>
        <v/>
      </c>
      <c r="Y286" s="109" t="str">
        <f>IFERROR(__xludf.DUMMYFUNCTION("""COMPUTED_VALUE"""),"")</f>
        <v/>
      </c>
      <c r="Z286" s="113" t="str">
        <f>IFERROR(__xludf.DUMMYFUNCTION("""COMPUTED_VALUE"""),"")</f>
        <v/>
      </c>
      <c r="AA286" s="113" t="str">
        <f>IFERROR(__xludf.DUMMYFUNCTION("""COMPUTED_VALUE"""),"")</f>
        <v/>
      </c>
      <c r="AB286" s="71"/>
    </row>
    <row r="287">
      <c r="A287" s="105">
        <f>IFERROR(__xludf.DUMMYFUNCTION("""COMPUTED_VALUE"""),45981.63330726852)</f>
        <v>45981.63331</v>
      </c>
      <c r="B287" s="71" t="str">
        <f>IFERROR(__xludf.DUMMYFUNCTION("""COMPUTED_VALUE"""),"Brynn Hornig")</f>
        <v>Brynn Hornig</v>
      </c>
      <c r="C287" s="71" t="b">
        <f>IFERROR(__xludf.DUMMYFUNCTION("""COMPUTED_VALUE"""),TRUE)</f>
        <v>1</v>
      </c>
      <c r="D287" s="132">
        <f>IFERROR(__xludf.DUMMYFUNCTION("""COMPUTED_VALUE"""),0.5854166666686069)</f>
        <v>0.5854166667</v>
      </c>
      <c r="E287" s="78">
        <f>IFERROR(__xludf.DUMMYFUNCTION("""COMPUTED_VALUE"""),0.049999999995634425)</f>
        <v>0.05</v>
      </c>
      <c r="F287" s="132">
        <f>IFERROR(__xludf.DUMMYFUNCTION("""COMPUTED_VALUE"""),0.6354166666642413)</f>
        <v>0.6354166667</v>
      </c>
      <c r="G287" s="78" t="str">
        <f>IFERROR(__xludf.DUMMYFUNCTION("""COMPUTED_VALUE"""),"")</f>
        <v/>
      </c>
      <c r="H287" s="110">
        <f>IFERROR(__xludf.DUMMYFUNCTION("""COMPUTED_VALUE"""),48.0)</f>
        <v>48</v>
      </c>
      <c r="I287" s="108" t="str">
        <f>IFERROR(__xludf.DUMMYFUNCTION("""COMPUTED_VALUE"""),"")</f>
        <v/>
      </c>
      <c r="J287" s="71" t="str">
        <f>IFERROR(__xludf.DUMMYFUNCTION("""COMPUTED_VALUE"""),"Lunch")</f>
        <v>Lunch</v>
      </c>
      <c r="K287" s="106">
        <f>IFERROR(__xludf.DUMMYFUNCTION("""COMPUTED_VALUE"""),45981.0)</f>
        <v>45981</v>
      </c>
      <c r="L287" s="71" t="str">
        <f>IFERROR(__xludf.DUMMYFUNCTION("""COMPUTED_VALUE"""),"Thursday")</f>
        <v>Thursday</v>
      </c>
      <c r="M287" s="71" t="str">
        <f>IFERROR(__xludf.DUMMYFUNCTION("""COMPUTED_VALUE"""),"MF")</f>
        <v>MF</v>
      </c>
      <c r="N287" s="109" t="str">
        <f>IFERROR(__xludf.DUMMYFUNCTION("""COMPUTED_VALUE"""),"")</f>
        <v/>
      </c>
      <c r="O287" s="71" t="str">
        <f>IFERROR(__xludf.DUMMYFUNCTION("""COMPUTED_VALUE"""),"")</f>
        <v/>
      </c>
      <c r="P287" s="71" t="str">
        <f>IFERROR(__xludf.DUMMYFUNCTION("""COMPUTED_VALUE"""),"")</f>
        <v/>
      </c>
      <c r="Q287" s="78" t="str">
        <f>IFERROR(__xludf.DUMMYFUNCTION("""COMPUTED_VALUE"""),"")</f>
        <v/>
      </c>
      <c r="R287" s="78" t="str">
        <f>IFERROR(__xludf.DUMMYFUNCTION("""COMPUTED_VALUE"""),"")</f>
        <v/>
      </c>
      <c r="S287" s="61" t="str">
        <f>IFERROR(__xludf.DUMMYFUNCTION("""COMPUTED_VALUE"""),"")</f>
        <v/>
      </c>
      <c r="T287" s="61" t="str">
        <f>IFERROR(__xludf.DUMMYFUNCTION("""COMPUTED_VALUE"""),"")</f>
        <v/>
      </c>
      <c r="U287" s="133" t="str">
        <f>IFERROR(__xludf.DUMMYFUNCTION("""COMPUTED_VALUE"""),"")</f>
        <v/>
      </c>
      <c r="V287" s="78" t="str">
        <f>IFERROR(__xludf.DUMMYFUNCTION("""COMPUTED_VALUE"""),"")</f>
        <v/>
      </c>
      <c r="W287" s="62" t="str">
        <f>IFERROR(__xludf.DUMMYFUNCTION("""COMPUTED_VALUE"""),"")</f>
        <v/>
      </c>
      <c r="X287" s="62" t="str">
        <f>IFERROR(__xludf.DUMMYFUNCTION("""COMPUTED_VALUE"""),"")</f>
        <v/>
      </c>
      <c r="Y287" s="109" t="str">
        <f>IFERROR(__xludf.DUMMYFUNCTION("""COMPUTED_VALUE"""),"")</f>
        <v/>
      </c>
      <c r="Z287" s="113" t="str">
        <f>IFERROR(__xludf.DUMMYFUNCTION("""COMPUTED_VALUE"""),"")</f>
        <v/>
      </c>
      <c r="AA287" s="113" t="str">
        <f>IFERROR(__xludf.DUMMYFUNCTION("""COMPUTED_VALUE"""),"")</f>
        <v/>
      </c>
      <c r="AB287" s="71"/>
    </row>
    <row r="288">
      <c r="A288" s="105">
        <f>IFERROR(__xludf.DUMMYFUNCTION("""COMPUTED_VALUE"""),45981.65510605324)</f>
        <v>45981.65511</v>
      </c>
      <c r="B288" s="71" t="str">
        <f>IFERROR(__xludf.DUMMYFUNCTION("""COMPUTED_VALUE"""),"Emmett Khan")</f>
        <v>Emmett Khan</v>
      </c>
      <c r="C288" s="71" t="b">
        <f>IFERROR(__xludf.DUMMYFUNCTION("""COMPUTED_VALUE"""),FALSE)</f>
        <v>0</v>
      </c>
      <c r="D288" s="132">
        <f>IFERROR(__xludf.DUMMYFUNCTION("""COMPUTED_VALUE"""),0.5833333333357587)</f>
        <v>0.5833333333</v>
      </c>
      <c r="E288" s="78">
        <f>IFERROR(__xludf.DUMMYFUNCTION("""COMPUTED_VALUE"""),0.07291666666424135)</f>
        <v>0.07291666666</v>
      </c>
      <c r="F288" s="132">
        <f>IFERROR(__xludf.DUMMYFUNCTION("""COMPUTED_VALUE"""),0.65625)</f>
        <v>0.65625</v>
      </c>
      <c r="G288" s="78">
        <f>IFERROR(__xludf.DUMMYFUNCTION("""COMPUTED_VALUE"""),0.07291666666424135)</f>
        <v>0.07291666666</v>
      </c>
      <c r="H288" s="110">
        <f>IFERROR(__xludf.DUMMYFUNCTION("""COMPUTED_VALUE"""),45.0)</f>
        <v>45</v>
      </c>
      <c r="I288" s="108">
        <f>IFERROR(__xludf.DUMMYFUNCTION("""COMPUTED_VALUE"""),25.71428571514101)</f>
        <v>25.71428572</v>
      </c>
      <c r="J288" s="71" t="str">
        <f>IFERROR(__xludf.DUMMYFUNCTION("""COMPUTED_VALUE"""),"Lunch")</f>
        <v>Lunch</v>
      </c>
      <c r="K288" s="106">
        <f>IFERROR(__xludf.DUMMYFUNCTION("""COMPUTED_VALUE"""),45981.0)</f>
        <v>45981</v>
      </c>
      <c r="L288" s="71" t="str">
        <f>IFERROR(__xludf.DUMMYFUNCTION("""COMPUTED_VALUE"""),"Thursday")</f>
        <v>Thursday</v>
      </c>
      <c r="M288" s="71" t="str">
        <f>IFERROR(__xludf.DUMMYFUNCTION("""COMPUTED_VALUE"""),"BF")</f>
        <v>BF</v>
      </c>
      <c r="N288" s="109">
        <f>IFERROR(__xludf.DUMMYFUNCTION("""COMPUTED_VALUE"""),0.6622147984514811)</f>
        <v>0.6622147985</v>
      </c>
      <c r="O288" s="71" t="str">
        <f>IFERROR(__xludf.DUMMYFUNCTION("""COMPUTED_VALUE"""),"")</f>
        <v/>
      </c>
      <c r="P288" s="71" t="str">
        <f>IFERROR(__xludf.DUMMYFUNCTION("""COMPUTED_VALUE"""),"")</f>
        <v/>
      </c>
      <c r="Q288" s="78" t="str">
        <f>IFERROR(__xludf.DUMMYFUNCTION("""COMPUTED_VALUE"""),"")</f>
        <v/>
      </c>
      <c r="R288" s="78" t="str">
        <f>IFERROR(__xludf.DUMMYFUNCTION("""COMPUTED_VALUE"""),"")</f>
        <v/>
      </c>
      <c r="S288" s="61" t="str">
        <f>IFERROR(__xludf.DUMMYFUNCTION("""COMPUTED_VALUE"""),"")</f>
        <v/>
      </c>
      <c r="T288" s="61" t="str">
        <f>IFERROR(__xludf.DUMMYFUNCTION("""COMPUTED_VALUE"""),"")</f>
        <v/>
      </c>
      <c r="U288" s="133" t="str">
        <f>IFERROR(__xludf.DUMMYFUNCTION("""COMPUTED_VALUE"""),"")</f>
        <v/>
      </c>
      <c r="V288" s="78" t="str">
        <f>IFERROR(__xludf.DUMMYFUNCTION("""COMPUTED_VALUE"""),"")</f>
        <v/>
      </c>
      <c r="W288" s="62" t="str">
        <f>IFERROR(__xludf.DUMMYFUNCTION("""COMPUTED_VALUE"""),"")</f>
        <v/>
      </c>
      <c r="X288" s="62" t="str">
        <f>IFERROR(__xludf.DUMMYFUNCTION("""COMPUTED_VALUE"""),"")</f>
        <v/>
      </c>
      <c r="Y288" s="109" t="str">
        <f>IFERROR(__xludf.DUMMYFUNCTION("""COMPUTED_VALUE"""),"")</f>
        <v/>
      </c>
      <c r="Z288" s="113" t="str">
        <f>IFERROR(__xludf.DUMMYFUNCTION("""COMPUTED_VALUE"""),"")</f>
        <v/>
      </c>
      <c r="AA288" s="113" t="str">
        <f>IFERROR(__xludf.DUMMYFUNCTION("""COMPUTED_VALUE"""),"")</f>
        <v/>
      </c>
      <c r="AB288" s="71"/>
    </row>
    <row r="289">
      <c r="A289" s="105">
        <f>IFERROR(__xludf.DUMMYFUNCTION("""COMPUTED_VALUE"""),45981.7667913426)</f>
        <v>45981.76679</v>
      </c>
      <c r="B289" s="71" t="str">
        <f>IFERROR(__xludf.DUMMYFUNCTION("""COMPUTED_VALUE"""),"Elliott Haber")</f>
        <v>Elliott Haber</v>
      </c>
      <c r="C289" s="71" t="b">
        <f>IFERROR(__xludf.DUMMYFUNCTION("""COMPUTED_VALUE"""),FALSE)</f>
        <v>0</v>
      </c>
      <c r="D289" s="132">
        <f>IFERROR(__xludf.DUMMYFUNCTION("""COMPUTED_VALUE"""),0.6701388888888888)</f>
        <v>0.6701388889</v>
      </c>
      <c r="E289" s="78">
        <f>IFERROR(__xludf.DUMMYFUNCTION("""COMPUTED_VALUE"""),0.09236111110820078)</f>
        <v>0.09236111111</v>
      </c>
      <c r="F289" s="132">
        <f>IFERROR(__xludf.DUMMYFUNCTION("""COMPUTED_VALUE"""),0.7624999999970896)</f>
        <v>0.7625</v>
      </c>
      <c r="G289" s="78">
        <f>IFERROR(__xludf.DUMMYFUNCTION("""COMPUTED_VALUE"""),0.09236111110820078)</f>
        <v>0.09236111111</v>
      </c>
      <c r="H289" s="110">
        <f>IFERROR(__xludf.DUMMYFUNCTION("""COMPUTED_VALUE"""),128.0)</f>
        <v>128</v>
      </c>
      <c r="I289" s="108">
        <f>IFERROR(__xludf.DUMMYFUNCTION("""COMPUTED_VALUE"""),57.74436090407519)</f>
        <v>57.7443609</v>
      </c>
      <c r="J289" s="71" t="str">
        <f>IFERROR(__xludf.DUMMYFUNCTION("""COMPUTED_VALUE"""),"Dinner")</f>
        <v>Dinner</v>
      </c>
      <c r="K289" s="106">
        <f>IFERROR(__xludf.DUMMYFUNCTION("""COMPUTED_VALUE"""),45981.0)</f>
        <v>45981</v>
      </c>
      <c r="L289" s="71" t="str">
        <f>IFERROR(__xludf.DUMMYFUNCTION("""COMPUTED_VALUE"""),"Thursday")</f>
        <v>Thursday</v>
      </c>
      <c r="M289" s="71" t="str">
        <f>IFERROR(__xludf.DUMMYFUNCTION("""COMPUTED_VALUE"""),"MF")</f>
        <v>MF</v>
      </c>
      <c r="N289" s="109">
        <f>IFERROR(__xludf.DUMMYFUNCTION("""COMPUTED_VALUE"""),1.13785183216099)</f>
        <v>1.137851832</v>
      </c>
      <c r="O289" s="71" t="str">
        <f>IFERROR(__xludf.DUMMYFUNCTION("""COMPUTED_VALUE"""),"")</f>
        <v/>
      </c>
      <c r="P289" s="71" t="str">
        <f>IFERROR(__xludf.DUMMYFUNCTION("""COMPUTED_VALUE"""),"")</f>
        <v/>
      </c>
      <c r="Q289" s="78" t="str">
        <f>IFERROR(__xludf.DUMMYFUNCTION("""COMPUTED_VALUE"""),"")</f>
        <v/>
      </c>
      <c r="R289" s="78" t="str">
        <f>IFERROR(__xludf.DUMMYFUNCTION("""COMPUTED_VALUE"""),"")</f>
        <v/>
      </c>
      <c r="S289" s="61" t="str">
        <f>IFERROR(__xludf.DUMMYFUNCTION("""COMPUTED_VALUE"""),"")</f>
        <v/>
      </c>
      <c r="T289" s="61" t="str">
        <f>IFERROR(__xludf.DUMMYFUNCTION("""COMPUTED_VALUE"""),"")</f>
        <v/>
      </c>
      <c r="U289" s="133" t="str">
        <f>IFERROR(__xludf.DUMMYFUNCTION("""COMPUTED_VALUE"""),"")</f>
        <v/>
      </c>
      <c r="V289" s="78" t="str">
        <f>IFERROR(__xludf.DUMMYFUNCTION("""COMPUTED_VALUE"""),"")</f>
        <v/>
      </c>
      <c r="W289" s="62" t="str">
        <f>IFERROR(__xludf.DUMMYFUNCTION("""COMPUTED_VALUE"""),"")</f>
        <v/>
      </c>
      <c r="X289" s="62" t="str">
        <f>IFERROR(__xludf.DUMMYFUNCTION("""COMPUTED_VALUE"""),"")</f>
        <v/>
      </c>
      <c r="Y289" s="109" t="str">
        <f>IFERROR(__xludf.DUMMYFUNCTION("""COMPUTED_VALUE"""),"")</f>
        <v/>
      </c>
      <c r="Z289" s="113" t="str">
        <f>IFERROR(__xludf.DUMMYFUNCTION("""COMPUTED_VALUE"""),"")</f>
        <v/>
      </c>
      <c r="AA289" s="113" t="str">
        <f>IFERROR(__xludf.DUMMYFUNCTION("""COMPUTED_VALUE"""),"")</f>
        <v/>
      </c>
      <c r="AB289" s="71"/>
    </row>
    <row r="290">
      <c r="A290" s="105">
        <f>IFERROR(__xludf.DUMMYFUNCTION("""COMPUTED_VALUE"""),45981.76870731481)</f>
        <v>45981.76871</v>
      </c>
      <c r="B290" s="71" t="str">
        <f>IFERROR(__xludf.DUMMYFUNCTION("""COMPUTED_VALUE"""),"Emmett Khan")</f>
        <v>Emmett Khan</v>
      </c>
      <c r="C290" s="71" t="b">
        <f>IFERROR(__xludf.DUMMYFUNCTION("""COMPUTED_VALUE"""),FALSE)</f>
        <v>0</v>
      </c>
      <c r="D290" s="132">
        <f>IFERROR(__xludf.DUMMYFUNCTION("""COMPUTED_VALUE"""),0.6875)</f>
        <v>0.6875</v>
      </c>
      <c r="E290" s="78">
        <f>IFERROR(__xludf.DUMMYFUNCTION("""COMPUTED_VALUE"""),0.08333333333575865)</f>
        <v>0.08333333334</v>
      </c>
      <c r="F290" s="132">
        <f>IFERROR(__xludf.DUMMYFUNCTION("""COMPUTED_VALUE"""),0.7708333333357587)</f>
        <v>0.7708333333</v>
      </c>
      <c r="G290" s="78">
        <f>IFERROR(__xludf.DUMMYFUNCTION("""COMPUTED_VALUE"""),0.08333333333575865)</f>
        <v>0.08333333334</v>
      </c>
      <c r="H290" s="110">
        <f>IFERROR(__xludf.DUMMYFUNCTION("""COMPUTED_VALUE"""),127.0)</f>
        <v>127</v>
      </c>
      <c r="I290" s="108">
        <f>IFERROR(__xludf.DUMMYFUNCTION("""COMPUTED_VALUE"""),63.49999999815191)</f>
        <v>63.5</v>
      </c>
      <c r="J290" s="71" t="str">
        <f>IFERROR(__xludf.DUMMYFUNCTION("""COMPUTED_VALUE"""),"Dinner")</f>
        <v>Dinner</v>
      </c>
      <c r="K290" s="106">
        <f>IFERROR(__xludf.DUMMYFUNCTION("""COMPUTED_VALUE"""),45981.0)</f>
        <v>45981</v>
      </c>
      <c r="L290" s="71" t="str">
        <f>IFERROR(__xludf.DUMMYFUNCTION("""COMPUTED_VALUE"""),"Thursday")</f>
        <v>Thursday</v>
      </c>
      <c r="M290" s="71" t="str">
        <f>IFERROR(__xludf.DUMMYFUNCTION("""COMPUTED_VALUE"""),"BF")</f>
        <v>BF</v>
      </c>
      <c r="N290" s="109">
        <f>IFERROR(__xludf.DUMMYFUNCTION("""COMPUTED_VALUE"""),1.4985787213697777)</f>
        <v>1.498578721</v>
      </c>
      <c r="O290" s="71" t="str">
        <f>IFERROR(__xludf.DUMMYFUNCTION("""COMPUTED_VALUE"""),"")</f>
        <v/>
      </c>
      <c r="P290" s="71" t="str">
        <f>IFERROR(__xludf.DUMMYFUNCTION("""COMPUTED_VALUE"""),"")</f>
        <v/>
      </c>
      <c r="Q290" s="78" t="str">
        <f>IFERROR(__xludf.DUMMYFUNCTION("""COMPUTED_VALUE"""),"")</f>
        <v/>
      </c>
      <c r="R290" s="78" t="str">
        <f>IFERROR(__xludf.DUMMYFUNCTION("""COMPUTED_VALUE"""),"")</f>
        <v/>
      </c>
      <c r="S290" s="61" t="str">
        <f>IFERROR(__xludf.DUMMYFUNCTION("""COMPUTED_VALUE"""),"")</f>
        <v/>
      </c>
      <c r="T290" s="61" t="str">
        <f>IFERROR(__xludf.DUMMYFUNCTION("""COMPUTED_VALUE"""),"")</f>
        <v/>
      </c>
      <c r="U290" s="133" t="str">
        <f>IFERROR(__xludf.DUMMYFUNCTION("""COMPUTED_VALUE"""),"")</f>
        <v/>
      </c>
      <c r="V290" s="78" t="str">
        <f>IFERROR(__xludf.DUMMYFUNCTION("""COMPUTED_VALUE"""),"")</f>
        <v/>
      </c>
      <c r="W290" s="62" t="str">
        <f>IFERROR(__xludf.DUMMYFUNCTION("""COMPUTED_VALUE"""),"")</f>
        <v/>
      </c>
      <c r="X290" s="62" t="str">
        <f>IFERROR(__xludf.DUMMYFUNCTION("""COMPUTED_VALUE"""),"")</f>
        <v/>
      </c>
      <c r="Y290" s="109" t="str">
        <f>IFERROR(__xludf.DUMMYFUNCTION("""COMPUTED_VALUE"""),"")</f>
        <v/>
      </c>
      <c r="Z290" s="113" t="str">
        <f>IFERROR(__xludf.DUMMYFUNCTION("""COMPUTED_VALUE"""),"")</f>
        <v/>
      </c>
      <c r="AA290" s="113" t="str">
        <f>IFERROR(__xludf.DUMMYFUNCTION("""COMPUTED_VALUE"""),"")</f>
        <v/>
      </c>
      <c r="AB290" s="71"/>
    </row>
    <row r="291">
      <c r="A291" s="105">
        <f>IFERROR(__xludf.DUMMYFUNCTION("""COMPUTED_VALUE"""),45981.89256600694)</f>
        <v>45981.89257</v>
      </c>
      <c r="B291" s="71" t="str">
        <f>IFERROR(__xludf.DUMMYFUNCTION("""COMPUTED_VALUE"""),"Elliott Haber")</f>
        <v>Elliott Haber</v>
      </c>
      <c r="C291" s="71" t="b">
        <f>IFERROR(__xludf.DUMMYFUNCTION("""COMPUTED_VALUE"""),FALSE)</f>
        <v>0</v>
      </c>
      <c r="D291" s="132">
        <f>IFERROR(__xludf.DUMMYFUNCTION("""COMPUTED_VALUE"""),0.7666666666666667)</f>
        <v>0.7666666667</v>
      </c>
      <c r="E291" s="78">
        <f>IFERROR(__xludf.DUMMYFUNCTION("""COMPUTED_VALUE"""),0.10833333333333328)</f>
        <v>0.1083333333</v>
      </c>
      <c r="F291" s="132">
        <f>IFERROR(__xludf.DUMMYFUNCTION("""COMPUTED_VALUE"""),0.875)</f>
        <v>0.875</v>
      </c>
      <c r="G291" s="78">
        <f>IFERROR(__xludf.DUMMYFUNCTION("""COMPUTED_VALUE"""),0.10833333333333328)</f>
        <v>0.1083333333</v>
      </c>
      <c r="H291" s="110">
        <f>IFERROR(__xludf.DUMMYFUNCTION("""COMPUTED_VALUE"""),141.0)</f>
        <v>141</v>
      </c>
      <c r="I291" s="108">
        <f>IFERROR(__xludf.DUMMYFUNCTION("""COMPUTED_VALUE"""),54.230769230769255)</f>
        <v>54.23076923</v>
      </c>
      <c r="J291" s="71" t="str">
        <f>IFERROR(__xludf.DUMMYFUNCTION("""COMPUTED_VALUE"""),"Dinner")</f>
        <v>Dinner</v>
      </c>
      <c r="K291" s="106">
        <f>IFERROR(__xludf.DUMMYFUNCTION("""COMPUTED_VALUE"""),45981.0)</f>
        <v>45981</v>
      </c>
      <c r="L291" s="71" t="str">
        <f>IFERROR(__xludf.DUMMYFUNCTION("""COMPUTED_VALUE"""),"Thursday")</f>
        <v>Thursday</v>
      </c>
      <c r="M291" s="71" t="str">
        <f>IFERROR(__xludf.DUMMYFUNCTION("""COMPUTED_VALUE"""),"MF")</f>
        <v>MF</v>
      </c>
      <c r="N291" s="109">
        <f>IFERROR(__xludf.DUMMYFUNCTION("""COMPUTED_VALUE"""),1.0686165568831472)</f>
        <v>1.068616557</v>
      </c>
      <c r="O291" s="71">
        <f>IFERROR(__xludf.DUMMYFUNCTION("""COMPUTED_VALUE"""),470.0)</f>
        <v>470</v>
      </c>
      <c r="P291" s="71">
        <f>IFERROR(__xludf.DUMMYFUNCTION("""COMPUTED_VALUE"""),326.0)</f>
        <v>326</v>
      </c>
      <c r="Q291" s="78">
        <f>IFERROR(__xludf.DUMMYFUNCTION("""COMPUTED_VALUE"""),0.35694444444153406)</f>
        <v>0.3569444444</v>
      </c>
      <c r="R291" s="78">
        <f>IFERROR(__xludf.DUMMYFUNCTION("""COMPUTED_VALUE"""),0.3493055555591127)</f>
        <v>0.3493055556</v>
      </c>
      <c r="S291" s="61">
        <f>IFERROR(__xludf.DUMMYFUNCTION("""COMPUTED_VALUE"""),47.7794968191792)</f>
        <v>47.77949682</v>
      </c>
      <c r="T291" s="61">
        <f>IFERROR(__xludf.DUMMYFUNCTION("""COMPUTED_VALUE"""),40.8710591124639)</f>
        <v>40.87105911</v>
      </c>
      <c r="U291" s="133">
        <f>IFERROR(__xludf.DUMMYFUNCTION("""COMPUTED_VALUE"""),796.0)</f>
        <v>796</v>
      </c>
      <c r="V291" s="78">
        <f>IFERROR(__xludf.DUMMYFUNCTION("""COMPUTED_VALUE"""),0.7062500000006467)</f>
        <v>0.70625</v>
      </c>
      <c r="W291" s="62">
        <f>IFERROR(__xludf.DUMMYFUNCTION("""COMPUTED_VALUE"""),46.961651917361124)</f>
        <v>46.96165192</v>
      </c>
      <c r="X291" s="62">
        <f>IFERROR(__xludf.DUMMYFUNCTION("""COMPUTED_VALUE"""),44.325277965821556)</f>
        <v>44.32527797</v>
      </c>
      <c r="Y291" s="109">
        <f>IFERROR(__xludf.DUMMYFUNCTION("""COMPUTED_VALUE"""),0.9229395553864403)</f>
        <v>0.9229395554</v>
      </c>
      <c r="Z291" s="113" t="str">
        <f>IFERROR(__xludf.DUMMYFUNCTION("""COMPUTED_VALUE"""),"")</f>
        <v/>
      </c>
      <c r="AA291" s="113" t="str">
        <f>IFERROR(__xludf.DUMMYFUNCTION("""COMPUTED_VALUE"""),"")</f>
        <v/>
      </c>
      <c r="AB291" s="71"/>
    </row>
    <row r="292">
      <c r="A292" s="105">
        <f>IFERROR(__xludf.DUMMYFUNCTION("""COMPUTED_VALUE"""),45982.55145684028)</f>
        <v>45982.55146</v>
      </c>
      <c r="B292" s="71" t="str">
        <f>IFERROR(__xludf.DUMMYFUNCTION("""COMPUTED_VALUE"""),"Orpheus Wilson")</f>
        <v>Orpheus Wilson</v>
      </c>
      <c r="C292" s="71" t="b">
        <f>IFERROR(__xludf.DUMMYFUNCTION("""COMPUTED_VALUE"""),FALSE)</f>
        <v>0</v>
      </c>
      <c r="D292" s="132">
        <f>IFERROR(__xludf.DUMMYFUNCTION("""COMPUTED_VALUE"""),0.47916666666424135)</f>
        <v>0.4791666667</v>
      </c>
      <c r="E292" s="78">
        <f>IFERROR(__xludf.DUMMYFUNCTION("""COMPUTED_VALUE"""),0.07083333333866904)</f>
        <v>0.07083333334</v>
      </c>
      <c r="F292" s="132">
        <f>IFERROR(__xludf.DUMMYFUNCTION("""COMPUTED_VALUE"""),0.5500000000029104)</f>
        <v>0.55</v>
      </c>
      <c r="G292" s="78">
        <f>IFERROR(__xludf.DUMMYFUNCTION("""COMPUTED_VALUE"""),0.07083333333866904)</f>
        <v>0.07083333334</v>
      </c>
      <c r="H292" s="110">
        <f>IFERROR(__xludf.DUMMYFUNCTION("""COMPUTED_VALUE"""),116.0)</f>
        <v>116</v>
      </c>
      <c r="I292" s="108">
        <f>IFERROR(__xludf.DUMMYFUNCTION("""COMPUTED_VALUE"""),68.23529411250706)</f>
        <v>68.23529411</v>
      </c>
      <c r="J292" s="71" t="str">
        <f>IFERROR(__xludf.DUMMYFUNCTION("""COMPUTED_VALUE"""),"Lunch")</f>
        <v>Lunch</v>
      </c>
      <c r="K292" s="106">
        <f>IFERROR(__xludf.DUMMYFUNCTION("""COMPUTED_VALUE"""),45982.0)</f>
        <v>45982</v>
      </c>
      <c r="L292" s="71" t="str">
        <f>IFERROR(__xludf.DUMMYFUNCTION("""COMPUTED_VALUE"""),"Friday")</f>
        <v>Friday</v>
      </c>
      <c r="M292" s="71" t="str">
        <f>IFERROR(__xludf.DUMMYFUNCTION("""COMPUTED_VALUE"""),"MF")</f>
        <v>MF</v>
      </c>
      <c r="N292" s="109">
        <f>IFERROR(__xludf.DUMMYFUNCTION("""COMPUTED_VALUE"""),1.4189422439319455)</f>
        <v>1.418942244</v>
      </c>
      <c r="O292" s="71" t="str">
        <f>IFERROR(__xludf.DUMMYFUNCTION("""COMPUTED_VALUE"""),"")</f>
        <v/>
      </c>
      <c r="P292" s="71" t="str">
        <f>IFERROR(__xludf.DUMMYFUNCTION("""COMPUTED_VALUE"""),"")</f>
        <v/>
      </c>
      <c r="Q292" s="78" t="str">
        <f>IFERROR(__xludf.DUMMYFUNCTION("""COMPUTED_VALUE"""),"")</f>
        <v/>
      </c>
      <c r="R292" s="78" t="str">
        <f>IFERROR(__xludf.DUMMYFUNCTION("""COMPUTED_VALUE"""),"")</f>
        <v/>
      </c>
      <c r="S292" s="61" t="str">
        <f>IFERROR(__xludf.DUMMYFUNCTION("""COMPUTED_VALUE"""),"")</f>
        <v/>
      </c>
      <c r="T292" s="61" t="str">
        <f>IFERROR(__xludf.DUMMYFUNCTION("""COMPUTED_VALUE"""),"")</f>
        <v/>
      </c>
      <c r="U292" s="133" t="str">
        <f>IFERROR(__xludf.DUMMYFUNCTION("""COMPUTED_VALUE"""),"")</f>
        <v/>
      </c>
      <c r="V292" s="78" t="str">
        <f>IFERROR(__xludf.DUMMYFUNCTION("""COMPUTED_VALUE"""),"")</f>
        <v/>
      </c>
      <c r="W292" s="62" t="str">
        <f>IFERROR(__xludf.DUMMYFUNCTION("""COMPUTED_VALUE"""),"")</f>
        <v/>
      </c>
      <c r="X292" s="62" t="str">
        <f>IFERROR(__xludf.DUMMYFUNCTION("""COMPUTED_VALUE"""),"")</f>
        <v/>
      </c>
      <c r="Y292" s="109" t="str">
        <f>IFERROR(__xludf.DUMMYFUNCTION("""COMPUTED_VALUE"""),"")</f>
        <v/>
      </c>
      <c r="Z292" s="113" t="str">
        <f>IFERROR(__xludf.DUMMYFUNCTION("""COMPUTED_VALUE"""),"")</f>
        <v/>
      </c>
      <c r="AA292" s="113" t="str">
        <f>IFERROR(__xludf.DUMMYFUNCTION("""COMPUTED_VALUE"""),"")</f>
        <v/>
      </c>
      <c r="AB292" s="71"/>
    </row>
    <row r="293">
      <c r="A293" s="105">
        <f>IFERROR(__xludf.DUMMYFUNCTION("""COMPUTED_VALUE"""),45982.588823935184)</f>
        <v>45982.58882</v>
      </c>
      <c r="B293" s="71" t="str">
        <f>IFERROR(__xludf.DUMMYFUNCTION("""COMPUTED_VALUE"""),"Brynn Hornig")</f>
        <v>Brynn Hornig</v>
      </c>
      <c r="C293" s="71" t="b">
        <f>IFERROR(__xludf.DUMMYFUNCTION("""COMPUTED_VALUE"""),FALSE)</f>
        <v>0</v>
      </c>
      <c r="D293" s="132">
        <f>IFERROR(__xludf.DUMMYFUNCTION("""COMPUTED_VALUE"""),0.5520833333357587)</f>
        <v>0.5520833333</v>
      </c>
      <c r="E293" s="78">
        <f>IFERROR(__xludf.DUMMYFUNCTION("""COMPUTED_VALUE"""),0.03611111110512866)</f>
        <v>0.03611111111</v>
      </c>
      <c r="F293" s="132">
        <f>IFERROR(__xludf.DUMMYFUNCTION("""COMPUTED_VALUE"""),0.5881944444408873)</f>
        <v>0.5881944444</v>
      </c>
      <c r="G293" s="78">
        <f>IFERROR(__xludf.DUMMYFUNCTION("""COMPUTED_VALUE"""),0.03611111110512866)</f>
        <v>0.03611111111</v>
      </c>
      <c r="H293" s="110">
        <f>IFERROR(__xludf.DUMMYFUNCTION("""COMPUTED_VALUE"""),56.0)</f>
        <v>56</v>
      </c>
      <c r="I293" s="108">
        <f>IFERROR(__xludf.DUMMYFUNCTION("""COMPUTED_VALUE"""),64.61538462608931)</f>
        <v>64.61538463</v>
      </c>
      <c r="J293" s="71" t="str">
        <f>IFERROR(__xludf.DUMMYFUNCTION("""COMPUTED_VALUE"""),"Lunch")</f>
        <v>Lunch</v>
      </c>
      <c r="K293" s="106">
        <f>IFERROR(__xludf.DUMMYFUNCTION("""COMPUTED_VALUE"""),45982.0)</f>
        <v>45982</v>
      </c>
      <c r="L293" s="71" t="str">
        <f>IFERROR(__xludf.DUMMYFUNCTION("""COMPUTED_VALUE"""),"Friday")</f>
        <v>Friday</v>
      </c>
      <c r="M293" s="71" t="str">
        <f>IFERROR(__xludf.DUMMYFUNCTION("""COMPUTED_VALUE"""),"MF")</f>
        <v>MF</v>
      </c>
      <c r="N293" s="109">
        <f>IFERROR(__xludf.DUMMYFUNCTION("""COMPUTED_VALUE"""),1.3436667936492936)</f>
        <v>1.343666794</v>
      </c>
      <c r="O293" s="71" t="str">
        <f>IFERROR(__xludf.DUMMYFUNCTION("""COMPUTED_VALUE"""),"")</f>
        <v/>
      </c>
      <c r="P293" s="71" t="str">
        <f>IFERROR(__xludf.DUMMYFUNCTION("""COMPUTED_VALUE"""),"")</f>
        <v/>
      </c>
      <c r="Q293" s="78" t="str">
        <f>IFERROR(__xludf.DUMMYFUNCTION("""COMPUTED_VALUE"""),"")</f>
        <v/>
      </c>
      <c r="R293" s="78" t="str">
        <f>IFERROR(__xludf.DUMMYFUNCTION("""COMPUTED_VALUE"""),"")</f>
        <v/>
      </c>
      <c r="S293" s="61" t="str">
        <f>IFERROR(__xludf.DUMMYFUNCTION("""COMPUTED_VALUE"""),"")</f>
        <v/>
      </c>
      <c r="T293" s="61" t="str">
        <f>IFERROR(__xludf.DUMMYFUNCTION("""COMPUTED_VALUE"""),"")</f>
        <v/>
      </c>
      <c r="U293" s="133" t="str">
        <f>IFERROR(__xludf.DUMMYFUNCTION("""COMPUTED_VALUE"""),"")</f>
        <v/>
      </c>
      <c r="V293" s="78" t="str">
        <f>IFERROR(__xludf.DUMMYFUNCTION("""COMPUTED_VALUE"""),"")</f>
        <v/>
      </c>
      <c r="W293" s="62" t="str">
        <f>IFERROR(__xludf.DUMMYFUNCTION("""COMPUTED_VALUE"""),"")</f>
        <v/>
      </c>
      <c r="X293" s="62" t="str">
        <f>IFERROR(__xludf.DUMMYFUNCTION("""COMPUTED_VALUE"""),"")</f>
        <v/>
      </c>
      <c r="Y293" s="109" t="str">
        <f>IFERROR(__xludf.DUMMYFUNCTION("""COMPUTED_VALUE"""),"")</f>
        <v/>
      </c>
      <c r="Z293" s="113" t="str">
        <f>IFERROR(__xludf.DUMMYFUNCTION("""COMPUTED_VALUE"""),"")</f>
        <v/>
      </c>
      <c r="AA293" s="113" t="str">
        <f>IFERROR(__xludf.DUMMYFUNCTION("""COMPUTED_VALUE"""),"")</f>
        <v/>
      </c>
      <c r="AB293" s="71"/>
    </row>
    <row r="294">
      <c r="A294" s="105">
        <f>IFERROR(__xludf.DUMMYFUNCTION("""COMPUTED_VALUE"""),45982.59373574074)</f>
        <v>45982.59374</v>
      </c>
      <c r="B294" s="71" t="str">
        <f>IFERROR(__xludf.DUMMYFUNCTION("""COMPUTED_VALUE"""),"Greta Traynor")</f>
        <v>Greta Traynor</v>
      </c>
      <c r="C294" s="71" t="b">
        <f>IFERROR(__xludf.DUMMYFUNCTION("""COMPUTED_VALUE"""),FALSE)</f>
        <v>0</v>
      </c>
      <c r="D294" s="132">
        <f>IFERROR(__xludf.DUMMYFUNCTION("""COMPUTED_VALUE"""),0.5437499999970896)</f>
        <v>0.54375</v>
      </c>
      <c r="E294" s="78">
        <f>IFERROR(__xludf.DUMMYFUNCTION("""COMPUTED_VALUE"""),0.04722222222335404)</f>
        <v>0.04722222222</v>
      </c>
      <c r="F294" s="132">
        <f>IFERROR(__xludf.DUMMYFUNCTION("""COMPUTED_VALUE"""),0.5909722222204437)</f>
        <v>0.5909722222</v>
      </c>
      <c r="G294" s="78">
        <f>IFERROR(__xludf.DUMMYFUNCTION("""COMPUTED_VALUE"""),0.04722222222335404)</f>
        <v>0.04722222222</v>
      </c>
      <c r="H294" s="110">
        <f>IFERROR(__xludf.DUMMYFUNCTION("""COMPUTED_VALUE"""),62.0)</f>
        <v>62</v>
      </c>
      <c r="I294" s="108">
        <f>IFERROR(__xludf.DUMMYFUNCTION("""COMPUTED_VALUE"""),54.705882351629995)</f>
        <v>54.70588235</v>
      </c>
      <c r="J294" s="71" t="str">
        <f>IFERROR(__xludf.DUMMYFUNCTION("""COMPUTED_VALUE"""),"Lunch")</f>
        <v>Lunch</v>
      </c>
      <c r="K294" s="106">
        <f>IFERROR(__xludf.DUMMYFUNCTION("""COMPUTED_VALUE"""),45982.0)</f>
        <v>45982</v>
      </c>
      <c r="L294" s="71" t="str">
        <f>IFERROR(__xludf.DUMMYFUNCTION("""COMPUTED_VALUE"""),"Friday")</f>
        <v>Friday</v>
      </c>
      <c r="M294" s="71" t="str">
        <f>IFERROR(__xludf.DUMMYFUNCTION("""COMPUTED_VALUE"""),"BF")</f>
        <v>BF</v>
      </c>
      <c r="N294" s="109">
        <f>IFERROR(__xludf.DUMMYFUNCTION("""COMPUTED_VALUE"""),1.4088295221151717)</f>
        <v>1.408829522</v>
      </c>
      <c r="O294" s="71" t="str">
        <f>IFERROR(__xludf.DUMMYFUNCTION("""COMPUTED_VALUE"""),"")</f>
        <v/>
      </c>
      <c r="P294" s="71" t="str">
        <f>IFERROR(__xludf.DUMMYFUNCTION("""COMPUTED_VALUE"""),"")</f>
        <v/>
      </c>
      <c r="Q294" s="78" t="str">
        <f>IFERROR(__xludf.DUMMYFUNCTION("""COMPUTED_VALUE"""),"")</f>
        <v/>
      </c>
      <c r="R294" s="78" t="str">
        <f>IFERROR(__xludf.DUMMYFUNCTION("""COMPUTED_VALUE"""),"")</f>
        <v/>
      </c>
      <c r="S294" s="61" t="str">
        <f>IFERROR(__xludf.DUMMYFUNCTION("""COMPUTED_VALUE"""),"")</f>
        <v/>
      </c>
      <c r="T294" s="61" t="str">
        <f>IFERROR(__xludf.DUMMYFUNCTION("""COMPUTED_VALUE"""),"")</f>
        <v/>
      </c>
      <c r="U294" s="133" t="str">
        <f>IFERROR(__xludf.DUMMYFUNCTION("""COMPUTED_VALUE"""),"")</f>
        <v/>
      </c>
      <c r="V294" s="78" t="str">
        <f>IFERROR(__xludf.DUMMYFUNCTION("""COMPUTED_VALUE"""),"")</f>
        <v/>
      </c>
      <c r="W294" s="62" t="str">
        <f>IFERROR(__xludf.DUMMYFUNCTION("""COMPUTED_VALUE"""),"")</f>
        <v/>
      </c>
      <c r="X294" s="62" t="str">
        <f>IFERROR(__xludf.DUMMYFUNCTION("""COMPUTED_VALUE"""),"")</f>
        <v/>
      </c>
      <c r="Y294" s="109" t="str">
        <f>IFERROR(__xludf.DUMMYFUNCTION("""COMPUTED_VALUE"""),"")</f>
        <v/>
      </c>
      <c r="Z294" s="113" t="str">
        <f>IFERROR(__xludf.DUMMYFUNCTION("""COMPUTED_VALUE"""),"")</f>
        <v/>
      </c>
      <c r="AA294" s="113" t="str">
        <f>IFERROR(__xludf.DUMMYFUNCTION("""COMPUTED_VALUE"""),"")</f>
        <v/>
      </c>
      <c r="AB294" s="71"/>
    </row>
    <row r="295">
      <c r="A295" s="105">
        <f>IFERROR(__xludf.DUMMYFUNCTION("""COMPUTED_VALUE"""),45982.63323068287)</f>
        <v>45982.63323</v>
      </c>
      <c r="B295" s="71" t="str">
        <f>IFERROR(__xludf.DUMMYFUNCTION("""COMPUTED_VALUE"""),"Brynn Hornig")</f>
        <v>Brynn Hornig</v>
      </c>
      <c r="C295" s="71" t="b">
        <f>IFERROR(__xludf.DUMMYFUNCTION("""COMPUTED_VALUE"""),FALSE)</f>
        <v>0</v>
      </c>
      <c r="D295" s="132">
        <f>IFERROR(__xludf.DUMMYFUNCTION("""COMPUTED_VALUE"""),0.5881944444408873)</f>
        <v>0.5881944444</v>
      </c>
      <c r="E295" s="78">
        <f>IFERROR(__xludf.DUMMYFUNCTION("""COMPUTED_VALUE"""),0.04722222222335404)</f>
        <v>0.04722222222</v>
      </c>
      <c r="F295" s="132">
        <f>IFERROR(__xludf.DUMMYFUNCTION("""COMPUTED_VALUE"""),0.6354166666642413)</f>
        <v>0.6354166667</v>
      </c>
      <c r="G295" s="78">
        <f>IFERROR(__xludf.DUMMYFUNCTION("""COMPUTED_VALUE"""),0.04722222222335404)</f>
        <v>0.04722222222</v>
      </c>
      <c r="H295" s="110">
        <f>IFERROR(__xludf.DUMMYFUNCTION("""COMPUTED_VALUE"""),36.0)</f>
        <v>36</v>
      </c>
      <c r="I295" s="108">
        <f>IFERROR(__xludf.DUMMYFUNCTION("""COMPUTED_VALUE"""),31.76470588159161)</f>
        <v>31.76470588</v>
      </c>
      <c r="J295" s="71" t="str">
        <f>IFERROR(__xludf.DUMMYFUNCTION("""COMPUTED_VALUE"""),"Lunch")</f>
        <v>Lunch</v>
      </c>
      <c r="K295" s="106">
        <f>IFERROR(__xludf.DUMMYFUNCTION("""COMPUTED_VALUE"""),45982.0)</f>
        <v>45982</v>
      </c>
      <c r="L295" s="71" t="str">
        <f>IFERROR(__xludf.DUMMYFUNCTION("""COMPUTED_VALUE"""),"Friday")</f>
        <v>Friday</v>
      </c>
      <c r="M295" s="71" t="str">
        <f>IFERROR(__xludf.DUMMYFUNCTION("""COMPUTED_VALUE"""),"MF")</f>
        <v>MF</v>
      </c>
      <c r="N295" s="109">
        <f>IFERROR(__xludf.DUMMYFUNCTION("""COMPUTED_VALUE"""),0.660542079105693)</f>
        <v>0.6605420791</v>
      </c>
      <c r="O295" s="71" t="str">
        <f>IFERROR(__xludf.DUMMYFUNCTION("""COMPUTED_VALUE"""),"")</f>
        <v/>
      </c>
      <c r="P295" s="71" t="str">
        <f>IFERROR(__xludf.DUMMYFUNCTION("""COMPUTED_VALUE"""),"")</f>
        <v/>
      </c>
      <c r="Q295" s="78" t="str">
        <f>IFERROR(__xludf.DUMMYFUNCTION("""COMPUTED_VALUE"""),"")</f>
        <v/>
      </c>
      <c r="R295" s="78" t="str">
        <f>IFERROR(__xludf.DUMMYFUNCTION("""COMPUTED_VALUE"""),"")</f>
        <v/>
      </c>
      <c r="S295" s="61" t="str">
        <f>IFERROR(__xludf.DUMMYFUNCTION("""COMPUTED_VALUE"""),"")</f>
        <v/>
      </c>
      <c r="T295" s="61" t="str">
        <f>IFERROR(__xludf.DUMMYFUNCTION("""COMPUTED_VALUE"""),"")</f>
        <v/>
      </c>
      <c r="U295" s="133" t="str">
        <f>IFERROR(__xludf.DUMMYFUNCTION("""COMPUTED_VALUE"""),"")</f>
        <v/>
      </c>
      <c r="V295" s="78" t="str">
        <f>IFERROR(__xludf.DUMMYFUNCTION("""COMPUTED_VALUE"""),"")</f>
        <v/>
      </c>
      <c r="W295" s="62" t="str">
        <f>IFERROR(__xludf.DUMMYFUNCTION("""COMPUTED_VALUE"""),"")</f>
        <v/>
      </c>
      <c r="X295" s="62" t="str">
        <f>IFERROR(__xludf.DUMMYFUNCTION("""COMPUTED_VALUE"""),"")</f>
        <v/>
      </c>
      <c r="Y295" s="109" t="str">
        <f>IFERROR(__xludf.DUMMYFUNCTION("""COMPUTED_VALUE"""),"")</f>
        <v/>
      </c>
      <c r="Z295" s="113" t="str">
        <f>IFERROR(__xludf.DUMMYFUNCTION("""COMPUTED_VALUE"""),"")</f>
        <v/>
      </c>
      <c r="AA295" s="113" t="str">
        <f>IFERROR(__xludf.DUMMYFUNCTION("""COMPUTED_VALUE"""),"")</f>
        <v/>
      </c>
      <c r="AB295" s="71"/>
    </row>
    <row r="296">
      <c r="A296" s="105">
        <f>IFERROR(__xludf.DUMMYFUNCTION("""COMPUTED_VALUE"""),45982.75704182871)</f>
        <v>45982.75704</v>
      </c>
      <c r="B296" s="71" t="str">
        <f>IFERROR(__xludf.DUMMYFUNCTION("""COMPUTED_VALUE"""),"Emmett Khan")</f>
        <v>Emmett Khan</v>
      </c>
      <c r="C296" s="71" t="b">
        <f>IFERROR(__xludf.DUMMYFUNCTION("""COMPUTED_VALUE"""),FALSE)</f>
        <v>0</v>
      </c>
      <c r="D296" s="132">
        <f>IFERROR(__xludf.DUMMYFUNCTION("""COMPUTED_VALUE"""),0.6666666666642413)</f>
        <v>0.6666666667</v>
      </c>
      <c r="E296" s="78">
        <f>IFERROR(__xludf.DUMMYFUNCTION("""COMPUTED_VALUE"""),0.09375)</f>
        <v>0.09375</v>
      </c>
      <c r="F296" s="132">
        <f>IFERROR(__xludf.DUMMYFUNCTION("""COMPUTED_VALUE"""),0.7604166666642413)</f>
        <v>0.7604166667</v>
      </c>
      <c r="G296" s="78">
        <f>IFERROR(__xludf.DUMMYFUNCTION("""COMPUTED_VALUE"""),0.09375)</f>
        <v>0.09375</v>
      </c>
      <c r="H296" s="110">
        <f>IFERROR(__xludf.DUMMYFUNCTION("""COMPUTED_VALUE"""),156.0)</f>
        <v>156</v>
      </c>
      <c r="I296" s="108">
        <f>IFERROR(__xludf.DUMMYFUNCTION("""COMPUTED_VALUE"""),69.33333333333333)</f>
        <v>69.33333333</v>
      </c>
      <c r="J296" s="71" t="str">
        <f>IFERROR(__xludf.DUMMYFUNCTION("""COMPUTED_VALUE"""),"Dinner")</f>
        <v>Dinner</v>
      </c>
      <c r="K296" s="106">
        <f>IFERROR(__xludf.DUMMYFUNCTION("""COMPUTED_VALUE"""),45982.0)</f>
        <v>45982</v>
      </c>
      <c r="L296" s="71" t="str">
        <f>IFERROR(__xludf.DUMMYFUNCTION("""COMPUTED_VALUE"""),"Friday")</f>
        <v>Friday</v>
      </c>
      <c r="M296" s="71" t="str">
        <f>IFERROR(__xludf.DUMMYFUNCTION("""COMPUTED_VALUE"""),"MF")</f>
        <v>MF</v>
      </c>
      <c r="N296" s="109">
        <f>IFERROR(__xludf.DUMMYFUNCTION("""COMPUTED_VALUE"""),1.3662123734335831)</f>
        <v>1.366212373</v>
      </c>
      <c r="O296" s="71">
        <f>IFERROR(__xludf.DUMMYFUNCTION("""COMPUTED_VALUE"""),364.0)</f>
        <v>364</v>
      </c>
      <c r="P296" s="71">
        <f>IFERROR(__xludf.DUMMYFUNCTION("""COMPUTED_VALUE"""),62.0)</f>
        <v>62</v>
      </c>
      <c r="Q296" s="78">
        <f>IFERROR(__xludf.DUMMYFUNCTION("""COMPUTED_VALUE"""),0.24791666666715173)</f>
        <v>0.2479166667</v>
      </c>
      <c r="R296" s="78">
        <f>IFERROR(__xludf.DUMMYFUNCTION("""COMPUTED_VALUE"""),0.04722222222335404)</f>
        <v>0.04722222222</v>
      </c>
      <c r="S296" s="61">
        <f>IFERROR(__xludf.DUMMYFUNCTION("""COMPUTED_VALUE"""),58.48717948838032)</f>
        <v>58.48717949</v>
      </c>
      <c r="T296" s="61">
        <f>IFERROR(__xludf.DUMMYFUNCTION("""COMPUTED_VALUE"""),54.705882351629995)</f>
        <v>54.70588235</v>
      </c>
      <c r="U296" s="133">
        <f>IFERROR(__xludf.DUMMYFUNCTION("""COMPUTED_VALUE"""),426.0)</f>
        <v>426</v>
      </c>
      <c r="V296" s="78">
        <f>IFERROR(__xludf.DUMMYFUNCTION("""COMPUTED_VALUE"""),0.29513888889050577)</f>
        <v>0.2951388889</v>
      </c>
      <c r="W296" s="62">
        <f>IFERROR(__xludf.DUMMYFUNCTION("""COMPUTED_VALUE"""),60.14117647025876)</f>
        <v>60.14117647</v>
      </c>
      <c r="X296" s="62">
        <f>IFERROR(__xludf.DUMMYFUNCTION("""COMPUTED_VALUE"""),57.73092006103026)</f>
        <v>57.73092006</v>
      </c>
      <c r="Y296" s="109">
        <f>IFERROR(__xludf.DUMMYFUNCTION("""COMPUTED_VALUE"""),1.280592691230956)</f>
        <v>1.280592691</v>
      </c>
      <c r="Z296" s="113" t="str">
        <f>IFERROR(__xludf.DUMMYFUNCTION("""COMPUTED_VALUE"""),"")</f>
        <v/>
      </c>
      <c r="AA296" s="113" t="str">
        <f>IFERROR(__xludf.DUMMYFUNCTION("""COMPUTED_VALUE"""),"")</f>
        <v/>
      </c>
      <c r="AB296" s="71"/>
    </row>
    <row r="297">
      <c r="A297" s="105">
        <f>IFERROR(__xludf.DUMMYFUNCTION("""COMPUTED_VALUE"""),45985.5594359838)</f>
        <v>45985.55944</v>
      </c>
      <c r="B297" s="71" t="str">
        <f>IFERROR(__xludf.DUMMYFUNCTION("""COMPUTED_VALUE"""),"Orpheus Wilson")</f>
        <v>Orpheus Wilson</v>
      </c>
      <c r="C297" s="71" t="b">
        <f>IFERROR(__xludf.DUMMYFUNCTION("""COMPUTED_VALUE"""),FALSE)</f>
        <v>0</v>
      </c>
      <c r="D297" s="132">
        <f>IFERROR(__xludf.DUMMYFUNCTION("""COMPUTED_VALUE"""),0.4875000000029104)</f>
        <v>0.4875</v>
      </c>
      <c r="E297" s="78">
        <f>IFERROR(__xludf.DUMMYFUNCTION("""COMPUTED_VALUE"""),0.07152777777810115)</f>
        <v>0.07152777778</v>
      </c>
      <c r="F297" s="132">
        <f>IFERROR(__xludf.DUMMYFUNCTION("""COMPUTED_VALUE"""),0.5590277777810115)</f>
        <v>0.5590277778</v>
      </c>
      <c r="G297" s="78">
        <f>IFERROR(__xludf.DUMMYFUNCTION("""COMPUTED_VALUE"""),0.07152777777810115)</f>
        <v>0.07152777778</v>
      </c>
      <c r="H297" s="110">
        <f>IFERROR(__xludf.DUMMYFUNCTION("""COMPUTED_VALUE"""),96.0)</f>
        <v>96</v>
      </c>
      <c r="I297" s="108">
        <f>IFERROR(__xludf.DUMMYFUNCTION("""COMPUTED_VALUE"""),55.92233009683456)</f>
        <v>55.9223301</v>
      </c>
      <c r="J297" s="71" t="str">
        <f>IFERROR(__xludf.DUMMYFUNCTION("""COMPUTED_VALUE"""),"Lunch")</f>
        <v>Lunch</v>
      </c>
      <c r="K297" s="106">
        <f>IFERROR(__xludf.DUMMYFUNCTION("""COMPUTED_VALUE"""),45985.0)</f>
        <v>45985</v>
      </c>
      <c r="L297" s="71" t="str">
        <f>IFERROR(__xludf.DUMMYFUNCTION("""COMPUTED_VALUE"""),"Monday")</f>
        <v>Monday</v>
      </c>
      <c r="M297" s="71" t="str">
        <f>IFERROR(__xludf.DUMMYFUNCTION("""COMPUTED_VALUE"""),"MF")</f>
        <v>MF</v>
      </c>
      <c r="N297" s="109">
        <f>IFERROR(__xludf.DUMMYFUNCTION("""COMPUTED_VALUE"""),1.16289608750966)</f>
        <v>1.162896088</v>
      </c>
      <c r="O297" s="71" t="str">
        <f>IFERROR(__xludf.DUMMYFUNCTION("""COMPUTED_VALUE"""),"")</f>
        <v/>
      </c>
      <c r="P297" s="71" t="str">
        <f>IFERROR(__xludf.DUMMYFUNCTION("""COMPUTED_VALUE"""),"")</f>
        <v/>
      </c>
      <c r="Q297" s="78" t="str">
        <f>IFERROR(__xludf.DUMMYFUNCTION("""COMPUTED_VALUE"""),"")</f>
        <v/>
      </c>
      <c r="R297" s="78" t="str">
        <f>IFERROR(__xludf.DUMMYFUNCTION("""COMPUTED_VALUE"""),"")</f>
        <v/>
      </c>
      <c r="S297" s="61" t="str">
        <f>IFERROR(__xludf.DUMMYFUNCTION("""COMPUTED_VALUE"""),"")</f>
        <v/>
      </c>
      <c r="T297" s="61" t="str">
        <f>IFERROR(__xludf.DUMMYFUNCTION("""COMPUTED_VALUE"""),"")</f>
        <v/>
      </c>
      <c r="U297" s="133" t="str">
        <f>IFERROR(__xludf.DUMMYFUNCTION("""COMPUTED_VALUE"""),"")</f>
        <v/>
      </c>
      <c r="V297" s="78" t="str">
        <f>IFERROR(__xludf.DUMMYFUNCTION("""COMPUTED_VALUE"""),"")</f>
        <v/>
      </c>
      <c r="W297" s="62" t="str">
        <f>IFERROR(__xludf.DUMMYFUNCTION("""COMPUTED_VALUE"""),"")</f>
        <v/>
      </c>
      <c r="X297" s="62" t="str">
        <f>IFERROR(__xludf.DUMMYFUNCTION("""COMPUTED_VALUE"""),"")</f>
        <v/>
      </c>
      <c r="Y297" s="109" t="str">
        <f>IFERROR(__xludf.DUMMYFUNCTION("""COMPUTED_VALUE"""),"")</f>
        <v/>
      </c>
      <c r="Z297" s="113" t="str">
        <f>IFERROR(__xludf.DUMMYFUNCTION("""COMPUTED_VALUE"""),"")</f>
        <v/>
      </c>
      <c r="AA297" s="113" t="str">
        <f>IFERROR(__xludf.DUMMYFUNCTION("""COMPUTED_VALUE"""),"")</f>
        <v/>
      </c>
      <c r="AB297" s="71"/>
    </row>
    <row r="298">
      <c r="A298" s="105">
        <f>IFERROR(__xludf.DUMMYFUNCTION("""COMPUTED_VALUE"""),45985.632333263886)</f>
        <v>45985.63233</v>
      </c>
      <c r="B298" s="71" t="str">
        <f>IFERROR(__xludf.DUMMYFUNCTION("""COMPUTED_VALUE"""),"Greta Traynor")</f>
        <v>Greta Traynor</v>
      </c>
      <c r="C298" s="71" t="b">
        <f>IFERROR(__xludf.DUMMYFUNCTION("""COMPUTED_VALUE"""),FALSE)</f>
        <v>0</v>
      </c>
      <c r="D298" s="132">
        <f>IFERROR(__xludf.DUMMYFUNCTION("""COMPUTED_VALUE"""),0.5645833333328483)</f>
        <v>0.5645833333</v>
      </c>
      <c r="E298" s="78">
        <f>IFERROR(__xludf.DUMMYFUNCTION("""COMPUTED_VALUE"""),0.06805555555183673)</f>
        <v>0.06805555555</v>
      </c>
      <c r="F298" s="132">
        <f>IFERROR(__xludf.DUMMYFUNCTION("""COMPUTED_VALUE"""),0.632638888884685)</f>
        <v>0.6326388889</v>
      </c>
      <c r="G298" s="78">
        <f>IFERROR(__xludf.DUMMYFUNCTION("""COMPUTED_VALUE"""),0.06805555555183673)</f>
        <v>0.06805555555</v>
      </c>
      <c r="H298" s="110">
        <f>IFERROR(__xludf.DUMMYFUNCTION("""COMPUTED_VALUE"""),63.0)</f>
        <v>63</v>
      </c>
      <c r="I298" s="108">
        <f>IFERROR(__xludf.DUMMYFUNCTION("""COMPUTED_VALUE"""),38.57142857353627)</f>
        <v>38.57142857</v>
      </c>
      <c r="J298" s="71" t="str">
        <f>IFERROR(__xludf.DUMMYFUNCTION("""COMPUTED_VALUE"""),"Lunch")</f>
        <v>Lunch</v>
      </c>
      <c r="K298" s="106">
        <f>IFERROR(__xludf.DUMMYFUNCTION("""COMPUTED_VALUE"""),45985.0)</f>
        <v>45985</v>
      </c>
      <c r="L298" s="71" t="str">
        <f>IFERROR(__xludf.DUMMYFUNCTION("""COMPUTED_VALUE"""),"Monday")</f>
        <v>Monday</v>
      </c>
      <c r="M298" s="71" t="str">
        <f>IFERROR(__xludf.DUMMYFUNCTION("""COMPUTED_VALUE"""),"MF")</f>
        <v>MF</v>
      </c>
      <c r="N298" s="109">
        <f>IFERROR(__xludf.DUMMYFUNCTION("""COMPUTED_VALUE"""),0.8020868104056806)</f>
        <v>0.8020868104</v>
      </c>
      <c r="O298" s="71" t="str">
        <f>IFERROR(__xludf.DUMMYFUNCTION("""COMPUTED_VALUE"""),"")</f>
        <v/>
      </c>
      <c r="P298" s="71" t="str">
        <f>IFERROR(__xludf.DUMMYFUNCTION("""COMPUTED_VALUE"""),"")</f>
        <v/>
      </c>
      <c r="Q298" s="78" t="str">
        <f>IFERROR(__xludf.DUMMYFUNCTION("""COMPUTED_VALUE"""),"")</f>
        <v/>
      </c>
      <c r="R298" s="78" t="str">
        <f>IFERROR(__xludf.DUMMYFUNCTION("""COMPUTED_VALUE"""),"")</f>
        <v/>
      </c>
      <c r="S298" s="61" t="str">
        <f>IFERROR(__xludf.DUMMYFUNCTION("""COMPUTED_VALUE"""),"")</f>
        <v/>
      </c>
      <c r="T298" s="61" t="str">
        <f>IFERROR(__xludf.DUMMYFUNCTION("""COMPUTED_VALUE"""),"")</f>
        <v/>
      </c>
      <c r="U298" s="133" t="str">
        <f>IFERROR(__xludf.DUMMYFUNCTION("""COMPUTED_VALUE"""),"")</f>
        <v/>
      </c>
      <c r="V298" s="78" t="str">
        <f>IFERROR(__xludf.DUMMYFUNCTION("""COMPUTED_VALUE"""),"")</f>
        <v/>
      </c>
      <c r="W298" s="62" t="str">
        <f>IFERROR(__xludf.DUMMYFUNCTION("""COMPUTED_VALUE"""),"")</f>
        <v/>
      </c>
      <c r="X298" s="62" t="str">
        <f>IFERROR(__xludf.DUMMYFUNCTION("""COMPUTED_VALUE"""),"")</f>
        <v/>
      </c>
      <c r="Y298" s="109" t="str">
        <f>IFERROR(__xludf.DUMMYFUNCTION("""COMPUTED_VALUE"""),"")</f>
        <v/>
      </c>
      <c r="Z298" s="113" t="str">
        <f>IFERROR(__xludf.DUMMYFUNCTION("""COMPUTED_VALUE"""),"")</f>
        <v/>
      </c>
      <c r="AA298" s="113" t="str">
        <f>IFERROR(__xludf.DUMMYFUNCTION("""COMPUTED_VALUE"""),"")</f>
        <v/>
      </c>
      <c r="AB298" s="71"/>
    </row>
    <row r="299">
      <c r="A299" s="105">
        <f>IFERROR(__xludf.DUMMYFUNCTION("""COMPUTED_VALUE"""),45985.771401307866)</f>
        <v>45985.7714</v>
      </c>
      <c r="B299" s="71" t="str">
        <f>IFERROR(__xludf.DUMMYFUNCTION("""COMPUTED_VALUE"""),"Maureen Surgot")</f>
        <v>Maureen Surgot</v>
      </c>
      <c r="C299" s="71" t="b">
        <f>IFERROR(__xludf.DUMMYFUNCTION("""COMPUTED_VALUE"""),FALSE)</f>
        <v>0</v>
      </c>
      <c r="D299" s="132">
        <f>IFERROR(__xludf.DUMMYFUNCTION("""COMPUTED_VALUE"""),0.6666666666642413)</f>
        <v>0.6666666667</v>
      </c>
      <c r="E299" s="78">
        <f>IFERROR(__xludf.DUMMYFUNCTION("""COMPUTED_VALUE"""),0.1041666666715173)</f>
        <v>0.1041666667</v>
      </c>
      <c r="F299" s="132">
        <f>IFERROR(__xludf.DUMMYFUNCTION("""COMPUTED_VALUE"""),0.7708333333357587)</f>
        <v>0.7708333333</v>
      </c>
      <c r="G299" s="78">
        <f>IFERROR(__xludf.DUMMYFUNCTION("""COMPUTED_VALUE"""),0.1041666666715173)</f>
        <v>0.1041666667</v>
      </c>
      <c r="H299" s="110">
        <f>IFERROR(__xludf.DUMMYFUNCTION("""COMPUTED_VALUE"""),69.0)</f>
        <v>69</v>
      </c>
      <c r="I299" s="108">
        <f>IFERROR(__xludf.DUMMYFUNCTION("""COMPUTED_VALUE"""),27.599999998714775)</f>
        <v>27.6</v>
      </c>
      <c r="J299" s="71" t="str">
        <f>IFERROR(__xludf.DUMMYFUNCTION("""COMPUTED_VALUE"""),"Dinner")</f>
        <v>Dinner</v>
      </c>
      <c r="K299" s="106">
        <f>IFERROR(__xludf.DUMMYFUNCTION("""COMPUTED_VALUE"""),45985.0)</f>
        <v>45985</v>
      </c>
      <c r="L299" s="71" t="str">
        <f>IFERROR(__xludf.DUMMYFUNCTION("""COMPUTED_VALUE"""),"Monday")</f>
        <v>Monday</v>
      </c>
      <c r="M299" s="71" t="str">
        <f>IFERROR(__xludf.DUMMYFUNCTION("""COMPUTED_VALUE"""),"MF")</f>
        <v>MF</v>
      </c>
      <c r="N299" s="109">
        <f>IFERROR(__xludf.DUMMYFUNCTION("""COMPUTED_VALUE"""),0.5438576178607357)</f>
        <v>0.5438576179</v>
      </c>
      <c r="O299" s="71" t="str">
        <f>IFERROR(__xludf.DUMMYFUNCTION("""COMPUTED_VALUE"""),"")</f>
        <v/>
      </c>
      <c r="P299" s="71" t="str">
        <f>IFERROR(__xludf.DUMMYFUNCTION("""COMPUTED_VALUE"""),"")</f>
        <v/>
      </c>
      <c r="Q299" s="78" t="str">
        <f>IFERROR(__xludf.DUMMYFUNCTION("""COMPUTED_VALUE"""),"")</f>
        <v/>
      </c>
      <c r="R299" s="78" t="str">
        <f>IFERROR(__xludf.DUMMYFUNCTION("""COMPUTED_VALUE"""),"")</f>
        <v/>
      </c>
      <c r="S299" s="61" t="str">
        <f>IFERROR(__xludf.DUMMYFUNCTION("""COMPUTED_VALUE"""),"")</f>
        <v/>
      </c>
      <c r="T299" s="61" t="str">
        <f>IFERROR(__xludf.DUMMYFUNCTION("""COMPUTED_VALUE"""),"")</f>
        <v/>
      </c>
      <c r="U299" s="133" t="str">
        <f>IFERROR(__xludf.DUMMYFUNCTION("""COMPUTED_VALUE"""),"")</f>
        <v/>
      </c>
      <c r="V299" s="78" t="str">
        <f>IFERROR(__xludf.DUMMYFUNCTION("""COMPUTED_VALUE"""),"")</f>
        <v/>
      </c>
      <c r="W299" s="62" t="str">
        <f>IFERROR(__xludf.DUMMYFUNCTION("""COMPUTED_VALUE"""),"")</f>
        <v/>
      </c>
      <c r="X299" s="62" t="str">
        <f>IFERROR(__xludf.DUMMYFUNCTION("""COMPUTED_VALUE"""),"")</f>
        <v/>
      </c>
      <c r="Y299" s="109" t="str">
        <f>IFERROR(__xludf.DUMMYFUNCTION("""COMPUTED_VALUE"""),"")</f>
        <v/>
      </c>
      <c r="Z299" s="113" t="str">
        <f>IFERROR(__xludf.DUMMYFUNCTION("""COMPUTED_VALUE"""),"")</f>
        <v/>
      </c>
      <c r="AA299" s="113" t="str">
        <f>IFERROR(__xludf.DUMMYFUNCTION("""COMPUTED_VALUE"""),"")</f>
        <v/>
      </c>
      <c r="AB299" s="71"/>
    </row>
    <row r="300">
      <c r="A300" s="105">
        <f>IFERROR(__xludf.DUMMYFUNCTION("""COMPUTED_VALUE"""),45985.86131194445)</f>
        <v>45985.86131</v>
      </c>
      <c r="B300" s="71" t="str">
        <f>IFERROR(__xludf.DUMMYFUNCTION("""COMPUTED_VALUE"""),"Kaylie Forgue")</f>
        <v>Kaylie Forgue</v>
      </c>
      <c r="C300" s="71" t="b">
        <f>IFERROR(__xludf.DUMMYFUNCTION("""COMPUTED_VALUE"""),FALSE)</f>
        <v>0</v>
      </c>
      <c r="D300" s="132">
        <f>IFERROR(__xludf.DUMMYFUNCTION("""COMPUTED_VALUE"""),0.6833333333343035)</f>
        <v>0.6833333333</v>
      </c>
      <c r="E300" s="78">
        <f>IFERROR(__xludf.DUMMYFUNCTION("""COMPUTED_VALUE"""),0.17500000000291038)</f>
        <v>0.175</v>
      </c>
      <c r="F300" s="132">
        <f>IFERROR(__xludf.DUMMYFUNCTION("""COMPUTED_VALUE"""),0.8583333333372138)</f>
        <v>0.8583333333</v>
      </c>
      <c r="G300" s="78">
        <f>IFERROR(__xludf.DUMMYFUNCTION("""COMPUTED_VALUE"""),0.17500000000291038)</f>
        <v>0.175</v>
      </c>
      <c r="H300" s="110">
        <f>IFERROR(__xludf.DUMMYFUNCTION("""COMPUTED_VALUE"""),155.0)</f>
        <v>155</v>
      </c>
      <c r="I300" s="108">
        <f>IFERROR(__xludf.DUMMYFUNCTION("""COMPUTED_VALUE"""),36.90476190414815)</f>
        <v>36.9047619</v>
      </c>
      <c r="J300" s="71" t="str">
        <f>IFERROR(__xludf.DUMMYFUNCTION("""COMPUTED_VALUE"""),"Dinner")</f>
        <v>Dinner</v>
      </c>
      <c r="K300" s="106">
        <f>IFERROR(__xludf.DUMMYFUNCTION("""COMPUTED_VALUE"""),45985.0)</f>
        <v>45985</v>
      </c>
      <c r="L300" s="71" t="str">
        <f>IFERROR(__xludf.DUMMYFUNCTION("""COMPUTED_VALUE"""),"Monday")</f>
        <v>Monday</v>
      </c>
      <c r="M300" s="71" t="str">
        <f>IFERROR(__xludf.DUMMYFUNCTION("""COMPUTED_VALUE"""),"BF")</f>
        <v>BF</v>
      </c>
      <c r="N300" s="109">
        <f>IFERROR(__xludf.DUMMYFUNCTION("""COMPUTED_VALUE"""),0.8709400143052598)</f>
        <v>0.8709400143</v>
      </c>
      <c r="O300" s="71" t="str">
        <f>IFERROR(__xludf.DUMMYFUNCTION("""COMPUTED_VALUE"""),"")</f>
        <v/>
      </c>
      <c r="P300" s="71" t="str">
        <f>IFERROR(__xludf.DUMMYFUNCTION("""COMPUTED_VALUE"""),"")</f>
        <v/>
      </c>
      <c r="Q300" s="78" t="str">
        <f>IFERROR(__xludf.DUMMYFUNCTION("""COMPUTED_VALUE"""),"")</f>
        <v/>
      </c>
      <c r="R300" s="78" t="str">
        <f>IFERROR(__xludf.DUMMYFUNCTION("""COMPUTED_VALUE"""),"")</f>
        <v/>
      </c>
      <c r="S300" s="61" t="str">
        <f>IFERROR(__xludf.DUMMYFUNCTION("""COMPUTED_VALUE"""),"")</f>
        <v/>
      </c>
      <c r="T300" s="61" t="str">
        <f>IFERROR(__xludf.DUMMYFUNCTION("""COMPUTED_VALUE"""),"")</f>
        <v/>
      </c>
      <c r="U300" s="133" t="str">
        <f>IFERROR(__xludf.DUMMYFUNCTION("""COMPUTED_VALUE"""),"")</f>
        <v/>
      </c>
      <c r="V300" s="78" t="str">
        <f>IFERROR(__xludf.DUMMYFUNCTION("""COMPUTED_VALUE"""),"")</f>
        <v/>
      </c>
      <c r="W300" s="62" t="str">
        <f>IFERROR(__xludf.DUMMYFUNCTION("""COMPUTED_VALUE"""),"")</f>
        <v/>
      </c>
      <c r="X300" s="62" t="str">
        <f>IFERROR(__xludf.DUMMYFUNCTION("""COMPUTED_VALUE"""),"")</f>
        <v/>
      </c>
      <c r="Y300" s="109" t="str">
        <f>IFERROR(__xludf.DUMMYFUNCTION("""COMPUTED_VALUE"""),"")</f>
        <v/>
      </c>
      <c r="Z300" s="113" t="str">
        <f>IFERROR(__xludf.DUMMYFUNCTION("""COMPUTED_VALUE"""),"")</f>
        <v/>
      </c>
      <c r="AA300" s="113" t="str">
        <f>IFERROR(__xludf.DUMMYFUNCTION("""COMPUTED_VALUE"""),"")</f>
        <v/>
      </c>
      <c r="AB300" s="71"/>
    </row>
    <row r="301">
      <c r="A301" s="105">
        <f>IFERROR(__xludf.DUMMYFUNCTION("""COMPUTED_VALUE"""),45986.39349998842)</f>
        <v>45986.3935</v>
      </c>
      <c r="B301" s="71" t="str">
        <f>IFERROR(__xludf.DUMMYFUNCTION("""COMPUTED_VALUE"""),"Laila Maisuria")</f>
        <v>Laila Maisuria</v>
      </c>
      <c r="C301" s="71" t="b">
        <f>IFERROR(__xludf.DUMMYFUNCTION("""COMPUTED_VALUE"""),FALSE)</f>
        <v>0</v>
      </c>
      <c r="D301" s="132">
        <f>IFERROR(__xludf.DUMMYFUNCTION("""COMPUTED_VALUE"""),0.7701388888890506)</f>
        <v>0.7701388889</v>
      </c>
      <c r="E301" s="78">
        <f>IFERROR(__xludf.DUMMYFUNCTION("""COMPUTED_VALUE"""),0.09861111111240461)</f>
        <v>0.09861111111</v>
      </c>
      <c r="F301" s="132">
        <f>IFERROR(__xludf.DUMMYFUNCTION("""COMPUTED_VALUE"""),0.8687500000014552)</f>
        <v>0.86875</v>
      </c>
      <c r="G301" s="78">
        <f>IFERROR(__xludf.DUMMYFUNCTION("""COMPUTED_VALUE"""),0.09861111111240461)</f>
        <v>0.09861111111</v>
      </c>
      <c r="H301" s="110">
        <f>IFERROR(__xludf.DUMMYFUNCTION("""COMPUTED_VALUE"""),55.0)</f>
        <v>55</v>
      </c>
      <c r="I301" s="108">
        <f>IFERROR(__xludf.DUMMYFUNCTION("""COMPUTED_VALUE"""),23.239436619413475)</f>
        <v>23.23943662</v>
      </c>
      <c r="J301" s="71" t="str">
        <f>IFERROR(__xludf.DUMMYFUNCTION("""COMPUTED_VALUE"""),"Dinner")</f>
        <v>Dinner</v>
      </c>
      <c r="K301" s="106">
        <f>IFERROR(__xludf.DUMMYFUNCTION("""COMPUTED_VALUE"""),45985.0)</f>
        <v>45985</v>
      </c>
      <c r="L301" s="71" t="str">
        <f>IFERROR(__xludf.DUMMYFUNCTION("""COMPUTED_VALUE"""),"Monday")</f>
        <v>Monday</v>
      </c>
      <c r="M301" s="71" t="str">
        <f>IFERROR(__xludf.DUMMYFUNCTION("""COMPUTED_VALUE"""),"MF")</f>
        <v>MF</v>
      </c>
      <c r="N301" s="109">
        <f>IFERROR(__xludf.DUMMYFUNCTION("""COMPUTED_VALUE"""),0.45793277684232997)</f>
        <v>0.4579327768</v>
      </c>
      <c r="O301" s="71">
        <f>IFERROR(__xludf.DUMMYFUNCTION("""COMPUTED_VALUE"""),283.0)</f>
        <v>283</v>
      </c>
      <c r="P301" s="71">
        <f>IFERROR(__xludf.DUMMYFUNCTION("""COMPUTED_VALUE"""),155.0)</f>
        <v>155</v>
      </c>
      <c r="Q301" s="78">
        <f>IFERROR(__xludf.DUMMYFUNCTION("""COMPUTED_VALUE"""),0.3423611111138598)</f>
        <v>0.3423611111</v>
      </c>
      <c r="R301" s="78">
        <f>IFERROR(__xludf.DUMMYFUNCTION("""COMPUTED_VALUE"""),0.17500000000291038)</f>
        <v>0.175</v>
      </c>
      <c r="S301" s="61">
        <f>IFERROR(__xludf.DUMMYFUNCTION("""COMPUTED_VALUE"""),36.33329882212477)</f>
        <v>36.33329882</v>
      </c>
      <c r="T301" s="61">
        <f>IFERROR(__xludf.DUMMYFUNCTION("""COMPUTED_VALUE"""),36.90476190414815)</f>
        <v>36.9047619</v>
      </c>
      <c r="U301" s="133">
        <f>IFERROR(__xludf.DUMMYFUNCTION("""COMPUTED_VALUE"""),438.0)</f>
        <v>438</v>
      </c>
      <c r="V301" s="78">
        <f>IFERROR(__xludf.DUMMYFUNCTION("""COMPUTED_VALUE"""),0.5173611111167702)</f>
        <v>0.5173611111</v>
      </c>
      <c r="W301" s="62">
        <f>IFERROR(__xludf.DUMMYFUNCTION("""COMPUTED_VALUE"""),35.275167784849046)</f>
        <v>35.27516778</v>
      </c>
      <c r="X301" s="62">
        <f>IFERROR(__xludf.DUMMYFUNCTION("""COMPUTED_VALUE"""),36.44759143852944)</f>
        <v>36.44759144</v>
      </c>
      <c r="Y301" s="109">
        <f>IFERROR(__xludf.DUMMYFUNCTION("""COMPUTED_VALUE"""),0.7960318386638879)</f>
        <v>0.7960318387</v>
      </c>
      <c r="Z301" s="113" t="str">
        <f>IFERROR(__xludf.DUMMYFUNCTION("""COMPUTED_VALUE"""),"")</f>
        <v/>
      </c>
      <c r="AA301" s="113" t="str">
        <f>IFERROR(__xludf.DUMMYFUNCTION("""COMPUTED_VALUE"""),"")</f>
        <v/>
      </c>
      <c r="AB301" s="71"/>
    </row>
    <row r="302">
      <c r="A302" s="105">
        <f>IFERROR(__xludf.DUMMYFUNCTION("""COMPUTED_VALUE"""),45986.477140104165)</f>
        <v>45986.47714</v>
      </c>
      <c r="B302" s="71" t="str">
        <f>IFERROR(__xludf.DUMMYFUNCTION("""COMPUTED_VALUE"""),"Emmett Khan")</f>
        <v>Emmett Khan</v>
      </c>
      <c r="C302" s="71" t="b">
        <f>IFERROR(__xludf.DUMMYFUNCTION("""COMPUTED_VALUE"""),FALSE)</f>
        <v>0</v>
      </c>
      <c r="D302" s="132">
        <f>IFERROR(__xludf.DUMMYFUNCTION("""COMPUTED_VALUE"""),0.39583333333575865)</f>
        <v>0.3958333333</v>
      </c>
      <c r="E302" s="78">
        <f>IFERROR(__xludf.DUMMYFUNCTION("""COMPUTED_VALUE"""),0.0833333333284827)</f>
        <v>0.08333333333</v>
      </c>
      <c r="F302" s="132">
        <f>IFERROR(__xludf.DUMMYFUNCTION("""COMPUTED_VALUE"""),0.47916666666424135)</f>
        <v>0.4791666667</v>
      </c>
      <c r="G302" s="78">
        <f>IFERROR(__xludf.DUMMYFUNCTION("""COMPUTED_VALUE"""),0.0833333333284827)</f>
        <v>0.08333333333</v>
      </c>
      <c r="H302" s="110">
        <f>IFERROR(__xludf.DUMMYFUNCTION("""COMPUTED_VALUE"""),57.0)</f>
        <v>57</v>
      </c>
      <c r="I302" s="108">
        <f>IFERROR(__xludf.DUMMYFUNCTION("""COMPUTED_VALUE"""),28.50000000165892)</f>
        <v>28.5</v>
      </c>
      <c r="J302" s="71" t="str">
        <f>IFERROR(__xludf.DUMMYFUNCTION("""COMPUTED_VALUE"""),"Breakfast/Lunch")</f>
        <v>Breakfast/Lunch</v>
      </c>
      <c r="K302" s="106">
        <f>IFERROR(__xludf.DUMMYFUNCTION("""COMPUTED_VALUE"""),45986.0)</f>
        <v>45986</v>
      </c>
      <c r="L302" s="71" t="str">
        <f>IFERROR(__xludf.DUMMYFUNCTION("""COMPUTED_VALUE"""),"Tuesday")</f>
        <v>Tuesday</v>
      </c>
      <c r="M302" s="71" t="str">
        <f>IFERROR(__xludf.DUMMYFUNCTION("""COMPUTED_VALUE"""),"BF")</f>
        <v>BF</v>
      </c>
      <c r="N302" s="109">
        <f>IFERROR(__xludf.DUMMYFUNCTION("""COMPUTED_VALUE"""),0.5005021160200556)</f>
        <v>0.500502116</v>
      </c>
      <c r="O302" s="71" t="str">
        <f>IFERROR(__xludf.DUMMYFUNCTION("""COMPUTED_VALUE"""),"")</f>
        <v/>
      </c>
      <c r="P302" s="71" t="str">
        <f>IFERROR(__xludf.DUMMYFUNCTION("""COMPUTED_VALUE"""),"")</f>
        <v/>
      </c>
      <c r="Q302" s="78" t="str">
        <f>IFERROR(__xludf.DUMMYFUNCTION("""COMPUTED_VALUE"""),"")</f>
        <v/>
      </c>
      <c r="R302" s="78" t="str">
        <f>IFERROR(__xludf.DUMMYFUNCTION("""COMPUTED_VALUE"""),"")</f>
        <v/>
      </c>
      <c r="S302" s="61" t="str">
        <f>IFERROR(__xludf.DUMMYFUNCTION("""COMPUTED_VALUE"""),"")</f>
        <v/>
      </c>
      <c r="T302" s="61" t="str">
        <f>IFERROR(__xludf.DUMMYFUNCTION("""COMPUTED_VALUE"""),"")</f>
        <v/>
      </c>
      <c r="U302" s="133" t="str">
        <f>IFERROR(__xludf.DUMMYFUNCTION("""COMPUTED_VALUE"""),"")</f>
        <v/>
      </c>
      <c r="V302" s="78" t="str">
        <f>IFERROR(__xludf.DUMMYFUNCTION("""COMPUTED_VALUE"""),"")</f>
        <v/>
      </c>
      <c r="W302" s="62" t="str">
        <f>IFERROR(__xludf.DUMMYFUNCTION("""COMPUTED_VALUE"""),"")</f>
        <v/>
      </c>
      <c r="X302" s="62" t="str">
        <f>IFERROR(__xludf.DUMMYFUNCTION("""COMPUTED_VALUE"""),"")</f>
        <v/>
      </c>
      <c r="Y302" s="109" t="str">
        <f>IFERROR(__xludf.DUMMYFUNCTION("""COMPUTED_VALUE"""),"")</f>
        <v/>
      </c>
      <c r="Z302" s="113" t="str">
        <f>IFERROR(__xludf.DUMMYFUNCTION("""COMPUTED_VALUE"""),"")</f>
        <v/>
      </c>
      <c r="AA302" s="113" t="str">
        <f>IFERROR(__xludf.DUMMYFUNCTION("""COMPUTED_VALUE"""),"")</f>
        <v/>
      </c>
      <c r="AB302" s="71"/>
    </row>
    <row r="303">
      <c r="A303" s="105">
        <f>IFERROR(__xludf.DUMMYFUNCTION("""COMPUTED_VALUE"""),45986.637574583336)</f>
        <v>45986.63757</v>
      </c>
      <c r="B303" s="71" t="str">
        <f>IFERROR(__xludf.DUMMYFUNCTION("""COMPUTED_VALUE"""),"Kaylie Forgue")</f>
        <v>Kaylie Forgue</v>
      </c>
      <c r="C303" s="71" t="b">
        <f>IFERROR(__xludf.DUMMYFUNCTION("""COMPUTED_VALUE"""),FALSE)</f>
        <v>0</v>
      </c>
      <c r="D303" s="132">
        <f>IFERROR(__xludf.DUMMYFUNCTION("""COMPUTED_VALUE"""),0.47777777777810115)</f>
        <v>0.4777777778</v>
      </c>
      <c r="E303" s="78">
        <f>IFERROR(__xludf.DUMMYFUNCTION("""COMPUTED_VALUE"""),0.15138888888759539)</f>
        <v>0.1513888889</v>
      </c>
      <c r="F303" s="132">
        <f>IFERROR(__xludf.DUMMYFUNCTION("""COMPUTED_VALUE"""),0.6291666666656965)</f>
        <v>0.6291666667</v>
      </c>
      <c r="G303" s="78">
        <f>IFERROR(__xludf.DUMMYFUNCTION("""COMPUTED_VALUE"""),0.15138888888759539)</f>
        <v>0.1513888889</v>
      </c>
      <c r="H303" s="110">
        <f>IFERROR(__xludf.DUMMYFUNCTION("""COMPUTED_VALUE"""),158.0)</f>
        <v>158</v>
      </c>
      <c r="I303" s="108">
        <f>IFERROR(__xludf.DUMMYFUNCTION("""COMPUTED_VALUE"""),43.48623853248165)</f>
        <v>43.48623853</v>
      </c>
      <c r="J303" s="71" t="str">
        <f>IFERROR(__xludf.DUMMYFUNCTION("""COMPUTED_VALUE"""),"Lunch")</f>
        <v>Lunch</v>
      </c>
      <c r="K303" s="106">
        <f>IFERROR(__xludf.DUMMYFUNCTION("""COMPUTED_VALUE"""),45986.0)</f>
        <v>45986</v>
      </c>
      <c r="L303" s="71" t="str">
        <f>IFERROR(__xludf.DUMMYFUNCTION("""COMPUTED_VALUE"""),"Tuesday")</f>
        <v>Tuesday</v>
      </c>
      <c r="M303" s="71" t="str">
        <f>IFERROR(__xludf.DUMMYFUNCTION("""COMPUTED_VALUE"""),"MF")</f>
        <v>MF</v>
      </c>
      <c r="N303" s="109">
        <f>IFERROR(__xludf.DUMMYFUNCTION("""COMPUTED_VALUE"""),0.9042895130150738)</f>
        <v>0.904289513</v>
      </c>
      <c r="O303" s="71" t="str">
        <f>IFERROR(__xludf.DUMMYFUNCTION("""COMPUTED_VALUE"""),"")</f>
        <v/>
      </c>
      <c r="P303" s="71" t="str">
        <f>IFERROR(__xludf.DUMMYFUNCTION("""COMPUTED_VALUE"""),"")</f>
        <v/>
      </c>
      <c r="Q303" s="78" t="str">
        <f>IFERROR(__xludf.DUMMYFUNCTION("""COMPUTED_VALUE"""),"")</f>
        <v/>
      </c>
      <c r="R303" s="78" t="str">
        <f>IFERROR(__xludf.DUMMYFUNCTION("""COMPUTED_VALUE"""),"")</f>
        <v/>
      </c>
      <c r="S303" s="61" t="str">
        <f>IFERROR(__xludf.DUMMYFUNCTION("""COMPUTED_VALUE"""),"")</f>
        <v/>
      </c>
      <c r="T303" s="61" t="str">
        <f>IFERROR(__xludf.DUMMYFUNCTION("""COMPUTED_VALUE"""),"")</f>
        <v/>
      </c>
      <c r="U303" s="133" t="str">
        <f>IFERROR(__xludf.DUMMYFUNCTION("""COMPUTED_VALUE"""),"")</f>
        <v/>
      </c>
      <c r="V303" s="78" t="str">
        <f>IFERROR(__xludf.DUMMYFUNCTION("""COMPUTED_VALUE"""),"")</f>
        <v/>
      </c>
      <c r="W303" s="62" t="str">
        <f>IFERROR(__xludf.DUMMYFUNCTION("""COMPUTED_VALUE"""),"")</f>
        <v/>
      </c>
      <c r="X303" s="62" t="str">
        <f>IFERROR(__xludf.DUMMYFUNCTION("""COMPUTED_VALUE"""),"")</f>
        <v/>
      </c>
      <c r="Y303" s="109" t="str">
        <f>IFERROR(__xludf.DUMMYFUNCTION("""COMPUTED_VALUE"""),"")</f>
        <v/>
      </c>
      <c r="Z303" s="113" t="str">
        <f>IFERROR(__xludf.DUMMYFUNCTION("""COMPUTED_VALUE"""),"")</f>
        <v/>
      </c>
      <c r="AA303" s="113" t="str">
        <f>IFERROR(__xludf.DUMMYFUNCTION("""COMPUTED_VALUE"""),"")</f>
        <v/>
      </c>
      <c r="AB303" s="71"/>
    </row>
    <row r="304">
      <c r="A304" s="105">
        <f>IFERROR(__xludf.DUMMYFUNCTION("""COMPUTED_VALUE"""),45986.790231446765)</f>
        <v>45986.79023</v>
      </c>
      <c r="B304" s="71" t="str">
        <f>IFERROR(__xludf.DUMMYFUNCTION("""COMPUTED_VALUE"""),"Kyra Turner")</f>
        <v>Kyra Turner</v>
      </c>
      <c r="C304" s="71" t="b">
        <f>IFERROR(__xludf.DUMMYFUNCTION("""COMPUTED_VALUE"""),FALSE)</f>
        <v>0</v>
      </c>
      <c r="D304" s="132">
        <f>IFERROR(__xludf.DUMMYFUNCTION("""COMPUTED_VALUE"""),0.6875)</f>
        <v>0.6875</v>
      </c>
      <c r="E304" s="78">
        <f>IFERROR(__xludf.DUMMYFUNCTION("""COMPUTED_VALUE"""),0.10208333333139308)</f>
        <v>0.1020833333</v>
      </c>
      <c r="F304" s="132">
        <f>IFERROR(__xludf.DUMMYFUNCTION("""COMPUTED_VALUE"""),0.7895833333313931)</f>
        <v>0.7895833333</v>
      </c>
      <c r="G304" s="78">
        <f>IFERROR(__xludf.DUMMYFUNCTION("""COMPUTED_VALUE"""),0.10208333333139308)</f>
        <v>0.1020833333</v>
      </c>
      <c r="H304" s="110">
        <f>IFERROR(__xludf.DUMMYFUNCTION("""COMPUTED_VALUE"""),21.0)</f>
        <v>21</v>
      </c>
      <c r="I304" s="108">
        <f>IFERROR(__xludf.DUMMYFUNCTION("""COMPUTED_VALUE"""),8.571428571591484)</f>
        <v>8.571428572</v>
      </c>
      <c r="J304" s="71" t="str">
        <f>IFERROR(__xludf.DUMMYFUNCTION("""COMPUTED_VALUE"""),"Dinner")</f>
        <v>Dinner</v>
      </c>
      <c r="K304" s="106">
        <f>IFERROR(__xludf.DUMMYFUNCTION("""COMPUTED_VALUE"""),45986.0)</f>
        <v>45986</v>
      </c>
      <c r="L304" s="71" t="str">
        <f>IFERROR(__xludf.DUMMYFUNCTION("""COMPUTED_VALUE"""),"Tuesday")</f>
        <v>Tuesday</v>
      </c>
      <c r="M304" s="71" t="str">
        <f>IFERROR(__xludf.DUMMYFUNCTION("""COMPUTED_VALUE"""),"BF")</f>
        <v>BF</v>
      </c>
      <c r="N304" s="109">
        <f>IFERROR(__xludf.DUMMYFUNCTION("""COMPUTED_VALUE"""),0.20228284203939817)</f>
        <v>0.202282842</v>
      </c>
      <c r="O304" s="71">
        <f>IFERROR(__xludf.DUMMYFUNCTION("""COMPUTED_VALUE"""),158.0)</f>
        <v>158</v>
      </c>
      <c r="P304" s="71">
        <f>IFERROR(__xludf.DUMMYFUNCTION("""COMPUTED_VALUE"""),78.0)</f>
        <v>78</v>
      </c>
      <c r="Q304" s="78">
        <f>IFERROR(__xludf.DUMMYFUNCTION("""COMPUTED_VALUE"""),0.15138888888759539)</f>
        <v>0.1513888889</v>
      </c>
      <c r="R304" s="78">
        <f>IFERROR(__xludf.DUMMYFUNCTION("""COMPUTED_VALUE"""),0.18541666665987577)</f>
        <v>0.1854166667</v>
      </c>
      <c r="S304" s="61">
        <f>IFERROR(__xludf.DUMMYFUNCTION("""COMPUTED_VALUE"""),43.48623853248165)</f>
        <v>43.48623853</v>
      </c>
      <c r="T304" s="61">
        <f>IFERROR(__xludf.DUMMYFUNCTION("""COMPUTED_VALUE"""),18.5357142866252)</f>
        <v>18.53571429</v>
      </c>
      <c r="U304" s="133">
        <f>IFERROR(__xludf.DUMMYFUNCTION("""COMPUTED_VALUE"""),236.0)</f>
        <v>236</v>
      </c>
      <c r="V304" s="78">
        <f>IFERROR(__xludf.DUMMYFUNCTION("""COMPUTED_VALUE"""),0.33680555554747116)</f>
        <v>0.3368055555</v>
      </c>
      <c r="W304" s="62">
        <f>IFERROR(__xludf.DUMMYFUNCTION("""COMPUTED_VALUE"""),29.195876289360587)</f>
        <v>29.19587629</v>
      </c>
      <c r="X304" s="62">
        <f>IFERROR(__xludf.DUMMYFUNCTION("""COMPUTED_VALUE"""),26.852555701910685)</f>
        <v>26.8525557</v>
      </c>
      <c r="Y304" s="109">
        <f>IFERROR(__xludf.DUMMYFUNCTION("""COMPUTED_VALUE"""),0.5536061200048765)</f>
        <v>0.55360612</v>
      </c>
      <c r="Z304" s="113" t="str">
        <f>IFERROR(__xludf.DUMMYFUNCTION("""COMPUTED_VALUE"""),"")</f>
        <v/>
      </c>
      <c r="AA304" s="113" t="str">
        <f>IFERROR(__xludf.DUMMYFUNCTION("""COMPUTED_VALUE"""),"")</f>
        <v/>
      </c>
      <c r="AB304" s="71"/>
    </row>
    <row r="305">
      <c r="A305" s="105">
        <f>IFERROR(__xludf.DUMMYFUNCTION("""COMPUTED_VALUE"""),45992.49950497685)</f>
        <v>45992.4995</v>
      </c>
      <c r="B305" s="71" t="str">
        <f>IFERROR(__xludf.DUMMYFUNCTION("""COMPUTED_VALUE"""),"Oluwatimilehin Shodipe")</f>
        <v>Oluwatimilehin Shodipe</v>
      </c>
      <c r="C305" s="71" t="b">
        <f>IFERROR(__xludf.DUMMYFUNCTION("""COMPUTED_VALUE"""),FALSE)</f>
        <v>0</v>
      </c>
      <c r="D305" s="132">
        <f>IFERROR(__xludf.DUMMYFUNCTION("""COMPUTED_VALUE"""),0.4381944444467081)</f>
        <v>0.4381944444</v>
      </c>
      <c r="E305" s="78">
        <f>IFERROR(__xludf.DUMMYFUNCTION("""COMPUTED_VALUE"""),0.061805555553291924)</f>
        <v>0.06180555555</v>
      </c>
      <c r="F305" s="132">
        <f>IFERROR(__xludf.DUMMYFUNCTION("""COMPUTED_VALUE"""),0.5)</f>
        <v>0.5</v>
      </c>
      <c r="G305" s="78">
        <f>IFERROR(__xludf.DUMMYFUNCTION("""COMPUTED_VALUE"""),0.061805555553291924)</f>
        <v>0.06180555555</v>
      </c>
      <c r="H305" s="110">
        <f>IFERROR(__xludf.DUMMYFUNCTION("""COMPUTED_VALUE"""),98.0)</f>
        <v>98</v>
      </c>
      <c r="I305" s="108">
        <f>IFERROR(__xludf.DUMMYFUNCTION("""COMPUTED_VALUE"""),66.0674157327568)</f>
        <v>66.06741573</v>
      </c>
      <c r="J305" s="71" t="str">
        <f>IFERROR(__xludf.DUMMYFUNCTION("""COMPUTED_VALUE"""),"Breakfast/Lunch")</f>
        <v>Breakfast/Lunch</v>
      </c>
      <c r="K305" s="106">
        <f>IFERROR(__xludf.DUMMYFUNCTION("""COMPUTED_VALUE"""),45992.0)</f>
        <v>45992</v>
      </c>
      <c r="L305" s="71" t="str">
        <f>IFERROR(__xludf.DUMMYFUNCTION("""COMPUTED_VALUE"""),"Monday")</f>
        <v>Monday</v>
      </c>
      <c r="M305" s="71" t="str">
        <f>IFERROR(__xludf.DUMMYFUNCTION("""COMPUTED_VALUE"""),"BF")</f>
        <v>BF</v>
      </c>
      <c r="N305" s="109">
        <f>IFERROR(__xludf.DUMMYFUNCTION("""COMPUTED_VALUE"""),1.160241451659535)</f>
        <v>1.160241452</v>
      </c>
      <c r="O305" s="71" t="str">
        <f>IFERROR(__xludf.DUMMYFUNCTION("""COMPUTED_VALUE"""),"")</f>
        <v/>
      </c>
      <c r="P305" s="71" t="str">
        <f>IFERROR(__xludf.DUMMYFUNCTION("""COMPUTED_VALUE"""),"")</f>
        <v/>
      </c>
      <c r="Q305" s="78" t="str">
        <f>IFERROR(__xludf.DUMMYFUNCTION("""COMPUTED_VALUE"""),"")</f>
        <v/>
      </c>
      <c r="R305" s="78" t="str">
        <f>IFERROR(__xludf.DUMMYFUNCTION("""COMPUTED_VALUE"""),"")</f>
        <v/>
      </c>
      <c r="S305" s="61" t="str">
        <f>IFERROR(__xludf.DUMMYFUNCTION("""COMPUTED_VALUE"""),"")</f>
        <v/>
      </c>
      <c r="T305" s="61" t="str">
        <f>IFERROR(__xludf.DUMMYFUNCTION("""COMPUTED_VALUE"""),"")</f>
        <v/>
      </c>
      <c r="U305" s="133" t="str">
        <f>IFERROR(__xludf.DUMMYFUNCTION("""COMPUTED_VALUE"""),"")</f>
        <v/>
      </c>
      <c r="V305" s="78" t="str">
        <f>IFERROR(__xludf.DUMMYFUNCTION("""COMPUTED_VALUE"""),"")</f>
        <v/>
      </c>
      <c r="W305" s="62" t="str">
        <f>IFERROR(__xludf.DUMMYFUNCTION("""COMPUTED_VALUE"""),"")</f>
        <v/>
      </c>
      <c r="X305" s="62" t="str">
        <f>IFERROR(__xludf.DUMMYFUNCTION("""COMPUTED_VALUE"""),"")</f>
        <v/>
      </c>
      <c r="Y305" s="109" t="str">
        <f>IFERROR(__xludf.DUMMYFUNCTION("""COMPUTED_VALUE"""),"")</f>
        <v/>
      </c>
      <c r="Z305" s="113" t="str">
        <f>IFERROR(__xludf.DUMMYFUNCTION("""COMPUTED_VALUE"""),"")</f>
        <v/>
      </c>
      <c r="AA305" s="113" t="str">
        <f>IFERROR(__xludf.DUMMYFUNCTION("""COMPUTED_VALUE"""),"")</f>
        <v/>
      </c>
      <c r="AB305" s="71"/>
    </row>
    <row r="306">
      <c r="A306" s="105">
        <f>IFERROR(__xludf.DUMMYFUNCTION("""COMPUTED_VALUE"""),45992.56567916667)</f>
        <v>45992.56568</v>
      </c>
      <c r="B306" s="71" t="str">
        <f>IFERROR(__xludf.DUMMYFUNCTION("""COMPUTED_VALUE"""),"Orpheus Wilson")</f>
        <v>Orpheus Wilson</v>
      </c>
      <c r="C306" s="71" t="b">
        <f>IFERROR(__xludf.DUMMYFUNCTION("""COMPUTED_VALUE"""),FALSE)</f>
        <v>0</v>
      </c>
      <c r="D306" s="132">
        <f>IFERROR(__xludf.DUMMYFUNCTION("""COMPUTED_VALUE"""),0.47916666666424135)</f>
        <v>0.4791666667</v>
      </c>
      <c r="E306" s="78">
        <f>IFERROR(__xludf.DUMMYFUNCTION("""COMPUTED_VALUE"""),0.08125000000291038)</f>
        <v>0.08125</v>
      </c>
      <c r="F306" s="132">
        <f>IFERROR(__xludf.DUMMYFUNCTION("""COMPUTED_VALUE"""),0.5604166666671517)</f>
        <v>0.5604166667</v>
      </c>
      <c r="G306" s="78">
        <f>IFERROR(__xludf.DUMMYFUNCTION("""COMPUTED_VALUE"""),0.08125000000291038)</f>
        <v>0.08125</v>
      </c>
      <c r="H306" s="110">
        <f>IFERROR(__xludf.DUMMYFUNCTION("""COMPUTED_VALUE"""),145.0)</f>
        <v>145</v>
      </c>
      <c r="I306" s="108">
        <f>IFERROR(__xludf.DUMMYFUNCTION("""COMPUTED_VALUE"""),74.35897435631081)</f>
        <v>74.35897436</v>
      </c>
      <c r="J306" s="71" t="str">
        <f>IFERROR(__xludf.DUMMYFUNCTION("""COMPUTED_VALUE"""),"Lunch")</f>
        <v>Lunch</v>
      </c>
      <c r="K306" s="106">
        <f>IFERROR(__xludf.DUMMYFUNCTION("""COMPUTED_VALUE"""),45992.0)</f>
        <v>45992</v>
      </c>
      <c r="L306" s="71" t="str">
        <f>IFERROR(__xludf.DUMMYFUNCTION("""COMPUTED_VALUE"""),"Monday")</f>
        <v>Monday</v>
      </c>
      <c r="M306" s="71" t="str">
        <f>IFERROR(__xludf.DUMMYFUNCTION("""COMPUTED_VALUE"""),"MF")</f>
        <v>MF</v>
      </c>
      <c r="N306" s="109">
        <f>IFERROR(__xludf.DUMMYFUNCTION("""COMPUTED_VALUE"""),1.5462832146023122)</f>
        <v>1.546283215</v>
      </c>
      <c r="O306" s="71" t="str">
        <f>IFERROR(__xludf.DUMMYFUNCTION("""COMPUTED_VALUE"""),"")</f>
        <v/>
      </c>
      <c r="P306" s="71" t="str">
        <f>IFERROR(__xludf.DUMMYFUNCTION("""COMPUTED_VALUE"""),"")</f>
        <v/>
      </c>
      <c r="Q306" s="78" t="str">
        <f>IFERROR(__xludf.DUMMYFUNCTION("""COMPUTED_VALUE"""),"")</f>
        <v/>
      </c>
      <c r="R306" s="78" t="str">
        <f>IFERROR(__xludf.DUMMYFUNCTION("""COMPUTED_VALUE"""),"")</f>
        <v/>
      </c>
      <c r="S306" s="61" t="str">
        <f>IFERROR(__xludf.DUMMYFUNCTION("""COMPUTED_VALUE"""),"")</f>
        <v/>
      </c>
      <c r="T306" s="61" t="str">
        <f>IFERROR(__xludf.DUMMYFUNCTION("""COMPUTED_VALUE"""),"")</f>
        <v/>
      </c>
      <c r="U306" s="133" t="str">
        <f>IFERROR(__xludf.DUMMYFUNCTION("""COMPUTED_VALUE"""),"")</f>
        <v/>
      </c>
      <c r="V306" s="78" t="str">
        <f>IFERROR(__xludf.DUMMYFUNCTION("""COMPUTED_VALUE"""),"")</f>
        <v/>
      </c>
      <c r="W306" s="62" t="str">
        <f>IFERROR(__xludf.DUMMYFUNCTION("""COMPUTED_VALUE"""),"")</f>
        <v/>
      </c>
      <c r="X306" s="62" t="str">
        <f>IFERROR(__xludf.DUMMYFUNCTION("""COMPUTED_VALUE"""),"")</f>
        <v/>
      </c>
      <c r="Y306" s="109" t="str">
        <f>IFERROR(__xludf.DUMMYFUNCTION("""COMPUTED_VALUE"""),"")</f>
        <v/>
      </c>
      <c r="Z306" s="113" t="str">
        <f>IFERROR(__xludf.DUMMYFUNCTION("""COMPUTED_VALUE"""),"")</f>
        <v/>
      </c>
      <c r="AA306" s="113" t="str">
        <f>IFERROR(__xludf.DUMMYFUNCTION("""COMPUTED_VALUE"""),"")</f>
        <v/>
      </c>
      <c r="AB306" s="71"/>
    </row>
    <row r="307">
      <c r="A307" s="105">
        <f>IFERROR(__xludf.DUMMYFUNCTION("""COMPUTED_VALUE"""),45992.63332143518)</f>
        <v>45992.63332</v>
      </c>
      <c r="B307" s="71" t="str">
        <f>IFERROR(__xludf.DUMMYFUNCTION("""COMPUTED_VALUE"""),"Oluwatimilehin Shodipe")</f>
        <v>Oluwatimilehin Shodipe</v>
      </c>
      <c r="C307" s="71" t="b">
        <f>IFERROR(__xludf.DUMMYFUNCTION("""COMPUTED_VALUE"""),FALSE)</f>
        <v>0</v>
      </c>
      <c r="D307" s="132">
        <f>IFERROR(__xludf.DUMMYFUNCTION("""COMPUTED_VALUE"""),0.5625)</f>
        <v>0.5625</v>
      </c>
      <c r="E307" s="78">
        <f>IFERROR(__xludf.DUMMYFUNCTION("""COMPUTED_VALUE"""),0.07291666666666663)</f>
        <v>0.07291666667</v>
      </c>
      <c r="F307" s="132">
        <f>IFERROR(__xludf.DUMMYFUNCTION("""COMPUTED_VALUE"""),0.6354166666666666)</f>
        <v>0.6354166667</v>
      </c>
      <c r="G307" s="78">
        <f>IFERROR(__xludf.DUMMYFUNCTION("""COMPUTED_VALUE"""),0.07291666666666663)</f>
        <v>0.07291666667</v>
      </c>
      <c r="H307" s="110">
        <f>IFERROR(__xludf.DUMMYFUNCTION("""COMPUTED_VALUE"""),107.0)</f>
        <v>107</v>
      </c>
      <c r="I307" s="108">
        <f>IFERROR(__xludf.DUMMYFUNCTION("""COMPUTED_VALUE"""),61.142857142857174)</f>
        <v>61.14285714</v>
      </c>
      <c r="J307" s="71" t="str">
        <f>IFERROR(__xludf.DUMMYFUNCTION("""COMPUTED_VALUE"""),"Lunch")</f>
        <v>Lunch</v>
      </c>
      <c r="K307" s="106">
        <f>IFERROR(__xludf.DUMMYFUNCTION("""COMPUTED_VALUE"""),45992.0)</f>
        <v>45992</v>
      </c>
      <c r="L307" s="71" t="str">
        <f>IFERROR(__xludf.DUMMYFUNCTION("""COMPUTED_VALUE"""),"Monday")</f>
        <v>Monday</v>
      </c>
      <c r="M307" s="71" t="str">
        <f>IFERROR(__xludf.DUMMYFUNCTION("""COMPUTED_VALUE"""),"MF")</f>
        <v>MF</v>
      </c>
      <c r="N307" s="109">
        <f>IFERROR(__xludf.DUMMYFUNCTION("""COMPUTED_VALUE"""),1.2714561290180466)</f>
        <v>1.271456129</v>
      </c>
      <c r="O307" s="71" t="str">
        <f>IFERROR(__xludf.DUMMYFUNCTION("""COMPUTED_VALUE"""),"")</f>
        <v/>
      </c>
      <c r="P307" s="71" t="str">
        <f>IFERROR(__xludf.DUMMYFUNCTION("""COMPUTED_VALUE"""),"")</f>
        <v/>
      </c>
      <c r="Q307" s="78" t="str">
        <f>IFERROR(__xludf.DUMMYFUNCTION("""COMPUTED_VALUE"""),"")</f>
        <v/>
      </c>
      <c r="R307" s="78" t="str">
        <f>IFERROR(__xludf.DUMMYFUNCTION("""COMPUTED_VALUE"""),"")</f>
        <v/>
      </c>
      <c r="S307" s="61" t="str">
        <f>IFERROR(__xludf.DUMMYFUNCTION("""COMPUTED_VALUE"""),"")</f>
        <v/>
      </c>
      <c r="T307" s="61" t="str">
        <f>IFERROR(__xludf.DUMMYFUNCTION("""COMPUTED_VALUE"""),"")</f>
        <v/>
      </c>
      <c r="U307" s="133" t="str">
        <f>IFERROR(__xludf.DUMMYFUNCTION("""COMPUTED_VALUE"""),"")</f>
        <v/>
      </c>
      <c r="V307" s="78" t="str">
        <f>IFERROR(__xludf.DUMMYFUNCTION("""COMPUTED_VALUE"""),"")</f>
        <v/>
      </c>
      <c r="W307" s="62" t="str">
        <f>IFERROR(__xludf.DUMMYFUNCTION("""COMPUTED_VALUE"""),"")</f>
        <v/>
      </c>
      <c r="X307" s="62" t="str">
        <f>IFERROR(__xludf.DUMMYFUNCTION("""COMPUTED_VALUE"""),"")</f>
        <v/>
      </c>
      <c r="Y307" s="109" t="str">
        <f>IFERROR(__xludf.DUMMYFUNCTION("""COMPUTED_VALUE"""),"")</f>
        <v/>
      </c>
      <c r="Z307" s="113" t="str">
        <f>IFERROR(__xludf.DUMMYFUNCTION("""COMPUTED_VALUE"""),"")</f>
        <v/>
      </c>
      <c r="AA307" s="113" t="str">
        <f>IFERROR(__xludf.DUMMYFUNCTION("""COMPUTED_VALUE"""),"")</f>
        <v/>
      </c>
      <c r="AB307" s="71"/>
    </row>
    <row r="308">
      <c r="A308" s="105">
        <f>IFERROR(__xludf.DUMMYFUNCTION("""COMPUTED_VALUE"""),45992.77066371527)</f>
        <v>45992.77066</v>
      </c>
      <c r="B308" s="71" t="str">
        <f>IFERROR(__xludf.DUMMYFUNCTION("""COMPUTED_VALUE"""),"Maureen Surgot")</f>
        <v>Maureen Surgot</v>
      </c>
      <c r="C308" s="71" t="b">
        <f>IFERROR(__xludf.DUMMYFUNCTION("""COMPUTED_VALUE"""),FALSE)</f>
        <v>0</v>
      </c>
      <c r="D308" s="132">
        <f>IFERROR(__xludf.DUMMYFUNCTION("""COMPUTED_VALUE"""),0.6875)</f>
        <v>0.6875</v>
      </c>
      <c r="E308" s="78">
        <f>IFERROR(__xludf.DUMMYFUNCTION("""COMPUTED_VALUE"""),0.08333333333575865)</f>
        <v>0.08333333334</v>
      </c>
      <c r="F308" s="132">
        <f>IFERROR(__xludf.DUMMYFUNCTION("""COMPUTED_VALUE"""),0.7708333333357587)</f>
        <v>0.7708333333</v>
      </c>
      <c r="G308" s="78">
        <f>IFERROR(__xludf.DUMMYFUNCTION("""COMPUTED_VALUE"""),0.08333333333575865)</f>
        <v>0.08333333334</v>
      </c>
      <c r="H308" s="110">
        <f>IFERROR(__xludf.DUMMYFUNCTION("""COMPUTED_VALUE"""),113.0)</f>
        <v>113</v>
      </c>
      <c r="I308" s="108">
        <f>IFERROR(__xludf.DUMMYFUNCTION("""COMPUTED_VALUE"""),56.499999998355634)</f>
        <v>56.5</v>
      </c>
      <c r="J308" s="71" t="str">
        <f>IFERROR(__xludf.DUMMYFUNCTION("""COMPUTED_VALUE"""),"Dinner")</f>
        <v>Dinner</v>
      </c>
      <c r="K308" s="106">
        <f>IFERROR(__xludf.DUMMYFUNCTION("""COMPUTED_VALUE"""),45992.0)</f>
        <v>45992</v>
      </c>
      <c r="L308" s="71" t="str">
        <f>IFERROR(__xludf.DUMMYFUNCTION("""COMPUTED_VALUE"""),"Monday")</f>
        <v>Monday</v>
      </c>
      <c r="M308" s="71" t="str">
        <f>IFERROR(__xludf.DUMMYFUNCTION("""COMPUTED_VALUE"""),"MF")</f>
        <v>MF</v>
      </c>
      <c r="N308" s="109">
        <f>IFERROR(__xludf.DUMMYFUNCTION("""COMPUTED_VALUE"""),1.1133317177415996)</f>
        <v>1.113331718</v>
      </c>
      <c r="O308" s="71" t="str">
        <f>IFERROR(__xludf.DUMMYFUNCTION("""COMPUTED_VALUE"""),"")</f>
        <v/>
      </c>
      <c r="P308" s="71" t="str">
        <f>IFERROR(__xludf.DUMMYFUNCTION("""COMPUTED_VALUE"""),"")</f>
        <v/>
      </c>
      <c r="Q308" s="78" t="str">
        <f>IFERROR(__xludf.DUMMYFUNCTION("""COMPUTED_VALUE"""),"")</f>
        <v/>
      </c>
      <c r="R308" s="78" t="str">
        <f>IFERROR(__xludf.DUMMYFUNCTION("""COMPUTED_VALUE"""),"")</f>
        <v/>
      </c>
      <c r="S308" s="61" t="str">
        <f>IFERROR(__xludf.DUMMYFUNCTION("""COMPUTED_VALUE"""),"")</f>
        <v/>
      </c>
      <c r="T308" s="61" t="str">
        <f>IFERROR(__xludf.DUMMYFUNCTION("""COMPUTED_VALUE"""),"")</f>
        <v/>
      </c>
      <c r="U308" s="133" t="str">
        <f>IFERROR(__xludf.DUMMYFUNCTION("""COMPUTED_VALUE"""),"")</f>
        <v/>
      </c>
      <c r="V308" s="78" t="str">
        <f>IFERROR(__xludf.DUMMYFUNCTION("""COMPUTED_VALUE"""),"")</f>
        <v/>
      </c>
      <c r="W308" s="62" t="str">
        <f>IFERROR(__xludf.DUMMYFUNCTION("""COMPUTED_VALUE"""),"")</f>
        <v/>
      </c>
      <c r="X308" s="62" t="str">
        <f>IFERROR(__xludf.DUMMYFUNCTION("""COMPUTED_VALUE"""),"")</f>
        <v/>
      </c>
      <c r="Y308" s="109" t="str">
        <f>IFERROR(__xludf.DUMMYFUNCTION("""COMPUTED_VALUE"""),"")</f>
        <v/>
      </c>
      <c r="Z308" s="113" t="str">
        <f>IFERROR(__xludf.DUMMYFUNCTION("""COMPUTED_VALUE"""),"")</f>
        <v/>
      </c>
      <c r="AA308" s="113" t="str">
        <f>IFERROR(__xludf.DUMMYFUNCTION("""COMPUTED_VALUE"""),"")</f>
        <v/>
      </c>
      <c r="AB308" s="71"/>
    </row>
    <row r="309">
      <c r="A309" s="105">
        <f>IFERROR(__xludf.DUMMYFUNCTION("""COMPUTED_VALUE"""),45992.8217803125)</f>
        <v>45992.82178</v>
      </c>
      <c r="B309" s="71" t="str">
        <f>IFERROR(__xludf.DUMMYFUNCTION("""COMPUTED_VALUE"""),"Laila Maisuria")</f>
        <v>Laila Maisuria</v>
      </c>
      <c r="C309" s="71" t="b">
        <f>IFERROR(__xludf.DUMMYFUNCTION("""COMPUTED_VALUE"""),FALSE)</f>
        <v>0</v>
      </c>
      <c r="D309" s="132">
        <f>IFERROR(__xludf.DUMMYFUNCTION("""COMPUTED_VALUE"""),0.7694444444423425)</f>
        <v>0.7694444444</v>
      </c>
      <c r="E309" s="78">
        <f>IFERROR(__xludf.DUMMYFUNCTION("""COMPUTED_VALUE"""),0.038194444445252884)</f>
        <v>0.03819444445</v>
      </c>
      <c r="F309" s="132">
        <f>IFERROR(__xludf.DUMMYFUNCTION("""COMPUTED_VALUE"""),0.8076388888875954)</f>
        <v>0.8076388889</v>
      </c>
      <c r="G309" s="78">
        <f>IFERROR(__xludf.DUMMYFUNCTION("""COMPUTED_VALUE"""),0.038194444445252884)</f>
        <v>0.03819444445</v>
      </c>
      <c r="H309" s="110">
        <f>IFERROR(__xludf.DUMMYFUNCTION("""COMPUTED_VALUE"""),42.0)</f>
        <v>42</v>
      </c>
      <c r="I309" s="108">
        <f>IFERROR(__xludf.DUMMYFUNCTION("""COMPUTED_VALUE"""),45.818181817212015)</f>
        <v>45.81818182</v>
      </c>
      <c r="J309" s="71" t="str">
        <f>IFERROR(__xludf.DUMMYFUNCTION("""COMPUTED_VALUE"""),"Dinner")</f>
        <v>Dinner</v>
      </c>
      <c r="K309" s="106">
        <f>IFERROR(__xludf.DUMMYFUNCTION("""COMPUTED_VALUE"""),45992.0)</f>
        <v>45992</v>
      </c>
      <c r="L309" s="71" t="str">
        <f>IFERROR(__xludf.DUMMYFUNCTION("""COMPUTED_VALUE"""),"Monday")</f>
        <v>Monday</v>
      </c>
      <c r="M309" s="71" t="str">
        <f>IFERROR(__xludf.DUMMYFUNCTION("""COMPUTED_VALUE"""),"MF")</f>
        <v>MF</v>
      </c>
      <c r="N309" s="109">
        <f>IFERROR(__xludf.DUMMYFUNCTION("""COMPUTED_VALUE"""),0.9028466383688174)</f>
        <v>0.9028466384</v>
      </c>
      <c r="O309" s="71" t="str">
        <f>IFERROR(__xludf.DUMMYFUNCTION("""COMPUTED_VALUE"""),"")</f>
        <v/>
      </c>
      <c r="P309" s="71" t="str">
        <f>IFERROR(__xludf.DUMMYFUNCTION("""COMPUTED_VALUE"""),"")</f>
        <v/>
      </c>
      <c r="Q309" s="78" t="str">
        <f>IFERROR(__xludf.DUMMYFUNCTION("""COMPUTED_VALUE"""),"")</f>
        <v/>
      </c>
      <c r="R309" s="78" t="str">
        <f>IFERROR(__xludf.DUMMYFUNCTION("""COMPUTED_VALUE"""),"")</f>
        <v/>
      </c>
      <c r="S309" s="61" t="str">
        <f>IFERROR(__xludf.DUMMYFUNCTION("""COMPUTED_VALUE"""),"")</f>
        <v/>
      </c>
      <c r="T309" s="61" t="str">
        <f>IFERROR(__xludf.DUMMYFUNCTION("""COMPUTED_VALUE"""),"")</f>
        <v/>
      </c>
      <c r="U309" s="133" t="str">
        <f>IFERROR(__xludf.DUMMYFUNCTION("""COMPUTED_VALUE"""),"")</f>
        <v/>
      </c>
      <c r="V309" s="78" t="str">
        <f>IFERROR(__xludf.DUMMYFUNCTION("""COMPUTED_VALUE"""),"")</f>
        <v/>
      </c>
      <c r="W309" s="62" t="str">
        <f>IFERROR(__xludf.DUMMYFUNCTION("""COMPUTED_VALUE"""),"")</f>
        <v/>
      </c>
      <c r="X309" s="62" t="str">
        <f>IFERROR(__xludf.DUMMYFUNCTION("""COMPUTED_VALUE"""),"")</f>
        <v/>
      </c>
      <c r="Y309" s="109" t="str">
        <f>IFERROR(__xludf.DUMMYFUNCTION("""COMPUTED_VALUE"""),"")</f>
        <v/>
      </c>
      <c r="Z309" s="113" t="str">
        <f>IFERROR(__xludf.DUMMYFUNCTION("""COMPUTED_VALUE"""),"")</f>
        <v/>
      </c>
      <c r="AA309" s="113" t="str">
        <f>IFERROR(__xludf.DUMMYFUNCTION("""COMPUTED_VALUE"""),"")</f>
        <v/>
      </c>
      <c r="AB309" s="71"/>
    </row>
    <row r="310">
      <c r="A310" s="105">
        <f>IFERROR(__xludf.DUMMYFUNCTION("""COMPUTED_VALUE"""),45992.82992224537)</f>
        <v>45992.82992</v>
      </c>
      <c r="B310" s="71" t="str">
        <f>IFERROR(__xludf.DUMMYFUNCTION("""COMPUTED_VALUE"""),"Kaylie Forgue")</f>
        <v>Kaylie Forgue</v>
      </c>
      <c r="C310" s="71" t="b">
        <f>IFERROR(__xludf.DUMMYFUNCTION("""COMPUTED_VALUE"""),FALSE)</f>
        <v>0</v>
      </c>
      <c r="D310" s="132">
        <f>IFERROR(__xludf.DUMMYFUNCTION("""COMPUTED_VALUE"""),0.6854166666671517)</f>
        <v>0.6854166667</v>
      </c>
      <c r="E310" s="78">
        <f>IFERROR(__xludf.DUMMYFUNCTION("""COMPUTED_VALUE"""),0.12083333333430346)</f>
        <v>0.1208333333</v>
      </c>
      <c r="F310" s="132">
        <f>IFERROR(__xludf.DUMMYFUNCTION("""COMPUTED_VALUE"""),0.8062500000014552)</f>
        <v>0.80625</v>
      </c>
      <c r="G310" s="78">
        <f>IFERROR(__xludf.DUMMYFUNCTION("""COMPUTED_VALUE"""),0.1743055555562023)</f>
        <v>0.1743055556</v>
      </c>
      <c r="H310" s="110">
        <f>IFERROR(__xludf.DUMMYFUNCTION("""COMPUTED_VALUE"""),167.0)</f>
        <v>167</v>
      </c>
      <c r="I310" s="108">
        <f>IFERROR(__xludf.DUMMYFUNCTION("""COMPUTED_VALUE"""),39.92031872495148)</f>
        <v>39.92031872</v>
      </c>
      <c r="J310" s="71" t="str">
        <f>IFERROR(__xludf.DUMMYFUNCTION("""COMPUTED_VALUE"""),"Dinner")</f>
        <v>Dinner</v>
      </c>
      <c r="K310" s="106">
        <f>IFERROR(__xludf.DUMMYFUNCTION("""COMPUTED_VALUE"""),45992.0)</f>
        <v>45992</v>
      </c>
      <c r="L310" s="71" t="str">
        <f>IFERROR(__xludf.DUMMYFUNCTION("""COMPUTED_VALUE"""),"Monday")</f>
        <v>Monday</v>
      </c>
      <c r="M310" s="71" t="str">
        <f>IFERROR(__xludf.DUMMYFUNCTION("""COMPUTED_VALUE"""),"BF")</f>
        <v>BF</v>
      </c>
      <c r="N310" s="109">
        <f>IFERROR(__xludf.DUMMYFUNCTION("""COMPUTED_VALUE"""),0.9421061447756359)</f>
        <v>0.9421061448</v>
      </c>
      <c r="O310" s="71" t="str">
        <f>IFERROR(__xludf.DUMMYFUNCTION("""COMPUTED_VALUE"""),"")</f>
        <v/>
      </c>
      <c r="P310" s="71" t="str">
        <f>IFERROR(__xludf.DUMMYFUNCTION("""COMPUTED_VALUE"""),"")</f>
        <v/>
      </c>
      <c r="Q310" s="78" t="str">
        <f>IFERROR(__xludf.DUMMYFUNCTION("""COMPUTED_VALUE"""),"")</f>
        <v/>
      </c>
      <c r="R310" s="78" t="str">
        <f>IFERROR(__xludf.DUMMYFUNCTION("""COMPUTED_VALUE"""),"")</f>
        <v/>
      </c>
      <c r="S310" s="61" t="str">
        <f>IFERROR(__xludf.DUMMYFUNCTION("""COMPUTED_VALUE"""),"")</f>
        <v/>
      </c>
      <c r="T310" s="61" t="str">
        <f>IFERROR(__xludf.DUMMYFUNCTION("""COMPUTED_VALUE"""),"")</f>
        <v/>
      </c>
      <c r="U310" s="133" t="str">
        <f>IFERROR(__xludf.DUMMYFUNCTION("""COMPUTED_VALUE"""),"")</f>
        <v/>
      </c>
      <c r="V310" s="78" t="str">
        <f>IFERROR(__xludf.DUMMYFUNCTION("""COMPUTED_VALUE"""),"")</f>
        <v/>
      </c>
      <c r="W310" s="62" t="str">
        <f>IFERROR(__xludf.DUMMYFUNCTION("""COMPUTED_VALUE"""),"")</f>
        <v/>
      </c>
      <c r="X310" s="62" t="str">
        <f>IFERROR(__xludf.DUMMYFUNCTION("""COMPUTED_VALUE"""),"")</f>
        <v/>
      </c>
      <c r="Y310" s="109" t="str">
        <f>IFERROR(__xludf.DUMMYFUNCTION("""COMPUTED_VALUE"""),"")</f>
        <v/>
      </c>
      <c r="Z310" s="113" t="str">
        <f>IFERROR(__xludf.DUMMYFUNCTION("""COMPUTED_VALUE"""),"")</f>
        <v/>
      </c>
      <c r="AA310" s="113" t="str">
        <f>IFERROR(__xludf.DUMMYFUNCTION("""COMPUTED_VALUE"""),"")</f>
        <v/>
      </c>
      <c r="AB310" s="71"/>
    </row>
    <row r="311">
      <c r="A311" s="105">
        <f>IFERROR(__xludf.DUMMYFUNCTION("""COMPUTED_VALUE"""),45992.86216900463)</f>
        <v>45992.86217</v>
      </c>
      <c r="B311" s="71" t="str">
        <f>IFERROR(__xludf.DUMMYFUNCTION("""COMPUTED_VALUE"""),"Kaylie Forgue")</f>
        <v>Kaylie Forgue</v>
      </c>
      <c r="C311" s="71" t="b">
        <f>IFERROR(__xludf.DUMMYFUNCTION("""COMPUTED_VALUE"""),TRUE)</f>
        <v>1</v>
      </c>
      <c r="D311" s="132">
        <f>IFERROR(__xludf.DUMMYFUNCTION("""COMPUTED_VALUE"""),0.8062500000014552)</f>
        <v>0.80625</v>
      </c>
      <c r="E311" s="78">
        <f>IFERROR(__xludf.DUMMYFUNCTION("""COMPUTED_VALUE"""),0.053472222221898846)</f>
        <v>0.05347222222</v>
      </c>
      <c r="F311" s="132">
        <f>IFERROR(__xludf.DUMMYFUNCTION("""COMPUTED_VALUE"""),0.859722222223354)</f>
        <v>0.8597222222</v>
      </c>
      <c r="G311" s="78" t="str">
        <f>IFERROR(__xludf.DUMMYFUNCTION("""COMPUTED_VALUE"""),"")</f>
        <v/>
      </c>
      <c r="H311" s="110">
        <f>IFERROR(__xludf.DUMMYFUNCTION("""COMPUTED_VALUE"""),145.0)</f>
        <v>145</v>
      </c>
      <c r="I311" s="108" t="str">
        <f>IFERROR(__xludf.DUMMYFUNCTION("""COMPUTED_VALUE"""),"")</f>
        <v/>
      </c>
      <c r="J311" s="71" t="str">
        <f>IFERROR(__xludf.DUMMYFUNCTION("""COMPUTED_VALUE"""),"Dinner")</f>
        <v>Dinner</v>
      </c>
      <c r="K311" s="106">
        <f>IFERROR(__xludf.DUMMYFUNCTION("""COMPUTED_VALUE"""),45992.0)</f>
        <v>45992</v>
      </c>
      <c r="L311" s="71" t="str">
        <f>IFERROR(__xludf.DUMMYFUNCTION("""COMPUTED_VALUE"""),"Monday")</f>
        <v>Monday</v>
      </c>
      <c r="M311" s="71" t="str">
        <f>IFERROR(__xludf.DUMMYFUNCTION("""COMPUTED_VALUE"""),"BF")</f>
        <v>BF</v>
      </c>
      <c r="N311" s="109" t="str">
        <f>IFERROR(__xludf.DUMMYFUNCTION("""COMPUTED_VALUE"""),"")</f>
        <v/>
      </c>
      <c r="O311" s="71" t="str">
        <f>IFERROR(__xludf.DUMMYFUNCTION("""COMPUTED_VALUE"""),"")</f>
        <v/>
      </c>
      <c r="P311" s="71" t="str">
        <f>IFERROR(__xludf.DUMMYFUNCTION("""COMPUTED_VALUE"""),"")</f>
        <v/>
      </c>
      <c r="Q311" s="78" t="str">
        <f>IFERROR(__xludf.DUMMYFUNCTION("""COMPUTED_VALUE"""),"")</f>
        <v/>
      </c>
      <c r="R311" s="78" t="str">
        <f>IFERROR(__xludf.DUMMYFUNCTION("""COMPUTED_VALUE"""),"")</f>
        <v/>
      </c>
      <c r="S311" s="61" t="str">
        <f>IFERROR(__xludf.DUMMYFUNCTION("""COMPUTED_VALUE"""),"")</f>
        <v/>
      </c>
      <c r="T311" s="61" t="str">
        <f>IFERROR(__xludf.DUMMYFUNCTION("""COMPUTED_VALUE"""),"")</f>
        <v/>
      </c>
      <c r="U311" s="133" t="str">
        <f>IFERROR(__xludf.DUMMYFUNCTION("""COMPUTED_VALUE"""),"")</f>
        <v/>
      </c>
      <c r="V311" s="78" t="str">
        <f>IFERROR(__xludf.DUMMYFUNCTION("""COMPUTED_VALUE"""),"")</f>
        <v/>
      </c>
      <c r="W311" s="62" t="str">
        <f>IFERROR(__xludf.DUMMYFUNCTION("""COMPUTED_VALUE"""),"")</f>
        <v/>
      </c>
      <c r="X311" s="62" t="str">
        <f>IFERROR(__xludf.DUMMYFUNCTION("""COMPUTED_VALUE"""),"")</f>
        <v/>
      </c>
      <c r="Y311" s="109" t="str">
        <f>IFERROR(__xludf.DUMMYFUNCTION("""COMPUTED_VALUE"""),"")</f>
        <v/>
      </c>
      <c r="Z311" s="113" t="str">
        <f>IFERROR(__xludf.DUMMYFUNCTION("""COMPUTED_VALUE"""),"")</f>
        <v/>
      </c>
      <c r="AA311" s="113" t="str">
        <f>IFERROR(__xludf.DUMMYFUNCTION("""COMPUTED_VALUE"""),"")</f>
        <v/>
      </c>
      <c r="AB311" s="71"/>
    </row>
    <row r="312">
      <c r="A312" s="105">
        <f>IFERROR(__xludf.DUMMYFUNCTION("""COMPUTED_VALUE"""),45992.87088349537)</f>
        <v>45992.87088</v>
      </c>
      <c r="B312" s="71" t="str">
        <f>IFERROR(__xludf.DUMMYFUNCTION("""COMPUTED_VALUE"""),"Laila Maisuria")</f>
        <v>Laila Maisuria</v>
      </c>
      <c r="C312" s="71" t="b">
        <f>IFERROR(__xludf.DUMMYFUNCTION("""COMPUTED_VALUE"""),FALSE)</f>
        <v>0</v>
      </c>
      <c r="D312" s="132">
        <f>IFERROR(__xludf.DUMMYFUNCTION("""COMPUTED_VALUE"""),0.8138888888934162)</f>
        <v>0.8138888889</v>
      </c>
      <c r="E312" s="78">
        <f>IFERROR(__xludf.DUMMYFUNCTION("""COMPUTED_VALUE"""),0.056249999994179234)</f>
        <v>0.05624999999</v>
      </c>
      <c r="F312" s="132">
        <f>IFERROR(__xludf.DUMMYFUNCTION("""COMPUTED_VALUE"""),0.8701388888875954)</f>
        <v>0.8701388889</v>
      </c>
      <c r="G312" s="78">
        <f>IFERROR(__xludf.DUMMYFUNCTION("""COMPUTED_VALUE"""),0.056249999994179234)</f>
        <v>0.05624999999</v>
      </c>
      <c r="H312" s="110">
        <f>IFERROR(__xludf.DUMMYFUNCTION("""COMPUTED_VALUE"""),38.0)</f>
        <v>38</v>
      </c>
      <c r="I312" s="108">
        <f>IFERROR(__xludf.DUMMYFUNCTION("""COMPUTED_VALUE"""),28.148148151060926)</f>
        <v>28.14814815</v>
      </c>
      <c r="J312" s="71" t="str">
        <f>IFERROR(__xludf.DUMMYFUNCTION("""COMPUTED_VALUE"""),"Dinner")</f>
        <v>Dinner</v>
      </c>
      <c r="K312" s="106">
        <f>IFERROR(__xludf.DUMMYFUNCTION("""COMPUTED_VALUE"""),45992.0)</f>
        <v>45992</v>
      </c>
      <c r="L312" s="71" t="str">
        <f>IFERROR(__xludf.DUMMYFUNCTION("""COMPUTED_VALUE"""),"Monday")</f>
        <v>Monday</v>
      </c>
      <c r="M312" s="71" t="str">
        <f>IFERROR(__xludf.DUMMYFUNCTION("""COMPUTED_VALUE"""),"MF")</f>
        <v>MF</v>
      </c>
      <c r="N312" s="109">
        <f>IFERROR(__xludf.DUMMYFUNCTION("""COMPUTED_VALUE"""),0.5546588696137655)</f>
        <v>0.5546588696</v>
      </c>
      <c r="O312" s="71">
        <f>IFERROR(__xludf.DUMMYFUNCTION("""COMPUTED_VALUE"""),445.0)</f>
        <v>445</v>
      </c>
      <c r="P312" s="71">
        <f>IFERROR(__xludf.DUMMYFUNCTION("""COMPUTED_VALUE"""),410.0)</f>
        <v>410</v>
      </c>
      <c r="Q312" s="78">
        <f>IFERROR(__xludf.DUMMYFUNCTION("""COMPUTED_VALUE"""),0.3319444444447678)</f>
        <v>0.3319444444</v>
      </c>
      <c r="R312" s="78">
        <f>IFERROR(__xludf.DUMMYFUNCTION("""COMPUTED_VALUE"""),0.23611111110949423)</f>
        <v>0.2361111111</v>
      </c>
      <c r="S312" s="61">
        <f>IFERROR(__xludf.DUMMYFUNCTION("""COMPUTED_VALUE"""),53.19363229315932)</f>
        <v>53.19363229</v>
      </c>
      <c r="T312" s="61">
        <f>IFERROR(__xludf.DUMMYFUNCTION("""COMPUTED_VALUE"""),52.99386722885414)</f>
        <v>52.99386723</v>
      </c>
      <c r="U312" s="133">
        <f>IFERROR(__xludf.DUMMYFUNCTION("""COMPUTED_VALUE"""),855.0)</f>
        <v>855</v>
      </c>
      <c r="V312" s="78">
        <f>IFERROR(__xludf.DUMMYFUNCTION("""COMPUTED_VALUE"""),0.568055555554262)</f>
        <v>0.5680555556</v>
      </c>
      <c r="W312" s="62">
        <f>IFERROR(__xludf.DUMMYFUNCTION("""COMPUTED_VALUE"""),62.713936430460656)</f>
        <v>62.71393643</v>
      </c>
      <c r="X312" s="62">
        <f>IFERROR(__xludf.DUMMYFUNCTION("""COMPUTED_VALUE"""),53.13655656050069)</f>
        <v>53.13655656</v>
      </c>
      <c r="Y312" s="109">
        <f>IFERROR(__xludf.DUMMYFUNCTION("""COMPUTED_VALUE"""),0.976033267723539)</f>
        <v>0.9760332677</v>
      </c>
      <c r="Z312" s="113" t="str">
        <f>IFERROR(__xludf.DUMMYFUNCTION("""COMPUTED_VALUE"""),"")</f>
        <v/>
      </c>
      <c r="AA312" s="113" t="str">
        <f>IFERROR(__xludf.DUMMYFUNCTION("""COMPUTED_VALUE"""),"")</f>
        <v/>
      </c>
      <c r="AB312" s="71"/>
    </row>
    <row r="313">
      <c r="A313" s="105">
        <f>IFERROR(__xludf.DUMMYFUNCTION("""COMPUTED_VALUE"""),45993.39415637731)</f>
        <v>45993.39416</v>
      </c>
      <c r="B313" s="71" t="str">
        <f>IFERROR(__xludf.DUMMYFUNCTION("""COMPUTED_VALUE"""),"Evan Morgan")</f>
        <v>Evan Morgan</v>
      </c>
      <c r="C313" s="71" t="b">
        <f>IFERROR(__xludf.DUMMYFUNCTION("""COMPUTED_VALUE"""),FALSE)</f>
        <v>0</v>
      </c>
      <c r="D313" s="132">
        <f>IFERROR(__xludf.DUMMYFUNCTION("""COMPUTED_VALUE"""),0.29166666666424135)</f>
        <v>0.2916666667</v>
      </c>
      <c r="E313" s="78">
        <f>IFERROR(__xludf.DUMMYFUNCTION("""COMPUTED_VALUE"""),0.10069444444525288)</f>
        <v>0.1006944444</v>
      </c>
      <c r="F313" s="132">
        <f>IFERROR(__xludf.DUMMYFUNCTION("""COMPUTED_VALUE"""),0.39236111110949423)</f>
        <v>0.3923611111</v>
      </c>
      <c r="G313" s="78">
        <f>IFERROR(__xludf.DUMMYFUNCTION("""COMPUTED_VALUE"""),0.10069444444525288)</f>
        <v>0.1006944444</v>
      </c>
      <c r="H313" s="110">
        <f>IFERROR(__xludf.DUMMYFUNCTION("""COMPUTED_VALUE"""),53.0)</f>
        <v>53</v>
      </c>
      <c r="I313" s="108">
        <f>IFERROR(__xludf.DUMMYFUNCTION("""COMPUTED_VALUE"""),21.931034482582543)</f>
        <v>21.93103448</v>
      </c>
      <c r="J313" s="71" t="str">
        <f>IFERROR(__xludf.DUMMYFUNCTION("""COMPUTED_VALUE"""),"Breakfast")</f>
        <v>Breakfast</v>
      </c>
      <c r="K313" s="106">
        <f>IFERROR(__xludf.DUMMYFUNCTION("""COMPUTED_VALUE"""),45993.0)</f>
        <v>45993</v>
      </c>
      <c r="L313" s="71" t="str">
        <f>IFERROR(__xludf.DUMMYFUNCTION("""COMPUTED_VALUE"""),"Tuesday")</f>
        <v>Tuesday</v>
      </c>
      <c r="M313" s="71" t="str">
        <f>IFERROR(__xludf.DUMMYFUNCTION("""COMPUTED_VALUE"""),"BF")</f>
        <v>BF</v>
      </c>
      <c r="N313" s="109">
        <f>IFERROR(__xludf.DUMMYFUNCTION("""COMPUTED_VALUE"""),0.9288050560840778)</f>
        <v>0.9288050561</v>
      </c>
      <c r="O313" s="71" t="str">
        <f>IFERROR(__xludf.DUMMYFUNCTION("""COMPUTED_VALUE"""),"")</f>
        <v/>
      </c>
      <c r="P313" s="71" t="str">
        <f>IFERROR(__xludf.DUMMYFUNCTION("""COMPUTED_VALUE"""),"")</f>
        <v/>
      </c>
      <c r="Q313" s="78" t="str">
        <f>IFERROR(__xludf.DUMMYFUNCTION("""COMPUTED_VALUE"""),"")</f>
        <v/>
      </c>
      <c r="R313" s="78" t="str">
        <f>IFERROR(__xludf.DUMMYFUNCTION("""COMPUTED_VALUE"""),"")</f>
        <v/>
      </c>
      <c r="S313" s="61" t="str">
        <f>IFERROR(__xludf.DUMMYFUNCTION("""COMPUTED_VALUE"""),"")</f>
        <v/>
      </c>
      <c r="T313" s="61" t="str">
        <f>IFERROR(__xludf.DUMMYFUNCTION("""COMPUTED_VALUE"""),"")</f>
        <v/>
      </c>
      <c r="U313" s="133" t="str">
        <f>IFERROR(__xludf.DUMMYFUNCTION("""COMPUTED_VALUE"""),"")</f>
        <v/>
      </c>
      <c r="V313" s="78" t="str">
        <f>IFERROR(__xludf.DUMMYFUNCTION("""COMPUTED_VALUE"""),"")</f>
        <v/>
      </c>
      <c r="W313" s="62" t="str">
        <f>IFERROR(__xludf.DUMMYFUNCTION("""COMPUTED_VALUE"""),"")</f>
        <v/>
      </c>
      <c r="X313" s="62" t="str">
        <f>IFERROR(__xludf.DUMMYFUNCTION("""COMPUTED_VALUE"""),"")</f>
        <v/>
      </c>
      <c r="Y313" s="109" t="str">
        <f>IFERROR(__xludf.DUMMYFUNCTION("""COMPUTED_VALUE"""),"")</f>
        <v/>
      </c>
      <c r="Z313" s="113" t="str">
        <f>IFERROR(__xludf.DUMMYFUNCTION("""COMPUTED_VALUE"""),"")</f>
        <v/>
      </c>
      <c r="AA313" s="113" t="str">
        <f>IFERROR(__xludf.DUMMYFUNCTION("""COMPUTED_VALUE"""),"")</f>
        <v/>
      </c>
      <c r="AB313" s="71"/>
    </row>
    <row r="314">
      <c r="A314" s="105">
        <f>IFERROR(__xludf.DUMMYFUNCTION("""COMPUTED_VALUE"""),45993.479226435185)</f>
        <v>45993.47923</v>
      </c>
      <c r="B314" s="71" t="str">
        <f>IFERROR(__xludf.DUMMYFUNCTION("""COMPUTED_VALUE"""),"Emmett Khan")</f>
        <v>Emmett Khan</v>
      </c>
      <c r="C314" s="71" t="b">
        <f>IFERROR(__xludf.DUMMYFUNCTION("""COMPUTED_VALUE"""),FALSE)</f>
        <v>0</v>
      </c>
      <c r="D314" s="132">
        <f>IFERROR(__xludf.DUMMYFUNCTION("""COMPUTED_VALUE"""),0.39583333333575865)</f>
        <v>0.3958333333</v>
      </c>
      <c r="E314" s="78">
        <f>IFERROR(__xludf.DUMMYFUNCTION("""COMPUTED_VALUE"""),0.0833333333284827)</f>
        <v>0.08333333333</v>
      </c>
      <c r="F314" s="132">
        <f>IFERROR(__xludf.DUMMYFUNCTION("""COMPUTED_VALUE"""),0.47916666666424135)</f>
        <v>0.4791666667</v>
      </c>
      <c r="G314" s="78">
        <f>IFERROR(__xludf.DUMMYFUNCTION("""COMPUTED_VALUE"""),0.0833333333284827)</f>
        <v>0.08333333333</v>
      </c>
      <c r="H314" s="110">
        <f>IFERROR(__xludf.DUMMYFUNCTION("""COMPUTED_VALUE"""),120.0)</f>
        <v>120</v>
      </c>
      <c r="I314" s="108">
        <f>IFERROR(__xludf.DUMMYFUNCTION("""COMPUTED_VALUE"""),60.00000000349246)</f>
        <v>60</v>
      </c>
      <c r="J314" s="71" t="str">
        <f>IFERROR(__xludf.DUMMYFUNCTION("""COMPUTED_VALUE"""),"Breakfast/Lunch")</f>
        <v>Breakfast/Lunch</v>
      </c>
      <c r="K314" s="106">
        <f>IFERROR(__xludf.DUMMYFUNCTION("""COMPUTED_VALUE"""),45993.0)</f>
        <v>45993</v>
      </c>
      <c r="L314" s="71" t="str">
        <f>IFERROR(__xludf.DUMMYFUNCTION("""COMPUTED_VALUE"""),"Tuesday")</f>
        <v>Tuesday</v>
      </c>
      <c r="M314" s="71" t="str">
        <f>IFERROR(__xludf.DUMMYFUNCTION("""COMPUTED_VALUE"""),"BF")</f>
        <v>BF</v>
      </c>
      <c r="N314" s="109">
        <f>IFERROR(__xludf.DUMMYFUNCTION("""COMPUTED_VALUE"""),1.0536886653053803)</f>
        <v>1.053688665</v>
      </c>
      <c r="O314" s="71" t="str">
        <f>IFERROR(__xludf.DUMMYFUNCTION("""COMPUTED_VALUE"""),"")</f>
        <v/>
      </c>
      <c r="P314" s="71" t="str">
        <f>IFERROR(__xludf.DUMMYFUNCTION("""COMPUTED_VALUE"""),"")</f>
        <v/>
      </c>
      <c r="Q314" s="78" t="str">
        <f>IFERROR(__xludf.DUMMYFUNCTION("""COMPUTED_VALUE"""),"")</f>
        <v/>
      </c>
      <c r="R314" s="78" t="str">
        <f>IFERROR(__xludf.DUMMYFUNCTION("""COMPUTED_VALUE"""),"")</f>
        <v/>
      </c>
      <c r="S314" s="61" t="str">
        <f>IFERROR(__xludf.DUMMYFUNCTION("""COMPUTED_VALUE"""),"")</f>
        <v/>
      </c>
      <c r="T314" s="61" t="str">
        <f>IFERROR(__xludf.DUMMYFUNCTION("""COMPUTED_VALUE"""),"")</f>
        <v/>
      </c>
      <c r="U314" s="133" t="str">
        <f>IFERROR(__xludf.DUMMYFUNCTION("""COMPUTED_VALUE"""),"")</f>
        <v/>
      </c>
      <c r="V314" s="78" t="str">
        <f>IFERROR(__xludf.DUMMYFUNCTION("""COMPUTED_VALUE"""),"")</f>
        <v/>
      </c>
      <c r="W314" s="62" t="str">
        <f>IFERROR(__xludf.DUMMYFUNCTION("""COMPUTED_VALUE"""),"")</f>
        <v/>
      </c>
      <c r="X314" s="62" t="str">
        <f>IFERROR(__xludf.DUMMYFUNCTION("""COMPUTED_VALUE"""),"")</f>
        <v/>
      </c>
      <c r="Y314" s="109" t="str">
        <f>IFERROR(__xludf.DUMMYFUNCTION("""COMPUTED_VALUE"""),"")</f>
        <v/>
      </c>
      <c r="Z314" s="113" t="str">
        <f>IFERROR(__xludf.DUMMYFUNCTION("""COMPUTED_VALUE"""),"")</f>
        <v/>
      </c>
      <c r="AA314" s="113" t="str">
        <f>IFERROR(__xludf.DUMMYFUNCTION("""COMPUTED_VALUE"""),"")</f>
        <v/>
      </c>
      <c r="AB314" s="71"/>
    </row>
    <row r="315">
      <c r="A315" s="105">
        <f>IFERROR(__xludf.DUMMYFUNCTION("""COMPUTED_VALUE"""),45993.57694571759)</f>
        <v>45993.57695</v>
      </c>
      <c r="B315" s="71" t="str">
        <f>IFERROR(__xludf.DUMMYFUNCTION("""COMPUTED_VALUE"""),"Brynn Hornig")</f>
        <v>Brynn Hornig</v>
      </c>
      <c r="C315" s="71" t="b">
        <f>IFERROR(__xludf.DUMMYFUNCTION("""COMPUTED_VALUE"""),FALSE)</f>
        <v>0</v>
      </c>
      <c r="D315" s="132">
        <f>IFERROR(__xludf.DUMMYFUNCTION("""COMPUTED_VALUE"""),0.5208333333357587)</f>
        <v>0.5208333333</v>
      </c>
      <c r="E315" s="78">
        <f>IFERROR(__xludf.DUMMYFUNCTION("""COMPUTED_VALUE"""),0.055555555554747116)</f>
        <v>0.05555555555</v>
      </c>
      <c r="F315" s="132">
        <f>IFERROR(__xludf.DUMMYFUNCTION("""COMPUTED_VALUE"""),0.5763888888905058)</f>
        <v>0.5763888889</v>
      </c>
      <c r="G315" s="78">
        <f>IFERROR(__xludf.DUMMYFUNCTION("""COMPUTED_VALUE"""),0.055555555554747116)</f>
        <v>0.05555555555</v>
      </c>
      <c r="H315" s="110">
        <f>IFERROR(__xludf.DUMMYFUNCTION("""COMPUTED_VALUE"""),89.0)</f>
        <v>89</v>
      </c>
      <c r="I315" s="108">
        <f>IFERROR(__xludf.DUMMYFUNCTION("""COMPUTED_VALUE"""),66.75000000097134)</f>
        <v>66.75</v>
      </c>
      <c r="J315" s="71" t="str">
        <f>IFERROR(__xludf.DUMMYFUNCTION("""COMPUTED_VALUE"""),"Lunch")</f>
        <v>Lunch</v>
      </c>
      <c r="K315" s="106">
        <f>IFERROR(__xludf.DUMMYFUNCTION("""COMPUTED_VALUE"""),45993.0)</f>
        <v>45993</v>
      </c>
      <c r="L315" s="71" t="str">
        <f>IFERROR(__xludf.DUMMYFUNCTION("""COMPUTED_VALUE"""),"Tuesday")</f>
        <v>Tuesday</v>
      </c>
      <c r="M315" s="71" t="str">
        <f>IFERROR(__xludf.DUMMYFUNCTION("""COMPUTED_VALUE"""),"BF")</f>
        <v>BF</v>
      </c>
      <c r="N315" s="109">
        <f>IFERROR(__xludf.DUMMYFUNCTION("""COMPUTED_VALUE"""),1.718999247614808)</f>
        <v>1.718999248</v>
      </c>
      <c r="O315" s="71" t="str">
        <f>IFERROR(__xludf.DUMMYFUNCTION("""COMPUTED_VALUE"""),"")</f>
        <v/>
      </c>
      <c r="P315" s="71" t="str">
        <f>IFERROR(__xludf.DUMMYFUNCTION("""COMPUTED_VALUE"""),"")</f>
        <v/>
      </c>
      <c r="Q315" s="78" t="str">
        <f>IFERROR(__xludf.DUMMYFUNCTION("""COMPUTED_VALUE"""),"")</f>
        <v/>
      </c>
      <c r="R315" s="78" t="str">
        <f>IFERROR(__xludf.DUMMYFUNCTION("""COMPUTED_VALUE"""),"")</f>
        <v/>
      </c>
      <c r="S315" s="61" t="str">
        <f>IFERROR(__xludf.DUMMYFUNCTION("""COMPUTED_VALUE"""),"")</f>
        <v/>
      </c>
      <c r="T315" s="61" t="str">
        <f>IFERROR(__xludf.DUMMYFUNCTION("""COMPUTED_VALUE"""),"")</f>
        <v/>
      </c>
      <c r="U315" s="133" t="str">
        <f>IFERROR(__xludf.DUMMYFUNCTION("""COMPUTED_VALUE"""),"")</f>
        <v/>
      </c>
      <c r="V315" s="78" t="str">
        <f>IFERROR(__xludf.DUMMYFUNCTION("""COMPUTED_VALUE"""),"")</f>
        <v/>
      </c>
      <c r="W315" s="62" t="str">
        <f>IFERROR(__xludf.DUMMYFUNCTION("""COMPUTED_VALUE"""),"")</f>
        <v/>
      </c>
      <c r="X315" s="62" t="str">
        <f>IFERROR(__xludf.DUMMYFUNCTION("""COMPUTED_VALUE"""),"")</f>
        <v/>
      </c>
      <c r="Y315" s="109" t="str">
        <f>IFERROR(__xludf.DUMMYFUNCTION("""COMPUTED_VALUE"""),"")</f>
        <v/>
      </c>
      <c r="Z315" s="113" t="str">
        <f>IFERROR(__xludf.DUMMYFUNCTION("""COMPUTED_VALUE"""),"")</f>
        <v/>
      </c>
      <c r="AA315" s="113" t="str">
        <f>IFERROR(__xludf.DUMMYFUNCTION("""COMPUTED_VALUE"""),"")</f>
        <v/>
      </c>
      <c r="AB315" s="71"/>
    </row>
    <row r="316">
      <c r="A316" s="105">
        <f>IFERROR(__xludf.DUMMYFUNCTION("""COMPUTED_VALUE"""),45993.626790740745)</f>
        <v>45993.62679</v>
      </c>
      <c r="B316" s="71" t="str">
        <f>IFERROR(__xludf.DUMMYFUNCTION("""COMPUTED_VALUE"""),"Maureen Surgot")</f>
        <v>Maureen Surgot</v>
      </c>
      <c r="C316" s="71" t="b">
        <f>IFERROR(__xludf.DUMMYFUNCTION("""COMPUTED_VALUE"""),FALSE)</f>
        <v>0</v>
      </c>
      <c r="D316" s="132">
        <f>IFERROR(__xludf.DUMMYFUNCTION("""COMPUTED_VALUE"""),0.47916666666424135)</f>
        <v>0.4791666667</v>
      </c>
      <c r="E316" s="78">
        <f>IFERROR(__xludf.DUMMYFUNCTION("""COMPUTED_VALUE"""),0.15625)</f>
        <v>0.15625</v>
      </c>
      <c r="F316" s="132">
        <f>IFERROR(__xludf.DUMMYFUNCTION("""COMPUTED_VALUE"""),0.6354166666642413)</f>
        <v>0.6354166667</v>
      </c>
      <c r="G316" s="78">
        <f>IFERROR(__xludf.DUMMYFUNCTION("""COMPUTED_VALUE"""),0.15625)</f>
        <v>0.15625</v>
      </c>
      <c r="H316" s="110">
        <f>IFERROR(__xludf.DUMMYFUNCTION("""COMPUTED_VALUE"""),135.0)</f>
        <v>135</v>
      </c>
      <c r="I316" s="108">
        <f>IFERROR(__xludf.DUMMYFUNCTION("""COMPUTED_VALUE"""),36.0)</f>
        <v>36</v>
      </c>
      <c r="J316" s="71" t="str">
        <f>IFERROR(__xludf.DUMMYFUNCTION("""COMPUTED_VALUE"""),"Lunch")</f>
        <v>Lunch</v>
      </c>
      <c r="K316" s="106">
        <f>IFERROR(__xludf.DUMMYFUNCTION("""COMPUTED_VALUE"""),45993.0)</f>
        <v>45993</v>
      </c>
      <c r="L316" s="71" t="str">
        <f>IFERROR(__xludf.DUMMYFUNCTION("""COMPUTED_VALUE"""),"Tuesday")</f>
        <v>Tuesday</v>
      </c>
      <c r="M316" s="71" t="str">
        <f>IFERROR(__xludf.DUMMYFUNCTION("""COMPUTED_VALUE"""),"MF")</f>
        <v>MF</v>
      </c>
      <c r="N316" s="109">
        <f>IFERROR(__xludf.DUMMYFUNCTION("""COMPUTED_VALUE"""),0.748614356337728)</f>
        <v>0.7486143563</v>
      </c>
      <c r="O316" s="71" t="str">
        <f>IFERROR(__xludf.DUMMYFUNCTION("""COMPUTED_VALUE"""),"")</f>
        <v/>
      </c>
      <c r="P316" s="71" t="str">
        <f>IFERROR(__xludf.DUMMYFUNCTION("""COMPUTED_VALUE"""),"")</f>
        <v/>
      </c>
      <c r="Q316" s="78" t="str">
        <f>IFERROR(__xludf.DUMMYFUNCTION("""COMPUTED_VALUE"""),"")</f>
        <v/>
      </c>
      <c r="R316" s="78" t="str">
        <f>IFERROR(__xludf.DUMMYFUNCTION("""COMPUTED_VALUE"""),"")</f>
        <v/>
      </c>
      <c r="S316" s="61" t="str">
        <f>IFERROR(__xludf.DUMMYFUNCTION("""COMPUTED_VALUE"""),"")</f>
        <v/>
      </c>
      <c r="T316" s="61" t="str">
        <f>IFERROR(__xludf.DUMMYFUNCTION("""COMPUTED_VALUE"""),"")</f>
        <v/>
      </c>
      <c r="U316" s="133" t="str">
        <f>IFERROR(__xludf.DUMMYFUNCTION("""COMPUTED_VALUE"""),"")</f>
        <v/>
      </c>
      <c r="V316" s="78" t="str">
        <f>IFERROR(__xludf.DUMMYFUNCTION("""COMPUTED_VALUE"""),"")</f>
        <v/>
      </c>
      <c r="W316" s="62" t="str">
        <f>IFERROR(__xludf.DUMMYFUNCTION("""COMPUTED_VALUE"""),"")</f>
        <v/>
      </c>
      <c r="X316" s="62" t="str">
        <f>IFERROR(__xludf.DUMMYFUNCTION("""COMPUTED_VALUE"""),"")</f>
        <v/>
      </c>
      <c r="Y316" s="109" t="str">
        <f>IFERROR(__xludf.DUMMYFUNCTION("""COMPUTED_VALUE"""),"")</f>
        <v/>
      </c>
      <c r="Z316" s="113" t="str">
        <f>IFERROR(__xludf.DUMMYFUNCTION("""COMPUTED_VALUE"""),"")</f>
        <v/>
      </c>
      <c r="AA316" s="113" t="str">
        <f>IFERROR(__xludf.DUMMYFUNCTION("""COMPUTED_VALUE"""),"")</f>
        <v/>
      </c>
      <c r="AB316" s="71"/>
    </row>
    <row r="317">
      <c r="A317" s="105">
        <f>IFERROR(__xludf.DUMMYFUNCTION("""COMPUTED_VALUE"""),45993.65397108796)</f>
        <v>45993.65397</v>
      </c>
      <c r="B317" s="71" t="str">
        <f>IFERROR(__xludf.DUMMYFUNCTION("""COMPUTED_VALUE"""),"Brynn Hornig")</f>
        <v>Brynn Hornig</v>
      </c>
      <c r="C317" s="71" t="b">
        <f>IFERROR(__xludf.DUMMYFUNCTION("""COMPUTED_VALUE"""),FALSE)</f>
        <v>0</v>
      </c>
      <c r="D317" s="132">
        <f>IFERROR(__xludf.DUMMYFUNCTION("""COMPUTED_VALUE"""),0.5763888888905058)</f>
        <v>0.5763888889</v>
      </c>
      <c r="E317" s="78">
        <f>IFERROR(__xludf.DUMMYFUNCTION("""COMPUTED_VALUE"""),0.07986111110949423)</f>
        <v>0.07986111111</v>
      </c>
      <c r="F317" s="132">
        <f>IFERROR(__xludf.DUMMYFUNCTION("""COMPUTED_VALUE"""),0.65625)</f>
        <v>0.65625</v>
      </c>
      <c r="G317" s="78">
        <f>IFERROR(__xludf.DUMMYFUNCTION("""COMPUTED_VALUE"""),0.07986111110949423)</f>
        <v>0.07986111111</v>
      </c>
      <c r="H317" s="110">
        <f>IFERROR(__xludf.DUMMYFUNCTION("""COMPUTED_VALUE"""),70.0)</f>
        <v>70</v>
      </c>
      <c r="I317" s="108">
        <f>IFERROR(__xludf.DUMMYFUNCTION("""COMPUTED_VALUE"""),36.52173913117421)</f>
        <v>36.52173913</v>
      </c>
      <c r="J317" s="71" t="str">
        <f>IFERROR(__xludf.DUMMYFUNCTION("""COMPUTED_VALUE"""),"Lunch")</f>
        <v>Lunch</v>
      </c>
      <c r="K317" s="106">
        <f>IFERROR(__xludf.DUMMYFUNCTION("""COMPUTED_VALUE"""),45993.0)</f>
        <v>45993</v>
      </c>
      <c r="L317" s="71" t="str">
        <f>IFERROR(__xludf.DUMMYFUNCTION("""COMPUTED_VALUE"""),"Tuesday")</f>
        <v>Tuesday</v>
      </c>
      <c r="M317" s="71" t="str">
        <f>IFERROR(__xludf.DUMMYFUNCTION("""COMPUTED_VALUE"""),"BF")</f>
        <v>BF</v>
      </c>
      <c r="N317" s="109">
        <f>IFERROR(__xludf.DUMMYFUNCTION("""COMPUTED_VALUE"""),0.9405369601072535)</f>
        <v>0.9405369601</v>
      </c>
      <c r="O317" s="71" t="str">
        <f>IFERROR(__xludf.DUMMYFUNCTION("""COMPUTED_VALUE"""),"")</f>
        <v/>
      </c>
      <c r="P317" s="71" t="str">
        <f>IFERROR(__xludf.DUMMYFUNCTION("""COMPUTED_VALUE"""),"")</f>
        <v/>
      </c>
      <c r="Q317" s="78" t="str">
        <f>IFERROR(__xludf.DUMMYFUNCTION("""COMPUTED_VALUE"""),"")</f>
        <v/>
      </c>
      <c r="R317" s="78" t="str">
        <f>IFERROR(__xludf.DUMMYFUNCTION("""COMPUTED_VALUE"""),"")</f>
        <v/>
      </c>
      <c r="S317" s="61" t="str">
        <f>IFERROR(__xludf.DUMMYFUNCTION("""COMPUTED_VALUE"""),"")</f>
        <v/>
      </c>
      <c r="T317" s="61" t="str">
        <f>IFERROR(__xludf.DUMMYFUNCTION("""COMPUTED_VALUE"""),"")</f>
        <v/>
      </c>
      <c r="U317" s="133" t="str">
        <f>IFERROR(__xludf.DUMMYFUNCTION("""COMPUTED_VALUE"""),"")</f>
        <v/>
      </c>
      <c r="V317" s="78" t="str">
        <f>IFERROR(__xludf.DUMMYFUNCTION("""COMPUTED_VALUE"""),"")</f>
        <v/>
      </c>
      <c r="W317" s="62" t="str">
        <f>IFERROR(__xludf.DUMMYFUNCTION("""COMPUTED_VALUE"""),"")</f>
        <v/>
      </c>
      <c r="X317" s="62" t="str">
        <f>IFERROR(__xludf.DUMMYFUNCTION("""COMPUTED_VALUE"""),"")</f>
        <v/>
      </c>
      <c r="Y317" s="109" t="str">
        <f>IFERROR(__xludf.DUMMYFUNCTION("""COMPUTED_VALUE"""),"")</f>
        <v/>
      </c>
      <c r="Z317" s="113" t="str">
        <f>IFERROR(__xludf.DUMMYFUNCTION("""COMPUTED_VALUE"""),"")</f>
        <v/>
      </c>
      <c r="AA317" s="113" t="str">
        <f>IFERROR(__xludf.DUMMYFUNCTION("""COMPUTED_VALUE"""),"")</f>
        <v/>
      </c>
      <c r="AB317" s="71"/>
    </row>
    <row r="318">
      <c r="A318" s="105">
        <f>IFERROR(__xludf.DUMMYFUNCTION("""COMPUTED_VALUE"""),45993.75017666667)</f>
        <v>45993.75018</v>
      </c>
      <c r="B318" s="71" t="str">
        <f>IFERROR(__xludf.DUMMYFUNCTION("""COMPUTED_VALUE"""),"Kyra Turner")</f>
        <v>Kyra Turner</v>
      </c>
      <c r="C318" s="71" t="b">
        <f>IFERROR(__xludf.DUMMYFUNCTION("""COMPUTED_VALUE"""),FALSE)</f>
        <v>0</v>
      </c>
      <c r="D318" s="132">
        <f>IFERROR(__xludf.DUMMYFUNCTION("""COMPUTED_VALUE"""),0.6875)</f>
        <v>0.6875</v>
      </c>
      <c r="E318" s="78">
        <f>IFERROR(__xludf.DUMMYFUNCTION("""COMPUTED_VALUE"""),0.06111111110658385)</f>
        <v>0.06111111111</v>
      </c>
      <c r="F318" s="132">
        <f>IFERROR(__xludf.DUMMYFUNCTION("""COMPUTED_VALUE"""),0.7486111111065838)</f>
        <v>0.7486111111</v>
      </c>
      <c r="G318" s="78">
        <f>IFERROR(__xludf.DUMMYFUNCTION("""COMPUTED_VALUE"""),0.10208333333139308)</f>
        <v>0.1020833333</v>
      </c>
      <c r="H318" s="110">
        <f>IFERROR(__xludf.DUMMYFUNCTION("""COMPUTED_VALUE"""),76.0)</f>
        <v>76</v>
      </c>
      <c r="I318" s="108">
        <f>IFERROR(__xludf.DUMMYFUNCTION("""COMPUTED_VALUE"""),31.0204081638549)</f>
        <v>31.02040816</v>
      </c>
      <c r="J318" s="71" t="str">
        <f>IFERROR(__xludf.DUMMYFUNCTION("""COMPUTED_VALUE"""),"Dinner")</f>
        <v>Dinner</v>
      </c>
      <c r="K318" s="106">
        <f>IFERROR(__xludf.DUMMYFUNCTION("""COMPUTED_VALUE"""),45993.0)</f>
        <v>45993</v>
      </c>
      <c r="L318" s="71" t="str">
        <f>IFERROR(__xludf.DUMMYFUNCTION("""COMPUTED_VALUE"""),"Tuesday")</f>
        <v>Tuesday</v>
      </c>
      <c r="M318" s="71" t="str">
        <f>IFERROR(__xludf.DUMMYFUNCTION("""COMPUTED_VALUE"""),"BF")</f>
        <v>BF</v>
      </c>
      <c r="N318" s="109">
        <f>IFERROR(__xludf.DUMMYFUNCTION("""COMPUTED_VALUE"""),0.7320712378568697)</f>
        <v>0.7320712379</v>
      </c>
      <c r="O318" s="71" t="str">
        <f>IFERROR(__xludf.DUMMYFUNCTION("""COMPUTED_VALUE"""),"")</f>
        <v/>
      </c>
      <c r="P318" s="71" t="str">
        <f>IFERROR(__xludf.DUMMYFUNCTION("""COMPUTED_VALUE"""),"")</f>
        <v/>
      </c>
      <c r="Q318" s="78" t="str">
        <f>IFERROR(__xludf.DUMMYFUNCTION("""COMPUTED_VALUE"""),"")</f>
        <v/>
      </c>
      <c r="R318" s="78" t="str">
        <f>IFERROR(__xludf.DUMMYFUNCTION("""COMPUTED_VALUE"""),"")</f>
        <v/>
      </c>
      <c r="S318" s="61" t="str">
        <f>IFERROR(__xludf.DUMMYFUNCTION("""COMPUTED_VALUE"""),"")</f>
        <v/>
      </c>
      <c r="T318" s="61" t="str">
        <f>IFERROR(__xludf.DUMMYFUNCTION("""COMPUTED_VALUE"""),"")</f>
        <v/>
      </c>
      <c r="U318" s="133" t="str">
        <f>IFERROR(__xludf.DUMMYFUNCTION("""COMPUTED_VALUE"""),"")</f>
        <v/>
      </c>
      <c r="V318" s="78" t="str">
        <f>IFERROR(__xludf.DUMMYFUNCTION("""COMPUTED_VALUE"""),"")</f>
        <v/>
      </c>
      <c r="W318" s="62" t="str">
        <f>IFERROR(__xludf.DUMMYFUNCTION("""COMPUTED_VALUE"""),"")</f>
        <v/>
      </c>
      <c r="X318" s="62" t="str">
        <f>IFERROR(__xludf.DUMMYFUNCTION("""COMPUTED_VALUE"""),"")</f>
        <v/>
      </c>
      <c r="Y318" s="109" t="str">
        <f>IFERROR(__xludf.DUMMYFUNCTION("""COMPUTED_VALUE"""),"")</f>
        <v/>
      </c>
      <c r="Z318" s="113" t="str">
        <f>IFERROR(__xludf.DUMMYFUNCTION("""COMPUTED_VALUE"""),"")</f>
        <v/>
      </c>
      <c r="AA318" s="113" t="str">
        <f>IFERROR(__xludf.DUMMYFUNCTION("""COMPUTED_VALUE"""),"")</f>
        <v/>
      </c>
      <c r="AB318" s="71"/>
    </row>
    <row r="319">
      <c r="A319" s="105">
        <f>IFERROR(__xludf.DUMMYFUNCTION("""COMPUTED_VALUE"""),45993.791255833334)</f>
        <v>45993.79126</v>
      </c>
      <c r="B319" s="71" t="str">
        <f>IFERROR(__xludf.DUMMYFUNCTION("""COMPUTED_VALUE"""),"Kyra Turner")</f>
        <v>Kyra Turner</v>
      </c>
      <c r="C319" s="71" t="b">
        <f>IFERROR(__xludf.DUMMYFUNCTION("""COMPUTED_VALUE"""),TRUE)</f>
        <v>1</v>
      </c>
      <c r="D319" s="132">
        <f>IFERROR(__xludf.DUMMYFUNCTION("""COMPUTED_VALUE"""),0.7493055555532919)</f>
        <v>0.7493055556</v>
      </c>
      <c r="E319" s="78">
        <f>IFERROR(__xludf.DUMMYFUNCTION("""COMPUTED_VALUE"""),0.04097222222480923)</f>
        <v>0.04097222222</v>
      </c>
      <c r="F319" s="132">
        <f>IFERROR(__xludf.DUMMYFUNCTION("""COMPUTED_VALUE"""),0.7902777777781012)</f>
        <v>0.7902777778</v>
      </c>
      <c r="G319" s="78" t="str">
        <f>IFERROR(__xludf.DUMMYFUNCTION("""COMPUTED_VALUE"""),"")</f>
        <v/>
      </c>
      <c r="H319" s="110">
        <f>IFERROR(__xludf.DUMMYFUNCTION("""COMPUTED_VALUE"""),73.0)</f>
        <v>73</v>
      </c>
      <c r="I319" s="108" t="str">
        <f>IFERROR(__xludf.DUMMYFUNCTION("""COMPUTED_VALUE"""),"")</f>
        <v/>
      </c>
      <c r="J319" s="71" t="str">
        <f>IFERROR(__xludf.DUMMYFUNCTION("""COMPUTED_VALUE"""),"Dinner")</f>
        <v>Dinner</v>
      </c>
      <c r="K319" s="106">
        <f>IFERROR(__xludf.DUMMYFUNCTION("""COMPUTED_VALUE"""),45993.0)</f>
        <v>45993</v>
      </c>
      <c r="L319" s="71" t="str">
        <f>IFERROR(__xludf.DUMMYFUNCTION("""COMPUTED_VALUE"""),"Tuesday")</f>
        <v>Tuesday</v>
      </c>
      <c r="M319" s="71" t="str">
        <f>IFERROR(__xludf.DUMMYFUNCTION("""COMPUTED_VALUE"""),"BF")</f>
        <v>BF</v>
      </c>
      <c r="N319" s="109" t="str">
        <f>IFERROR(__xludf.DUMMYFUNCTION("""COMPUTED_VALUE"""),"")</f>
        <v/>
      </c>
      <c r="O319" s="71" t="str">
        <f>IFERROR(__xludf.DUMMYFUNCTION("""COMPUTED_VALUE"""),"")</f>
        <v/>
      </c>
      <c r="P319" s="71" t="str">
        <f>IFERROR(__xludf.DUMMYFUNCTION("""COMPUTED_VALUE"""),"")</f>
        <v/>
      </c>
      <c r="Q319" s="78" t="str">
        <f>IFERROR(__xludf.DUMMYFUNCTION("""COMPUTED_VALUE"""),"")</f>
        <v/>
      </c>
      <c r="R319" s="78" t="str">
        <f>IFERROR(__xludf.DUMMYFUNCTION("""COMPUTED_VALUE"""),"")</f>
        <v/>
      </c>
      <c r="S319" s="61" t="str">
        <f>IFERROR(__xludf.DUMMYFUNCTION("""COMPUTED_VALUE"""),"")</f>
        <v/>
      </c>
      <c r="T319" s="61" t="str">
        <f>IFERROR(__xludf.DUMMYFUNCTION("""COMPUTED_VALUE"""),"")</f>
        <v/>
      </c>
      <c r="U319" s="133" t="str">
        <f>IFERROR(__xludf.DUMMYFUNCTION("""COMPUTED_VALUE"""),"")</f>
        <v/>
      </c>
      <c r="V319" s="78" t="str">
        <f>IFERROR(__xludf.DUMMYFUNCTION("""COMPUTED_VALUE"""),"")</f>
        <v/>
      </c>
      <c r="W319" s="62" t="str">
        <f>IFERROR(__xludf.DUMMYFUNCTION("""COMPUTED_VALUE"""),"")</f>
        <v/>
      </c>
      <c r="X319" s="62" t="str">
        <f>IFERROR(__xludf.DUMMYFUNCTION("""COMPUTED_VALUE"""),"")</f>
        <v/>
      </c>
      <c r="Y319" s="109" t="str">
        <f>IFERROR(__xludf.DUMMYFUNCTION("""COMPUTED_VALUE"""),"")</f>
        <v/>
      </c>
      <c r="Z319" s="113" t="str">
        <f>IFERROR(__xludf.DUMMYFUNCTION("""COMPUTED_VALUE"""),"")</f>
        <v/>
      </c>
      <c r="AA319" s="113" t="str">
        <f>IFERROR(__xludf.DUMMYFUNCTION("""COMPUTED_VALUE"""),"")</f>
        <v/>
      </c>
      <c r="AB319" s="71"/>
    </row>
    <row r="320">
      <c r="A320" s="105">
        <f>IFERROR(__xludf.DUMMYFUNCTION("""COMPUTED_VALUE"""),45993.936993043986)</f>
        <v>45993.93699</v>
      </c>
      <c r="B320" s="71" t="str">
        <f>IFERROR(__xludf.DUMMYFUNCTION("""COMPUTED_VALUE"""),"Kaylie Forgue")</f>
        <v>Kaylie Forgue</v>
      </c>
      <c r="C320" s="71" t="b">
        <f>IFERROR(__xludf.DUMMYFUNCTION("""COMPUTED_VALUE"""),FALSE)</f>
        <v>0</v>
      </c>
      <c r="D320" s="132">
        <f>IFERROR(__xludf.DUMMYFUNCTION("""COMPUTED_VALUE"""),0.7881944444452529)</f>
        <v>0.7881944444</v>
      </c>
      <c r="E320" s="78">
        <f>IFERROR(__xludf.DUMMYFUNCTION("""COMPUTED_VALUE"""),0.07083333333139308)</f>
        <v>0.07083333333</v>
      </c>
      <c r="F320" s="132">
        <f>IFERROR(__xludf.DUMMYFUNCTION("""COMPUTED_VALUE"""),0.859027777776646)</f>
        <v>0.8590277778</v>
      </c>
      <c r="G320" s="78">
        <f>IFERROR(__xludf.DUMMYFUNCTION("""COMPUTED_VALUE"""),0.07083333333139308)</f>
        <v>0.07083333333</v>
      </c>
      <c r="H320" s="110">
        <f>IFERROR(__xludf.DUMMYFUNCTION("""COMPUTED_VALUE"""),105.0)</f>
        <v>105</v>
      </c>
      <c r="I320" s="108">
        <f>IFERROR(__xludf.DUMMYFUNCTION("""COMPUTED_VALUE"""),61.76470588404479)</f>
        <v>61.76470588</v>
      </c>
      <c r="J320" s="71" t="str">
        <f>IFERROR(__xludf.DUMMYFUNCTION("""COMPUTED_VALUE"""),"Dinner")</f>
        <v>Dinner</v>
      </c>
      <c r="K320" s="106">
        <f>IFERROR(__xludf.DUMMYFUNCTION("""COMPUTED_VALUE"""),45993.0)</f>
        <v>45993</v>
      </c>
      <c r="L320" s="71" t="str">
        <f>IFERROR(__xludf.DUMMYFUNCTION("""COMPUTED_VALUE"""),"Tuesday")</f>
        <v>Tuesday</v>
      </c>
      <c r="M320" s="71" t="str">
        <f>IFERROR(__xludf.DUMMYFUNCTION("""COMPUTED_VALUE"""),"BF")</f>
        <v>BF</v>
      </c>
      <c r="N320" s="109">
        <f>IFERROR(__xludf.DUMMYFUNCTION("""COMPUTED_VALUE"""),1.4576263617667096)</f>
        <v>1.457626362</v>
      </c>
      <c r="O320" s="71">
        <f>IFERROR(__xludf.DUMMYFUNCTION("""COMPUTED_VALUE"""),135.0)</f>
        <v>135</v>
      </c>
      <c r="P320" s="71">
        <f>IFERROR(__xludf.DUMMYFUNCTION("""COMPUTED_VALUE"""),586.0)</f>
        <v>586</v>
      </c>
      <c r="Q320" s="78">
        <f>IFERROR(__xludf.DUMMYFUNCTION("""COMPUTED_VALUE"""),0.15625)</f>
        <v>0.15625</v>
      </c>
      <c r="R320" s="78">
        <f>IFERROR(__xludf.DUMMYFUNCTION("""COMPUTED_VALUE"""),0.4923611111007631)</f>
        <v>0.4923611111</v>
      </c>
      <c r="S320" s="61">
        <f>IFERROR(__xludf.DUMMYFUNCTION("""COMPUTED_VALUE"""),36.0)</f>
        <v>36</v>
      </c>
      <c r="T320" s="61">
        <f>IFERROR(__xludf.DUMMYFUNCTION("""COMPUTED_VALUE"""),46.33131461102005)</f>
        <v>46.33131461</v>
      </c>
      <c r="U320" s="133">
        <f>IFERROR(__xludf.DUMMYFUNCTION("""COMPUTED_VALUE"""),721.0)</f>
        <v>721</v>
      </c>
      <c r="V320" s="78">
        <f>IFERROR(__xludf.DUMMYFUNCTION("""COMPUTED_VALUE"""),0.6486111111007631)</f>
        <v>0.6486111111</v>
      </c>
      <c r="W320" s="62">
        <f>IFERROR(__xludf.DUMMYFUNCTION("""COMPUTED_VALUE"""),46.316916488961645)</f>
        <v>46.31691649</v>
      </c>
      <c r="X320" s="62">
        <f>IFERROR(__xludf.DUMMYFUNCTION("""COMPUTED_VALUE"""),44.85541252373147)</f>
        <v>44.85541252</v>
      </c>
      <c r="Y320" s="109">
        <f>IFERROR(__xludf.DUMMYFUNCTION("""COMPUTED_VALUE"""),0.8846932569504993)</f>
        <v>0.884693257</v>
      </c>
      <c r="Z320" s="113" t="str">
        <f>IFERROR(__xludf.DUMMYFUNCTION("""COMPUTED_VALUE"""),"")</f>
        <v/>
      </c>
      <c r="AA320" s="113" t="str">
        <f>IFERROR(__xludf.DUMMYFUNCTION("""COMPUTED_VALUE"""),"")</f>
        <v/>
      </c>
      <c r="AB320" s="71"/>
    </row>
    <row r="321">
      <c r="A321" s="105">
        <f>IFERROR(__xludf.DUMMYFUNCTION("""COMPUTED_VALUE"""),45994.63012290509)</f>
        <v>45994.63012</v>
      </c>
      <c r="B321" s="71" t="str">
        <f>IFERROR(__xludf.DUMMYFUNCTION("""COMPUTED_VALUE"""),"Brynn Hornig")</f>
        <v>Brynn Hornig</v>
      </c>
      <c r="C321" s="71" t="b">
        <f>IFERROR(__xludf.DUMMYFUNCTION("""COMPUTED_VALUE"""),FALSE)</f>
        <v>0</v>
      </c>
      <c r="D321" s="132">
        <f>IFERROR(__xludf.DUMMYFUNCTION("""COMPUTED_VALUE"""),0.5833333333357587)</f>
        <v>0.5833333333</v>
      </c>
      <c r="E321" s="78">
        <f>IFERROR(__xludf.DUMMYFUNCTION("""COMPUTED_VALUE"""),0.052083333328482695)</f>
        <v>0.05208333333</v>
      </c>
      <c r="F321" s="132">
        <f>IFERROR(__xludf.DUMMYFUNCTION("""COMPUTED_VALUE"""),0.6354166666642413)</f>
        <v>0.6354166667</v>
      </c>
      <c r="G321" s="78">
        <f>IFERROR(__xludf.DUMMYFUNCTION("""COMPUTED_VALUE"""),0.052083333328482695)</f>
        <v>0.05208333333</v>
      </c>
      <c r="H321" s="110">
        <f>IFERROR(__xludf.DUMMYFUNCTION("""COMPUTED_VALUE"""),56.0)</f>
        <v>56</v>
      </c>
      <c r="I321" s="108">
        <f>IFERROR(__xludf.DUMMYFUNCTION("""COMPUTED_VALUE"""),44.800000004172325)</f>
        <v>44.8</v>
      </c>
      <c r="J321" s="71" t="str">
        <f>IFERROR(__xludf.DUMMYFUNCTION("""COMPUTED_VALUE"""),"Lunch")</f>
        <v>Lunch</v>
      </c>
      <c r="K321" s="106">
        <f>IFERROR(__xludf.DUMMYFUNCTION("""COMPUTED_VALUE"""),45994.0)</f>
        <v>45994</v>
      </c>
      <c r="L321" s="71" t="str">
        <f>IFERROR(__xludf.DUMMYFUNCTION("""COMPUTED_VALUE"""),"Wednesday")</f>
        <v>Wednesday</v>
      </c>
      <c r="M321" s="71" t="str">
        <f>IFERROR(__xludf.DUMMYFUNCTION("""COMPUTED_VALUE"""),"MF")</f>
        <v>MF</v>
      </c>
      <c r="N321" s="109">
        <f>IFERROR(__xludf.DUMMYFUNCTION("""COMPUTED_VALUE"""),0.9316089768626021)</f>
        <v>0.9316089769</v>
      </c>
      <c r="O321" s="71" t="str">
        <f>IFERROR(__xludf.DUMMYFUNCTION("""COMPUTED_VALUE"""),"")</f>
        <v/>
      </c>
      <c r="P321" s="71" t="str">
        <f>IFERROR(__xludf.DUMMYFUNCTION("""COMPUTED_VALUE"""),"")</f>
        <v/>
      </c>
      <c r="Q321" s="78" t="str">
        <f>IFERROR(__xludf.DUMMYFUNCTION("""COMPUTED_VALUE"""),"")</f>
        <v/>
      </c>
      <c r="R321" s="78" t="str">
        <f>IFERROR(__xludf.DUMMYFUNCTION("""COMPUTED_VALUE"""),"")</f>
        <v/>
      </c>
      <c r="S321" s="61" t="str">
        <f>IFERROR(__xludf.DUMMYFUNCTION("""COMPUTED_VALUE"""),"")</f>
        <v/>
      </c>
      <c r="T321" s="61" t="str">
        <f>IFERROR(__xludf.DUMMYFUNCTION("""COMPUTED_VALUE"""),"")</f>
        <v/>
      </c>
      <c r="U321" s="133" t="str">
        <f>IFERROR(__xludf.DUMMYFUNCTION("""COMPUTED_VALUE"""),"")</f>
        <v/>
      </c>
      <c r="V321" s="78" t="str">
        <f>IFERROR(__xludf.DUMMYFUNCTION("""COMPUTED_VALUE"""),"")</f>
        <v/>
      </c>
      <c r="W321" s="62" t="str">
        <f>IFERROR(__xludf.DUMMYFUNCTION("""COMPUTED_VALUE"""),"")</f>
        <v/>
      </c>
      <c r="X321" s="62" t="str">
        <f>IFERROR(__xludf.DUMMYFUNCTION("""COMPUTED_VALUE"""),"")</f>
        <v/>
      </c>
      <c r="Y321" s="109" t="str">
        <f>IFERROR(__xludf.DUMMYFUNCTION("""COMPUTED_VALUE"""),"")</f>
        <v/>
      </c>
      <c r="Z321" s="113" t="str">
        <f>IFERROR(__xludf.DUMMYFUNCTION("""COMPUTED_VALUE"""),"")</f>
        <v/>
      </c>
      <c r="AA321" s="113" t="str">
        <f>IFERROR(__xludf.DUMMYFUNCTION("""COMPUTED_VALUE"""),"")</f>
        <v/>
      </c>
      <c r="AB321" s="71"/>
    </row>
    <row r="322">
      <c r="A322" s="105">
        <f>IFERROR(__xludf.DUMMYFUNCTION("""COMPUTED_VALUE"""),45994.71561569444)</f>
        <v>45994.71562</v>
      </c>
      <c r="B322" s="71" t="str">
        <f>IFERROR(__xludf.DUMMYFUNCTION("""COMPUTED_VALUE"""),"Orpheus Wilson")</f>
        <v>Orpheus Wilson</v>
      </c>
      <c r="C322" s="71" t="b">
        <f>IFERROR(__xludf.DUMMYFUNCTION("""COMPUTED_VALUE"""),FALSE)</f>
        <v>0</v>
      </c>
      <c r="D322" s="132">
        <f>IFERROR(__xludf.DUMMYFUNCTION("""COMPUTED_VALUE"""),0.6805555555547471)</f>
        <v>0.6805555556</v>
      </c>
      <c r="E322" s="78">
        <f>IFERROR(__xludf.DUMMYFUNCTION("""COMPUTED_VALUE"""),0.02916666666715173)</f>
        <v>0.02916666667</v>
      </c>
      <c r="F322" s="132">
        <f>IFERROR(__xludf.DUMMYFUNCTION("""COMPUTED_VALUE"""),0.7097222222218988)</f>
        <v>0.7097222222</v>
      </c>
      <c r="G322" s="78">
        <f>IFERROR(__xludf.DUMMYFUNCTION("""COMPUTED_VALUE"""),0.0625)</f>
        <v>0.0625</v>
      </c>
      <c r="H322" s="110">
        <f>IFERROR(__xludf.DUMMYFUNCTION("""COMPUTED_VALUE"""),105.0)</f>
        <v>105</v>
      </c>
      <c r="I322" s="108">
        <f>IFERROR(__xludf.DUMMYFUNCTION("""COMPUTED_VALUE"""),70.0)</f>
        <v>70</v>
      </c>
      <c r="J322" s="71" t="str">
        <f>IFERROR(__xludf.DUMMYFUNCTION("""COMPUTED_VALUE"""),"Dinner")</f>
        <v>Dinner</v>
      </c>
      <c r="K322" s="106">
        <f>IFERROR(__xludf.DUMMYFUNCTION("""COMPUTED_VALUE"""),45994.0)</f>
        <v>45994</v>
      </c>
      <c r="L322" s="71" t="str">
        <f>IFERROR(__xludf.DUMMYFUNCTION("""COMPUTED_VALUE"""),"Wednesday")</f>
        <v>Wednesday</v>
      </c>
      <c r="M322" s="71" t="str">
        <f>IFERROR(__xludf.DUMMYFUNCTION("""COMPUTED_VALUE"""),"MF")</f>
        <v>MF</v>
      </c>
      <c r="N322" s="109">
        <f>IFERROR(__xludf.DUMMYFUNCTION("""COMPUTED_VALUE"""),1.3793490308704446)</f>
        <v>1.379349031</v>
      </c>
      <c r="O322" s="71" t="str">
        <f>IFERROR(__xludf.DUMMYFUNCTION("""COMPUTED_VALUE"""),"")</f>
        <v/>
      </c>
      <c r="P322" s="71" t="str">
        <f>IFERROR(__xludf.DUMMYFUNCTION("""COMPUTED_VALUE"""),"")</f>
        <v/>
      </c>
      <c r="Q322" s="78" t="str">
        <f>IFERROR(__xludf.DUMMYFUNCTION("""COMPUTED_VALUE"""),"")</f>
        <v/>
      </c>
      <c r="R322" s="78" t="str">
        <f>IFERROR(__xludf.DUMMYFUNCTION("""COMPUTED_VALUE"""),"")</f>
        <v/>
      </c>
      <c r="S322" s="61" t="str">
        <f>IFERROR(__xludf.DUMMYFUNCTION("""COMPUTED_VALUE"""),"")</f>
        <v/>
      </c>
      <c r="T322" s="61" t="str">
        <f>IFERROR(__xludf.DUMMYFUNCTION("""COMPUTED_VALUE"""),"")</f>
        <v/>
      </c>
      <c r="U322" s="133" t="str">
        <f>IFERROR(__xludf.DUMMYFUNCTION("""COMPUTED_VALUE"""),"")</f>
        <v/>
      </c>
      <c r="V322" s="78" t="str">
        <f>IFERROR(__xludf.DUMMYFUNCTION("""COMPUTED_VALUE"""),"")</f>
        <v/>
      </c>
      <c r="W322" s="62" t="str">
        <f>IFERROR(__xludf.DUMMYFUNCTION("""COMPUTED_VALUE"""),"")</f>
        <v/>
      </c>
      <c r="X322" s="62" t="str">
        <f>IFERROR(__xludf.DUMMYFUNCTION("""COMPUTED_VALUE"""),"")</f>
        <v/>
      </c>
      <c r="Y322" s="109" t="str">
        <f>IFERROR(__xludf.DUMMYFUNCTION("""COMPUTED_VALUE"""),"")</f>
        <v/>
      </c>
      <c r="Z322" s="113" t="str">
        <f>IFERROR(__xludf.DUMMYFUNCTION("""COMPUTED_VALUE"""),"")</f>
        <v/>
      </c>
      <c r="AA322" s="113" t="str">
        <f>IFERROR(__xludf.DUMMYFUNCTION("""COMPUTED_VALUE"""),"")</f>
        <v/>
      </c>
      <c r="AB322" s="71"/>
    </row>
    <row r="323">
      <c r="A323" s="105">
        <f>IFERROR(__xludf.DUMMYFUNCTION("""COMPUTED_VALUE"""),45994.75331414352)</f>
        <v>45994.75331</v>
      </c>
      <c r="B323" s="71" t="str">
        <f>IFERROR(__xludf.DUMMYFUNCTION("""COMPUTED_VALUE"""),"Orpheus Wilson")</f>
        <v>Orpheus Wilson</v>
      </c>
      <c r="C323" s="71" t="b">
        <f>IFERROR(__xludf.DUMMYFUNCTION("""COMPUTED_VALUE"""),TRUE)</f>
        <v>1</v>
      </c>
      <c r="D323" s="132">
        <f>IFERROR(__xludf.DUMMYFUNCTION("""COMPUTED_VALUE"""),0.7166666666671517)</f>
        <v>0.7166666667</v>
      </c>
      <c r="E323" s="78">
        <f>IFERROR(__xludf.DUMMYFUNCTION("""COMPUTED_VALUE"""),0.03333333333284827)</f>
        <v>0.03333333333</v>
      </c>
      <c r="F323" s="132">
        <f>IFERROR(__xludf.DUMMYFUNCTION("""COMPUTED_VALUE"""),0.75)</f>
        <v>0.75</v>
      </c>
      <c r="G323" s="78" t="str">
        <f>IFERROR(__xludf.DUMMYFUNCTION("""COMPUTED_VALUE"""),"")</f>
        <v/>
      </c>
      <c r="H323" s="110">
        <f>IFERROR(__xludf.DUMMYFUNCTION("""COMPUTED_VALUE"""),121.0)</f>
        <v>121</v>
      </c>
      <c r="I323" s="108" t="str">
        <f>IFERROR(__xludf.DUMMYFUNCTION("""COMPUTED_VALUE"""),"")</f>
        <v/>
      </c>
      <c r="J323" s="71" t="str">
        <f>IFERROR(__xludf.DUMMYFUNCTION("""COMPUTED_VALUE"""),"Dinner")</f>
        <v>Dinner</v>
      </c>
      <c r="K323" s="106">
        <f>IFERROR(__xludf.DUMMYFUNCTION("""COMPUTED_VALUE"""),45994.0)</f>
        <v>45994</v>
      </c>
      <c r="L323" s="71" t="str">
        <f>IFERROR(__xludf.DUMMYFUNCTION("""COMPUTED_VALUE"""),"Wednesday")</f>
        <v>Wednesday</v>
      </c>
      <c r="M323" s="71" t="str">
        <f>IFERROR(__xludf.DUMMYFUNCTION("""COMPUTED_VALUE"""),"MF")</f>
        <v>MF</v>
      </c>
      <c r="N323" s="109" t="str">
        <f>IFERROR(__xludf.DUMMYFUNCTION("""COMPUTED_VALUE"""),"")</f>
        <v/>
      </c>
      <c r="O323" s="71">
        <f>IFERROR(__xludf.DUMMYFUNCTION("""COMPUTED_VALUE"""),282.0)</f>
        <v>282</v>
      </c>
      <c r="P323" s="71" t="str">
        <f>IFERROR(__xludf.DUMMYFUNCTION("""COMPUTED_VALUE"""),"")</f>
        <v/>
      </c>
      <c r="Q323" s="78">
        <f>IFERROR(__xludf.DUMMYFUNCTION("""COMPUTED_VALUE"""),0.1145833333284827)</f>
        <v>0.1145833333</v>
      </c>
      <c r="R323" s="78" t="str">
        <f>IFERROR(__xludf.DUMMYFUNCTION("""COMPUTED_VALUE"""),"")</f>
        <v/>
      </c>
      <c r="S323" s="61">
        <f>IFERROR(__xludf.DUMMYFUNCTION("""COMPUTED_VALUE"""),57.40000000208616)</f>
        <v>57.4</v>
      </c>
      <c r="T323" s="61" t="str">
        <f>IFERROR(__xludf.DUMMYFUNCTION("""COMPUTED_VALUE"""),"")</f>
        <v/>
      </c>
      <c r="U323" s="133">
        <f>IFERROR(__xludf.DUMMYFUNCTION("""COMPUTED_VALUE"""),282.0)</f>
        <v>282</v>
      </c>
      <c r="V323" s="78">
        <f>IFERROR(__xludf.DUMMYFUNCTION("""COMPUTED_VALUE"""),0.1145833333284827)</f>
        <v>0.1145833333</v>
      </c>
      <c r="W323" s="62">
        <f>IFERROR(__xludf.DUMMYFUNCTION("""COMPUTED_VALUE"""),102.54545454979558)</f>
        <v>102.5454545</v>
      </c>
      <c r="X323" s="62">
        <f>IFERROR(__xludf.DUMMYFUNCTION("""COMPUTED_VALUE"""),57.40000000208616)</f>
        <v>57.4</v>
      </c>
      <c r="Y323" s="109">
        <f>IFERROR(__xludf.DUMMYFUNCTION("""COMPUTED_VALUE"""),0.8288110128348407)</f>
        <v>0.8288110128</v>
      </c>
      <c r="Z323" s="113" t="str">
        <f>IFERROR(__xludf.DUMMYFUNCTION("""COMPUTED_VALUE"""),"")</f>
        <v/>
      </c>
      <c r="AA323" s="113" t="str">
        <f>IFERROR(__xludf.DUMMYFUNCTION("""COMPUTED_VALUE"""),"")</f>
        <v/>
      </c>
      <c r="AB323" s="71"/>
    </row>
    <row r="324">
      <c r="A324" s="105">
        <f>IFERROR(__xludf.DUMMYFUNCTION("""COMPUTED_VALUE"""),45995.4357283912)</f>
        <v>45995.43573</v>
      </c>
      <c r="B324" s="71" t="str">
        <f>IFERROR(__xludf.DUMMYFUNCTION("""COMPUTED_VALUE"""),"Evan Morgan")</f>
        <v>Evan Morgan</v>
      </c>
      <c r="C324" s="71" t="b">
        <f>IFERROR(__xludf.DUMMYFUNCTION("""COMPUTED_VALUE"""),FALSE)</f>
        <v>0</v>
      </c>
      <c r="D324" s="132">
        <f>IFERROR(__xludf.DUMMYFUNCTION("""COMPUTED_VALUE"""),0.29166666666424135)</f>
        <v>0.2916666667</v>
      </c>
      <c r="E324" s="78">
        <f>IFERROR(__xludf.DUMMYFUNCTION("""COMPUTED_VALUE"""),0.1423611111167702)</f>
        <v>0.1423611111</v>
      </c>
      <c r="F324" s="132">
        <f>IFERROR(__xludf.DUMMYFUNCTION("""COMPUTED_VALUE"""),0.43402777778101154)</f>
        <v>0.4340277778</v>
      </c>
      <c r="G324" s="78">
        <f>IFERROR(__xludf.DUMMYFUNCTION("""COMPUTED_VALUE"""),0.1423611111167702)</f>
        <v>0.1423611111</v>
      </c>
      <c r="H324" s="110">
        <f>IFERROR(__xludf.DUMMYFUNCTION("""COMPUTED_VALUE"""),97.0)</f>
        <v>97</v>
      </c>
      <c r="I324" s="108">
        <f>IFERROR(__xludf.DUMMYFUNCTION("""COMPUTED_VALUE"""),28.390243901310466)</f>
        <v>28.3902439</v>
      </c>
      <c r="J324" s="71" t="str">
        <f>IFERROR(__xludf.DUMMYFUNCTION("""COMPUTED_VALUE"""),"Breakfast")</f>
        <v>Breakfast</v>
      </c>
      <c r="K324" s="106">
        <f>IFERROR(__xludf.DUMMYFUNCTION("""COMPUTED_VALUE"""),45995.0)</f>
        <v>45995</v>
      </c>
      <c r="L324" s="71" t="str">
        <f>IFERROR(__xludf.DUMMYFUNCTION("""COMPUTED_VALUE"""),"Thursday")</f>
        <v>Thursday</v>
      </c>
      <c r="M324" s="71" t="str">
        <f>IFERROR(__xludf.DUMMYFUNCTION("""COMPUTED_VALUE"""),"BF")</f>
        <v>BF</v>
      </c>
      <c r="N324" s="109">
        <f>IFERROR(__xludf.DUMMYFUNCTION("""COMPUTED_VALUE"""),1.2023601576997827)</f>
        <v>1.202360158</v>
      </c>
      <c r="O324" s="71" t="str">
        <f>IFERROR(__xludf.DUMMYFUNCTION("""COMPUTED_VALUE"""),"")</f>
        <v/>
      </c>
      <c r="P324" s="71" t="str">
        <f>IFERROR(__xludf.DUMMYFUNCTION("""COMPUTED_VALUE"""),"")</f>
        <v/>
      </c>
      <c r="Q324" s="78" t="str">
        <f>IFERROR(__xludf.DUMMYFUNCTION("""COMPUTED_VALUE"""),"")</f>
        <v/>
      </c>
      <c r="R324" s="78" t="str">
        <f>IFERROR(__xludf.DUMMYFUNCTION("""COMPUTED_VALUE"""),"")</f>
        <v/>
      </c>
      <c r="S324" s="61" t="str">
        <f>IFERROR(__xludf.DUMMYFUNCTION("""COMPUTED_VALUE"""),"")</f>
        <v/>
      </c>
      <c r="T324" s="61" t="str">
        <f>IFERROR(__xludf.DUMMYFUNCTION("""COMPUTED_VALUE"""),"")</f>
        <v/>
      </c>
      <c r="U324" s="133" t="str">
        <f>IFERROR(__xludf.DUMMYFUNCTION("""COMPUTED_VALUE"""),"")</f>
        <v/>
      </c>
      <c r="V324" s="78" t="str">
        <f>IFERROR(__xludf.DUMMYFUNCTION("""COMPUTED_VALUE"""),"")</f>
        <v/>
      </c>
      <c r="W324" s="62" t="str">
        <f>IFERROR(__xludf.DUMMYFUNCTION("""COMPUTED_VALUE"""),"")</f>
        <v/>
      </c>
      <c r="X324" s="62" t="str">
        <f>IFERROR(__xludf.DUMMYFUNCTION("""COMPUTED_VALUE"""),"")</f>
        <v/>
      </c>
      <c r="Y324" s="109" t="str">
        <f>IFERROR(__xludf.DUMMYFUNCTION("""COMPUTED_VALUE"""),"")</f>
        <v/>
      </c>
      <c r="Z324" s="113" t="str">
        <f>IFERROR(__xludf.DUMMYFUNCTION("""COMPUTED_VALUE"""),"")</f>
        <v/>
      </c>
      <c r="AA324" s="113" t="str">
        <f>IFERROR(__xludf.DUMMYFUNCTION("""COMPUTED_VALUE"""),"")</f>
        <v/>
      </c>
      <c r="AB324" s="71"/>
    </row>
    <row r="325">
      <c r="A325" s="105">
        <f>IFERROR(__xludf.DUMMYFUNCTION("""COMPUTED_VALUE"""),45995.55992611111)</f>
        <v>45995.55993</v>
      </c>
      <c r="B325" s="71" t="str">
        <f>IFERROR(__xludf.DUMMYFUNCTION("""COMPUTED_VALUE"""),"Maureen Surgot")</f>
        <v>Maureen Surgot</v>
      </c>
      <c r="C325" s="71" t="b">
        <f>IFERROR(__xludf.DUMMYFUNCTION("""COMPUTED_VALUE"""),FALSE)</f>
        <v>0</v>
      </c>
      <c r="D325" s="132">
        <f>IFERROR(__xludf.DUMMYFUNCTION("""COMPUTED_VALUE"""),0.47916666666424135)</f>
        <v>0.4791666667</v>
      </c>
      <c r="E325" s="78">
        <f>IFERROR(__xludf.DUMMYFUNCTION("""COMPUTED_VALUE"""),0.08333333333575865)</f>
        <v>0.08333333334</v>
      </c>
      <c r="F325" s="132">
        <f>IFERROR(__xludf.DUMMYFUNCTION("""COMPUTED_VALUE"""),0.5625)</f>
        <v>0.5625</v>
      </c>
      <c r="G325" s="78">
        <f>IFERROR(__xludf.DUMMYFUNCTION("""COMPUTED_VALUE"""),0.08333333333575865)</f>
        <v>0.08333333334</v>
      </c>
      <c r="H325" s="110">
        <f>IFERROR(__xludf.DUMMYFUNCTION("""COMPUTED_VALUE"""),82.0)</f>
        <v>82</v>
      </c>
      <c r="I325" s="108">
        <f>IFERROR(__xludf.DUMMYFUNCTION("""COMPUTED_VALUE"""),40.99999999880674)</f>
        <v>41</v>
      </c>
      <c r="J325" s="71" t="str">
        <f>IFERROR(__xludf.DUMMYFUNCTION("""COMPUTED_VALUE"""),"Lunch")</f>
        <v>Lunch</v>
      </c>
      <c r="K325" s="106">
        <f>IFERROR(__xludf.DUMMYFUNCTION("""COMPUTED_VALUE"""),45995.0)</f>
        <v>45995</v>
      </c>
      <c r="L325" s="71" t="str">
        <f>IFERROR(__xludf.DUMMYFUNCTION("""COMPUTED_VALUE"""),"Thursday")</f>
        <v>Thursday</v>
      </c>
      <c r="M325" s="71" t="str">
        <f>IFERROR(__xludf.DUMMYFUNCTION("""COMPUTED_VALUE"""),"MF")</f>
        <v>MF</v>
      </c>
      <c r="N325" s="109">
        <f>IFERROR(__xludf.DUMMYFUNCTION("""COMPUTED_VALUE"""),0.8525885724709322)</f>
        <v>0.8525885725</v>
      </c>
      <c r="O325" s="71" t="str">
        <f>IFERROR(__xludf.DUMMYFUNCTION("""COMPUTED_VALUE"""),"")</f>
        <v/>
      </c>
      <c r="P325" s="71" t="str">
        <f>IFERROR(__xludf.DUMMYFUNCTION("""COMPUTED_VALUE"""),"")</f>
        <v/>
      </c>
      <c r="Q325" s="78" t="str">
        <f>IFERROR(__xludf.DUMMYFUNCTION("""COMPUTED_VALUE"""),"")</f>
        <v/>
      </c>
      <c r="R325" s="78" t="str">
        <f>IFERROR(__xludf.DUMMYFUNCTION("""COMPUTED_VALUE"""),"")</f>
        <v/>
      </c>
      <c r="S325" s="61" t="str">
        <f>IFERROR(__xludf.DUMMYFUNCTION("""COMPUTED_VALUE"""),"")</f>
        <v/>
      </c>
      <c r="T325" s="61" t="str">
        <f>IFERROR(__xludf.DUMMYFUNCTION("""COMPUTED_VALUE"""),"")</f>
        <v/>
      </c>
      <c r="U325" s="133" t="str">
        <f>IFERROR(__xludf.DUMMYFUNCTION("""COMPUTED_VALUE"""),"")</f>
        <v/>
      </c>
      <c r="V325" s="78" t="str">
        <f>IFERROR(__xludf.DUMMYFUNCTION("""COMPUTED_VALUE"""),"")</f>
        <v/>
      </c>
      <c r="W325" s="62" t="str">
        <f>IFERROR(__xludf.DUMMYFUNCTION("""COMPUTED_VALUE"""),"")</f>
        <v/>
      </c>
      <c r="X325" s="62" t="str">
        <f>IFERROR(__xludf.DUMMYFUNCTION("""COMPUTED_VALUE"""),"")</f>
        <v/>
      </c>
      <c r="Y325" s="109" t="str">
        <f>IFERROR(__xludf.DUMMYFUNCTION("""COMPUTED_VALUE"""),"")</f>
        <v/>
      </c>
      <c r="Z325" s="113" t="str">
        <f>IFERROR(__xludf.DUMMYFUNCTION("""COMPUTED_VALUE"""),"")</f>
        <v/>
      </c>
      <c r="AA325" s="113" t="str">
        <f>IFERROR(__xludf.DUMMYFUNCTION("""COMPUTED_VALUE"""),"")</f>
        <v/>
      </c>
      <c r="AB325" s="71"/>
    </row>
    <row r="326">
      <c r="A326" s="105">
        <f>IFERROR(__xludf.DUMMYFUNCTION("""COMPUTED_VALUE"""),45995.57763167824)</f>
        <v>45995.57763</v>
      </c>
      <c r="B326" s="71" t="str">
        <f>IFERROR(__xludf.DUMMYFUNCTION("""COMPUTED_VALUE"""),"Greta Traynor")</f>
        <v>Greta Traynor</v>
      </c>
      <c r="C326" s="71" t="b">
        <f>IFERROR(__xludf.DUMMYFUNCTION("""COMPUTED_VALUE"""),FALSE)</f>
        <v>0</v>
      </c>
      <c r="D326" s="132">
        <f>IFERROR(__xludf.DUMMYFUNCTION("""COMPUTED_VALUE"""),0.5222222222218988)</f>
        <v>0.5222222222</v>
      </c>
      <c r="E326" s="78">
        <f>IFERROR(__xludf.DUMMYFUNCTION("""COMPUTED_VALUE"""),0.047916666662786156)</f>
        <v>0.04791666666</v>
      </c>
      <c r="F326" s="132">
        <f>IFERROR(__xludf.DUMMYFUNCTION("""COMPUTED_VALUE"""),0.570138888884685)</f>
        <v>0.5701388889</v>
      </c>
      <c r="G326" s="78">
        <f>IFERROR(__xludf.DUMMYFUNCTION("""COMPUTED_VALUE"""),0.047916666662786156)</f>
        <v>0.04791666666</v>
      </c>
      <c r="H326" s="110">
        <f>IFERROR(__xludf.DUMMYFUNCTION("""COMPUTED_VALUE"""),61.0)</f>
        <v>61</v>
      </c>
      <c r="I326" s="108">
        <f>IFERROR(__xludf.DUMMYFUNCTION("""COMPUTED_VALUE"""),53.04347826516527)</f>
        <v>53.04347827</v>
      </c>
      <c r="J326" s="71" t="str">
        <f>IFERROR(__xludf.DUMMYFUNCTION("""COMPUTED_VALUE"""),"Lunch")</f>
        <v>Lunch</v>
      </c>
      <c r="K326" s="106">
        <f>IFERROR(__xludf.DUMMYFUNCTION("""COMPUTED_VALUE"""),45995.0)</f>
        <v>45995</v>
      </c>
      <c r="L326" s="71" t="str">
        <f>IFERROR(__xludf.DUMMYFUNCTION("""COMPUTED_VALUE"""),"Thursday")</f>
        <v>Thursday</v>
      </c>
      <c r="M326" s="71" t="str">
        <f>IFERROR(__xludf.DUMMYFUNCTION("""COMPUTED_VALUE"""),"BF")</f>
        <v>BF</v>
      </c>
      <c r="N326" s="109">
        <f>IFERROR(__xludf.DUMMYFUNCTION("""COMPUTED_VALUE"""),1.3660179659530285)</f>
        <v>1.366017966</v>
      </c>
      <c r="O326" s="71" t="str">
        <f>IFERROR(__xludf.DUMMYFUNCTION("""COMPUTED_VALUE"""),"")</f>
        <v/>
      </c>
      <c r="P326" s="71" t="str">
        <f>IFERROR(__xludf.DUMMYFUNCTION("""COMPUTED_VALUE"""),"")</f>
        <v/>
      </c>
      <c r="Q326" s="78" t="str">
        <f>IFERROR(__xludf.DUMMYFUNCTION("""COMPUTED_VALUE"""),"")</f>
        <v/>
      </c>
      <c r="R326" s="78" t="str">
        <f>IFERROR(__xludf.DUMMYFUNCTION("""COMPUTED_VALUE"""),"")</f>
        <v/>
      </c>
      <c r="S326" s="61" t="str">
        <f>IFERROR(__xludf.DUMMYFUNCTION("""COMPUTED_VALUE"""),"")</f>
        <v/>
      </c>
      <c r="T326" s="61" t="str">
        <f>IFERROR(__xludf.DUMMYFUNCTION("""COMPUTED_VALUE"""),"")</f>
        <v/>
      </c>
      <c r="U326" s="133" t="str">
        <f>IFERROR(__xludf.DUMMYFUNCTION("""COMPUTED_VALUE"""),"")</f>
        <v/>
      </c>
      <c r="V326" s="78" t="str">
        <f>IFERROR(__xludf.DUMMYFUNCTION("""COMPUTED_VALUE"""),"")</f>
        <v/>
      </c>
      <c r="W326" s="62" t="str">
        <f>IFERROR(__xludf.DUMMYFUNCTION("""COMPUTED_VALUE"""),"")</f>
        <v/>
      </c>
      <c r="X326" s="62" t="str">
        <f>IFERROR(__xludf.DUMMYFUNCTION("""COMPUTED_VALUE"""),"")</f>
        <v/>
      </c>
      <c r="Y326" s="109" t="str">
        <f>IFERROR(__xludf.DUMMYFUNCTION("""COMPUTED_VALUE"""),"")</f>
        <v/>
      </c>
      <c r="Z326" s="113" t="str">
        <f>IFERROR(__xludf.DUMMYFUNCTION("""COMPUTED_VALUE"""),"")</f>
        <v/>
      </c>
      <c r="AA326" s="113" t="str">
        <f>IFERROR(__xludf.DUMMYFUNCTION("""COMPUTED_VALUE"""),"")</f>
        <v/>
      </c>
      <c r="AB326" s="71"/>
    </row>
    <row r="327">
      <c r="A327" s="105">
        <f>IFERROR(__xludf.DUMMYFUNCTION("""COMPUTED_VALUE"""),45995.60812497685)</f>
        <v>45995.60812</v>
      </c>
      <c r="B327" s="71" t="str">
        <f>IFERROR(__xludf.DUMMYFUNCTION("""COMPUTED_VALUE"""),"Brynn Hornig")</f>
        <v>Brynn Hornig</v>
      </c>
      <c r="C327" s="71" t="b">
        <f>IFERROR(__xludf.DUMMYFUNCTION("""COMPUTED_VALUE"""),FALSE)</f>
        <v>0</v>
      </c>
      <c r="D327" s="132">
        <f>IFERROR(__xludf.DUMMYFUNCTION("""COMPUTED_VALUE"""),0.5625)</f>
        <v>0.5625</v>
      </c>
      <c r="E327" s="78">
        <f>IFERROR(__xludf.DUMMYFUNCTION("""COMPUTED_VALUE"""),0.04444444444379769)</f>
        <v>0.04444444444</v>
      </c>
      <c r="F327" s="132">
        <f>IFERROR(__xludf.DUMMYFUNCTION("""COMPUTED_VALUE"""),0.6069444444437977)</f>
        <v>0.6069444444</v>
      </c>
      <c r="G327" s="78">
        <f>IFERROR(__xludf.DUMMYFUNCTION("""COMPUTED_VALUE"""),0.07569444444379769)</f>
        <v>0.07569444444</v>
      </c>
      <c r="H327" s="110">
        <f>IFERROR(__xludf.DUMMYFUNCTION("""COMPUTED_VALUE"""),58.0)</f>
        <v>58</v>
      </c>
      <c r="I327" s="108">
        <f>IFERROR(__xludf.DUMMYFUNCTION("""COMPUTED_VALUE"""),31.926605504859946)</f>
        <v>31.9266055</v>
      </c>
      <c r="J327" s="71" t="str">
        <f>IFERROR(__xludf.DUMMYFUNCTION("""COMPUTED_VALUE"""),"Lunch")</f>
        <v>Lunch</v>
      </c>
      <c r="K327" s="106">
        <f>IFERROR(__xludf.DUMMYFUNCTION("""COMPUTED_VALUE"""),45995.0)</f>
        <v>45995</v>
      </c>
      <c r="L327" s="71" t="str">
        <f>IFERROR(__xludf.DUMMYFUNCTION("""COMPUTED_VALUE"""),"Thursday")</f>
        <v>Thursday</v>
      </c>
      <c r="M327" s="71" t="str">
        <f>IFERROR(__xludf.DUMMYFUNCTION("""COMPUTED_VALUE"""),"MF")</f>
        <v>MF</v>
      </c>
      <c r="N327" s="109">
        <f>IFERROR(__xludf.DUMMYFUNCTION("""COMPUTED_VALUE"""),0.6639087563908137)</f>
        <v>0.6639087564</v>
      </c>
      <c r="O327" s="71" t="str">
        <f>IFERROR(__xludf.DUMMYFUNCTION("""COMPUTED_VALUE"""),"")</f>
        <v/>
      </c>
      <c r="P327" s="71" t="str">
        <f>IFERROR(__xludf.DUMMYFUNCTION("""COMPUTED_VALUE"""),"")</f>
        <v/>
      </c>
      <c r="Q327" s="78" t="str">
        <f>IFERROR(__xludf.DUMMYFUNCTION("""COMPUTED_VALUE"""),"")</f>
        <v/>
      </c>
      <c r="R327" s="78" t="str">
        <f>IFERROR(__xludf.DUMMYFUNCTION("""COMPUTED_VALUE"""),"")</f>
        <v/>
      </c>
      <c r="S327" s="61" t="str">
        <f>IFERROR(__xludf.DUMMYFUNCTION("""COMPUTED_VALUE"""),"")</f>
        <v/>
      </c>
      <c r="T327" s="61" t="str">
        <f>IFERROR(__xludf.DUMMYFUNCTION("""COMPUTED_VALUE"""),"")</f>
        <v/>
      </c>
      <c r="U327" s="133" t="str">
        <f>IFERROR(__xludf.DUMMYFUNCTION("""COMPUTED_VALUE"""),"")</f>
        <v/>
      </c>
      <c r="V327" s="78" t="str">
        <f>IFERROR(__xludf.DUMMYFUNCTION("""COMPUTED_VALUE"""),"")</f>
        <v/>
      </c>
      <c r="W327" s="62" t="str">
        <f>IFERROR(__xludf.DUMMYFUNCTION("""COMPUTED_VALUE"""),"")</f>
        <v/>
      </c>
      <c r="X327" s="62" t="str">
        <f>IFERROR(__xludf.DUMMYFUNCTION("""COMPUTED_VALUE"""),"")</f>
        <v/>
      </c>
      <c r="Y327" s="109" t="str">
        <f>IFERROR(__xludf.DUMMYFUNCTION("""COMPUTED_VALUE"""),"")</f>
        <v/>
      </c>
      <c r="Z327" s="113" t="str">
        <f>IFERROR(__xludf.DUMMYFUNCTION("""COMPUTED_VALUE"""),"")</f>
        <v/>
      </c>
      <c r="AA327" s="113" t="str">
        <f>IFERROR(__xludf.DUMMYFUNCTION("""COMPUTED_VALUE"""),"")</f>
        <v/>
      </c>
      <c r="AB327" s="71"/>
    </row>
    <row r="328">
      <c r="A328" s="105">
        <f>IFERROR(__xludf.DUMMYFUNCTION("""COMPUTED_VALUE"""),45995.63317320602)</f>
        <v>45995.63317</v>
      </c>
      <c r="B328" s="71" t="str">
        <f>IFERROR(__xludf.DUMMYFUNCTION("""COMPUTED_VALUE"""),"Brynn Hornig")</f>
        <v>Brynn Hornig</v>
      </c>
      <c r="C328" s="71" t="b">
        <f>IFERROR(__xludf.DUMMYFUNCTION("""COMPUTED_VALUE"""),TRUE)</f>
        <v>1</v>
      </c>
      <c r="D328" s="132">
        <f>IFERROR(__xludf.DUMMYFUNCTION("""COMPUTED_VALUE"""),0.6041666666642413)</f>
        <v>0.6041666667</v>
      </c>
      <c r="E328" s="78">
        <f>IFERROR(__xludf.DUMMYFUNCTION("""COMPUTED_VALUE"""),0.03125)</f>
        <v>0.03125</v>
      </c>
      <c r="F328" s="132">
        <f>IFERROR(__xludf.DUMMYFUNCTION("""COMPUTED_VALUE"""),0.6354166666642413)</f>
        <v>0.6354166667</v>
      </c>
      <c r="G328" s="78" t="str">
        <f>IFERROR(__xludf.DUMMYFUNCTION("""COMPUTED_VALUE"""),"")</f>
        <v/>
      </c>
      <c r="H328" s="110">
        <f>IFERROR(__xludf.DUMMYFUNCTION("""COMPUTED_VALUE"""),16.0)</f>
        <v>16</v>
      </c>
      <c r="I328" s="108" t="str">
        <f>IFERROR(__xludf.DUMMYFUNCTION("""COMPUTED_VALUE"""),"")</f>
        <v/>
      </c>
      <c r="J328" s="71" t="str">
        <f>IFERROR(__xludf.DUMMYFUNCTION("""COMPUTED_VALUE"""),"Lunch")</f>
        <v>Lunch</v>
      </c>
      <c r="K328" s="106">
        <f>IFERROR(__xludf.DUMMYFUNCTION("""COMPUTED_VALUE"""),45995.0)</f>
        <v>45995</v>
      </c>
      <c r="L328" s="71" t="str">
        <f>IFERROR(__xludf.DUMMYFUNCTION("""COMPUTED_VALUE"""),"Thursday")</f>
        <v>Thursday</v>
      </c>
      <c r="M328" s="71" t="str">
        <f>IFERROR(__xludf.DUMMYFUNCTION("""COMPUTED_VALUE"""),"MF")</f>
        <v>MF</v>
      </c>
      <c r="N328" s="109" t="str">
        <f>IFERROR(__xludf.DUMMYFUNCTION("""COMPUTED_VALUE"""),"")</f>
        <v/>
      </c>
      <c r="O328" s="71" t="str">
        <f>IFERROR(__xludf.DUMMYFUNCTION("""COMPUTED_VALUE"""),"")</f>
        <v/>
      </c>
      <c r="P328" s="71" t="str">
        <f>IFERROR(__xludf.DUMMYFUNCTION("""COMPUTED_VALUE"""),"")</f>
        <v/>
      </c>
      <c r="Q328" s="78" t="str">
        <f>IFERROR(__xludf.DUMMYFUNCTION("""COMPUTED_VALUE"""),"")</f>
        <v/>
      </c>
      <c r="R328" s="78" t="str">
        <f>IFERROR(__xludf.DUMMYFUNCTION("""COMPUTED_VALUE"""),"")</f>
        <v/>
      </c>
      <c r="S328" s="61" t="str">
        <f>IFERROR(__xludf.DUMMYFUNCTION("""COMPUTED_VALUE"""),"")</f>
        <v/>
      </c>
      <c r="T328" s="61" t="str">
        <f>IFERROR(__xludf.DUMMYFUNCTION("""COMPUTED_VALUE"""),"")</f>
        <v/>
      </c>
      <c r="U328" s="133" t="str">
        <f>IFERROR(__xludf.DUMMYFUNCTION("""COMPUTED_VALUE"""),"")</f>
        <v/>
      </c>
      <c r="V328" s="78" t="str">
        <f>IFERROR(__xludf.DUMMYFUNCTION("""COMPUTED_VALUE"""),"")</f>
        <v/>
      </c>
      <c r="W328" s="62" t="str">
        <f>IFERROR(__xludf.DUMMYFUNCTION("""COMPUTED_VALUE"""),"")</f>
        <v/>
      </c>
      <c r="X328" s="62" t="str">
        <f>IFERROR(__xludf.DUMMYFUNCTION("""COMPUTED_VALUE"""),"")</f>
        <v/>
      </c>
      <c r="Y328" s="109" t="str">
        <f>IFERROR(__xludf.DUMMYFUNCTION("""COMPUTED_VALUE"""),"")</f>
        <v/>
      </c>
      <c r="Z328" s="113" t="str">
        <f>IFERROR(__xludf.DUMMYFUNCTION("""COMPUTED_VALUE"""),"")</f>
        <v/>
      </c>
      <c r="AA328" s="113" t="str">
        <f>IFERROR(__xludf.DUMMYFUNCTION("""COMPUTED_VALUE"""),"")</f>
        <v/>
      </c>
      <c r="AB328" s="71"/>
    </row>
    <row r="329">
      <c r="A329" s="105">
        <f>IFERROR(__xludf.DUMMYFUNCTION("""COMPUTED_VALUE"""),45995.65524061343)</f>
        <v>45995.65524</v>
      </c>
      <c r="B329" s="71" t="str">
        <f>IFERROR(__xludf.DUMMYFUNCTION("""COMPUTED_VALUE"""),"Emmett Khan")</f>
        <v>Emmett Khan</v>
      </c>
      <c r="C329" s="71" t="b">
        <f>IFERROR(__xludf.DUMMYFUNCTION("""COMPUTED_VALUE"""),FALSE)</f>
        <v>0</v>
      </c>
      <c r="D329" s="132">
        <f>IFERROR(__xludf.DUMMYFUNCTION("""COMPUTED_VALUE"""),0.5833333333357587)</f>
        <v>0.5833333333</v>
      </c>
      <c r="E329" s="78">
        <f>IFERROR(__xludf.DUMMYFUNCTION("""COMPUTED_VALUE"""),0.07291666666424135)</f>
        <v>0.07291666666</v>
      </c>
      <c r="F329" s="132">
        <f>IFERROR(__xludf.DUMMYFUNCTION("""COMPUTED_VALUE"""),0.65625)</f>
        <v>0.65625</v>
      </c>
      <c r="G329" s="78">
        <f>IFERROR(__xludf.DUMMYFUNCTION("""COMPUTED_VALUE"""),0.15625)</f>
        <v>0.15625</v>
      </c>
      <c r="H329" s="110">
        <f>IFERROR(__xludf.DUMMYFUNCTION("""COMPUTED_VALUE"""),78.0)</f>
        <v>78</v>
      </c>
      <c r="I329" s="108">
        <f>IFERROR(__xludf.DUMMYFUNCTION("""COMPUTED_VALUE"""),20.8)</f>
        <v>20.8</v>
      </c>
      <c r="J329" s="71" t="str">
        <f>IFERROR(__xludf.DUMMYFUNCTION("""COMPUTED_VALUE"""),"Lunch")</f>
        <v>Lunch</v>
      </c>
      <c r="K329" s="106">
        <f>IFERROR(__xludf.DUMMYFUNCTION("""COMPUTED_VALUE"""),45995.0)</f>
        <v>45995</v>
      </c>
      <c r="L329" s="71" t="str">
        <f>IFERROR(__xludf.DUMMYFUNCTION("""COMPUTED_VALUE"""),"Thursday")</f>
        <v>Thursday</v>
      </c>
      <c r="M329" s="71" t="str">
        <f>IFERROR(__xludf.DUMMYFUNCTION("""COMPUTED_VALUE"""),"BF")</f>
        <v>BF</v>
      </c>
      <c r="N329" s="109">
        <f>IFERROR(__xludf.DUMMYFUNCTION("""COMPUTED_VALUE"""),0.5356581925073813)</f>
        <v>0.5356581925</v>
      </c>
      <c r="O329" s="71" t="str">
        <f>IFERROR(__xludf.DUMMYFUNCTION("""COMPUTED_VALUE"""),"")</f>
        <v/>
      </c>
      <c r="P329" s="71" t="str">
        <f>IFERROR(__xludf.DUMMYFUNCTION("""COMPUTED_VALUE"""),"")</f>
        <v/>
      </c>
      <c r="Q329" s="78" t="str">
        <f>IFERROR(__xludf.DUMMYFUNCTION("""COMPUTED_VALUE"""),"")</f>
        <v/>
      </c>
      <c r="R329" s="78" t="str">
        <f>IFERROR(__xludf.DUMMYFUNCTION("""COMPUTED_VALUE"""),"")</f>
        <v/>
      </c>
      <c r="S329" s="61" t="str">
        <f>IFERROR(__xludf.DUMMYFUNCTION("""COMPUTED_VALUE"""),"")</f>
        <v/>
      </c>
      <c r="T329" s="61" t="str">
        <f>IFERROR(__xludf.DUMMYFUNCTION("""COMPUTED_VALUE"""),"")</f>
        <v/>
      </c>
      <c r="U329" s="133" t="str">
        <f>IFERROR(__xludf.DUMMYFUNCTION("""COMPUTED_VALUE"""),"")</f>
        <v/>
      </c>
      <c r="V329" s="78" t="str">
        <f>IFERROR(__xludf.DUMMYFUNCTION("""COMPUTED_VALUE"""),"")</f>
        <v/>
      </c>
      <c r="W329" s="62" t="str">
        <f>IFERROR(__xludf.DUMMYFUNCTION("""COMPUTED_VALUE"""),"")</f>
        <v/>
      </c>
      <c r="X329" s="62" t="str">
        <f>IFERROR(__xludf.DUMMYFUNCTION("""COMPUTED_VALUE"""),"")</f>
        <v/>
      </c>
      <c r="Y329" s="109" t="str">
        <f>IFERROR(__xludf.DUMMYFUNCTION("""COMPUTED_VALUE"""),"")</f>
        <v/>
      </c>
      <c r="Z329" s="113" t="str">
        <f>IFERROR(__xludf.DUMMYFUNCTION("""COMPUTED_VALUE"""),"")</f>
        <v/>
      </c>
      <c r="AA329" s="113" t="str">
        <f>IFERROR(__xludf.DUMMYFUNCTION("""COMPUTED_VALUE"""),"")</f>
        <v/>
      </c>
      <c r="AB329" s="71"/>
    </row>
    <row r="330">
      <c r="A330" s="105">
        <f>IFERROR(__xludf.DUMMYFUNCTION("""COMPUTED_VALUE"""),45995.767923692125)</f>
        <v>45995.76792</v>
      </c>
      <c r="B330" s="71" t="str">
        <f>IFERROR(__xludf.DUMMYFUNCTION("""COMPUTED_VALUE"""),"Emmett Khan")</f>
        <v>Emmett Khan</v>
      </c>
      <c r="C330" s="71" t="b">
        <f>IFERROR(__xludf.DUMMYFUNCTION("""COMPUTED_VALUE"""),TRUE)</f>
        <v>1</v>
      </c>
      <c r="D330" s="132">
        <f>IFERROR(__xludf.DUMMYFUNCTION("""COMPUTED_VALUE"""),0.6875)</f>
        <v>0.6875</v>
      </c>
      <c r="E330" s="78">
        <f>IFERROR(__xludf.DUMMYFUNCTION("""COMPUTED_VALUE"""),0.08333333333575865)</f>
        <v>0.08333333334</v>
      </c>
      <c r="F330" s="132">
        <f>IFERROR(__xludf.DUMMYFUNCTION("""COMPUTED_VALUE"""),0.7708333333357587)</f>
        <v>0.7708333333</v>
      </c>
      <c r="G330" s="78" t="str">
        <f>IFERROR(__xludf.DUMMYFUNCTION("""COMPUTED_VALUE"""),"")</f>
        <v/>
      </c>
      <c r="H330" s="110">
        <f>IFERROR(__xludf.DUMMYFUNCTION("""COMPUTED_VALUE"""),100.0)</f>
        <v>100</v>
      </c>
      <c r="I330" s="108" t="str">
        <f>IFERROR(__xludf.DUMMYFUNCTION("""COMPUTED_VALUE"""),"")</f>
        <v/>
      </c>
      <c r="J330" s="71" t="str">
        <f>IFERROR(__xludf.DUMMYFUNCTION("""COMPUTED_VALUE"""),"Dinner")</f>
        <v>Dinner</v>
      </c>
      <c r="K330" s="106">
        <f>IFERROR(__xludf.DUMMYFUNCTION("""COMPUTED_VALUE"""),45995.0)</f>
        <v>45995</v>
      </c>
      <c r="L330" s="71" t="str">
        <f>IFERROR(__xludf.DUMMYFUNCTION("""COMPUTED_VALUE"""),"Thursday")</f>
        <v>Thursday</v>
      </c>
      <c r="M330" s="71" t="str">
        <f>IFERROR(__xludf.DUMMYFUNCTION("""COMPUTED_VALUE"""),"BF")</f>
        <v>BF</v>
      </c>
      <c r="N330" s="109" t="str">
        <f>IFERROR(__xludf.DUMMYFUNCTION("""COMPUTED_VALUE"""),"")</f>
        <v/>
      </c>
      <c r="O330" s="71">
        <f>IFERROR(__xludf.DUMMYFUNCTION("""COMPUTED_VALUE"""),156.0)</f>
        <v>156</v>
      </c>
      <c r="P330" s="71">
        <f>IFERROR(__xludf.DUMMYFUNCTION("""COMPUTED_VALUE"""),336.0)</f>
        <v>336</v>
      </c>
      <c r="Q330" s="78">
        <f>IFERROR(__xludf.DUMMYFUNCTION("""COMPUTED_VALUE"""),0.15902777777955635)</f>
        <v>0.1590277778</v>
      </c>
      <c r="R330" s="78">
        <f>IFERROR(__xludf.DUMMYFUNCTION("""COMPUTED_VALUE"""),0.34652777777955635)</f>
        <v>0.3465277778</v>
      </c>
      <c r="S330" s="61">
        <f>IFERROR(__xludf.DUMMYFUNCTION("""COMPUTED_VALUE"""),36.463302751833346)</f>
        <v>36.46330275</v>
      </c>
      <c r="T330" s="61">
        <f>IFERROR(__xludf.DUMMYFUNCTION("""COMPUTED_VALUE"""),34.077907388825246)</f>
        <v>34.07790739</v>
      </c>
      <c r="U330" s="133">
        <f>IFERROR(__xludf.DUMMYFUNCTION("""COMPUTED_VALUE"""),492.0)</f>
        <v>492</v>
      </c>
      <c r="V330" s="78">
        <f>IFERROR(__xludf.DUMMYFUNCTION("""COMPUTED_VALUE"""),0.5055555555591127)</f>
        <v>0.5055555556</v>
      </c>
      <c r="W330" s="62">
        <f>IFERROR(__xludf.DUMMYFUNCTION("""COMPUTED_VALUE"""),40.54945054916524)</f>
        <v>40.54945055</v>
      </c>
      <c r="X330" s="62">
        <f>IFERROR(__xludf.DUMMYFUNCTION("""COMPUTED_VALUE"""),35.03206553402849)</f>
        <v>35.03206553</v>
      </c>
      <c r="Y330" s="109">
        <f>IFERROR(__xludf.DUMMYFUNCTION("""COMPUTED_VALUE"""),0.6439919972084677)</f>
        <v>0.6439919972</v>
      </c>
      <c r="Z330" s="113" t="str">
        <f>IFERROR(__xludf.DUMMYFUNCTION("""COMPUTED_VALUE"""),"")</f>
        <v/>
      </c>
      <c r="AA330" s="113" t="str">
        <f>IFERROR(__xludf.DUMMYFUNCTION("""COMPUTED_VALUE"""),"")</f>
        <v/>
      </c>
      <c r="AB330" s="71"/>
    </row>
    <row r="331">
      <c r="A331" s="105">
        <f>IFERROR(__xludf.DUMMYFUNCTION("""COMPUTED_VALUE"""),45996.59233339121)</f>
        <v>45996.59233</v>
      </c>
      <c r="B331" s="71" t="str">
        <f>IFERROR(__xludf.DUMMYFUNCTION("""COMPUTED_VALUE"""),"Greta Traynor")</f>
        <v>Greta Traynor</v>
      </c>
      <c r="C331" s="71" t="b">
        <f>IFERROR(__xludf.DUMMYFUNCTION("""COMPUTED_VALUE"""),FALSE)</f>
        <v>0</v>
      </c>
      <c r="D331" s="132">
        <f>IFERROR(__xludf.DUMMYFUNCTION("""COMPUTED_VALUE"""),0.5444444444437977)</f>
        <v>0.5444444444</v>
      </c>
      <c r="E331" s="78">
        <f>IFERROR(__xludf.DUMMYFUNCTION("""COMPUTED_VALUE"""),0.04652777777664596)</f>
        <v>0.04652777778</v>
      </c>
      <c r="F331" s="132">
        <f>IFERROR(__xludf.DUMMYFUNCTION("""COMPUTED_VALUE"""),0.5909722222204437)</f>
        <v>0.5909722222</v>
      </c>
      <c r="G331" s="78">
        <f>IFERROR(__xludf.DUMMYFUNCTION("""COMPUTED_VALUE"""),0.04652777777664596)</f>
        <v>0.04652777778</v>
      </c>
      <c r="H331" s="110">
        <f>IFERROR(__xludf.DUMMYFUNCTION("""COMPUTED_VALUE"""),42.0)</f>
        <v>42</v>
      </c>
      <c r="I331" s="108">
        <f>IFERROR(__xludf.DUMMYFUNCTION("""COMPUTED_VALUE"""),37.61194029942239)</f>
        <v>37.6119403</v>
      </c>
      <c r="J331" s="71" t="str">
        <f>IFERROR(__xludf.DUMMYFUNCTION("""COMPUTED_VALUE"""),"Lunch")</f>
        <v>Lunch</v>
      </c>
      <c r="K331" s="106">
        <f>IFERROR(__xludf.DUMMYFUNCTION("""COMPUTED_VALUE"""),45996.0)</f>
        <v>45996</v>
      </c>
      <c r="L331" s="71" t="str">
        <f>IFERROR(__xludf.DUMMYFUNCTION("""COMPUTED_VALUE"""),"Friday")</f>
        <v>Friday</v>
      </c>
      <c r="M331" s="71" t="str">
        <f>IFERROR(__xludf.DUMMYFUNCTION("""COMPUTED_VALUE"""),"BF")</f>
        <v>BF</v>
      </c>
      <c r="N331" s="109">
        <f>IFERROR(__xludf.DUMMYFUNCTION("""COMPUTED_VALUE"""),0.9686126902636603)</f>
        <v>0.9686126903</v>
      </c>
      <c r="O331" s="71" t="str">
        <f>IFERROR(__xludf.DUMMYFUNCTION("""COMPUTED_VALUE"""),"")</f>
        <v/>
      </c>
      <c r="P331" s="71" t="str">
        <f>IFERROR(__xludf.DUMMYFUNCTION("""COMPUTED_VALUE"""),"")</f>
        <v/>
      </c>
      <c r="Q331" s="78" t="str">
        <f>IFERROR(__xludf.DUMMYFUNCTION("""COMPUTED_VALUE"""),"")</f>
        <v/>
      </c>
      <c r="R331" s="78" t="str">
        <f>IFERROR(__xludf.DUMMYFUNCTION("""COMPUTED_VALUE"""),"")</f>
        <v/>
      </c>
      <c r="S331" s="61" t="str">
        <f>IFERROR(__xludf.DUMMYFUNCTION("""COMPUTED_VALUE"""),"")</f>
        <v/>
      </c>
      <c r="T331" s="61" t="str">
        <f>IFERROR(__xludf.DUMMYFUNCTION("""COMPUTED_VALUE"""),"")</f>
        <v/>
      </c>
      <c r="U331" s="133" t="str">
        <f>IFERROR(__xludf.DUMMYFUNCTION("""COMPUTED_VALUE"""),"")</f>
        <v/>
      </c>
      <c r="V331" s="78" t="str">
        <f>IFERROR(__xludf.DUMMYFUNCTION("""COMPUTED_VALUE"""),"")</f>
        <v/>
      </c>
      <c r="W331" s="62" t="str">
        <f>IFERROR(__xludf.DUMMYFUNCTION("""COMPUTED_VALUE"""),"")</f>
        <v/>
      </c>
      <c r="X331" s="62" t="str">
        <f>IFERROR(__xludf.DUMMYFUNCTION("""COMPUTED_VALUE"""),"")</f>
        <v/>
      </c>
      <c r="Y331" s="109" t="str">
        <f>IFERROR(__xludf.DUMMYFUNCTION("""COMPUTED_VALUE"""),"")</f>
        <v/>
      </c>
      <c r="Z331" s="113" t="str">
        <f>IFERROR(__xludf.DUMMYFUNCTION("""COMPUTED_VALUE"""),"")</f>
        <v/>
      </c>
      <c r="AA331" s="113" t="str">
        <f>IFERROR(__xludf.DUMMYFUNCTION("""COMPUTED_VALUE"""),"")</f>
        <v/>
      </c>
      <c r="AB331" s="71"/>
    </row>
    <row r="332">
      <c r="A332" s="105">
        <f>IFERROR(__xludf.DUMMYFUNCTION("""COMPUTED_VALUE"""),45996.63209414352)</f>
        <v>45996.63209</v>
      </c>
      <c r="B332" s="71" t="str">
        <f>IFERROR(__xludf.DUMMYFUNCTION("""COMPUTED_VALUE"""),"Brynn Hornig")</f>
        <v>Brynn Hornig</v>
      </c>
      <c r="C332" s="71" t="b">
        <f>IFERROR(__xludf.DUMMYFUNCTION("""COMPUTED_VALUE"""),FALSE)</f>
        <v>0</v>
      </c>
      <c r="D332" s="132">
        <f>IFERROR(__xludf.DUMMYFUNCTION("""COMPUTED_VALUE"""),0.5520833333357587)</f>
        <v>0.5520833333</v>
      </c>
      <c r="E332" s="78">
        <f>IFERROR(__xludf.DUMMYFUNCTION("""COMPUTED_VALUE"""),0.0833333333284827)</f>
        <v>0.08333333333</v>
      </c>
      <c r="F332" s="132">
        <f>IFERROR(__xludf.DUMMYFUNCTION("""COMPUTED_VALUE"""),0.6354166666642413)</f>
        <v>0.6354166667</v>
      </c>
      <c r="G332" s="78">
        <f>IFERROR(__xludf.DUMMYFUNCTION("""COMPUTED_VALUE"""),0.0833333333284827)</f>
        <v>0.08333333333</v>
      </c>
      <c r="H332" s="110">
        <f>IFERROR(__xludf.DUMMYFUNCTION("""COMPUTED_VALUE"""),144.0)</f>
        <v>144</v>
      </c>
      <c r="I332" s="108">
        <f>IFERROR(__xludf.DUMMYFUNCTION("""COMPUTED_VALUE"""),72.00000000419095)</f>
        <v>72</v>
      </c>
      <c r="J332" s="71" t="str">
        <f>IFERROR(__xludf.DUMMYFUNCTION("""COMPUTED_VALUE"""),"Lunch")</f>
        <v>Lunch</v>
      </c>
      <c r="K332" s="106">
        <f>IFERROR(__xludf.DUMMYFUNCTION("""COMPUTED_VALUE"""),45996.0)</f>
        <v>45996</v>
      </c>
      <c r="L332" s="71" t="str">
        <f>IFERROR(__xludf.DUMMYFUNCTION("""COMPUTED_VALUE"""),"Friday")</f>
        <v>Friday</v>
      </c>
      <c r="M332" s="71" t="str">
        <f>IFERROR(__xludf.DUMMYFUNCTION("""COMPUTED_VALUE"""),"MF")</f>
        <v>MF</v>
      </c>
      <c r="N332" s="109">
        <f>IFERROR(__xludf.DUMMYFUNCTION("""COMPUTED_VALUE"""),1.4972287127626063)</f>
        <v>1.497228713</v>
      </c>
      <c r="O332" s="71" t="str">
        <f>IFERROR(__xludf.DUMMYFUNCTION("""COMPUTED_VALUE"""),"")</f>
        <v/>
      </c>
      <c r="P332" s="71" t="str">
        <f>IFERROR(__xludf.DUMMYFUNCTION("""COMPUTED_VALUE"""),"")</f>
        <v/>
      </c>
      <c r="Q332" s="78" t="str">
        <f>IFERROR(__xludf.DUMMYFUNCTION("""COMPUTED_VALUE"""),"")</f>
        <v/>
      </c>
      <c r="R332" s="78" t="str">
        <f>IFERROR(__xludf.DUMMYFUNCTION("""COMPUTED_VALUE"""),"")</f>
        <v/>
      </c>
      <c r="S332" s="61" t="str">
        <f>IFERROR(__xludf.DUMMYFUNCTION("""COMPUTED_VALUE"""),"")</f>
        <v/>
      </c>
      <c r="T332" s="61" t="str">
        <f>IFERROR(__xludf.DUMMYFUNCTION("""COMPUTED_VALUE"""),"")</f>
        <v/>
      </c>
      <c r="U332" s="133" t="str">
        <f>IFERROR(__xludf.DUMMYFUNCTION("""COMPUTED_VALUE"""),"")</f>
        <v/>
      </c>
      <c r="V332" s="78" t="str">
        <f>IFERROR(__xludf.DUMMYFUNCTION("""COMPUTED_VALUE"""),"")</f>
        <v/>
      </c>
      <c r="W332" s="62" t="str">
        <f>IFERROR(__xludf.DUMMYFUNCTION("""COMPUTED_VALUE"""),"")</f>
        <v/>
      </c>
      <c r="X332" s="62" t="str">
        <f>IFERROR(__xludf.DUMMYFUNCTION("""COMPUTED_VALUE"""),"")</f>
        <v/>
      </c>
      <c r="Y332" s="109" t="str">
        <f>IFERROR(__xludf.DUMMYFUNCTION("""COMPUTED_VALUE"""),"")</f>
        <v/>
      </c>
      <c r="Z332" s="113" t="str">
        <f>IFERROR(__xludf.DUMMYFUNCTION("""COMPUTED_VALUE"""),"")</f>
        <v/>
      </c>
      <c r="AA332" s="113" t="str">
        <f>IFERROR(__xludf.DUMMYFUNCTION("""COMPUTED_VALUE"""),"")</f>
        <v/>
      </c>
      <c r="AB332" s="71"/>
    </row>
    <row r="333">
      <c r="A333" s="105">
        <f>IFERROR(__xludf.DUMMYFUNCTION("""COMPUTED_VALUE"""),45996.756024965274)</f>
        <v>45996.75602</v>
      </c>
      <c r="B333" s="71" t="str">
        <f>IFERROR(__xludf.DUMMYFUNCTION("""COMPUTED_VALUE"""),"Emmett Khan")</f>
        <v>Emmett Khan</v>
      </c>
      <c r="C333" s="71" t="b">
        <f>IFERROR(__xludf.DUMMYFUNCTION("""COMPUTED_VALUE"""),FALSE)</f>
        <v>0</v>
      </c>
      <c r="D333" s="132">
        <f>IFERROR(__xludf.DUMMYFUNCTION("""COMPUTED_VALUE"""),0.6666666666642413)</f>
        <v>0.6666666667</v>
      </c>
      <c r="E333" s="78">
        <f>IFERROR(__xludf.DUMMYFUNCTION("""COMPUTED_VALUE"""),0.09375)</f>
        <v>0.09375</v>
      </c>
      <c r="F333" s="132">
        <f>IFERROR(__xludf.DUMMYFUNCTION("""COMPUTED_VALUE"""),0.7604166666642413)</f>
        <v>0.7604166667</v>
      </c>
      <c r="G333" s="78">
        <f>IFERROR(__xludf.DUMMYFUNCTION("""COMPUTED_VALUE"""),0.09375)</f>
        <v>0.09375</v>
      </c>
      <c r="H333" s="110">
        <f>IFERROR(__xludf.DUMMYFUNCTION("""COMPUTED_VALUE"""),165.0)</f>
        <v>165</v>
      </c>
      <c r="I333" s="108">
        <f>IFERROR(__xludf.DUMMYFUNCTION("""COMPUTED_VALUE"""),73.33333333333333)</f>
        <v>73.33333333</v>
      </c>
      <c r="J333" s="71" t="str">
        <f>IFERROR(__xludf.DUMMYFUNCTION("""COMPUTED_VALUE"""),"Dinner")</f>
        <v>Dinner</v>
      </c>
      <c r="K333" s="106">
        <f>IFERROR(__xludf.DUMMYFUNCTION("""COMPUTED_VALUE"""),45996.0)</f>
        <v>45996</v>
      </c>
      <c r="L333" s="71" t="str">
        <f>IFERROR(__xludf.DUMMYFUNCTION("""COMPUTED_VALUE"""),"Friday")</f>
        <v>Friday</v>
      </c>
      <c r="M333" s="71" t="str">
        <f>IFERROR(__xludf.DUMMYFUNCTION("""COMPUTED_VALUE"""),"MF")</f>
        <v>MF</v>
      </c>
      <c r="N333" s="109">
        <f>IFERROR(__xludf.DUMMYFUNCTION("""COMPUTED_VALUE"""),1.4450323180547515)</f>
        <v>1.445032318</v>
      </c>
      <c r="O333" s="71">
        <f>IFERROR(__xludf.DUMMYFUNCTION("""COMPUTED_VALUE"""),309.0)</f>
        <v>309</v>
      </c>
      <c r="P333" s="71">
        <f>IFERROR(__xludf.DUMMYFUNCTION("""COMPUTED_VALUE"""),42.0)</f>
        <v>42</v>
      </c>
      <c r="Q333" s="78">
        <f>IFERROR(__xludf.DUMMYFUNCTION("""COMPUTED_VALUE"""),0.1770833333284827)</f>
        <v>0.1770833333</v>
      </c>
      <c r="R333" s="78">
        <f>IFERROR(__xludf.DUMMYFUNCTION("""COMPUTED_VALUE"""),0.04652777777664596)</f>
        <v>0.04652777778</v>
      </c>
      <c r="S333" s="61">
        <f>IFERROR(__xludf.DUMMYFUNCTION("""COMPUTED_VALUE"""),72.66666666876213)</f>
        <v>72.66666667</v>
      </c>
      <c r="T333" s="61">
        <f>IFERROR(__xludf.DUMMYFUNCTION("""COMPUTED_VALUE"""),37.61194029942239)</f>
        <v>37.6119403</v>
      </c>
      <c r="U333" s="133">
        <f>IFERROR(__xludf.DUMMYFUNCTION("""COMPUTED_VALUE"""),351.0)</f>
        <v>351</v>
      </c>
      <c r="V333" s="78">
        <f>IFERROR(__xludf.DUMMYFUNCTION("""COMPUTED_VALUE"""),0.22361111110512866)</f>
        <v>0.2236111111</v>
      </c>
      <c r="W333" s="62">
        <f>IFERROR(__xludf.DUMMYFUNCTION("""COMPUTED_VALUE"""),65.40372670982434)</f>
        <v>65.40372671</v>
      </c>
      <c r="X333" s="62">
        <f>IFERROR(__xludf.DUMMYFUNCTION("""COMPUTED_VALUE"""),60.98175787898223)</f>
        <v>60.98175788</v>
      </c>
      <c r="Y333" s="109">
        <f>IFERROR(__xludf.DUMMYFUNCTION("""COMPUTED_VALUE"""),1.338831384559806)</f>
        <v>1.338831385</v>
      </c>
      <c r="Z333" s="113" t="str">
        <f>IFERROR(__xludf.DUMMYFUNCTION("""COMPUTED_VALUE"""),"")</f>
        <v/>
      </c>
      <c r="AA333" s="113" t="str">
        <f>IFERROR(__xludf.DUMMYFUNCTION("""COMPUTED_VALUE"""),"")</f>
        <v/>
      </c>
      <c r="AB333" s="71"/>
    </row>
    <row r="334">
      <c r="A334" s="105">
        <f>IFERROR(__xludf.DUMMYFUNCTION("""COMPUTED_VALUE"""),45999.51320556713)</f>
        <v>45999.51321</v>
      </c>
      <c r="B334" s="71" t="str">
        <f>IFERROR(__xludf.DUMMYFUNCTION("""COMPUTED_VALUE"""),"Oluwatimilehin Shodipe")</f>
        <v>Oluwatimilehin Shodipe</v>
      </c>
      <c r="C334" s="71" t="b">
        <f>IFERROR(__xludf.DUMMYFUNCTION("""COMPUTED_VALUE"""),FALSE)</f>
        <v>0</v>
      </c>
      <c r="D334" s="132">
        <f>IFERROR(__xludf.DUMMYFUNCTION("""COMPUTED_VALUE"""),0.43888888889341615)</f>
        <v>0.4388888889</v>
      </c>
      <c r="E334" s="78">
        <f>IFERROR(__xludf.DUMMYFUNCTION("""COMPUTED_VALUE"""),0.06111111110658385)</f>
        <v>0.06111111111</v>
      </c>
      <c r="F334" s="132">
        <f>IFERROR(__xludf.DUMMYFUNCTION("""COMPUTED_VALUE"""),0.5)</f>
        <v>0.5</v>
      </c>
      <c r="G334" s="78">
        <f>IFERROR(__xludf.DUMMYFUNCTION("""COMPUTED_VALUE"""),0.11666666666133096)</f>
        <v>0.1166666667</v>
      </c>
      <c r="H334" s="110">
        <f>IFERROR(__xludf.DUMMYFUNCTION("""COMPUTED_VALUE"""),86.0)</f>
        <v>86</v>
      </c>
      <c r="I334" s="108">
        <f>IFERROR(__xludf.DUMMYFUNCTION("""COMPUTED_VALUE"""),30.71428571569042)</f>
        <v>30.71428572</v>
      </c>
      <c r="J334" s="71" t="str">
        <f>IFERROR(__xludf.DUMMYFUNCTION("""COMPUTED_VALUE"""),"Breakfast/Lunch")</f>
        <v>Breakfast/Lunch</v>
      </c>
      <c r="K334" s="106">
        <f>IFERROR(__xludf.DUMMYFUNCTION("""COMPUTED_VALUE"""),45999.0)</f>
        <v>45999</v>
      </c>
      <c r="L334" s="71" t="str">
        <f>IFERROR(__xludf.DUMMYFUNCTION("""COMPUTED_VALUE"""),"Monday")</f>
        <v>Monday</v>
      </c>
      <c r="M334" s="71" t="str">
        <f>IFERROR(__xludf.DUMMYFUNCTION("""COMPUTED_VALUE"""),"BF")</f>
        <v>BF</v>
      </c>
      <c r="N334" s="109">
        <f>IFERROR(__xludf.DUMMYFUNCTION("""COMPUTED_VALUE"""),0.5393882453281692)</f>
        <v>0.5393882453</v>
      </c>
      <c r="O334" s="71" t="str">
        <f>IFERROR(__xludf.DUMMYFUNCTION("""COMPUTED_VALUE"""),"")</f>
        <v/>
      </c>
      <c r="P334" s="71" t="str">
        <f>IFERROR(__xludf.DUMMYFUNCTION("""COMPUTED_VALUE"""),"")</f>
        <v/>
      </c>
      <c r="Q334" s="78" t="str">
        <f>IFERROR(__xludf.DUMMYFUNCTION("""COMPUTED_VALUE"""),"")</f>
        <v/>
      </c>
      <c r="R334" s="78" t="str">
        <f>IFERROR(__xludf.DUMMYFUNCTION("""COMPUTED_VALUE"""),"")</f>
        <v/>
      </c>
      <c r="S334" s="61" t="str">
        <f>IFERROR(__xludf.DUMMYFUNCTION("""COMPUTED_VALUE"""),"")</f>
        <v/>
      </c>
      <c r="T334" s="61" t="str">
        <f>IFERROR(__xludf.DUMMYFUNCTION("""COMPUTED_VALUE"""),"")</f>
        <v/>
      </c>
      <c r="U334" s="133" t="str">
        <f>IFERROR(__xludf.DUMMYFUNCTION("""COMPUTED_VALUE"""),"")</f>
        <v/>
      </c>
      <c r="V334" s="78" t="str">
        <f>IFERROR(__xludf.DUMMYFUNCTION("""COMPUTED_VALUE"""),"")</f>
        <v/>
      </c>
      <c r="W334" s="62" t="str">
        <f>IFERROR(__xludf.DUMMYFUNCTION("""COMPUTED_VALUE"""),"")</f>
        <v/>
      </c>
      <c r="X334" s="62" t="str">
        <f>IFERROR(__xludf.DUMMYFUNCTION("""COMPUTED_VALUE"""),"")</f>
        <v/>
      </c>
      <c r="Y334" s="109" t="str">
        <f>IFERROR(__xludf.DUMMYFUNCTION("""COMPUTED_VALUE"""),"")</f>
        <v/>
      </c>
      <c r="Z334" s="113" t="str">
        <f>IFERROR(__xludf.DUMMYFUNCTION("""COMPUTED_VALUE"""),"")</f>
        <v/>
      </c>
      <c r="AA334" s="113" t="str">
        <f>IFERROR(__xludf.DUMMYFUNCTION("""COMPUTED_VALUE"""),"")</f>
        <v/>
      </c>
      <c r="AB334" s="71"/>
    </row>
    <row r="335">
      <c r="A335" s="105">
        <f>IFERROR(__xludf.DUMMYFUNCTION("""COMPUTED_VALUE"""),45999.56462024305)</f>
        <v>45999.56462</v>
      </c>
      <c r="B335" s="71" t="str">
        <f>IFERROR(__xludf.DUMMYFUNCTION("""COMPUTED_VALUE"""),"Oluwatimilehin Shodipe")</f>
        <v>Oluwatimilehin Shodipe</v>
      </c>
      <c r="C335" s="71" t="b">
        <f>IFERROR(__xludf.DUMMYFUNCTION("""COMPUTED_VALUE"""),TRUE)</f>
        <v>1</v>
      </c>
      <c r="D335" s="132">
        <f>IFERROR(__xludf.DUMMYFUNCTION("""COMPUTED_VALUE"""),0.5069444444452529)</f>
        <v>0.5069444444</v>
      </c>
      <c r="E335" s="78">
        <f>IFERROR(__xludf.DUMMYFUNCTION("""COMPUTED_VALUE"""),0.055555555554747116)</f>
        <v>0.05555555555</v>
      </c>
      <c r="F335" s="132">
        <f>IFERROR(__xludf.DUMMYFUNCTION("""COMPUTED_VALUE"""),0.5625)</f>
        <v>0.5625</v>
      </c>
      <c r="G335" s="78" t="str">
        <f>IFERROR(__xludf.DUMMYFUNCTION("""COMPUTED_VALUE"""),"")</f>
        <v/>
      </c>
      <c r="H335" s="110">
        <f>IFERROR(__xludf.DUMMYFUNCTION("""COMPUTED_VALUE"""),99.0)</f>
        <v>99</v>
      </c>
      <c r="I335" s="108" t="str">
        <f>IFERROR(__xludf.DUMMYFUNCTION("""COMPUTED_VALUE"""),"")</f>
        <v/>
      </c>
      <c r="J335" s="71" t="str">
        <f>IFERROR(__xludf.DUMMYFUNCTION("""COMPUTED_VALUE"""),"Lunch")</f>
        <v>Lunch</v>
      </c>
      <c r="K335" s="106">
        <f>IFERROR(__xludf.DUMMYFUNCTION("""COMPUTED_VALUE"""),45999.0)</f>
        <v>45999</v>
      </c>
      <c r="L335" s="71" t="str">
        <f>IFERROR(__xludf.DUMMYFUNCTION("""COMPUTED_VALUE"""),"Monday")</f>
        <v>Monday</v>
      </c>
      <c r="M335" s="71" t="str">
        <f>IFERROR(__xludf.DUMMYFUNCTION("""COMPUTED_VALUE"""),"MF")</f>
        <v>MF</v>
      </c>
      <c r="N335" s="109" t="str">
        <f>IFERROR(__xludf.DUMMYFUNCTION("""COMPUTED_VALUE"""),"")</f>
        <v/>
      </c>
      <c r="O335" s="71" t="str">
        <f>IFERROR(__xludf.DUMMYFUNCTION("""COMPUTED_VALUE"""),"")</f>
        <v/>
      </c>
      <c r="P335" s="71" t="str">
        <f>IFERROR(__xludf.DUMMYFUNCTION("""COMPUTED_VALUE"""),"")</f>
        <v/>
      </c>
      <c r="Q335" s="78" t="str">
        <f>IFERROR(__xludf.DUMMYFUNCTION("""COMPUTED_VALUE"""),"")</f>
        <v/>
      </c>
      <c r="R335" s="78" t="str">
        <f>IFERROR(__xludf.DUMMYFUNCTION("""COMPUTED_VALUE"""),"")</f>
        <v/>
      </c>
      <c r="S335" s="61" t="str">
        <f>IFERROR(__xludf.DUMMYFUNCTION("""COMPUTED_VALUE"""),"")</f>
        <v/>
      </c>
      <c r="T335" s="61" t="str">
        <f>IFERROR(__xludf.DUMMYFUNCTION("""COMPUTED_VALUE"""),"")</f>
        <v/>
      </c>
      <c r="U335" s="133" t="str">
        <f>IFERROR(__xludf.DUMMYFUNCTION("""COMPUTED_VALUE"""),"")</f>
        <v/>
      </c>
      <c r="V335" s="78" t="str">
        <f>IFERROR(__xludf.DUMMYFUNCTION("""COMPUTED_VALUE"""),"")</f>
        <v/>
      </c>
      <c r="W335" s="62" t="str">
        <f>IFERROR(__xludf.DUMMYFUNCTION("""COMPUTED_VALUE"""),"")</f>
        <v/>
      </c>
      <c r="X335" s="62" t="str">
        <f>IFERROR(__xludf.DUMMYFUNCTION("""COMPUTED_VALUE"""),"")</f>
        <v/>
      </c>
      <c r="Y335" s="109" t="str">
        <f>IFERROR(__xludf.DUMMYFUNCTION("""COMPUTED_VALUE"""),"")</f>
        <v/>
      </c>
      <c r="Z335" s="113" t="str">
        <f>IFERROR(__xludf.DUMMYFUNCTION("""COMPUTED_VALUE"""),"")</f>
        <v/>
      </c>
      <c r="AA335" s="113" t="str">
        <f>IFERROR(__xludf.DUMMYFUNCTION("""COMPUTED_VALUE"""),"")</f>
        <v/>
      </c>
      <c r="AB335" s="71"/>
    </row>
    <row r="336">
      <c r="A336" s="105">
        <f>IFERROR(__xludf.DUMMYFUNCTION("""COMPUTED_VALUE"""),45999.651292511575)</f>
        <v>45999.65129</v>
      </c>
      <c r="B336" s="71" t="str">
        <f>IFERROR(__xludf.DUMMYFUNCTION("""COMPUTED_VALUE"""),"Greta Traynor")</f>
        <v>Greta Traynor</v>
      </c>
      <c r="C336" s="71" t="b">
        <f>IFERROR(__xludf.DUMMYFUNCTION("""COMPUTED_VALUE"""),FALSE)</f>
        <v>0</v>
      </c>
      <c r="D336" s="132">
        <f>IFERROR(__xludf.DUMMYFUNCTION("""COMPUTED_VALUE"""),0.5645833333328483)</f>
        <v>0.5645833333</v>
      </c>
      <c r="E336" s="78">
        <f>IFERROR(__xludf.DUMMYFUNCTION("""COMPUTED_VALUE"""),0.06874999999854481)</f>
        <v>0.06875</v>
      </c>
      <c r="F336" s="132">
        <f>IFERROR(__xludf.DUMMYFUNCTION("""COMPUTED_VALUE"""),0.6333333333313931)</f>
        <v>0.6333333333</v>
      </c>
      <c r="G336" s="78">
        <f>IFERROR(__xludf.DUMMYFUNCTION("""COMPUTED_VALUE"""),0.06874999999854481)</f>
        <v>0.06875</v>
      </c>
      <c r="H336" s="110">
        <f>IFERROR(__xludf.DUMMYFUNCTION("""COMPUTED_VALUE"""),51.0)</f>
        <v>51</v>
      </c>
      <c r="I336" s="108">
        <f>IFERROR(__xludf.DUMMYFUNCTION("""COMPUTED_VALUE"""),30.909090909745142)</f>
        <v>30.90909091</v>
      </c>
      <c r="J336" s="71" t="str">
        <f>IFERROR(__xludf.DUMMYFUNCTION("""COMPUTED_VALUE"""),"Lunch")</f>
        <v>Lunch</v>
      </c>
      <c r="K336" s="106">
        <f>IFERROR(__xludf.DUMMYFUNCTION("""COMPUTED_VALUE"""),45999.0)</f>
        <v>45999</v>
      </c>
      <c r="L336" s="71" t="str">
        <f>IFERROR(__xludf.DUMMYFUNCTION("""COMPUTED_VALUE"""),"Monday")</f>
        <v>Monday</v>
      </c>
      <c r="M336" s="71" t="str">
        <f>IFERROR(__xludf.DUMMYFUNCTION("""COMPUTED_VALUE"""),"MF")</f>
        <v>MF</v>
      </c>
      <c r="N336" s="109">
        <f>IFERROR(__xludf.DUMMYFUNCTION("""COMPUTED_VALUE"""),0.6427496998995328)</f>
        <v>0.6427496999</v>
      </c>
      <c r="O336" s="71" t="str">
        <f>IFERROR(__xludf.DUMMYFUNCTION("""COMPUTED_VALUE"""),"")</f>
        <v/>
      </c>
      <c r="P336" s="71" t="str">
        <f>IFERROR(__xludf.DUMMYFUNCTION("""COMPUTED_VALUE"""),"")</f>
        <v/>
      </c>
      <c r="Q336" s="78" t="str">
        <f>IFERROR(__xludf.DUMMYFUNCTION("""COMPUTED_VALUE"""),"")</f>
        <v/>
      </c>
      <c r="R336" s="78" t="str">
        <f>IFERROR(__xludf.DUMMYFUNCTION("""COMPUTED_VALUE"""),"")</f>
        <v/>
      </c>
      <c r="S336" s="61" t="str">
        <f>IFERROR(__xludf.DUMMYFUNCTION("""COMPUTED_VALUE"""),"")</f>
        <v/>
      </c>
      <c r="T336" s="61" t="str">
        <f>IFERROR(__xludf.DUMMYFUNCTION("""COMPUTED_VALUE"""),"")</f>
        <v/>
      </c>
      <c r="U336" s="133" t="str">
        <f>IFERROR(__xludf.DUMMYFUNCTION("""COMPUTED_VALUE"""),"")</f>
        <v/>
      </c>
      <c r="V336" s="78" t="str">
        <f>IFERROR(__xludf.DUMMYFUNCTION("""COMPUTED_VALUE"""),"")</f>
        <v/>
      </c>
      <c r="W336" s="62" t="str">
        <f>IFERROR(__xludf.DUMMYFUNCTION("""COMPUTED_VALUE"""),"")</f>
        <v/>
      </c>
      <c r="X336" s="62" t="str">
        <f>IFERROR(__xludf.DUMMYFUNCTION("""COMPUTED_VALUE"""),"")</f>
        <v/>
      </c>
      <c r="Y336" s="109" t="str">
        <f>IFERROR(__xludf.DUMMYFUNCTION("""COMPUTED_VALUE"""),"")</f>
        <v/>
      </c>
      <c r="Z336" s="113" t="str">
        <f>IFERROR(__xludf.DUMMYFUNCTION("""COMPUTED_VALUE"""),"")</f>
        <v/>
      </c>
      <c r="AA336" s="113" t="str">
        <f>IFERROR(__xludf.DUMMYFUNCTION("""COMPUTED_VALUE"""),"")</f>
        <v/>
      </c>
      <c r="AB336" s="71"/>
    </row>
    <row r="337">
      <c r="A337" s="105">
        <f>IFERROR(__xludf.DUMMYFUNCTION("""COMPUTED_VALUE"""),45999.77110831019)</f>
        <v>45999.77111</v>
      </c>
      <c r="B337" s="71" t="str">
        <f>IFERROR(__xludf.DUMMYFUNCTION("""COMPUTED_VALUE"""),"Maureen Surgot")</f>
        <v>Maureen Surgot</v>
      </c>
      <c r="C337" s="71" t="b">
        <f>IFERROR(__xludf.DUMMYFUNCTION("""COMPUTED_VALUE"""),FALSE)</f>
        <v>0</v>
      </c>
      <c r="D337" s="132">
        <f>IFERROR(__xludf.DUMMYFUNCTION("""COMPUTED_VALUE"""),0.6666666666642413)</f>
        <v>0.6666666667</v>
      </c>
      <c r="E337" s="78">
        <f>IFERROR(__xludf.DUMMYFUNCTION("""COMPUTED_VALUE"""),0.1041666666715173)</f>
        <v>0.1041666667</v>
      </c>
      <c r="F337" s="132">
        <f>IFERROR(__xludf.DUMMYFUNCTION("""COMPUTED_VALUE"""),0.7708333333357587)</f>
        <v>0.7708333333</v>
      </c>
      <c r="G337" s="78">
        <f>IFERROR(__xludf.DUMMYFUNCTION("""COMPUTED_VALUE"""),0.1041666666715173)</f>
        <v>0.1041666667</v>
      </c>
      <c r="H337" s="110">
        <f>IFERROR(__xludf.DUMMYFUNCTION("""COMPUTED_VALUE"""),107.0)</f>
        <v>107</v>
      </c>
      <c r="I337" s="108">
        <f>IFERROR(__xludf.DUMMYFUNCTION("""COMPUTED_VALUE"""),42.79999999800697)</f>
        <v>42.8</v>
      </c>
      <c r="J337" s="71" t="str">
        <f>IFERROR(__xludf.DUMMYFUNCTION("""COMPUTED_VALUE"""),"Dinner")</f>
        <v>Dinner</v>
      </c>
      <c r="K337" s="106">
        <f>IFERROR(__xludf.DUMMYFUNCTION("""COMPUTED_VALUE"""),45999.0)</f>
        <v>45999</v>
      </c>
      <c r="L337" s="71" t="str">
        <f>IFERROR(__xludf.DUMMYFUNCTION("""COMPUTED_VALUE"""),"Monday")</f>
        <v>Monday</v>
      </c>
      <c r="M337" s="71" t="str">
        <f>IFERROR(__xludf.DUMMYFUNCTION("""COMPUTED_VALUE"""),"MF")</f>
        <v>MF</v>
      </c>
      <c r="N337" s="109">
        <f>IFERROR(__xludf.DUMMYFUNCTION("""COMPUTED_VALUE"""),0.8433734074072278)</f>
        <v>0.8433734074</v>
      </c>
      <c r="O337" s="71" t="str">
        <f>IFERROR(__xludf.DUMMYFUNCTION("""COMPUTED_VALUE"""),"")</f>
        <v/>
      </c>
      <c r="P337" s="71" t="str">
        <f>IFERROR(__xludf.DUMMYFUNCTION("""COMPUTED_VALUE"""),"")</f>
        <v/>
      </c>
      <c r="Q337" s="78" t="str">
        <f>IFERROR(__xludf.DUMMYFUNCTION("""COMPUTED_VALUE"""),"")</f>
        <v/>
      </c>
      <c r="R337" s="78" t="str">
        <f>IFERROR(__xludf.DUMMYFUNCTION("""COMPUTED_VALUE"""),"")</f>
        <v/>
      </c>
      <c r="S337" s="61" t="str">
        <f>IFERROR(__xludf.DUMMYFUNCTION("""COMPUTED_VALUE"""),"")</f>
        <v/>
      </c>
      <c r="T337" s="61" t="str">
        <f>IFERROR(__xludf.DUMMYFUNCTION("""COMPUTED_VALUE"""),"")</f>
        <v/>
      </c>
      <c r="U337" s="133" t="str">
        <f>IFERROR(__xludf.DUMMYFUNCTION("""COMPUTED_VALUE"""),"")</f>
        <v/>
      </c>
      <c r="V337" s="78" t="str">
        <f>IFERROR(__xludf.DUMMYFUNCTION("""COMPUTED_VALUE"""),"")</f>
        <v/>
      </c>
      <c r="W337" s="62" t="str">
        <f>IFERROR(__xludf.DUMMYFUNCTION("""COMPUTED_VALUE"""),"")</f>
        <v/>
      </c>
      <c r="X337" s="62" t="str">
        <f>IFERROR(__xludf.DUMMYFUNCTION("""COMPUTED_VALUE"""),"")</f>
        <v/>
      </c>
      <c r="Y337" s="109" t="str">
        <f>IFERROR(__xludf.DUMMYFUNCTION("""COMPUTED_VALUE"""),"")</f>
        <v/>
      </c>
      <c r="Z337" s="113" t="str">
        <f>IFERROR(__xludf.DUMMYFUNCTION("""COMPUTED_VALUE"""),"")</f>
        <v/>
      </c>
      <c r="AA337" s="113" t="str">
        <f>IFERROR(__xludf.DUMMYFUNCTION("""COMPUTED_VALUE"""),"")</f>
        <v/>
      </c>
      <c r="AB337" s="71"/>
    </row>
    <row r="338">
      <c r="A338" s="105">
        <f>IFERROR(__xludf.DUMMYFUNCTION("""COMPUTED_VALUE"""),45999.82201873843)</f>
        <v>45999.82202</v>
      </c>
      <c r="B338" s="71" t="str">
        <f>IFERROR(__xludf.DUMMYFUNCTION("""COMPUTED_VALUE"""),"Laila Maisuria")</f>
        <v>Laila Maisuria</v>
      </c>
      <c r="C338" s="71" t="b">
        <f>IFERROR(__xludf.DUMMYFUNCTION("""COMPUTED_VALUE"""),FALSE)</f>
        <v>0</v>
      </c>
      <c r="D338" s="132">
        <f>IFERROR(__xludf.DUMMYFUNCTION("""COMPUTED_VALUE"""),0.7701388888890506)</f>
        <v>0.7701388889</v>
      </c>
      <c r="E338" s="78">
        <f>IFERROR(__xludf.DUMMYFUNCTION("""COMPUTED_VALUE"""),0.04444444444379769)</f>
        <v>0.04444444444</v>
      </c>
      <c r="F338" s="132">
        <f>IFERROR(__xludf.DUMMYFUNCTION("""COMPUTED_VALUE"""),0.8145833333328483)</f>
        <v>0.8145833333</v>
      </c>
      <c r="G338" s="78">
        <f>IFERROR(__xludf.DUMMYFUNCTION("""COMPUTED_VALUE"""),0.04444444444379769)</f>
        <v>0.04444444444</v>
      </c>
      <c r="H338" s="110">
        <f>IFERROR(__xludf.DUMMYFUNCTION("""COMPUTED_VALUE"""),48.0)</f>
        <v>48</v>
      </c>
      <c r="I338" s="108">
        <f>IFERROR(__xludf.DUMMYFUNCTION("""COMPUTED_VALUE"""),45.000000000654836)</f>
        <v>45</v>
      </c>
      <c r="J338" s="71" t="str">
        <f>IFERROR(__xludf.DUMMYFUNCTION("""COMPUTED_VALUE"""),"Dinner")</f>
        <v>Dinner</v>
      </c>
      <c r="K338" s="106">
        <f>IFERROR(__xludf.DUMMYFUNCTION("""COMPUTED_VALUE"""),45999.0)</f>
        <v>45999</v>
      </c>
      <c r="L338" s="71" t="str">
        <f>IFERROR(__xludf.DUMMYFUNCTION("""COMPUTED_VALUE"""),"Monday")</f>
        <v>Monday</v>
      </c>
      <c r="M338" s="71" t="str">
        <f>IFERROR(__xludf.DUMMYFUNCTION("""COMPUTED_VALUE"""),"MF")</f>
        <v>MF</v>
      </c>
      <c r="N338" s="109">
        <f>IFERROR(__xludf.DUMMYFUNCTION("""COMPUTED_VALUE"""),0.8867243770010466)</f>
        <v>0.886724377</v>
      </c>
      <c r="O338" s="71" t="str">
        <f>IFERROR(__xludf.DUMMYFUNCTION("""COMPUTED_VALUE"""),"")</f>
        <v/>
      </c>
      <c r="P338" s="71" t="str">
        <f>IFERROR(__xludf.DUMMYFUNCTION("""COMPUTED_VALUE"""),"")</f>
        <v/>
      </c>
      <c r="Q338" s="78" t="str">
        <f>IFERROR(__xludf.DUMMYFUNCTION("""COMPUTED_VALUE"""),"")</f>
        <v/>
      </c>
      <c r="R338" s="78" t="str">
        <f>IFERROR(__xludf.DUMMYFUNCTION("""COMPUTED_VALUE"""),"")</f>
        <v/>
      </c>
      <c r="S338" s="61" t="str">
        <f>IFERROR(__xludf.DUMMYFUNCTION("""COMPUTED_VALUE"""),"")</f>
        <v/>
      </c>
      <c r="T338" s="61" t="str">
        <f>IFERROR(__xludf.DUMMYFUNCTION("""COMPUTED_VALUE"""),"")</f>
        <v/>
      </c>
      <c r="U338" s="133" t="str">
        <f>IFERROR(__xludf.DUMMYFUNCTION("""COMPUTED_VALUE"""),"")</f>
        <v/>
      </c>
      <c r="V338" s="78" t="str">
        <f>IFERROR(__xludf.DUMMYFUNCTION("""COMPUTED_VALUE"""),"")</f>
        <v/>
      </c>
      <c r="W338" s="62" t="str">
        <f>IFERROR(__xludf.DUMMYFUNCTION("""COMPUTED_VALUE"""),"")</f>
        <v/>
      </c>
      <c r="X338" s="62" t="str">
        <f>IFERROR(__xludf.DUMMYFUNCTION("""COMPUTED_VALUE"""),"")</f>
        <v/>
      </c>
      <c r="Y338" s="109" t="str">
        <f>IFERROR(__xludf.DUMMYFUNCTION("""COMPUTED_VALUE"""),"")</f>
        <v/>
      </c>
      <c r="Z338" s="113" t="str">
        <f>IFERROR(__xludf.DUMMYFUNCTION("""COMPUTED_VALUE"""),"")</f>
        <v/>
      </c>
      <c r="AA338" s="113" t="str">
        <f>IFERROR(__xludf.DUMMYFUNCTION("""COMPUTED_VALUE"""),"")</f>
        <v/>
      </c>
      <c r="AB338" s="71"/>
    </row>
    <row r="339">
      <c r="A339" s="105">
        <f>IFERROR(__xludf.DUMMYFUNCTION("""COMPUTED_VALUE"""),45999.82366800926)</f>
        <v>45999.82367</v>
      </c>
      <c r="B339" s="71" t="str">
        <f>IFERROR(__xludf.DUMMYFUNCTION("""COMPUTED_VALUE"""),"Kaylie Forgue")</f>
        <v>Kaylie Forgue</v>
      </c>
      <c r="C339" s="71" t="b">
        <f>IFERROR(__xludf.DUMMYFUNCTION("""COMPUTED_VALUE"""),FALSE)</f>
        <v>0</v>
      </c>
      <c r="D339" s="132">
        <f>IFERROR(__xludf.DUMMYFUNCTION("""COMPUTED_VALUE"""),0.6861111111065838)</f>
        <v>0.6861111111</v>
      </c>
      <c r="E339" s="78">
        <f>IFERROR(__xludf.DUMMYFUNCTION("""COMPUTED_VALUE"""),0.10486111111822538)</f>
        <v>0.1048611111</v>
      </c>
      <c r="F339" s="132">
        <f>IFERROR(__xludf.DUMMYFUNCTION("""COMPUTED_VALUE"""),0.7909722222248092)</f>
        <v>0.7909722222</v>
      </c>
      <c r="G339" s="78">
        <f>IFERROR(__xludf.DUMMYFUNCTION("""COMPUTED_VALUE"""),0.1736111111167702)</f>
        <v>0.1736111111</v>
      </c>
      <c r="H339" s="110">
        <f>IFERROR(__xludf.DUMMYFUNCTION("""COMPUTED_VALUE"""),161.0)</f>
        <v>161</v>
      </c>
      <c r="I339" s="108">
        <f>IFERROR(__xludf.DUMMYFUNCTION("""COMPUTED_VALUE"""),38.63999999874048)</f>
        <v>38.64</v>
      </c>
      <c r="J339" s="71" t="str">
        <f>IFERROR(__xludf.DUMMYFUNCTION("""COMPUTED_VALUE"""),"Dinner")</f>
        <v>Dinner</v>
      </c>
      <c r="K339" s="106">
        <f>IFERROR(__xludf.DUMMYFUNCTION("""COMPUTED_VALUE"""),45999.0)</f>
        <v>45999</v>
      </c>
      <c r="L339" s="71" t="str">
        <f>IFERROR(__xludf.DUMMYFUNCTION("""COMPUTED_VALUE"""),"Monday")</f>
        <v>Monday</v>
      </c>
      <c r="M339" s="71" t="str">
        <f>IFERROR(__xludf.DUMMYFUNCTION("""COMPUTED_VALUE"""),"BF")</f>
        <v>BF</v>
      </c>
      <c r="N339" s="109">
        <f>IFERROR(__xludf.DUMMYFUNCTION("""COMPUTED_VALUE"""),0.9118910518665508)</f>
        <v>0.9118910519</v>
      </c>
      <c r="O339" s="71" t="str">
        <f>IFERROR(__xludf.DUMMYFUNCTION("""COMPUTED_VALUE"""),"")</f>
        <v/>
      </c>
      <c r="P339" s="71" t="str">
        <f>IFERROR(__xludf.DUMMYFUNCTION("""COMPUTED_VALUE"""),"")</f>
        <v/>
      </c>
      <c r="Q339" s="78" t="str">
        <f>IFERROR(__xludf.DUMMYFUNCTION("""COMPUTED_VALUE"""),"")</f>
        <v/>
      </c>
      <c r="R339" s="78" t="str">
        <f>IFERROR(__xludf.DUMMYFUNCTION("""COMPUTED_VALUE"""),"")</f>
        <v/>
      </c>
      <c r="S339" s="61" t="str">
        <f>IFERROR(__xludf.DUMMYFUNCTION("""COMPUTED_VALUE"""),"")</f>
        <v/>
      </c>
      <c r="T339" s="61" t="str">
        <f>IFERROR(__xludf.DUMMYFUNCTION("""COMPUTED_VALUE"""),"")</f>
        <v/>
      </c>
      <c r="U339" s="133" t="str">
        <f>IFERROR(__xludf.DUMMYFUNCTION("""COMPUTED_VALUE"""),"")</f>
        <v/>
      </c>
      <c r="V339" s="78" t="str">
        <f>IFERROR(__xludf.DUMMYFUNCTION("""COMPUTED_VALUE"""),"")</f>
        <v/>
      </c>
      <c r="W339" s="62" t="str">
        <f>IFERROR(__xludf.DUMMYFUNCTION("""COMPUTED_VALUE"""),"")</f>
        <v/>
      </c>
      <c r="X339" s="62" t="str">
        <f>IFERROR(__xludf.DUMMYFUNCTION("""COMPUTED_VALUE"""),"")</f>
        <v/>
      </c>
      <c r="Y339" s="109" t="str">
        <f>IFERROR(__xludf.DUMMYFUNCTION("""COMPUTED_VALUE"""),"")</f>
        <v/>
      </c>
      <c r="Z339" s="113" t="str">
        <f>IFERROR(__xludf.DUMMYFUNCTION("""COMPUTED_VALUE"""),"")</f>
        <v/>
      </c>
      <c r="AA339" s="113" t="str">
        <f>IFERROR(__xludf.DUMMYFUNCTION("""COMPUTED_VALUE"""),"")</f>
        <v/>
      </c>
      <c r="AB339" s="71"/>
    </row>
    <row r="340">
      <c r="A340" s="105">
        <f>IFERROR(__xludf.DUMMYFUNCTION("""COMPUTED_VALUE"""),45999.86315253472)</f>
        <v>45999.86315</v>
      </c>
      <c r="B340" s="71" t="str">
        <f>IFERROR(__xludf.DUMMYFUNCTION("""COMPUTED_VALUE"""),"Kaylie Forgue")</f>
        <v>Kaylie Forgue</v>
      </c>
      <c r="C340" s="71" t="b">
        <f>IFERROR(__xludf.DUMMYFUNCTION("""COMPUTED_VALUE"""),TRUE)</f>
        <v>1</v>
      </c>
      <c r="D340" s="132">
        <f>IFERROR(__xludf.DUMMYFUNCTION("""COMPUTED_VALUE"""),0.7916666666642413)</f>
        <v>0.7916666667</v>
      </c>
      <c r="E340" s="78">
        <f>IFERROR(__xludf.DUMMYFUNCTION("""COMPUTED_VALUE"""),0.06874999999854481)</f>
        <v>0.06875</v>
      </c>
      <c r="F340" s="132">
        <f>IFERROR(__xludf.DUMMYFUNCTION("""COMPUTED_VALUE"""),0.8604166666627862)</f>
        <v>0.8604166667</v>
      </c>
      <c r="G340" s="78" t="str">
        <f>IFERROR(__xludf.DUMMYFUNCTION("""COMPUTED_VALUE"""),"")</f>
        <v/>
      </c>
      <c r="H340" s="110">
        <f>IFERROR(__xludf.DUMMYFUNCTION("""COMPUTED_VALUE"""),69.0)</f>
        <v>69</v>
      </c>
      <c r="I340" s="108" t="str">
        <f>IFERROR(__xludf.DUMMYFUNCTION("""COMPUTED_VALUE"""),"")</f>
        <v/>
      </c>
      <c r="J340" s="71" t="str">
        <f>IFERROR(__xludf.DUMMYFUNCTION("""COMPUTED_VALUE"""),"Dinner")</f>
        <v>Dinner</v>
      </c>
      <c r="K340" s="106">
        <f>IFERROR(__xludf.DUMMYFUNCTION("""COMPUTED_VALUE"""),45999.0)</f>
        <v>45999</v>
      </c>
      <c r="L340" s="71" t="str">
        <f>IFERROR(__xludf.DUMMYFUNCTION("""COMPUTED_VALUE"""),"Monday")</f>
        <v>Monday</v>
      </c>
      <c r="M340" s="71" t="str">
        <f>IFERROR(__xludf.DUMMYFUNCTION("""COMPUTED_VALUE"""),"BF")</f>
        <v>BF</v>
      </c>
      <c r="N340" s="109" t="str">
        <f>IFERROR(__xludf.DUMMYFUNCTION("""COMPUTED_VALUE"""),"")</f>
        <v/>
      </c>
      <c r="O340" s="71" t="str">
        <f>IFERROR(__xludf.DUMMYFUNCTION("""COMPUTED_VALUE"""),"")</f>
        <v/>
      </c>
      <c r="P340" s="71" t="str">
        <f>IFERROR(__xludf.DUMMYFUNCTION("""COMPUTED_VALUE"""),"")</f>
        <v/>
      </c>
      <c r="Q340" s="78" t="str">
        <f>IFERROR(__xludf.DUMMYFUNCTION("""COMPUTED_VALUE"""),"")</f>
        <v/>
      </c>
      <c r="R340" s="78" t="str">
        <f>IFERROR(__xludf.DUMMYFUNCTION("""COMPUTED_VALUE"""),"")</f>
        <v/>
      </c>
      <c r="S340" s="61" t="str">
        <f>IFERROR(__xludf.DUMMYFUNCTION("""COMPUTED_VALUE"""),"")</f>
        <v/>
      </c>
      <c r="T340" s="61" t="str">
        <f>IFERROR(__xludf.DUMMYFUNCTION("""COMPUTED_VALUE"""),"")</f>
        <v/>
      </c>
      <c r="U340" s="133" t="str">
        <f>IFERROR(__xludf.DUMMYFUNCTION("""COMPUTED_VALUE"""),"")</f>
        <v/>
      </c>
      <c r="V340" s="78" t="str">
        <f>IFERROR(__xludf.DUMMYFUNCTION("""COMPUTED_VALUE"""),"")</f>
        <v/>
      </c>
      <c r="W340" s="62" t="str">
        <f>IFERROR(__xludf.DUMMYFUNCTION("""COMPUTED_VALUE"""),"")</f>
        <v/>
      </c>
      <c r="X340" s="62" t="str">
        <f>IFERROR(__xludf.DUMMYFUNCTION("""COMPUTED_VALUE"""),"")</f>
        <v/>
      </c>
      <c r="Y340" s="109" t="str">
        <f>IFERROR(__xludf.DUMMYFUNCTION("""COMPUTED_VALUE"""),"")</f>
        <v/>
      </c>
      <c r="Z340" s="113" t="str">
        <f>IFERROR(__xludf.DUMMYFUNCTION("""COMPUTED_VALUE"""),"")</f>
        <v/>
      </c>
      <c r="AA340" s="113" t="str">
        <f>IFERROR(__xludf.DUMMYFUNCTION("""COMPUTED_VALUE"""),"")</f>
        <v/>
      </c>
      <c r="AB340" s="71"/>
    </row>
    <row r="341">
      <c r="A341" s="105">
        <f>IFERROR(__xludf.DUMMYFUNCTION("""COMPUTED_VALUE"""),46000.37419137731)</f>
        <v>46000.37419</v>
      </c>
      <c r="B341" s="71" t="str">
        <f>IFERROR(__xludf.DUMMYFUNCTION("""COMPUTED_VALUE"""),"Laila Maisuria")</f>
        <v>Laila Maisuria</v>
      </c>
      <c r="C341" s="71" t="b">
        <f>IFERROR(__xludf.DUMMYFUNCTION("""COMPUTED_VALUE"""),FALSE)</f>
        <v>0</v>
      </c>
      <c r="D341" s="132">
        <f>IFERROR(__xludf.DUMMYFUNCTION("""COMPUTED_VALUE"""),0.8180555555591127)</f>
        <v>0.8180555556</v>
      </c>
      <c r="E341" s="78">
        <f>IFERROR(__xludf.DUMMYFUNCTION("""COMPUTED_VALUE"""),0.04930555555199845)</f>
        <v>0.04930555555</v>
      </c>
      <c r="F341" s="132">
        <f>IFERROR(__xludf.DUMMYFUNCTION("""COMPUTED_VALUE"""),0.8673611111111111)</f>
        <v>0.8673611111</v>
      </c>
      <c r="G341" s="78">
        <f>IFERROR(__xludf.DUMMYFUNCTION("""COMPUTED_VALUE"""),0.04930555555199845)</f>
        <v>0.04930555555</v>
      </c>
      <c r="H341" s="110">
        <f>IFERROR(__xludf.DUMMYFUNCTION("""COMPUTED_VALUE"""),41.0)</f>
        <v>41</v>
      </c>
      <c r="I341" s="108">
        <f>IFERROR(__xludf.DUMMYFUNCTION("""COMPUTED_VALUE"""),34.6478873264433)</f>
        <v>34.64788733</v>
      </c>
      <c r="J341" s="71" t="str">
        <f>IFERROR(__xludf.DUMMYFUNCTION("""COMPUTED_VALUE"""),"Dinner")</f>
        <v>Dinner</v>
      </c>
      <c r="K341" s="106">
        <f>IFERROR(__xludf.DUMMYFUNCTION("""COMPUTED_VALUE"""),45999.0)</f>
        <v>45999</v>
      </c>
      <c r="L341" s="71" t="str">
        <f>IFERROR(__xludf.DUMMYFUNCTION("""COMPUTED_VALUE"""),"Monday")</f>
        <v>Monday</v>
      </c>
      <c r="M341" s="71" t="str">
        <f>IFERROR(__xludf.DUMMYFUNCTION("""COMPUTED_VALUE"""),"MF")</f>
        <v>MF</v>
      </c>
      <c r="N341" s="109">
        <f>IFERROR(__xludf.DUMMYFUNCTION("""COMPUTED_VALUE"""),0.6827361400776848)</f>
        <v>0.6827361401</v>
      </c>
      <c r="O341" s="71">
        <f>IFERROR(__xludf.DUMMYFUNCTION("""COMPUTED_VALUE"""),346.0)</f>
        <v>346</v>
      </c>
      <c r="P341" s="71">
        <f>IFERROR(__xludf.DUMMYFUNCTION("""COMPUTED_VALUE"""),316.0)</f>
        <v>316</v>
      </c>
      <c r="Q341" s="78">
        <f>IFERROR(__xludf.DUMMYFUNCTION("""COMPUTED_VALUE"""),0.32222222222060537)</f>
        <v>0.3222222222</v>
      </c>
      <c r="R341" s="78">
        <f>IFERROR(__xludf.DUMMYFUNCTION("""COMPUTED_VALUE"""),0.23472222222335404)</f>
        <v>0.2347222222</v>
      </c>
      <c r="S341" s="61">
        <f>IFERROR(__xludf.DUMMYFUNCTION("""COMPUTED_VALUE"""),38.339244558712565)</f>
        <v>38.33924456</v>
      </c>
      <c r="T341" s="61">
        <f>IFERROR(__xludf.DUMMYFUNCTION("""COMPUTED_VALUE"""),34.67714285721545)</f>
        <v>34.67714286</v>
      </c>
      <c r="U341" s="133">
        <f>IFERROR(__xludf.DUMMYFUNCTION("""COMPUTED_VALUE"""),662.0)</f>
        <v>662</v>
      </c>
      <c r="V341" s="78">
        <f>IFERROR(__xludf.DUMMYFUNCTION("""COMPUTED_VALUE"""),0.5569444444439594)</f>
        <v>0.5569444444</v>
      </c>
      <c r="W341" s="62">
        <f>IFERROR(__xludf.DUMMYFUNCTION("""COMPUTED_VALUE"""),49.526184538696505)</f>
        <v>49.52618454</v>
      </c>
      <c r="X341" s="62">
        <f>IFERROR(__xludf.DUMMYFUNCTION("""COMPUTED_VALUE"""),37.11854399154686)</f>
        <v>37.11854399</v>
      </c>
      <c r="Y341" s="109">
        <f>IFERROR(__xludf.DUMMYFUNCTION("""COMPUTED_VALUE"""),0.5794366392355008)</f>
        <v>0.5794366392</v>
      </c>
      <c r="Z341" s="113" t="str">
        <f>IFERROR(__xludf.DUMMYFUNCTION("""COMPUTED_VALUE"""),"")</f>
        <v/>
      </c>
      <c r="AA341" s="113" t="str">
        <f>IFERROR(__xludf.DUMMYFUNCTION("""COMPUTED_VALUE"""),"")</f>
        <v/>
      </c>
      <c r="AB341" s="71"/>
    </row>
    <row r="342">
      <c r="A342" s="105">
        <f>IFERROR(__xludf.DUMMYFUNCTION("""COMPUTED_VALUE"""),46000.39463621528)</f>
        <v>46000.39464</v>
      </c>
      <c r="B342" s="71" t="str">
        <f>IFERROR(__xludf.DUMMYFUNCTION("""COMPUTED_VALUE"""),"Evan Morgan")</f>
        <v>Evan Morgan</v>
      </c>
      <c r="C342" s="71" t="b">
        <f>IFERROR(__xludf.DUMMYFUNCTION("""COMPUTED_VALUE"""),FALSE)</f>
        <v>0</v>
      </c>
      <c r="D342" s="132">
        <f>IFERROR(__xludf.DUMMYFUNCTION("""COMPUTED_VALUE"""),0.29166666666424135)</f>
        <v>0.2916666667</v>
      </c>
      <c r="E342" s="78">
        <f>IFERROR(__xludf.DUMMYFUNCTION("""COMPUTED_VALUE"""),0.10138888889196096)</f>
        <v>0.1013888889</v>
      </c>
      <c r="F342" s="132">
        <f>IFERROR(__xludf.DUMMYFUNCTION("""COMPUTED_VALUE"""),0.3930555555562023)</f>
        <v>0.3930555556</v>
      </c>
      <c r="G342" s="78">
        <f>IFERROR(__xludf.DUMMYFUNCTION("""COMPUTED_VALUE"""),0.10138888889196096)</f>
        <v>0.1013888889</v>
      </c>
      <c r="H342" s="110">
        <f>IFERROR(__xludf.DUMMYFUNCTION("""COMPUTED_VALUE"""),38.0)</f>
        <v>38</v>
      </c>
      <c r="I342" s="108">
        <f>IFERROR(__xludf.DUMMYFUNCTION("""COMPUTED_VALUE"""),15.616438355691207)</f>
        <v>15.61643836</v>
      </c>
      <c r="J342" s="71" t="str">
        <f>IFERROR(__xludf.DUMMYFUNCTION("""COMPUTED_VALUE"""),"Breakfast")</f>
        <v>Breakfast</v>
      </c>
      <c r="K342" s="106">
        <f>IFERROR(__xludf.DUMMYFUNCTION("""COMPUTED_VALUE"""),46000.0)</f>
        <v>46000</v>
      </c>
      <c r="L342" s="71" t="str">
        <f>IFERROR(__xludf.DUMMYFUNCTION("""COMPUTED_VALUE"""),"Tuesday")</f>
        <v>Tuesday</v>
      </c>
      <c r="M342" s="71" t="str">
        <f>IFERROR(__xludf.DUMMYFUNCTION("""COMPUTED_VALUE"""),"BF")</f>
        <v>BF</v>
      </c>
      <c r="N342" s="109">
        <f>IFERROR(__xludf.DUMMYFUNCTION("""COMPUTED_VALUE"""),0.6613744971451656)</f>
        <v>0.6613744971</v>
      </c>
      <c r="O342" s="71" t="str">
        <f>IFERROR(__xludf.DUMMYFUNCTION("""COMPUTED_VALUE"""),"")</f>
        <v/>
      </c>
      <c r="P342" s="71" t="str">
        <f>IFERROR(__xludf.DUMMYFUNCTION("""COMPUTED_VALUE"""),"")</f>
        <v/>
      </c>
      <c r="Q342" s="78" t="str">
        <f>IFERROR(__xludf.DUMMYFUNCTION("""COMPUTED_VALUE"""),"")</f>
        <v/>
      </c>
      <c r="R342" s="78" t="str">
        <f>IFERROR(__xludf.DUMMYFUNCTION("""COMPUTED_VALUE"""),"")</f>
        <v/>
      </c>
      <c r="S342" s="61" t="str">
        <f>IFERROR(__xludf.DUMMYFUNCTION("""COMPUTED_VALUE"""),"")</f>
        <v/>
      </c>
      <c r="T342" s="61" t="str">
        <f>IFERROR(__xludf.DUMMYFUNCTION("""COMPUTED_VALUE"""),"")</f>
        <v/>
      </c>
      <c r="U342" s="133" t="str">
        <f>IFERROR(__xludf.DUMMYFUNCTION("""COMPUTED_VALUE"""),"")</f>
        <v/>
      </c>
      <c r="V342" s="78" t="str">
        <f>IFERROR(__xludf.DUMMYFUNCTION("""COMPUTED_VALUE"""),"")</f>
        <v/>
      </c>
      <c r="W342" s="62" t="str">
        <f>IFERROR(__xludf.DUMMYFUNCTION("""COMPUTED_VALUE"""),"")</f>
        <v/>
      </c>
      <c r="X342" s="62" t="str">
        <f>IFERROR(__xludf.DUMMYFUNCTION("""COMPUTED_VALUE"""),"")</f>
        <v/>
      </c>
      <c r="Y342" s="109" t="str">
        <f>IFERROR(__xludf.DUMMYFUNCTION("""COMPUTED_VALUE"""),"")</f>
        <v/>
      </c>
      <c r="Z342" s="113" t="str">
        <f>IFERROR(__xludf.DUMMYFUNCTION("""COMPUTED_VALUE"""),"")</f>
        <v/>
      </c>
      <c r="AA342" s="113" t="str">
        <f>IFERROR(__xludf.DUMMYFUNCTION("""COMPUTED_VALUE"""),"")</f>
        <v/>
      </c>
      <c r="AB342" s="71"/>
    </row>
    <row r="343">
      <c r="A343" s="105">
        <f>IFERROR(__xludf.DUMMYFUNCTION("""COMPUTED_VALUE"""),46000.47705071759)</f>
        <v>46000.47705</v>
      </c>
      <c r="B343" s="71" t="str">
        <f>IFERROR(__xludf.DUMMYFUNCTION("""COMPUTED_VALUE"""),"Emmett Khan")</f>
        <v>Emmett Khan</v>
      </c>
      <c r="C343" s="71" t="b">
        <f>IFERROR(__xludf.DUMMYFUNCTION("""COMPUTED_VALUE"""),FALSE)</f>
        <v>0</v>
      </c>
      <c r="D343" s="132">
        <f>IFERROR(__xludf.DUMMYFUNCTION("""COMPUTED_VALUE"""),0.39583333333575865)</f>
        <v>0.3958333333</v>
      </c>
      <c r="E343" s="78">
        <f>IFERROR(__xludf.DUMMYFUNCTION("""COMPUTED_VALUE"""),0.0833333333284827)</f>
        <v>0.08333333333</v>
      </c>
      <c r="F343" s="132">
        <f>IFERROR(__xludf.DUMMYFUNCTION("""COMPUTED_VALUE"""),0.47916666666424135)</f>
        <v>0.4791666667</v>
      </c>
      <c r="G343" s="78">
        <f>IFERROR(__xludf.DUMMYFUNCTION("""COMPUTED_VALUE"""),0.0833333333284827)</f>
        <v>0.08333333333</v>
      </c>
      <c r="H343" s="110">
        <f>IFERROR(__xludf.DUMMYFUNCTION("""COMPUTED_VALUE"""),98.0)</f>
        <v>98</v>
      </c>
      <c r="I343" s="108">
        <f>IFERROR(__xludf.DUMMYFUNCTION("""COMPUTED_VALUE"""),49.000000002852175)</f>
        <v>49</v>
      </c>
      <c r="J343" s="71" t="str">
        <f>IFERROR(__xludf.DUMMYFUNCTION("""COMPUTED_VALUE"""),"Breakfast/Lunch")</f>
        <v>Breakfast/Lunch</v>
      </c>
      <c r="K343" s="106">
        <f>IFERROR(__xludf.DUMMYFUNCTION("""COMPUTED_VALUE"""),46000.0)</f>
        <v>46000</v>
      </c>
      <c r="L343" s="71" t="str">
        <f>IFERROR(__xludf.DUMMYFUNCTION("""COMPUTED_VALUE"""),"Tuesday")</f>
        <v>Tuesday</v>
      </c>
      <c r="M343" s="71" t="str">
        <f>IFERROR(__xludf.DUMMYFUNCTION("""COMPUTED_VALUE"""),"BF")</f>
        <v>BF</v>
      </c>
      <c r="N343" s="109">
        <f>IFERROR(__xludf.DUMMYFUNCTION("""COMPUTED_VALUE"""),0.8605124099993938)</f>
        <v>0.86051241</v>
      </c>
      <c r="O343" s="71" t="str">
        <f>IFERROR(__xludf.DUMMYFUNCTION("""COMPUTED_VALUE"""),"")</f>
        <v/>
      </c>
      <c r="P343" s="71" t="str">
        <f>IFERROR(__xludf.DUMMYFUNCTION("""COMPUTED_VALUE"""),"")</f>
        <v/>
      </c>
      <c r="Q343" s="78" t="str">
        <f>IFERROR(__xludf.DUMMYFUNCTION("""COMPUTED_VALUE"""),"")</f>
        <v/>
      </c>
      <c r="R343" s="78" t="str">
        <f>IFERROR(__xludf.DUMMYFUNCTION("""COMPUTED_VALUE"""),"")</f>
        <v/>
      </c>
      <c r="S343" s="61" t="str">
        <f>IFERROR(__xludf.DUMMYFUNCTION("""COMPUTED_VALUE"""),"")</f>
        <v/>
      </c>
      <c r="T343" s="61" t="str">
        <f>IFERROR(__xludf.DUMMYFUNCTION("""COMPUTED_VALUE"""),"")</f>
        <v/>
      </c>
      <c r="U343" s="133" t="str">
        <f>IFERROR(__xludf.DUMMYFUNCTION("""COMPUTED_VALUE"""),"")</f>
        <v/>
      </c>
      <c r="V343" s="78" t="str">
        <f>IFERROR(__xludf.DUMMYFUNCTION("""COMPUTED_VALUE"""),"")</f>
        <v/>
      </c>
      <c r="W343" s="62" t="str">
        <f>IFERROR(__xludf.DUMMYFUNCTION("""COMPUTED_VALUE"""),"")</f>
        <v/>
      </c>
      <c r="X343" s="62" t="str">
        <f>IFERROR(__xludf.DUMMYFUNCTION("""COMPUTED_VALUE"""),"")</f>
        <v/>
      </c>
      <c r="Y343" s="109" t="str">
        <f>IFERROR(__xludf.DUMMYFUNCTION("""COMPUTED_VALUE"""),"")</f>
        <v/>
      </c>
      <c r="Z343" s="113" t="str">
        <f>IFERROR(__xludf.DUMMYFUNCTION("""COMPUTED_VALUE"""),"")</f>
        <v/>
      </c>
      <c r="AA343" s="113" t="str">
        <f>IFERROR(__xludf.DUMMYFUNCTION("""COMPUTED_VALUE"""),"")</f>
        <v/>
      </c>
      <c r="AB343" s="71"/>
    </row>
    <row r="344">
      <c r="A344" s="105">
        <f>IFERROR(__xludf.DUMMYFUNCTION("""COMPUTED_VALUE"""),46000.62350368056)</f>
        <v>46000.6235</v>
      </c>
      <c r="B344" s="71" t="str">
        <f>IFERROR(__xludf.DUMMYFUNCTION("""COMPUTED_VALUE"""),"Maureen Surgot")</f>
        <v>Maureen Surgot</v>
      </c>
      <c r="C344" s="71" t="b">
        <f>IFERROR(__xludf.DUMMYFUNCTION("""COMPUTED_VALUE"""),FALSE)</f>
        <v>0</v>
      </c>
      <c r="D344" s="132">
        <f>IFERROR(__xludf.DUMMYFUNCTION("""COMPUTED_VALUE"""),0.47916666666424135)</f>
        <v>0.4791666667</v>
      </c>
      <c r="E344" s="78">
        <f>IFERROR(__xludf.DUMMYFUNCTION("""COMPUTED_VALUE"""),0.14583333333575865)</f>
        <v>0.1458333333</v>
      </c>
      <c r="F344" s="132">
        <f>IFERROR(__xludf.DUMMYFUNCTION("""COMPUTED_VALUE"""),0.625)</f>
        <v>0.625</v>
      </c>
      <c r="G344" s="78">
        <f>IFERROR(__xludf.DUMMYFUNCTION("""COMPUTED_VALUE"""),0.14583333333575865)</f>
        <v>0.1458333333</v>
      </c>
      <c r="H344" s="110">
        <f>IFERROR(__xludf.DUMMYFUNCTION("""COMPUTED_VALUE"""),197.0)</f>
        <v>197</v>
      </c>
      <c r="I344" s="108">
        <f>IFERROR(__xludf.DUMMYFUNCTION("""COMPUTED_VALUE"""),56.28571428477821)</f>
        <v>56.28571428</v>
      </c>
      <c r="J344" s="71" t="str">
        <f>IFERROR(__xludf.DUMMYFUNCTION("""COMPUTED_VALUE"""),"Lunch")</f>
        <v>Lunch</v>
      </c>
      <c r="K344" s="106">
        <f>IFERROR(__xludf.DUMMYFUNCTION("""COMPUTED_VALUE"""),46000.0)</f>
        <v>46000</v>
      </c>
      <c r="L344" s="71" t="str">
        <f>IFERROR(__xludf.DUMMYFUNCTION("""COMPUTED_VALUE"""),"Tuesday")</f>
        <v>Tuesday</v>
      </c>
      <c r="M344" s="71" t="str">
        <f>IFERROR(__xludf.DUMMYFUNCTION("""COMPUTED_VALUE"""),"MF")</f>
        <v>MF</v>
      </c>
      <c r="N344" s="109">
        <f>IFERROR(__xludf.DUMMYFUNCTION("""COMPUTED_VALUE"""),1.1704526047307917)</f>
        <v>1.170452605</v>
      </c>
      <c r="O344" s="71" t="str">
        <f>IFERROR(__xludf.DUMMYFUNCTION("""COMPUTED_VALUE"""),"")</f>
        <v/>
      </c>
      <c r="P344" s="71" t="str">
        <f>IFERROR(__xludf.DUMMYFUNCTION("""COMPUTED_VALUE"""),"")</f>
        <v/>
      </c>
      <c r="Q344" s="78" t="str">
        <f>IFERROR(__xludf.DUMMYFUNCTION("""COMPUTED_VALUE"""),"")</f>
        <v/>
      </c>
      <c r="R344" s="78" t="str">
        <f>IFERROR(__xludf.DUMMYFUNCTION("""COMPUTED_VALUE"""),"")</f>
        <v/>
      </c>
      <c r="S344" s="61" t="str">
        <f>IFERROR(__xludf.DUMMYFUNCTION("""COMPUTED_VALUE"""),"")</f>
        <v/>
      </c>
      <c r="T344" s="61" t="str">
        <f>IFERROR(__xludf.DUMMYFUNCTION("""COMPUTED_VALUE"""),"")</f>
        <v/>
      </c>
      <c r="U344" s="133" t="str">
        <f>IFERROR(__xludf.DUMMYFUNCTION("""COMPUTED_VALUE"""),"")</f>
        <v/>
      </c>
      <c r="V344" s="78" t="str">
        <f>IFERROR(__xludf.DUMMYFUNCTION("""COMPUTED_VALUE"""),"")</f>
        <v/>
      </c>
      <c r="W344" s="62" t="str">
        <f>IFERROR(__xludf.DUMMYFUNCTION("""COMPUTED_VALUE"""),"")</f>
        <v/>
      </c>
      <c r="X344" s="62" t="str">
        <f>IFERROR(__xludf.DUMMYFUNCTION("""COMPUTED_VALUE"""),"")</f>
        <v/>
      </c>
      <c r="Y344" s="109" t="str">
        <f>IFERROR(__xludf.DUMMYFUNCTION("""COMPUTED_VALUE"""),"")</f>
        <v/>
      </c>
      <c r="Z344" s="113" t="str">
        <f>IFERROR(__xludf.DUMMYFUNCTION("""COMPUTED_VALUE"""),"")</f>
        <v/>
      </c>
      <c r="AA344" s="113" t="str">
        <f>IFERROR(__xludf.DUMMYFUNCTION("""COMPUTED_VALUE"""),"")</f>
        <v/>
      </c>
      <c r="AB344" s="71"/>
    </row>
    <row r="345">
      <c r="A345" s="105">
        <f>IFERROR(__xludf.DUMMYFUNCTION("""COMPUTED_VALUE"""),46000.654115474536)</f>
        <v>46000.65412</v>
      </c>
      <c r="B345" s="71" t="str">
        <f>IFERROR(__xludf.DUMMYFUNCTION("""COMPUTED_VALUE"""),"Brynn Hornig")</f>
        <v>Brynn Hornig</v>
      </c>
      <c r="C345" s="71" t="b">
        <f>IFERROR(__xludf.DUMMYFUNCTION("""COMPUTED_VALUE"""),FALSE)</f>
        <v>0</v>
      </c>
      <c r="D345" s="132">
        <f>IFERROR(__xludf.DUMMYFUNCTION("""COMPUTED_VALUE"""),0.5208333333357587)</f>
        <v>0.5208333333</v>
      </c>
      <c r="E345" s="78">
        <f>IFERROR(__xludf.DUMMYFUNCTION("""COMPUTED_VALUE"""),0.13541666666424135)</f>
        <v>0.1354166667</v>
      </c>
      <c r="F345" s="132">
        <f>IFERROR(__xludf.DUMMYFUNCTION("""COMPUTED_VALUE"""),0.65625)</f>
        <v>0.65625</v>
      </c>
      <c r="G345" s="78">
        <f>IFERROR(__xludf.DUMMYFUNCTION("""COMPUTED_VALUE"""),0.13541666666424135)</f>
        <v>0.1354166667</v>
      </c>
      <c r="H345" s="110">
        <f>IFERROR(__xludf.DUMMYFUNCTION("""COMPUTED_VALUE"""),94.0)</f>
        <v>94</v>
      </c>
      <c r="I345" s="108">
        <f>IFERROR(__xludf.DUMMYFUNCTION("""COMPUTED_VALUE"""),28.923076923594937)</f>
        <v>28.92307692</v>
      </c>
      <c r="J345" s="71" t="str">
        <f>IFERROR(__xludf.DUMMYFUNCTION("""COMPUTED_VALUE"""),"Lunch")</f>
        <v>Lunch</v>
      </c>
      <c r="K345" s="106">
        <f>IFERROR(__xludf.DUMMYFUNCTION("""COMPUTED_VALUE"""),46000.0)</f>
        <v>46000</v>
      </c>
      <c r="L345" s="71" t="str">
        <f>IFERROR(__xludf.DUMMYFUNCTION("""COMPUTED_VALUE"""),"Tuesday")</f>
        <v>Tuesday</v>
      </c>
      <c r="M345" s="71" t="str">
        <f>IFERROR(__xludf.DUMMYFUNCTION("""COMPUTED_VALUE"""),"BF")</f>
        <v>BF</v>
      </c>
      <c r="N345" s="109">
        <f>IFERROR(__xludf.DUMMYFUNCTION("""COMPUTED_VALUE"""),0.7448501493579237)</f>
        <v>0.7448501494</v>
      </c>
      <c r="O345" s="71" t="str">
        <f>IFERROR(__xludf.DUMMYFUNCTION("""COMPUTED_VALUE"""),"")</f>
        <v/>
      </c>
      <c r="P345" s="71" t="str">
        <f>IFERROR(__xludf.DUMMYFUNCTION("""COMPUTED_VALUE"""),"")</f>
        <v/>
      </c>
      <c r="Q345" s="78" t="str">
        <f>IFERROR(__xludf.DUMMYFUNCTION("""COMPUTED_VALUE"""),"")</f>
        <v/>
      </c>
      <c r="R345" s="78" t="str">
        <f>IFERROR(__xludf.DUMMYFUNCTION("""COMPUTED_VALUE"""),"")</f>
        <v/>
      </c>
      <c r="S345" s="61" t="str">
        <f>IFERROR(__xludf.DUMMYFUNCTION("""COMPUTED_VALUE"""),"")</f>
        <v/>
      </c>
      <c r="T345" s="61" t="str">
        <f>IFERROR(__xludf.DUMMYFUNCTION("""COMPUTED_VALUE"""),"")</f>
        <v/>
      </c>
      <c r="U345" s="133" t="str">
        <f>IFERROR(__xludf.DUMMYFUNCTION("""COMPUTED_VALUE"""),"")</f>
        <v/>
      </c>
      <c r="V345" s="78" t="str">
        <f>IFERROR(__xludf.DUMMYFUNCTION("""COMPUTED_VALUE"""),"")</f>
        <v/>
      </c>
      <c r="W345" s="62" t="str">
        <f>IFERROR(__xludf.DUMMYFUNCTION("""COMPUTED_VALUE"""),"")</f>
        <v/>
      </c>
      <c r="X345" s="62" t="str">
        <f>IFERROR(__xludf.DUMMYFUNCTION("""COMPUTED_VALUE"""),"")</f>
        <v/>
      </c>
      <c r="Y345" s="109" t="str">
        <f>IFERROR(__xludf.DUMMYFUNCTION("""COMPUTED_VALUE"""),"")</f>
        <v/>
      </c>
      <c r="Z345" s="113" t="str">
        <f>IFERROR(__xludf.DUMMYFUNCTION("""COMPUTED_VALUE"""),"")</f>
        <v/>
      </c>
      <c r="AA345" s="113" t="str">
        <f>IFERROR(__xludf.DUMMYFUNCTION("""COMPUTED_VALUE"""),"")</f>
        <v/>
      </c>
      <c r="AB345" s="71"/>
    </row>
    <row r="346">
      <c r="A346" s="105">
        <f>IFERROR(__xludf.DUMMYFUNCTION("""COMPUTED_VALUE"""),46000.75884068287)</f>
        <v>46000.75884</v>
      </c>
      <c r="B346" s="71" t="str">
        <f>IFERROR(__xludf.DUMMYFUNCTION("""COMPUTED_VALUE"""),"Kyra Turner")</f>
        <v>Kyra Turner</v>
      </c>
      <c r="C346" s="71" t="b">
        <f>IFERROR(__xludf.DUMMYFUNCTION("""COMPUTED_VALUE"""),FALSE)</f>
        <v>0</v>
      </c>
      <c r="D346" s="132">
        <f>IFERROR(__xludf.DUMMYFUNCTION("""COMPUTED_VALUE"""),0.6875)</f>
        <v>0.6875</v>
      </c>
      <c r="E346" s="78">
        <f>IFERROR(__xludf.DUMMYFUNCTION("""COMPUTED_VALUE"""),0.07083333333139308)</f>
        <v>0.07083333333</v>
      </c>
      <c r="F346" s="132">
        <f>IFERROR(__xludf.DUMMYFUNCTION("""COMPUTED_VALUE"""),0.7583333333313931)</f>
        <v>0.7583333333</v>
      </c>
      <c r="G346" s="78">
        <f>IFERROR(__xludf.DUMMYFUNCTION("""COMPUTED_VALUE"""),0.09930555555183673)</f>
        <v>0.09930555555</v>
      </c>
      <c r="H346" s="110">
        <f>IFERROR(__xludf.DUMMYFUNCTION("""COMPUTED_VALUE"""),75.0)</f>
        <v>75</v>
      </c>
      <c r="I346" s="108">
        <f>IFERROR(__xludf.DUMMYFUNCTION("""COMPUTED_VALUE"""),31.468531469709912)</f>
        <v>31.46853147</v>
      </c>
      <c r="J346" s="71" t="str">
        <f>IFERROR(__xludf.DUMMYFUNCTION("""COMPUTED_VALUE"""),"Dinner")</f>
        <v>Dinner</v>
      </c>
      <c r="K346" s="106">
        <f>IFERROR(__xludf.DUMMYFUNCTION("""COMPUTED_VALUE"""),46000.0)</f>
        <v>46000</v>
      </c>
      <c r="L346" s="71" t="str">
        <f>IFERROR(__xludf.DUMMYFUNCTION("""COMPUTED_VALUE"""),"Tuesday")</f>
        <v>Tuesday</v>
      </c>
      <c r="M346" s="71" t="str">
        <f>IFERROR(__xludf.DUMMYFUNCTION("""COMPUTED_VALUE"""),"BF")</f>
        <v>BF</v>
      </c>
      <c r="N346" s="109">
        <f>IFERROR(__xludf.DUMMYFUNCTION("""COMPUTED_VALUE"""),0.742646797710787)</f>
        <v>0.7426467977</v>
      </c>
      <c r="O346" s="71" t="str">
        <f>IFERROR(__xludf.DUMMYFUNCTION("""COMPUTED_VALUE"""),"")</f>
        <v/>
      </c>
      <c r="P346" s="71" t="str">
        <f>IFERROR(__xludf.DUMMYFUNCTION("""COMPUTED_VALUE"""),"")</f>
        <v/>
      </c>
      <c r="Q346" s="78" t="str">
        <f>IFERROR(__xludf.DUMMYFUNCTION("""COMPUTED_VALUE"""),"")</f>
        <v/>
      </c>
      <c r="R346" s="78" t="str">
        <f>IFERROR(__xludf.DUMMYFUNCTION("""COMPUTED_VALUE"""),"")</f>
        <v/>
      </c>
      <c r="S346" s="61" t="str">
        <f>IFERROR(__xludf.DUMMYFUNCTION("""COMPUTED_VALUE"""),"")</f>
        <v/>
      </c>
      <c r="T346" s="61" t="str">
        <f>IFERROR(__xludf.DUMMYFUNCTION("""COMPUTED_VALUE"""),"")</f>
        <v/>
      </c>
      <c r="U346" s="133" t="str">
        <f>IFERROR(__xludf.DUMMYFUNCTION("""COMPUTED_VALUE"""),"")</f>
        <v/>
      </c>
      <c r="V346" s="78" t="str">
        <f>IFERROR(__xludf.DUMMYFUNCTION("""COMPUTED_VALUE"""),"")</f>
        <v/>
      </c>
      <c r="W346" s="62" t="str">
        <f>IFERROR(__xludf.DUMMYFUNCTION("""COMPUTED_VALUE"""),"")</f>
        <v/>
      </c>
      <c r="X346" s="62" t="str">
        <f>IFERROR(__xludf.DUMMYFUNCTION("""COMPUTED_VALUE"""),"")</f>
        <v/>
      </c>
      <c r="Y346" s="109" t="str">
        <f>IFERROR(__xludf.DUMMYFUNCTION("""COMPUTED_VALUE"""),"")</f>
        <v/>
      </c>
      <c r="Z346" s="113" t="str">
        <f>IFERROR(__xludf.DUMMYFUNCTION("""COMPUTED_VALUE"""),"")</f>
        <v/>
      </c>
      <c r="AA346" s="113" t="str">
        <f>IFERROR(__xludf.DUMMYFUNCTION("""COMPUTED_VALUE"""),"")</f>
        <v/>
      </c>
      <c r="AB346" s="71"/>
    </row>
    <row r="347">
      <c r="A347" s="105">
        <f>IFERROR(__xludf.DUMMYFUNCTION("""COMPUTED_VALUE"""),46000.791241643514)</f>
        <v>46000.79124</v>
      </c>
      <c r="B347" s="71" t="str">
        <f>IFERROR(__xludf.DUMMYFUNCTION("""COMPUTED_VALUE"""),"Kyra Turner")</f>
        <v>Kyra Turner</v>
      </c>
      <c r="C347" s="71" t="b">
        <f>IFERROR(__xludf.DUMMYFUNCTION("""COMPUTED_VALUE"""),TRUE)</f>
        <v>1</v>
      </c>
      <c r="D347" s="132">
        <f>IFERROR(__xludf.DUMMYFUNCTION("""COMPUTED_VALUE"""),0.7611111111109494)</f>
        <v>0.7611111111</v>
      </c>
      <c r="E347" s="78">
        <f>IFERROR(__xludf.DUMMYFUNCTION("""COMPUTED_VALUE"""),0.028472222220443655)</f>
        <v>0.02847222222</v>
      </c>
      <c r="F347" s="132">
        <f>IFERROR(__xludf.DUMMYFUNCTION("""COMPUTED_VALUE"""),0.7895833333313931)</f>
        <v>0.7895833333</v>
      </c>
      <c r="G347" s="78" t="str">
        <f>IFERROR(__xludf.DUMMYFUNCTION("""COMPUTED_VALUE"""),"")</f>
        <v/>
      </c>
      <c r="H347" s="110">
        <f>IFERROR(__xludf.DUMMYFUNCTION("""COMPUTED_VALUE"""),37.0)</f>
        <v>37</v>
      </c>
      <c r="I347" s="108" t="str">
        <f>IFERROR(__xludf.DUMMYFUNCTION("""COMPUTED_VALUE"""),"")</f>
        <v/>
      </c>
      <c r="J347" s="71" t="str">
        <f>IFERROR(__xludf.DUMMYFUNCTION("""COMPUTED_VALUE"""),"Dinner")</f>
        <v>Dinner</v>
      </c>
      <c r="K347" s="106">
        <f>IFERROR(__xludf.DUMMYFUNCTION("""COMPUTED_VALUE"""),46000.0)</f>
        <v>46000</v>
      </c>
      <c r="L347" s="71" t="str">
        <f>IFERROR(__xludf.DUMMYFUNCTION("""COMPUTED_VALUE"""),"Tuesday")</f>
        <v>Tuesday</v>
      </c>
      <c r="M347" s="71" t="str">
        <f>IFERROR(__xludf.DUMMYFUNCTION("""COMPUTED_VALUE"""),"BF")</f>
        <v>BF</v>
      </c>
      <c r="N347" s="109" t="str">
        <f>IFERROR(__xludf.DUMMYFUNCTION("""COMPUTED_VALUE"""),"")</f>
        <v/>
      </c>
      <c r="O347" s="71" t="str">
        <f>IFERROR(__xludf.DUMMYFUNCTION("""COMPUTED_VALUE"""),"")</f>
        <v/>
      </c>
      <c r="P347" s="71" t="str">
        <f>IFERROR(__xludf.DUMMYFUNCTION("""COMPUTED_VALUE"""),"")</f>
        <v/>
      </c>
      <c r="Q347" s="78" t="str">
        <f>IFERROR(__xludf.DUMMYFUNCTION("""COMPUTED_VALUE"""),"")</f>
        <v/>
      </c>
      <c r="R347" s="78" t="str">
        <f>IFERROR(__xludf.DUMMYFUNCTION("""COMPUTED_VALUE"""),"")</f>
        <v/>
      </c>
      <c r="S347" s="61" t="str">
        <f>IFERROR(__xludf.DUMMYFUNCTION("""COMPUTED_VALUE"""),"")</f>
        <v/>
      </c>
      <c r="T347" s="61" t="str">
        <f>IFERROR(__xludf.DUMMYFUNCTION("""COMPUTED_VALUE"""),"")</f>
        <v/>
      </c>
      <c r="U347" s="133" t="str">
        <f>IFERROR(__xludf.DUMMYFUNCTION("""COMPUTED_VALUE"""),"")</f>
        <v/>
      </c>
      <c r="V347" s="78" t="str">
        <f>IFERROR(__xludf.DUMMYFUNCTION("""COMPUTED_VALUE"""),"")</f>
        <v/>
      </c>
      <c r="W347" s="62" t="str">
        <f>IFERROR(__xludf.DUMMYFUNCTION("""COMPUTED_VALUE"""),"")</f>
        <v/>
      </c>
      <c r="X347" s="62" t="str">
        <f>IFERROR(__xludf.DUMMYFUNCTION("""COMPUTED_VALUE"""),"")</f>
        <v/>
      </c>
      <c r="Y347" s="109" t="str">
        <f>IFERROR(__xludf.DUMMYFUNCTION("""COMPUTED_VALUE"""),"")</f>
        <v/>
      </c>
      <c r="Z347" s="113" t="str">
        <f>IFERROR(__xludf.DUMMYFUNCTION("""COMPUTED_VALUE"""),"")</f>
        <v/>
      </c>
      <c r="AA347" s="113" t="str">
        <f>IFERROR(__xludf.DUMMYFUNCTION("""COMPUTED_VALUE"""),"")</f>
        <v/>
      </c>
      <c r="AB347" s="71"/>
    </row>
    <row r="348">
      <c r="A348" s="105">
        <f>IFERROR(__xludf.DUMMYFUNCTION("""COMPUTED_VALUE"""),46000.86626519676)</f>
        <v>46000.86627</v>
      </c>
      <c r="B348" s="71" t="str">
        <f>IFERROR(__xludf.DUMMYFUNCTION("""COMPUTED_VALUE"""),"Kaylie Forgue")</f>
        <v>Kaylie Forgue</v>
      </c>
      <c r="C348" s="71" t="b">
        <f>IFERROR(__xludf.DUMMYFUNCTION("""COMPUTED_VALUE"""),FALSE)</f>
        <v>0</v>
      </c>
      <c r="D348" s="132">
        <f>IFERROR(__xludf.DUMMYFUNCTION("""COMPUTED_VALUE"""),0.7847222222189885)</f>
        <v>0.7847222222</v>
      </c>
      <c r="E348" s="78">
        <f>IFERROR(__xludf.DUMMYFUNCTION("""COMPUTED_VALUE"""),0.07777777778392192)</f>
        <v>0.07777777778</v>
      </c>
      <c r="F348" s="132">
        <f>IFERROR(__xludf.DUMMYFUNCTION("""COMPUTED_VALUE"""),0.8625000000029104)</f>
        <v>0.8625</v>
      </c>
      <c r="G348" s="78">
        <f>IFERROR(__xludf.DUMMYFUNCTION("""COMPUTED_VALUE"""),0.07777777778392192)</f>
        <v>0.07777777778</v>
      </c>
      <c r="H348" s="110">
        <f>IFERROR(__xludf.DUMMYFUNCTION("""COMPUTED_VALUE"""),55.0)</f>
        <v>55</v>
      </c>
      <c r="I348" s="108">
        <f>IFERROR(__xludf.DUMMYFUNCTION("""COMPUTED_VALUE"""),29.46428571195815)</f>
        <v>29.46428571</v>
      </c>
      <c r="J348" s="71" t="str">
        <f>IFERROR(__xludf.DUMMYFUNCTION("""COMPUTED_VALUE"""),"Dinner")</f>
        <v>Dinner</v>
      </c>
      <c r="K348" s="106">
        <f>IFERROR(__xludf.DUMMYFUNCTION("""COMPUTED_VALUE"""),46000.0)</f>
        <v>46000</v>
      </c>
      <c r="L348" s="71" t="str">
        <f>IFERROR(__xludf.DUMMYFUNCTION("""COMPUTED_VALUE"""),"Tuesday")</f>
        <v>Tuesday</v>
      </c>
      <c r="M348" s="71" t="str">
        <f>IFERROR(__xludf.DUMMYFUNCTION("""COMPUTED_VALUE"""),"BF")</f>
        <v>BF</v>
      </c>
      <c r="N348" s="109">
        <f>IFERROR(__xludf.DUMMYFUNCTION("""COMPUTED_VALUE"""),0.6953472694422854)</f>
        <v>0.6953472694</v>
      </c>
      <c r="O348" s="71">
        <f>IFERROR(__xludf.DUMMYFUNCTION("""COMPUTED_VALUE"""),197.0)</f>
        <v>197</v>
      </c>
      <c r="P348" s="71">
        <f>IFERROR(__xludf.DUMMYFUNCTION("""COMPUTED_VALUE"""),397.0)</f>
        <v>397</v>
      </c>
      <c r="Q348" s="78">
        <f>IFERROR(__xludf.DUMMYFUNCTION("""COMPUTED_VALUE"""),0.14583333333575865)</f>
        <v>0.1458333333</v>
      </c>
      <c r="R348" s="78">
        <f>IFERROR(__xludf.DUMMYFUNCTION("""COMPUTED_VALUE"""),0.49722222222044365)</f>
        <v>0.4972222222</v>
      </c>
      <c r="S348" s="61">
        <f>IFERROR(__xludf.DUMMYFUNCTION("""COMPUTED_VALUE"""),56.28571428477821)</f>
        <v>56.28571428</v>
      </c>
      <c r="T348" s="61">
        <f>IFERROR(__xludf.DUMMYFUNCTION("""COMPUTED_VALUE"""),30.894466492761275)</f>
        <v>30.89446649</v>
      </c>
      <c r="U348" s="133">
        <f>IFERROR(__xludf.DUMMYFUNCTION("""COMPUTED_VALUE"""),594.0)</f>
        <v>594</v>
      </c>
      <c r="V348" s="78">
        <f>IFERROR(__xludf.DUMMYFUNCTION("""COMPUTED_VALUE"""),0.6430555555562023)</f>
        <v>0.6430555556</v>
      </c>
      <c r="W348" s="62">
        <f>IFERROR(__xludf.DUMMYFUNCTION("""COMPUTED_VALUE"""),38.488120950285264)</f>
        <v>38.48812095</v>
      </c>
      <c r="X348" s="62">
        <f>IFERROR(__xludf.DUMMYFUNCTION("""COMPUTED_VALUE"""),35.1263411247641)</f>
        <v>35.12634112</v>
      </c>
      <c r="Y348" s="109">
        <f>IFERROR(__xludf.DUMMYFUNCTION("""COMPUTED_VALUE"""),0.6752914344669165)</f>
        <v>0.6752914345</v>
      </c>
      <c r="Z348" s="113" t="str">
        <f>IFERROR(__xludf.DUMMYFUNCTION("""COMPUTED_VALUE"""),"")</f>
        <v/>
      </c>
      <c r="AA348" s="113" t="str">
        <f>IFERROR(__xludf.DUMMYFUNCTION("""COMPUTED_VALUE"""),"")</f>
        <v/>
      </c>
      <c r="AB348" s="71"/>
    </row>
    <row r="349">
      <c r="A349" s="105">
        <f>IFERROR(__xludf.DUMMYFUNCTION("""COMPUTED_VALUE"""),46002.63175730324)</f>
        <v>46002.63176</v>
      </c>
      <c r="B349" s="71" t="str">
        <f>IFERROR(__xludf.DUMMYFUNCTION("""COMPUTED_VALUE"""),"Brynn Hornig")</f>
        <v>Brynn Hornig</v>
      </c>
      <c r="C349" s="71" t="b">
        <f>IFERROR(__xludf.DUMMYFUNCTION("""COMPUTED_VALUE"""),FALSE)</f>
        <v>0</v>
      </c>
      <c r="D349" s="132">
        <f>IFERROR(__xludf.DUMMYFUNCTION("""COMPUTED_VALUE"""),0.5625)</f>
        <v>0.5625</v>
      </c>
      <c r="E349" s="78">
        <f>IFERROR(__xludf.DUMMYFUNCTION("""COMPUTED_VALUE"""),0.07291666666424135)</f>
        <v>0.07291666666</v>
      </c>
      <c r="F349" s="132">
        <f>IFERROR(__xludf.DUMMYFUNCTION("""COMPUTED_VALUE"""),0.6354166666642413)</f>
        <v>0.6354166667</v>
      </c>
      <c r="G349" s="78">
        <f>IFERROR(__xludf.DUMMYFUNCTION("""COMPUTED_VALUE"""),0.07291666666424135)</f>
        <v>0.07291666666</v>
      </c>
      <c r="H349" s="110">
        <f>IFERROR(__xludf.DUMMYFUNCTION("""COMPUTED_VALUE"""),70.0)</f>
        <v>70</v>
      </c>
      <c r="I349" s="108">
        <f>IFERROR(__xludf.DUMMYFUNCTION("""COMPUTED_VALUE"""),40.00000000133046)</f>
        <v>40</v>
      </c>
      <c r="J349" s="71" t="str">
        <f>IFERROR(__xludf.DUMMYFUNCTION("""COMPUTED_VALUE"""),"Lunch")</f>
        <v>Lunch</v>
      </c>
      <c r="K349" s="106">
        <f>IFERROR(__xludf.DUMMYFUNCTION("""COMPUTED_VALUE"""),46002.0)</f>
        <v>46002</v>
      </c>
      <c r="L349" s="71" t="str">
        <f>IFERROR(__xludf.DUMMYFUNCTION("""COMPUTED_VALUE"""),"Thursday")</f>
        <v>Thursday</v>
      </c>
      <c r="M349" s="71" t="str">
        <f>IFERROR(__xludf.DUMMYFUNCTION("""COMPUTED_VALUE"""),"MF")</f>
        <v>MF</v>
      </c>
      <c r="N349" s="109">
        <f>IFERROR(__xludf.DUMMYFUNCTION("""COMPUTED_VALUE"""),0.8317937292918091)</f>
        <v>0.8317937293</v>
      </c>
      <c r="O349" s="71" t="str">
        <f>IFERROR(__xludf.DUMMYFUNCTION("""COMPUTED_VALUE"""),"")</f>
        <v/>
      </c>
      <c r="P349" s="71" t="str">
        <f>IFERROR(__xludf.DUMMYFUNCTION("""COMPUTED_VALUE"""),"")</f>
        <v/>
      </c>
      <c r="Q349" s="78" t="str">
        <f>IFERROR(__xludf.DUMMYFUNCTION("""COMPUTED_VALUE"""),"")</f>
        <v/>
      </c>
      <c r="R349" s="78" t="str">
        <f>IFERROR(__xludf.DUMMYFUNCTION("""COMPUTED_VALUE"""),"")</f>
        <v/>
      </c>
      <c r="S349" s="61" t="str">
        <f>IFERROR(__xludf.DUMMYFUNCTION("""COMPUTED_VALUE"""),"")</f>
        <v/>
      </c>
      <c r="T349" s="61" t="str">
        <f>IFERROR(__xludf.DUMMYFUNCTION("""COMPUTED_VALUE"""),"")</f>
        <v/>
      </c>
      <c r="U349" s="133" t="str">
        <f>IFERROR(__xludf.DUMMYFUNCTION("""COMPUTED_VALUE"""),"")</f>
        <v/>
      </c>
      <c r="V349" s="78" t="str">
        <f>IFERROR(__xludf.DUMMYFUNCTION("""COMPUTED_VALUE"""),"")</f>
        <v/>
      </c>
      <c r="W349" s="62" t="str">
        <f>IFERROR(__xludf.DUMMYFUNCTION("""COMPUTED_VALUE"""),"")</f>
        <v/>
      </c>
      <c r="X349" s="62" t="str">
        <f>IFERROR(__xludf.DUMMYFUNCTION("""COMPUTED_VALUE"""),"")</f>
        <v/>
      </c>
      <c r="Y349" s="109" t="str">
        <f>IFERROR(__xludf.DUMMYFUNCTION("""COMPUTED_VALUE"""),"")</f>
        <v/>
      </c>
      <c r="Z349" s="113" t="str">
        <f>IFERROR(__xludf.DUMMYFUNCTION("""COMPUTED_VALUE"""),"")</f>
        <v/>
      </c>
      <c r="AA349" s="113" t="str">
        <f>IFERROR(__xludf.DUMMYFUNCTION("""COMPUTED_VALUE"""),"")</f>
        <v/>
      </c>
      <c r="AB349" s="71"/>
    </row>
    <row r="350">
      <c r="A350" s="105">
        <f>IFERROR(__xludf.DUMMYFUNCTION("""COMPUTED_VALUE"""),46002.65567619213)</f>
        <v>46002.65568</v>
      </c>
      <c r="B350" s="71" t="str">
        <f>IFERROR(__xludf.DUMMYFUNCTION("""COMPUTED_VALUE"""),"Emmett Khan")</f>
        <v>Emmett Khan</v>
      </c>
      <c r="C350" s="71" t="b">
        <f>IFERROR(__xludf.DUMMYFUNCTION("""COMPUTED_VALUE"""),FALSE)</f>
        <v>0</v>
      </c>
      <c r="D350" s="132">
        <f>IFERROR(__xludf.DUMMYFUNCTION("""COMPUTED_VALUE"""),0.5833333333357587)</f>
        <v>0.5833333333</v>
      </c>
      <c r="E350" s="78">
        <f>IFERROR(__xludf.DUMMYFUNCTION("""COMPUTED_VALUE"""),0.07291666666424135)</f>
        <v>0.07291666666</v>
      </c>
      <c r="F350" s="132">
        <f>IFERROR(__xludf.DUMMYFUNCTION("""COMPUTED_VALUE"""),0.65625)</f>
        <v>0.65625</v>
      </c>
      <c r="G350" s="78">
        <f>IFERROR(__xludf.DUMMYFUNCTION("""COMPUTED_VALUE"""),0.15625)</f>
        <v>0.15625</v>
      </c>
      <c r="H350" s="110">
        <f>IFERROR(__xludf.DUMMYFUNCTION("""COMPUTED_VALUE"""),56.0)</f>
        <v>56</v>
      </c>
      <c r="I350" s="108">
        <f>IFERROR(__xludf.DUMMYFUNCTION("""COMPUTED_VALUE"""),14.933333333333334)</f>
        <v>14.93333333</v>
      </c>
      <c r="J350" s="71" t="str">
        <f>IFERROR(__xludf.DUMMYFUNCTION("""COMPUTED_VALUE"""),"Lunch")</f>
        <v>Lunch</v>
      </c>
      <c r="K350" s="106">
        <f>IFERROR(__xludf.DUMMYFUNCTION("""COMPUTED_VALUE"""),46002.0)</f>
        <v>46002</v>
      </c>
      <c r="L350" s="71" t="str">
        <f>IFERROR(__xludf.DUMMYFUNCTION("""COMPUTED_VALUE"""),"Thursday")</f>
        <v>Thursday</v>
      </c>
      <c r="M350" s="71" t="str">
        <f>IFERROR(__xludf.DUMMYFUNCTION("""COMPUTED_VALUE"""),"BF")</f>
        <v>BF</v>
      </c>
      <c r="N350" s="109">
        <f>IFERROR(__xludf.DUMMYFUNCTION("""COMPUTED_VALUE"""),0.38457511256940197)</f>
        <v>0.3845751126</v>
      </c>
      <c r="O350" s="71" t="str">
        <f>IFERROR(__xludf.DUMMYFUNCTION("""COMPUTED_VALUE"""),"")</f>
        <v/>
      </c>
      <c r="P350" s="71" t="str">
        <f>IFERROR(__xludf.DUMMYFUNCTION("""COMPUTED_VALUE"""),"")</f>
        <v/>
      </c>
      <c r="Q350" s="78" t="str">
        <f>IFERROR(__xludf.DUMMYFUNCTION("""COMPUTED_VALUE"""),"")</f>
        <v/>
      </c>
      <c r="R350" s="78" t="str">
        <f>IFERROR(__xludf.DUMMYFUNCTION("""COMPUTED_VALUE"""),"")</f>
        <v/>
      </c>
      <c r="S350" s="61" t="str">
        <f>IFERROR(__xludf.DUMMYFUNCTION("""COMPUTED_VALUE"""),"")</f>
        <v/>
      </c>
      <c r="T350" s="61" t="str">
        <f>IFERROR(__xludf.DUMMYFUNCTION("""COMPUTED_VALUE"""),"")</f>
        <v/>
      </c>
      <c r="U350" s="133" t="str">
        <f>IFERROR(__xludf.DUMMYFUNCTION("""COMPUTED_VALUE"""),"")</f>
        <v/>
      </c>
      <c r="V350" s="78" t="str">
        <f>IFERROR(__xludf.DUMMYFUNCTION("""COMPUTED_VALUE"""),"")</f>
        <v/>
      </c>
      <c r="W350" s="62" t="str">
        <f>IFERROR(__xludf.DUMMYFUNCTION("""COMPUTED_VALUE"""),"")</f>
        <v/>
      </c>
      <c r="X350" s="62" t="str">
        <f>IFERROR(__xludf.DUMMYFUNCTION("""COMPUTED_VALUE"""),"")</f>
        <v/>
      </c>
      <c r="Y350" s="109" t="str">
        <f>IFERROR(__xludf.DUMMYFUNCTION("""COMPUTED_VALUE"""),"")</f>
        <v/>
      </c>
      <c r="Z350" s="113" t="str">
        <f>IFERROR(__xludf.DUMMYFUNCTION("""COMPUTED_VALUE"""),"")</f>
        <v/>
      </c>
      <c r="AA350" s="113" t="str">
        <f>IFERROR(__xludf.DUMMYFUNCTION("""COMPUTED_VALUE"""),"")</f>
        <v/>
      </c>
      <c r="AB350" s="71"/>
    </row>
    <row r="351">
      <c r="A351" s="105">
        <f>IFERROR(__xludf.DUMMYFUNCTION("""COMPUTED_VALUE"""),46002.76814797454)</f>
        <v>46002.76815</v>
      </c>
      <c r="B351" s="71" t="str">
        <f>IFERROR(__xludf.DUMMYFUNCTION("""COMPUTED_VALUE"""),"Emmett Khan")</f>
        <v>Emmett Khan</v>
      </c>
      <c r="C351" s="71" t="b">
        <f>IFERROR(__xludf.DUMMYFUNCTION("""COMPUTED_VALUE"""),TRUE)</f>
        <v>1</v>
      </c>
      <c r="D351" s="132">
        <f>IFERROR(__xludf.DUMMYFUNCTION("""COMPUTED_VALUE"""),0.6875)</f>
        <v>0.6875</v>
      </c>
      <c r="E351" s="78">
        <f>IFERROR(__xludf.DUMMYFUNCTION("""COMPUTED_VALUE"""),0.08333333333575865)</f>
        <v>0.08333333334</v>
      </c>
      <c r="F351" s="132">
        <f>IFERROR(__xludf.DUMMYFUNCTION("""COMPUTED_VALUE"""),0.7708333333357587)</f>
        <v>0.7708333333</v>
      </c>
      <c r="G351" s="78" t="str">
        <f>IFERROR(__xludf.DUMMYFUNCTION("""COMPUTED_VALUE"""),"")</f>
        <v/>
      </c>
      <c r="H351" s="110">
        <f>IFERROR(__xludf.DUMMYFUNCTION("""COMPUTED_VALUE"""),87.0)</f>
        <v>87</v>
      </c>
      <c r="I351" s="108" t="str">
        <f>IFERROR(__xludf.DUMMYFUNCTION("""COMPUTED_VALUE"""),"")</f>
        <v/>
      </c>
      <c r="J351" s="71" t="str">
        <f>IFERROR(__xludf.DUMMYFUNCTION("""COMPUTED_VALUE"""),"Dinner")</f>
        <v>Dinner</v>
      </c>
      <c r="K351" s="106">
        <f>IFERROR(__xludf.DUMMYFUNCTION("""COMPUTED_VALUE"""),46002.0)</f>
        <v>46002</v>
      </c>
      <c r="L351" s="71" t="str">
        <f>IFERROR(__xludf.DUMMYFUNCTION("""COMPUTED_VALUE"""),"Thursday")</f>
        <v>Thursday</v>
      </c>
      <c r="M351" s="71" t="str">
        <f>IFERROR(__xludf.DUMMYFUNCTION("""COMPUTED_VALUE"""),"BF")</f>
        <v>BF</v>
      </c>
      <c r="N351" s="109" t="str">
        <f>IFERROR(__xludf.DUMMYFUNCTION("""COMPUTED_VALUE"""),"")</f>
        <v/>
      </c>
      <c r="O351" s="71">
        <f>IFERROR(__xludf.DUMMYFUNCTION("""COMPUTED_VALUE"""),70.0)</f>
        <v>70</v>
      </c>
      <c r="P351" s="71">
        <f>IFERROR(__xludf.DUMMYFUNCTION("""COMPUTED_VALUE"""),143.0)</f>
        <v>143</v>
      </c>
      <c r="Q351" s="78">
        <f>IFERROR(__xludf.DUMMYFUNCTION("""COMPUTED_VALUE"""),0.07291666666424135)</f>
        <v>0.07291666666</v>
      </c>
      <c r="R351" s="78">
        <f>IFERROR(__xludf.DUMMYFUNCTION("""COMPUTED_VALUE"""),0.15625)</f>
        <v>0.15625</v>
      </c>
      <c r="S351" s="61">
        <f>IFERROR(__xludf.DUMMYFUNCTION("""COMPUTED_VALUE"""),40.00000000133046)</f>
        <v>40</v>
      </c>
      <c r="T351" s="61">
        <f>IFERROR(__xludf.DUMMYFUNCTION("""COMPUTED_VALUE"""),14.933333333333334)</f>
        <v>14.93333333</v>
      </c>
      <c r="U351" s="133">
        <f>IFERROR(__xludf.DUMMYFUNCTION("""COMPUTED_VALUE"""),213.0)</f>
        <v>213</v>
      </c>
      <c r="V351" s="78">
        <f>IFERROR(__xludf.DUMMYFUNCTION("""COMPUTED_VALUE"""),0.22916666666424135)</f>
        <v>0.2291666667</v>
      </c>
      <c r="W351" s="62">
        <f>IFERROR(__xludf.DUMMYFUNCTION("""COMPUTED_VALUE"""),38.72727272768259)</f>
        <v>38.72727273</v>
      </c>
      <c r="X351" s="62">
        <f>IFERROR(__xludf.DUMMYFUNCTION("""COMPUTED_VALUE"""),27.4666666673319)</f>
        <v>27.46666667</v>
      </c>
      <c r="Y351" s="109">
        <f>IFERROR(__xludf.DUMMYFUNCTION("""COMPUTED_VALUE"""),0.4124063372644906)</f>
        <v>0.4124063373</v>
      </c>
      <c r="Z351" s="113" t="str">
        <f>IFERROR(__xludf.DUMMYFUNCTION("""COMPUTED_VALUE"""),"")</f>
        <v/>
      </c>
      <c r="AA351" s="113" t="str">
        <f>IFERROR(__xludf.DUMMYFUNCTION("""COMPUTED_VALUE"""),"")</f>
        <v/>
      </c>
      <c r="AB351" s="71"/>
    </row>
  </sheetData>
  <mergeCells count="1">
    <mergeCell ref="X9:Y9"/>
  </mergeCells>
  <conditionalFormatting sqref="B1 C1:C351">
    <cfRule type="cellIs" dxfId="0" priority="1" operator="equal">
      <formula>"TRUE"</formula>
    </cfRule>
  </conditionalFormatting>
  <conditionalFormatting sqref="U2:W351 AB2">
    <cfRule type="notContainsBlanks" dxfId="23" priority="2">
      <formula>LEN(TRIM(U2))&gt;0</formula>
    </cfRule>
  </conditionalFormatting>
  <conditionalFormatting sqref="O2:O351 Q2:Q351 S2:S351">
    <cfRule type="notContainsBlanks" dxfId="17" priority="3">
      <formula>LEN(TRIM(O2))&gt;0</formula>
    </cfRule>
  </conditionalFormatting>
  <conditionalFormatting sqref="P2:P351 R2:R351 T2:T351">
    <cfRule type="notContainsBlanks" dxfId="18" priority="4">
      <formula>LEN(TRIM(P2))&gt;0</formula>
    </cfRule>
  </conditionalFormatting>
  <conditionalFormatting sqref="M1:M351">
    <cfRule type="cellIs" dxfId="17" priority="5" operator="equal">
      <formula>"MF"</formula>
    </cfRule>
  </conditionalFormatting>
  <conditionalFormatting sqref="M1:M351">
    <cfRule type="cellIs" dxfId="18" priority="6" operator="equal">
      <formula>"BF"</formula>
    </cfRule>
  </conditionalFormatting>
  <conditionalFormatting sqref="I1:I351">
    <cfRule type="cellIs" dxfId="1" priority="7" operator="greaterThanOrEqual">
      <formula>100</formula>
    </cfRule>
  </conditionalFormatting>
  <conditionalFormatting sqref="I1:I351">
    <cfRule type="cellIs" dxfId="2" priority="8" operator="greaterThanOrEqual">
      <formula>70</formula>
    </cfRule>
  </conditionalFormatting>
  <conditionalFormatting sqref="I1:I351">
    <cfRule type="cellIs" dxfId="3" priority="9" operator="lessThanOrEqual">
      <formula>25</formula>
    </cfRule>
  </conditionalFormatting>
  <conditionalFormatting sqref="I1:I351">
    <cfRule type="cellIs" dxfId="4" priority="10" operator="lessThanOrEqual">
      <formula>30</formula>
    </cfRule>
  </conditionalFormatting>
  <conditionalFormatting sqref="I1:I351">
    <cfRule type="cellIs" dxfId="5" priority="11" operator="lessThanOrEqual">
      <formula>40</formula>
    </cfRule>
  </conditionalFormatting>
  <conditionalFormatting sqref="J1:J351">
    <cfRule type="cellIs" dxfId="6" priority="12" operator="equal">
      <formula>"Breakfast"</formula>
    </cfRule>
  </conditionalFormatting>
  <conditionalFormatting sqref="J1:J351">
    <cfRule type="cellIs" dxfId="7" priority="13" operator="equal">
      <formula>"Breakfast/Lunch"</formula>
    </cfRule>
  </conditionalFormatting>
  <conditionalFormatting sqref="J1:J351">
    <cfRule type="cellIs" dxfId="8" priority="14" operator="equal">
      <formula>"Lunch"</formula>
    </cfRule>
  </conditionalFormatting>
  <conditionalFormatting sqref="J1:J351">
    <cfRule type="cellIs" dxfId="9" priority="15" operator="equal">
      <formula>"Lunch/Dinner"</formula>
    </cfRule>
  </conditionalFormatting>
  <conditionalFormatting sqref="J1:J351">
    <cfRule type="cellIs" dxfId="10" priority="16" operator="equal">
      <formula>"Dinner"</formula>
    </cfRule>
  </conditionalFormatting>
  <conditionalFormatting sqref="L1:L351">
    <cfRule type="cellIs" dxfId="11" priority="17" operator="equal">
      <formula>"Monday"</formula>
    </cfRule>
  </conditionalFormatting>
  <conditionalFormatting sqref="L1:L351">
    <cfRule type="cellIs" dxfId="12" priority="18" operator="equal">
      <formula>"Tuesday"</formula>
    </cfRule>
  </conditionalFormatting>
  <conditionalFormatting sqref="L1:L351">
    <cfRule type="cellIs" dxfId="13" priority="19" operator="equal">
      <formula>"Wednesday"</formula>
    </cfRule>
  </conditionalFormatting>
  <conditionalFormatting sqref="L1:L351">
    <cfRule type="cellIs" dxfId="14" priority="20" operator="equal">
      <formula>"Thursday"</formula>
    </cfRule>
  </conditionalFormatting>
  <conditionalFormatting sqref="L1:L351">
    <cfRule type="cellIs" dxfId="15" priority="21" operator="equal">
      <formula>"Friday"</formula>
    </cfRule>
  </conditionalFormatting>
  <conditionalFormatting sqref="K3:K351">
    <cfRule type="expression" dxfId="16" priority="22">
      <formula>AND(K3&lt;&gt;"", ISEVEN(SUMPRODUCT((K$3:K3&lt;&gt;OFFSET(K$3:K3,-1,0))*(K$3:K3&lt;&gt;""))))</formula>
    </cfRule>
  </conditionalFormatting>
  <conditionalFormatting sqref="N70:N351">
    <cfRule type="colorScale" priority="23">
      <colorScale>
        <cfvo type="formula" val="0"/>
        <cfvo type="formula" val="1"/>
        <cfvo type="max"/>
        <color rgb="FFFF0000"/>
        <color rgb="FFEFEFEF"/>
        <color rgb="FF57BB8A"/>
      </colorScale>
    </cfRule>
  </conditionalFormatting>
  <conditionalFormatting sqref="X2:X351">
    <cfRule type="notContainsBlanks" dxfId="6" priority="24">
      <formula>LEN(TRIM(X2))&gt;0</formula>
    </cfRule>
  </conditionalFormatting>
  <conditionalFormatting sqref="Y69:Y351">
    <cfRule type="colorScale" priority="25">
      <colorScale>
        <cfvo type="formula" val="0"/>
        <cfvo type="formula" val="1"/>
        <cfvo type="max"/>
        <color rgb="FFFF0000"/>
        <color rgb="FFEFEFEF"/>
        <color rgb="FF57BB8A"/>
      </colorScale>
    </cfRule>
  </conditionalFormatting>
  <conditionalFormatting sqref="Z1:AA351">
    <cfRule type="colorScale" priority="26">
      <colorScale>
        <cfvo type="min"/>
        <cfvo type="percentile" val="50"/>
        <cfvo type="max"/>
        <color rgb="FFE67C73"/>
        <color rgb="FFFFFFFF"/>
        <color rgb="FF57BB8A"/>
      </colorScale>
    </cfRule>
  </conditionalFormatting>
  <conditionalFormatting sqref="AB3:AB351">
    <cfRule type="colorScale" priority="27">
      <colorScale>
        <cfvo type="formula" val="0"/>
        <cfvo type="percentile" val="50"/>
        <cfvo type="max"/>
        <color rgb="FFEA4335"/>
        <color rgb="FFFFFFFF"/>
        <color rgb="FF34A853"/>
      </colorScale>
    </cfRule>
  </conditionalFormatting>
  <drawing r:id="rId2"/>
  <legacyDrawing r:id="rId3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9FC5E8"/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9.5"/>
    <col customWidth="1" min="3" max="3" width="9.5"/>
    <col customWidth="1" min="4" max="4" width="10.88"/>
    <col customWidth="1" min="5" max="5" width="7.63"/>
    <col customWidth="1" min="6" max="6" width="10.88"/>
    <col customWidth="1" min="7" max="7" width="7.63"/>
    <col customWidth="1" min="8" max="8" width="6.5"/>
    <col customWidth="1" min="9" max="9" width="8.5"/>
    <col customWidth="1" min="10" max="10" width="11.0"/>
    <col customWidth="1" min="11" max="11" width="9.63"/>
    <col customWidth="1" min="13" max="13" width="5.63"/>
    <col customWidth="1" min="14" max="14" width="9.13"/>
    <col customWidth="1" min="15" max="23" width="6.75"/>
    <col customWidth="1" min="24" max="24" width="7.38"/>
    <col customWidth="1" min="25" max="25" width="9.75"/>
    <col customWidth="1" min="29" max="31" width="19.0"/>
  </cols>
  <sheetData>
    <row r="1">
      <c r="A1" s="63" t="str">
        <f>IFERROR(__xludf.DUMMYFUNCTION("IMPORTRANGE(""https://docs.google.com/spreadsheets/d/1P6EripOCRq6G1GNfS6HgdpZe7urZNpBheFHpX0WVjzc/edit?gid=0#gid=0"",""'Bulk Data'!A2:AB"")"),"Timestamp")</f>
        <v>Timestamp</v>
      </c>
      <c r="B1" s="63" t="str">
        <f>IFERROR(__xludf.DUMMYFUNCTION("""COMPUTED_VALUE"""),"Name")</f>
        <v>Name</v>
      </c>
      <c r="C1" s="63" t="str">
        <f>IFERROR(__xludf.DUMMYFUNCTION("""COMPUTED_VALUE"""),"Double Name")</f>
        <v>Double Name</v>
      </c>
      <c r="D1" s="63" t="str">
        <f>IFERROR(__xludf.DUMMYFUNCTION("""COMPUTED_VALUE"""),"Start hour")</f>
        <v>Start hour</v>
      </c>
      <c r="E1" s="64" t="str">
        <f>IFERROR(__xludf.DUMMYFUNCTION("""COMPUTED_VALUE"""),"hours worked")</f>
        <v>hours worked</v>
      </c>
      <c r="F1" s="63" t="str">
        <f>IFERROR(__xludf.DUMMYFUNCTION("""COMPUTED_VALUE"""),"End hour")</f>
        <v>End hour</v>
      </c>
      <c r="G1" s="134" t="str">
        <f>IFERROR(__xludf.DUMMYFUNCTION("""COMPUTED_VALUE"""),"hours pp")</f>
        <v>hours pp</v>
      </c>
      <c r="H1" s="65" t="str">
        <f>IFERROR(__xludf.DUMMYFUNCTION("""COMPUTED_VALUE"""),"Derived Weight")</f>
        <v>Derived Weight</v>
      </c>
      <c r="I1" s="135" t="str">
        <f>IFERROR(__xludf.DUMMYFUNCTION("""COMPUTED_VALUE"""),"lb/hr per shift")</f>
        <v>lb/hr per shift</v>
      </c>
      <c r="J1" s="63" t="str">
        <f>IFERROR(__xludf.DUMMYFUNCTION("""COMPUTED_VALUE"""),"Period")</f>
        <v>Period</v>
      </c>
      <c r="K1" s="63" t="str">
        <f>IFERROR(__xludf.DUMMYFUNCTION("""COMPUTED_VALUE"""),"Date")</f>
        <v>Date</v>
      </c>
      <c r="L1" s="63" t="str">
        <f>IFERROR(__xludf.DUMMYFUNCTION("""COMPUTED_VALUE"""),"Weekday")</f>
        <v>Weekday</v>
      </c>
      <c r="M1" s="63" t="str">
        <f>IFERROR(__xludf.DUMMYFUNCTION("""COMPUTED_VALUE"""),"Dining Hall")</f>
        <v>Dining Hall</v>
      </c>
      <c r="N1" s="136" t="str">
        <f>IFERROR(__xludf.DUMMYFUNCTION("""COMPUTED_VALUE"""),"Effeciency Score")</f>
        <v>Effeciency Score</v>
      </c>
      <c r="O1" s="63" t="str">
        <f>IFERROR(__xludf.DUMMYFUNCTION("""COMPUTED_VALUE"""),"MF lbs td")</f>
        <v>MF lbs td</v>
      </c>
      <c r="P1" s="63" t="str">
        <f>IFERROR(__xludf.DUMMYFUNCTION("""COMPUTED_VALUE"""),"BF lbs td")</f>
        <v>BF lbs td</v>
      </c>
      <c r="Q1" s="64" t="str">
        <f>IFERROR(__xludf.DUMMYFUNCTION("""COMPUTED_VALUE"""),"MF hrs td")</f>
        <v>MF hrs td</v>
      </c>
      <c r="R1" s="64" t="str">
        <f>IFERROR(__xludf.DUMMYFUNCTION("""COMPUTED_VALUE"""),"BF hrs td")</f>
        <v>BF hrs td</v>
      </c>
      <c r="S1" s="135" t="str">
        <f>IFERROR(__xludf.DUMMYFUNCTION("""COMPUTED_VALUE"""),"MF lbs/hr td")</f>
        <v>MF lbs/hr td</v>
      </c>
      <c r="T1" s="135" t="str">
        <f>IFERROR(__xludf.DUMMYFUNCTION("""COMPUTED_VALUE"""),"BF lbs/hr td")</f>
        <v>BF lbs/hr td</v>
      </c>
      <c r="U1" s="63" t="str">
        <f>IFERROR(__xludf.DUMMYFUNCTION("""COMPUTED_VALUE"""),"lbs td")</f>
        <v>lbs td</v>
      </c>
      <c r="V1" s="64" t="str">
        <f>IFERROR(__xludf.DUMMYFUNCTION("""COMPUTED_VALUE"""),"hours td")</f>
        <v>hours td</v>
      </c>
      <c r="W1" s="137" t="str">
        <f>IFERROR(__xludf.DUMMYFUNCTION("""COMPUTED_VALUE"""),"lbs/hr td")</f>
        <v>lbs/hr td</v>
      </c>
      <c r="X1" s="66" t="str">
        <f>IFERROR(__xludf.DUMMYFUNCTION("""COMPUTED_VALUE"""),"Avg Ambassador lbs/hr")</f>
        <v>Avg Ambassador lbs/hr</v>
      </c>
      <c r="Y1" s="136" t="str">
        <f>IFERROR(__xludf.DUMMYFUNCTION("""COMPUTED_VALUE"""),"Effeciency score td")</f>
        <v>Effeciency score td</v>
      </c>
      <c r="Z1" s="138" t="str">
        <f>IFERROR(__xludf.DUMMYFUNCTION("""COMPUTED_VALUE"""),"MF Diners td")</f>
        <v>MF Diners td</v>
      </c>
      <c r="AA1" s="138" t="str">
        <f>IFERROR(__xludf.DUMMYFUNCTION("""COMPUTED_VALUE"""),"BF Diners td")</f>
        <v>BF Diners td</v>
      </c>
      <c r="AB1" s="139" t="str">
        <f>IFERROR(__xludf.DUMMYFUNCTION("""COMPUTED_VALUE"""),"Diners Today")</f>
        <v>Diners Today</v>
      </c>
      <c r="AC1" s="140"/>
      <c r="AD1" s="140"/>
      <c r="AE1" s="140"/>
    </row>
    <row r="2">
      <c r="A2" s="141">
        <f>IFERROR(__xludf.DUMMYFUNCTION("""COMPUTED_VALUE"""),46041.0)</f>
        <v>46041</v>
      </c>
      <c r="B2" s="67" t="str">
        <f>IFERROR(__xludf.DUMMYFUNCTION("""COMPUTED_VALUE"""),"N/A")</f>
        <v>N/A</v>
      </c>
      <c r="C2" s="142" t="b">
        <f>IFERROR(__xludf.DUMMYFUNCTION("""COMPUTED_VALUE"""),FALSE)</f>
        <v>0</v>
      </c>
      <c r="D2" s="142"/>
      <c r="E2" s="142"/>
      <c r="F2" s="142"/>
      <c r="G2" s="143"/>
      <c r="H2" s="74">
        <f>IFERROR(__xludf.DUMMYFUNCTION("""COMPUTED_VALUE"""),0.0)</f>
        <v>0</v>
      </c>
      <c r="I2" s="144"/>
      <c r="J2" s="145"/>
      <c r="K2" s="146">
        <f>IFERROR(__xludf.DUMMYFUNCTION("""COMPUTED_VALUE"""),46041.0)</f>
        <v>46041</v>
      </c>
      <c r="L2" s="67" t="str">
        <f>IFERROR(__xludf.DUMMYFUNCTION("""COMPUTED_VALUE"""),"Monday")</f>
        <v>Monday</v>
      </c>
      <c r="M2" s="142"/>
      <c r="N2" s="147"/>
      <c r="O2" s="67"/>
      <c r="P2" s="67" t="str">
        <f>IFERROR(__xludf.DUMMYFUNCTION("""COMPUTED_VALUE"""),"")</f>
        <v/>
      </c>
      <c r="Q2" s="73"/>
      <c r="R2" s="73" t="str">
        <f>IFERROR(__xludf.DUMMYFUNCTION("""COMPUTED_VALUE"""),"")</f>
        <v/>
      </c>
      <c r="S2" s="75"/>
      <c r="T2" s="75" t="str">
        <f>IFERROR(__xludf.DUMMYFUNCTION("""COMPUTED_VALUE"""),"")</f>
        <v/>
      </c>
      <c r="U2" s="67"/>
      <c r="V2" s="73"/>
      <c r="W2" s="67"/>
      <c r="X2" s="144"/>
      <c r="Y2" s="142"/>
      <c r="Z2" s="148"/>
      <c r="AA2" s="148"/>
      <c r="AB2" s="149"/>
      <c r="AC2" s="149"/>
      <c r="AD2" s="149"/>
      <c r="AE2" s="149"/>
    </row>
    <row r="3">
      <c r="A3" s="105">
        <f>IFERROR(__xludf.DUMMYFUNCTION("""COMPUTED_VALUE"""),46043.62020392361)</f>
        <v>46043.6202</v>
      </c>
      <c r="B3" s="71" t="str">
        <f>IFERROR(__xludf.DUMMYFUNCTION("""COMPUTED_VALUE"""),"Brynn Hornig")</f>
        <v>Brynn Hornig</v>
      </c>
      <c r="C3" s="71" t="b">
        <f>IFERROR(__xludf.DUMMYFUNCTION("""COMPUTED_VALUE"""),FALSE)</f>
        <v>0</v>
      </c>
      <c r="D3" s="132">
        <f>IFERROR(__xludf.DUMMYFUNCTION("""COMPUTED_VALUE"""),0.5208333333357587)</f>
        <v>0.5208333333</v>
      </c>
      <c r="E3" s="78">
        <f>IFERROR(__xludf.DUMMYFUNCTION("""COMPUTED_VALUE"""),0.10416666666424135)</f>
        <v>0.1041666667</v>
      </c>
      <c r="F3" s="132">
        <f>IFERROR(__xludf.DUMMYFUNCTION("""COMPUTED_VALUE"""),0.625)</f>
        <v>0.625</v>
      </c>
      <c r="G3" s="78">
        <f>IFERROR(__xludf.DUMMYFUNCTION("""COMPUTED_VALUE"""),0.10416666666424135)</f>
        <v>0.1041666667</v>
      </c>
      <c r="H3" s="79">
        <f>IFERROR(__xludf.DUMMYFUNCTION("""COMPUTED_VALUE"""),129.0)</f>
        <v>129</v>
      </c>
      <c r="I3" s="80">
        <f>IFERROR(__xludf.DUMMYFUNCTION("""COMPUTED_VALUE"""),51.60000000120141)</f>
        <v>51.6</v>
      </c>
      <c r="J3" s="71" t="str">
        <f>IFERROR(__xludf.DUMMYFUNCTION("""COMPUTED_VALUE"""),"Lunch")</f>
        <v>Lunch</v>
      </c>
      <c r="K3" s="106">
        <f>IFERROR(__xludf.DUMMYFUNCTION("""COMPUTED_VALUE"""),46043.0)</f>
        <v>46043</v>
      </c>
      <c r="L3" s="71" t="str">
        <f>IFERROR(__xludf.DUMMYFUNCTION("""COMPUTED_VALUE"""),"Wednesday")</f>
        <v>Wednesday</v>
      </c>
      <c r="M3" s="71" t="str">
        <f>IFERROR(__xludf.DUMMYFUNCTION("""COMPUTED_VALUE"""),"MF")</f>
        <v>MF</v>
      </c>
      <c r="N3" s="109">
        <f>IFERROR(__xludf.DUMMYFUNCTION("""COMPUTED_VALUE"""),1.0263041280398375)</f>
        <v>1.026304128</v>
      </c>
      <c r="O3" s="71">
        <f>IFERROR(__xludf.DUMMYFUNCTION("""COMPUTED_VALUE"""),129.0)</f>
        <v>129</v>
      </c>
      <c r="P3" s="71" t="str">
        <f>IFERROR(__xludf.DUMMYFUNCTION("""COMPUTED_VALUE"""),"")</f>
        <v/>
      </c>
      <c r="Q3" s="78">
        <f>IFERROR(__xludf.DUMMYFUNCTION("""COMPUTED_VALUE"""),0.10416666666424135)</f>
        <v>0.1041666667</v>
      </c>
      <c r="R3" s="78" t="str">
        <f>IFERROR(__xludf.DUMMYFUNCTION("""COMPUTED_VALUE"""),"")</f>
        <v/>
      </c>
      <c r="S3" s="80">
        <f>IFERROR(__xludf.DUMMYFUNCTION("""COMPUTED_VALUE"""),51.60000000120141)</f>
        <v>51.6</v>
      </c>
      <c r="T3" s="80" t="str">
        <f>IFERROR(__xludf.DUMMYFUNCTION("""COMPUTED_VALUE"""),"")</f>
        <v/>
      </c>
      <c r="U3" s="71">
        <f>IFERROR(__xludf.DUMMYFUNCTION("""COMPUTED_VALUE"""),129.0)</f>
        <v>129</v>
      </c>
      <c r="V3" s="88">
        <f>IFERROR(__xludf.DUMMYFUNCTION("""COMPUTED_VALUE"""),0.10416666666424135)</f>
        <v>0.1041666667</v>
      </c>
      <c r="W3" s="62">
        <f>IFERROR(__xludf.DUMMYFUNCTION("""COMPUTED_VALUE"""),51.60000000120141)</f>
        <v>51.6</v>
      </c>
      <c r="X3" s="80">
        <f>IFERROR(__xludf.DUMMYFUNCTION("""COMPUTED_VALUE"""),51.60000000120141)</f>
        <v>51.6</v>
      </c>
      <c r="Y3" s="109">
        <f>IFERROR(__xludf.DUMMYFUNCTION("""COMPUTED_VALUE"""),1.0140383216034197)</f>
        <v>1.014038322</v>
      </c>
      <c r="Z3" s="71"/>
      <c r="AA3" s="71"/>
      <c r="AB3" s="71"/>
    </row>
    <row r="4">
      <c r="A4" s="105">
        <f>IFERROR(__xludf.DUMMYFUNCTION("""COMPUTED_VALUE"""),46044.77925564814)</f>
        <v>46044.77926</v>
      </c>
      <c r="B4" s="71" t="str">
        <f>IFERROR(__xludf.DUMMYFUNCTION("""COMPUTED_VALUE"""),"Emmett Khan")</f>
        <v>Emmett Khan</v>
      </c>
      <c r="C4" s="71" t="b">
        <f>IFERROR(__xludf.DUMMYFUNCTION("""COMPUTED_VALUE"""),FALSE)</f>
        <v>0</v>
      </c>
      <c r="D4" s="132">
        <f>IFERROR(__xludf.DUMMYFUNCTION("""COMPUTED_VALUE"""),0.7083333333357587)</f>
        <v>0.7083333333</v>
      </c>
      <c r="E4" s="78">
        <f>IFERROR(__xludf.DUMMYFUNCTION("""COMPUTED_VALUE"""),0.07291666666424135)</f>
        <v>0.07291666666</v>
      </c>
      <c r="F4" s="132">
        <f>IFERROR(__xludf.DUMMYFUNCTION("""COMPUTED_VALUE"""),0.78125)</f>
        <v>0.78125</v>
      </c>
      <c r="G4" s="78">
        <f>IFERROR(__xludf.DUMMYFUNCTION("""COMPUTED_VALUE"""),0.07291666666424135)</f>
        <v>0.07291666666</v>
      </c>
      <c r="H4" s="71">
        <f>IFERROR(__xludf.DUMMYFUNCTION("""COMPUTED_VALUE"""),114.0)</f>
        <v>114</v>
      </c>
      <c r="I4" s="80">
        <f>IFERROR(__xludf.DUMMYFUNCTION("""COMPUTED_VALUE"""),65.1428571450239)</f>
        <v>65.14285715</v>
      </c>
      <c r="J4" s="71" t="str">
        <f>IFERROR(__xludf.DUMMYFUNCTION("""COMPUTED_VALUE"""),"Dinner")</f>
        <v>Dinner</v>
      </c>
      <c r="K4" s="106">
        <f>IFERROR(__xludf.DUMMYFUNCTION("""COMPUTED_VALUE"""),46044.0)</f>
        <v>46044</v>
      </c>
      <c r="L4" s="71" t="str">
        <f>IFERROR(__xludf.DUMMYFUNCTION("""COMPUTED_VALUE"""),"Thursday")</f>
        <v>Thursday</v>
      </c>
      <c r="M4" s="71" t="str">
        <f>IFERROR(__xludf.DUMMYFUNCTION("""COMPUTED_VALUE"""),"BF")</f>
        <v>BF</v>
      </c>
      <c r="N4" s="109">
        <f>IFERROR(__xludf.DUMMYFUNCTION("""COMPUTED_VALUE"""),1.4661308001735762)</f>
        <v>1.4661308</v>
      </c>
      <c r="O4" s="71" t="str">
        <f>IFERROR(__xludf.DUMMYFUNCTION("""COMPUTED_VALUE"""),"")</f>
        <v/>
      </c>
      <c r="P4" s="71" t="str">
        <f>IFERROR(__xludf.DUMMYFUNCTION("""COMPUTED_VALUE"""),"")</f>
        <v/>
      </c>
      <c r="Q4" s="78" t="str">
        <f>IFERROR(__xludf.DUMMYFUNCTION("""COMPUTED_VALUE"""),"")</f>
        <v/>
      </c>
      <c r="R4" s="78" t="str">
        <f>IFERROR(__xludf.DUMMYFUNCTION("""COMPUTED_VALUE"""),"")</f>
        <v/>
      </c>
      <c r="S4" s="80" t="str">
        <f>IFERROR(__xludf.DUMMYFUNCTION("""COMPUTED_VALUE"""),"")</f>
        <v/>
      </c>
      <c r="T4" s="80" t="str">
        <f>IFERROR(__xludf.DUMMYFUNCTION("""COMPUTED_VALUE"""),"")</f>
        <v/>
      </c>
      <c r="U4" s="71" t="str">
        <f>IFERROR(__xludf.DUMMYFUNCTION("""COMPUTED_VALUE"""),"")</f>
        <v/>
      </c>
      <c r="V4" s="78" t="str">
        <f>IFERROR(__xludf.DUMMYFUNCTION("""COMPUTED_VALUE"""),"")</f>
        <v/>
      </c>
      <c r="W4" s="62" t="str">
        <f>IFERROR(__xludf.DUMMYFUNCTION("""COMPUTED_VALUE"""),"")</f>
        <v/>
      </c>
      <c r="X4" s="80" t="str">
        <f>IFERROR(__xludf.DUMMYFUNCTION("""COMPUTED_VALUE"""),"")</f>
        <v/>
      </c>
      <c r="Y4" s="109" t="str">
        <f>IFERROR(__xludf.DUMMYFUNCTION("""COMPUTED_VALUE"""),"")</f>
        <v/>
      </c>
      <c r="Z4" s="71"/>
      <c r="AA4" s="71"/>
      <c r="AB4" s="71"/>
    </row>
    <row r="5">
      <c r="A5" s="105">
        <f>IFERROR(__xludf.DUMMYFUNCTION("""COMPUTED_VALUE"""),46044.79840002315)</f>
        <v>46044.7984</v>
      </c>
      <c r="B5" s="71" t="str">
        <f>IFERROR(__xludf.DUMMYFUNCTION("""COMPUTED_VALUE"""),"Orpheus Wilson")</f>
        <v>Orpheus Wilson</v>
      </c>
      <c r="C5" s="71" t="b">
        <f>IFERROR(__xludf.DUMMYFUNCTION("""COMPUTED_VALUE"""),FALSE)</f>
        <v>0</v>
      </c>
      <c r="D5" s="132">
        <f>IFERROR(__xludf.DUMMYFUNCTION("""COMPUTED_VALUE"""),0.7118055555547471)</f>
        <v>0.7118055556</v>
      </c>
      <c r="E5" s="78">
        <f>IFERROR(__xludf.DUMMYFUNCTION("""COMPUTED_VALUE"""),0.07708333332993789)</f>
        <v>0.07708333333</v>
      </c>
      <c r="F5" s="132">
        <f>IFERROR(__xludf.DUMMYFUNCTION("""COMPUTED_VALUE"""),0.788888888884685)</f>
        <v>0.7888888889</v>
      </c>
      <c r="G5" s="78">
        <f>IFERROR(__xludf.DUMMYFUNCTION("""COMPUTED_VALUE"""),0.07708333332993789)</f>
        <v>0.07708333333</v>
      </c>
      <c r="H5" s="71">
        <f>IFERROR(__xludf.DUMMYFUNCTION("""COMPUTED_VALUE"""),104.0)</f>
        <v>104</v>
      </c>
      <c r="I5" s="80">
        <f>IFERROR(__xludf.DUMMYFUNCTION("""COMPUTED_VALUE"""),56.21621621869249)</f>
        <v>56.21621622</v>
      </c>
      <c r="J5" s="71" t="str">
        <f>IFERROR(__xludf.DUMMYFUNCTION("""COMPUTED_VALUE"""),"Dinner")</f>
        <v>Dinner</v>
      </c>
      <c r="K5" s="106">
        <f>IFERROR(__xludf.DUMMYFUNCTION("""COMPUTED_VALUE"""),46044.0)</f>
        <v>46044</v>
      </c>
      <c r="L5" s="71" t="str">
        <f>IFERROR(__xludf.DUMMYFUNCTION("""COMPUTED_VALUE"""),"Thursday")</f>
        <v>Thursday</v>
      </c>
      <c r="M5" s="71" t="str">
        <f>IFERROR(__xludf.DUMMYFUNCTION("""COMPUTED_VALUE"""),"MF")</f>
        <v>MF</v>
      </c>
      <c r="N5" s="109">
        <f>IFERROR(__xludf.DUMMYFUNCTION("""COMPUTED_VALUE"""),1.212087197184011)</f>
        <v>1.212087197</v>
      </c>
      <c r="O5" s="71">
        <f>IFERROR(__xludf.DUMMYFUNCTION("""COMPUTED_VALUE"""),104.0)</f>
        <v>104</v>
      </c>
      <c r="P5" s="71">
        <f>IFERROR(__xludf.DUMMYFUNCTION("""COMPUTED_VALUE"""),114.0)</f>
        <v>114</v>
      </c>
      <c r="Q5" s="78">
        <f>IFERROR(__xludf.DUMMYFUNCTION("""COMPUTED_VALUE"""),0.07708333332993789)</f>
        <v>0.07708333333</v>
      </c>
      <c r="R5" s="78">
        <f>IFERROR(__xludf.DUMMYFUNCTION("""COMPUTED_VALUE"""),0.07291666666424135)</f>
        <v>0.07291666666</v>
      </c>
      <c r="S5" s="80">
        <f>IFERROR(__xludf.DUMMYFUNCTION("""COMPUTED_VALUE"""),56.21621621869249)</f>
        <v>56.21621622</v>
      </c>
      <c r="T5" s="80">
        <f>IFERROR(__xludf.DUMMYFUNCTION("""COMPUTED_VALUE"""),65.1428571450239)</f>
        <v>65.14285715</v>
      </c>
      <c r="U5" s="71">
        <f>IFERROR(__xludf.DUMMYFUNCTION("""COMPUTED_VALUE"""),218.0)</f>
        <v>218</v>
      </c>
      <c r="V5" s="78">
        <f>IFERROR(__xludf.DUMMYFUNCTION("""COMPUTED_VALUE"""),0.14999999999417923)</f>
        <v>0.15</v>
      </c>
      <c r="W5" s="62">
        <f>IFERROR(__xludf.DUMMYFUNCTION("""COMPUTED_VALUE"""),60.55555555790542)</f>
        <v>60.55555556</v>
      </c>
      <c r="X5" s="80">
        <f>IFERROR(__xludf.DUMMYFUNCTION("""COMPUTED_VALUE"""),60.679536681858195)</f>
        <v>60.67953668</v>
      </c>
      <c r="Y5" s="109">
        <f>IFERROR(__xludf.DUMMYFUNCTION("""COMPUTED_VALUE"""),1.0778137209736753)</f>
        <v>1.077813721</v>
      </c>
      <c r="Z5" s="71"/>
      <c r="AA5" s="71"/>
      <c r="AB5" s="71"/>
    </row>
    <row r="6">
      <c r="A6" s="105">
        <f>IFERROR(__xludf.DUMMYFUNCTION("""COMPUTED_VALUE"""),46045.61947065972)</f>
        <v>46045.61947</v>
      </c>
      <c r="B6" s="71" t="str">
        <f>IFERROR(__xludf.DUMMYFUNCTION("""COMPUTED_VALUE"""),"Oluwatimilehin Shodipe")</f>
        <v>Oluwatimilehin Shodipe</v>
      </c>
      <c r="C6" s="71" t="b">
        <f>IFERROR(__xludf.DUMMYFUNCTION("""COMPUTED_VALUE"""),FALSE)</f>
        <v>0</v>
      </c>
      <c r="D6" s="132">
        <f>IFERROR(__xludf.DUMMYFUNCTION("""COMPUTED_VALUE"""),0.5048611111124046)</f>
        <v>0.5048611111</v>
      </c>
      <c r="E6" s="78">
        <f>IFERROR(__xludf.DUMMYFUNCTION("""COMPUTED_VALUE"""),0.12013888888759539)</f>
        <v>0.1201388889</v>
      </c>
      <c r="F6" s="132">
        <f>IFERROR(__xludf.DUMMYFUNCTION("""COMPUTED_VALUE"""),0.625)</f>
        <v>0.625</v>
      </c>
      <c r="G6" s="78">
        <f>IFERROR(__xludf.DUMMYFUNCTION("""COMPUTED_VALUE"""),0.12013888888759539)</f>
        <v>0.1201388889</v>
      </c>
      <c r="H6" s="71">
        <f>IFERROR(__xludf.DUMMYFUNCTION("""COMPUTED_VALUE"""),143.0)</f>
        <v>143</v>
      </c>
      <c r="I6" s="80">
        <f>IFERROR(__xludf.DUMMYFUNCTION("""COMPUTED_VALUE"""),49.59537572307733)</f>
        <v>49.59537572</v>
      </c>
      <c r="J6" s="71" t="str">
        <f>IFERROR(__xludf.DUMMYFUNCTION("""COMPUTED_VALUE"""),"Lunch")</f>
        <v>Lunch</v>
      </c>
      <c r="K6" s="106">
        <f>IFERROR(__xludf.DUMMYFUNCTION("""COMPUTED_VALUE"""),46045.0)</f>
        <v>46045</v>
      </c>
      <c r="L6" s="71" t="str">
        <f>IFERROR(__xludf.DUMMYFUNCTION("""COMPUTED_VALUE"""),"Friday")</f>
        <v>Friday</v>
      </c>
      <c r="M6" s="71" t="str">
        <f>IFERROR(__xludf.DUMMYFUNCTION("""COMPUTED_VALUE"""),"MF")</f>
        <v>MF</v>
      </c>
      <c r="N6" s="109">
        <f>IFERROR(__xludf.DUMMYFUNCTION("""COMPUTED_VALUE"""),0.9864329231607731)</f>
        <v>0.9864329232</v>
      </c>
      <c r="O6" s="71">
        <f>IFERROR(__xludf.DUMMYFUNCTION("""COMPUTED_VALUE"""),143.0)</f>
        <v>143</v>
      </c>
      <c r="P6" s="71" t="str">
        <f>IFERROR(__xludf.DUMMYFUNCTION("""COMPUTED_VALUE"""),"")</f>
        <v/>
      </c>
      <c r="Q6" s="78">
        <f>IFERROR(__xludf.DUMMYFUNCTION("""COMPUTED_VALUE"""),0.12013888888759539)</f>
        <v>0.1201388889</v>
      </c>
      <c r="R6" s="78" t="str">
        <f>IFERROR(__xludf.DUMMYFUNCTION("""COMPUTED_VALUE"""),"")</f>
        <v/>
      </c>
      <c r="S6" s="80">
        <f>IFERROR(__xludf.DUMMYFUNCTION("""COMPUTED_VALUE"""),49.59537572307733)</f>
        <v>49.59537572</v>
      </c>
      <c r="T6" s="80" t="str">
        <f>IFERROR(__xludf.DUMMYFUNCTION("""COMPUTED_VALUE"""),"")</f>
        <v/>
      </c>
      <c r="U6" s="71">
        <f>IFERROR(__xludf.DUMMYFUNCTION("""COMPUTED_VALUE"""),143.0)</f>
        <v>143</v>
      </c>
      <c r="V6" s="78">
        <f>IFERROR(__xludf.DUMMYFUNCTION("""COMPUTED_VALUE"""),0.12013888888759539)</f>
        <v>0.1201388889</v>
      </c>
      <c r="W6" s="62">
        <f>IFERROR(__xludf.DUMMYFUNCTION("""COMPUTED_VALUE"""),49.59537572307733)</f>
        <v>49.59537572</v>
      </c>
      <c r="X6" s="80">
        <f>IFERROR(__xludf.DUMMYFUNCTION("""COMPUTED_VALUE"""),49.59537572307733)</f>
        <v>49.59537572</v>
      </c>
      <c r="Y6" s="109">
        <f>IFERROR(__xludf.DUMMYFUNCTION("""COMPUTED_VALUE"""),0.9746436348129723)</f>
        <v>0.9746436348</v>
      </c>
      <c r="Z6" s="71"/>
      <c r="AA6" s="71"/>
      <c r="AB6" s="71"/>
    </row>
    <row r="7">
      <c r="A7" s="105">
        <f>IFERROR(__xludf.DUMMYFUNCTION("""COMPUTED_VALUE"""),46049.86973208333)</f>
        <v>46049.86973</v>
      </c>
      <c r="B7" s="71" t="str">
        <f>IFERROR(__xludf.DUMMYFUNCTION("""COMPUTED_VALUE"""),"Laila Maisuria")</f>
        <v>Laila Maisuria</v>
      </c>
      <c r="C7" s="71" t="b">
        <f>IFERROR(__xludf.DUMMYFUNCTION("""COMPUTED_VALUE"""),FALSE)</f>
        <v>0</v>
      </c>
      <c r="D7" s="132">
        <f>IFERROR(__xludf.DUMMYFUNCTION("""COMPUTED_VALUE"""),0.7527777777795563)</f>
        <v>0.7527777778</v>
      </c>
      <c r="E7" s="78">
        <f>IFERROR(__xludf.DUMMYFUNCTION("""COMPUTED_VALUE"""),0.11458333333575865)</f>
        <v>0.1145833333</v>
      </c>
      <c r="F7" s="132">
        <f>IFERROR(__xludf.DUMMYFUNCTION("""COMPUTED_VALUE"""),0.867361111115315)</f>
        <v>0.8673611111</v>
      </c>
      <c r="G7" s="78">
        <f>IFERROR(__xludf.DUMMYFUNCTION("""COMPUTED_VALUE"""),0.11458333333575865)</f>
        <v>0.1145833333</v>
      </c>
      <c r="H7" s="71">
        <f>IFERROR(__xludf.DUMMYFUNCTION("""COMPUTED_VALUE"""),134.0)</f>
        <v>134</v>
      </c>
      <c r="I7" s="80">
        <f>IFERROR(__xludf.DUMMYFUNCTION("""COMPUTED_VALUE"""),48.727272726241345)</f>
        <v>48.72727273</v>
      </c>
      <c r="J7" s="71" t="str">
        <f>IFERROR(__xludf.DUMMYFUNCTION("""COMPUTED_VALUE"""),"Dinner")</f>
        <v>Dinner</v>
      </c>
      <c r="K7" s="106">
        <f>IFERROR(__xludf.DUMMYFUNCTION("""COMPUTED_VALUE"""),46049.0)</f>
        <v>46049</v>
      </c>
      <c r="L7" s="71" t="str">
        <f>IFERROR(__xludf.DUMMYFUNCTION("""COMPUTED_VALUE"""),"Tuesday")</f>
        <v>Tuesday</v>
      </c>
      <c r="M7" s="71" t="str">
        <f>IFERROR(__xludf.DUMMYFUNCTION("""COMPUTED_VALUE"""),"MF")</f>
        <v>MF</v>
      </c>
      <c r="N7" s="109">
        <f>IFERROR(__xludf.DUMMYFUNCTION("""COMPUTED_VALUE"""),1.0506168397283937)</f>
        <v>1.05061684</v>
      </c>
      <c r="O7" s="71">
        <f>IFERROR(__xludf.DUMMYFUNCTION("""COMPUTED_VALUE"""),134.0)</f>
        <v>134</v>
      </c>
      <c r="P7" s="71" t="str">
        <f>IFERROR(__xludf.DUMMYFUNCTION("""COMPUTED_VALUE"""),"")</f>
        <v/>
      </c>
      <c r="Q7" s="78">
        <f>IFERROR(__xludf.DUMMYFUNCTION("""COMPUTED_VALUE"""),0.11458333333575865)</f>
        <v>0.1145833333</v>
      </c>
      <c r="R7" s="78" t="str">
        <f>IFERROR(__xludf.DUMMYFUNCTION("""COMPUTED_VALUE"""),"")</f>
        <v/>
      </c>
      <c r="S7" s="80">
        <f>IFERROR(__xludf.DUMMYFUNCTION("""COMPUTED_VALUE"""),48.727272726241345)</f>
        <v>48.72727273</v>
      </c>
      <c r="T7" s="80" t="str">
        <f>IFERROR(__xludf.DUMMYFUNCTION("""COMPUTED_VALUE"""),"")</f>
        <v/>
      </c>
      <c r="U7" s="71">
        <f>IFERROR(__xludf.DUMMYFUNCTION("""COMPUTED_VALUE"""),134.0)</f>
        <v>134</v>
      </c>
      <c r="V7" s="78">
        <f>IFERROR(__xludf.DUMMYFUNCTION("""COMPUTED_VALUE"""),0.11458333333575865)</f>
        <v>0.1145833333</v>
      </c>
      <c r="W7" s="62">
        <f>IFERROR(__xludf.DUMMYFUNCTION("""COMPUTED_VALUE"""),48.727272726241345)</f>
        <v>48.72727273</v>
      </c>
      <c r="X7" s="80">
        <f>IFERROR(__xludf.DUMMYFUNCTION("""COMPUTED_VALUE"""),48.727272726241345)</f>
        <v>48.72727273</v>
      </c>
      <c r="Y7" s="109">
        <f>IFERROR(__xludf.DUMMYFUNCTION("""COMPUTED_VALUE"""),0.8655129225083757)</f>
        <v>0.8655129225</v>
      </c>
      <c r="Z7" s="71"/>
      <c r="AA7" s="71"/>
      <c r="AB7" s="71"/>
    </row>
    <row r="8">
      <c r="A8" s="105">
        <f>IFERROR(__xludf.DUMMYFUNCTION("""COMPUTED_VALUE"""),46050.47128442129)</f>
        <v>46050.47128</v>
      </c>
      <c r="B8" s="71" t="str">
        <f>IFERROR(__xludf.DUMMYFUNCTION("""COMPUTED_VALUE"""),"Kaylie Forgue")</f>
        <v>Kaylie Forgue</v>
      </c>
      <c r="C8" s="71" t="b">
        <f>IFERROR(__xludf.DUMMYFUNCTION("""COMPUTED_VALUE"""),FALSE)</f>
        <v>0</v>
      </c>
      <c r="D8" s="132">
        <f>IFERROR(__xludf.DUMMYFUNCTION("""COMPUTED_VALUE"""),0.30902777778101154)</f>
        <v>0.3090277778</v>
      </c>
      <c r="E8" s="78">
        <f>IFERROR(__xludf.DUMMYFUNCTION("""COMPUTED_VALUE"""),0.11597222222189885)</f>
        <v>0.1159722222</v>
      </c>
      <c r="F8" s="132">
        <f>IFERROR(__xludf.DUMMYFUNCTION("""COMPUTED_VALUE"""),0.4250000000029104)</f>
        <v>0.425</v>
      </c>
      <c r="G8" s="78">
        <f>IFERROR(__xludf.DUMMYFUNCTION("""COMPUTED_VALUE"""),0.11597222222189885)</f>
        <v>0.1159722222</v>
      </c>
      <c r="H8" s="71">
        <f>IFERROR(__xludf.DUMMYFUNCTION("""COMPUTED_VALUE"""),115.0)</f>
        <v>115</v>
      </c>
      <c r="I8" s="80">
        <f>IFERROR(__xludf.DUMMYFUNCTION("""COMPUTED_VALUE"""),41.317365269576285)</f>
        <v>41.31736527</v>
      </c>
      <c r="J8" s="71" t="str">
        <f>IFERROR(__xludf.DUMMYFUNCTION("""COMPUTED_VALUE"""),"Breakfast")</f>
        <v>Breakfast</v>
      </c>
      <c r="K8" s="106">
        <f>IFERROR(__xludf.DUMMYFUNCTION("""COMPUTED_VALUE"""),46050.0)</f>
        <v>46050</v>
      </c>
      <c r="L8" s="71" t="str">
        <f>IFERROR(__xludf.DUMMYFUNCTION("""COMPUTED_VALUE"""),"Wednesday")</f>
        <v>Wednesday</v>
      </c>
      <c r="M8" s="71" t="str">
        <f>IFERROR(__xludf.DUMMYFUNCTION("""COMPUTED_VALUE"""),"BF")</f>
        <v>BF</v>
      </c>
      <c r="N8" s="109">
        <f>IFERROR(__xludf.DUMMYFUNCTION("""COMPUTED_VALUE"""),1.457369274312108)</f>
        <v>1.457369274</v>
      </c>
      <c r="O8" s="71" t="str">
        <f>IFERROR(__xludf.DUMMYFUNCTION("""COMPUTED_VALUE"""),"")</f>
        <v/>
      </c>
      <c r="P8" s="71" t="str">
        <f>IFERROR(__xludf.DUMMYFUNCTION("""COMPUTED_VALUE"""),"")</f>
        <v/>
      </c>
      <c r="Q8" s="78" t="str">
        <f>IFERROR(__xludf.DUMMYFUNCTION("""COMPUTED_VALUE"""),"")</f>
        <v/>
      </c>
      <c r="R8" s="78" t="str">
        <f>IFERROR(__xludf.DUMMYFUNCTION("""COMPUTED_VALUE"""),"")</f>
        <v/>
      </c>
      <c r="S8" s="80" t="str">
        <f>IFERROR(__xludf.DUMMYFUNCTION("""COMPUTED_VALUE"""),"")</f>
        <v/>
      </c>
      <c r="T8" s="80" t="str">
        <f>IFERROR(__xludf.DUMMYFUNCTION("""COMPUTED_VALUE"""),"")</f>
        <v/>
      </c>
      <c r="U8" s="71" t="str">
        <f>IFERROR(__xludf.DUMMYFUNCTION("""COMPUTED_VALUE"""),"")</f>
        <v/>
      </c>
      <c r="V8" s="78" t="str">
        <f>IFERROR(__xludf.DUMMYFUNCTION("""COMPUTED_VALUE"""),"")</f>
        <v/>
      </c>
      <c r="W8" s="62" t="str">
        <f>IFERROR(__xludf.DUMMYFUNCTION("""COMPUTED_VALUE"""),"")</f>
        <v/>
      </c>
      <c r="X8" s="80" t="str">
        <f>IFERROR(__xludf.DUMMYFUNCTION("""COMPUTED_VALUE"""),"")</f>
        <v/>
      </c>
      <c r="Y8" s="109" t="str">
        <f>IFERROR(__xludf.DUMMYFUNCTION("""COMPUTED_VALUE"""),"")</f>
        <v/>
      </c>
      <c r="Z8" s="71"/>
      <c r="AA8" s="71"/>
      <c r="AB8" s="71"/>
    </row>
    <row r="9">
      <c r="A9" s="105">
        <f>IFERROR(__xludf.DUMMYFUNCTION("""COMPUTED_VALUE"""),46050.50898162037)</f>
        <v>46050.50898</v>
      </c>
      <c r="B9" s="71" t="str">
        <f>IFERROR(__xludf.DUMMYFUNCTION("""COMPUTED_VALUE"""),"Oluwatimilehin Shodipe")</f>
        <v>Oluwatimilehin Shodipe</v>
      </c>
      <c r="C9" s="71" t="b">
        <f>IFERROR(__xludf.DUMMYFUNCTION("""COMPUTED_VALUE"""),FALSE)</f>
        <v>0</v>
      </c>
      <c r="D9" s="132">
        <f>IFERROR(__xludf.DUMMYFUNCTION("""COMPUTED_VALUE"""),0.4437499999985448)</f>
        <v>0.44375</v>
      </c>
      <c r="E9" s="78">
        <f>IFERROR(__xludf.DUMMYFUNCTION("""COMPUTED_VALUE"""),0.06666666666569654)</f>
        <v>0.06666666667</v>
      </c>
      <c r="F9" s="132">
        <f>IFERROR(__xludf.DUMMYFUNCTION("""COMPUTED_VALUE"""),0.5104166666642413)</f>
        <v>0.5104166667</v>
      </c>
      <c r="G9" s="78">
        <f>IFERROR(__xludf.DUMMYFUNCTION("""COMPUTED_VALUE"""),0.06666666666569654)</f>
        <v>0.06666666667</v>
      </c>
      <c r="H9" s="71">
        <f>IFERROR(__xludf.DUMMYFUNCTION("""COMPUTED_VALUE"""),72.0)</f>
        <v>72</v>
      </c>
      <c r="I9" s="80">
        <f>IFERROR(__xludf.DUMMYFUNCTION("""COMPUTED_VALUE"""),45.000000000654836)</f>
        <v>45</v>
      </c>
      <c r="J9" s="71" t="str">
        <f>IFERROR(__xludf.DUMMYFUNCTION("""COMPUTED_VALUE"""),"Breakfast/Lunch")</f>
        <v>Breakfast/Lunch</v>
      </c>
      <c r="K9" s="106">
        <f>IFERROR(__xludf.DUMMYFUNCTION("""COMPUTED_VALUE"""),46050.0)</f>
        <v>46050</v>
      </c>
      <c r="L9" s="71" t="str">
        <f>IFERROR(__xludf.DUMMYFUNCTION("""COMPUTED_VALUE"""),"Wednesday")</f>
        <v>Wednesday</v>
      </c>
      <c r="M9" s="71" t="str">
        <f>IFERROR(__xludf.DUMMYFUNCTION("""COMPUTED_VALUE"""),"BF")</f>
        <v>BF</v>
      </c>
      <c r="N9" s="109">
        <f>IFERROR(__xludf.DUMMYFUNCTION("""COMPUTED_VALUE"""),1.40858370706353)</f>
        <v>1.408583707</v>
      </c>
      <c r="O9" s="71" t="str">
        <f>IFERROR(__xludf.DUMMYFUNCTION("""COMPUTED_VALUE"""),"")</f>
        <v/>
      </c>
      <c r="P9" s="71" t="str">
        <f>IFERROR(__xludf.DUMMYFUNCTION("""COMPUTED_VALUE"""),"")</f>
        <v/>
      </c>
      <c r="Q9" s="78" t="str">
        <f>IFERROR(__xludf.DUMMYFUNCTION("""COMPUTED_VALUE"""),"")</f>
        <v/>
      </c>
      <c r="R9" s="78" t="str">
        <f>IFERROR(__xludf.DUMMYFUNCTION("""COMPUTED_VALUE"""),"")</f>
        <v/>
      </c>
      <c r="S9" s="80" t="str">
        <f>IFERROR(__xludf.DUMMYFUNCTION("""COMPUTED_VALUE"""),"")</f>
        <v/>
      </c>
      <c r="T9" s="80" t="str">
        <f>IFERROR(__xludf.DUMMYFUNCTION("""COMPUTED_VALUE"""),"")</f>
        <v/>
      </c>
      <c r="U9" s="71" t="str">
        <f>IFERROR(__xludf.DUMMYFUNCTION("""COMPUTED_VALUE"""),"")</f>
        <v/>
      </c>
      <c r="V9" s="78" t="str">
        <f>IFERROR(__xludf.DUMMYFUNCTION("""COMPUTED_VALUE"""),"")</f>
        <v/>
      </c>
      <c r="W9" s="62" t="str">
        <f>IFERROR(__xludf.DUMMYFUNCTION("""COMPUTED_VALUE"""),"")</f>
        <v/>
      </c>
      <c r="X9" s="80" t="str">
        <f>IFERROR(__xludf.DUMMYFUNCTION("""COMPUTED_VALUE"""),"")</f>
        <v/>
      </c>
      <c r="Y9" s="109" t="str">
        <f>IFERROR(__xludf.DUMMYFUNCTION("""COMPUTED_VALUE"""),"")</f>
        <v/>
      </c>
      <c r="Z9" s="71"/>
      <c r="AA9" s="71"/>
      <c r="AB9" s="71"/>
    </row>
    <row r="10">
      <c r="A10" s="105">
        <f>IFERROR(__xludf.DUMMYFUNCTION("""COMPUTED_VALUE"""),46050.84860915509)</f>
        <v>46050.84861</v>
      </c>
      <c r="B10" s="71" t="str">
        <f>IFERROR(__xludf.DUMMYFUNCTION("""COMPUTED_VALUE"""),"Maureen Surgot")</f>
        <v>Maureen Surgot</v>
      </c>
      <c r="C10" s="71" t="b">
        <f>IFERROR(__xludf.DUMMYFUNCTION("""COMPUTED_VALUE"""),FALSE)</f>
        <v>0</v>
      </c>
      <c r="D10" s="132">
        <f>IFERROR(__xludf.DUMMYFUNCTION("""COMPUTED_VALUE"""),0.6875)</f>
        <v>0.6875</v>
      </c>
      <c r="E10" s="78">
        <f>IFERROR(__xludf.DUMMYFUNCTION("""COMPUTED_VALUE"""),0.16666666666424135)</f>
        <v>0.1666666667</v>
      </c>
      <c r="F10" s="132">
        <f>IFERROR(__xludf.DUMMYFUNCTION("""COMPUTED_VALUE"""),0.8541666666642413)</f>
        <v>0.8541666667</v>
      </c>
      <c r="G10" s="78">
        <f>IFERROR(__xludf.DUMMYFUNCTION("""COMPUTED_VALUE"""),0.16666666666424135)</f>
        <v>0.1666666667</v>
      </c>
      <c r="H10" s="71">
        <f>IFERROR(__xludf.DUMMYFUNCTION("""COMPUTED_VALUE"""),258.0)</f>
        <v>258</v>
      </c>
      <c r="I10" s="80">
        <f>IFERROR(__xludf.DUMMYFUNCTION("""COMPUTED_VALUE"""),64.5000000009386)</f>
        <v>64.5</v>
      </c>
      <c r="J10" s="71" t="str">
        <f>IFERROR(__xludf.DUMMYFUNCTION("""COMPUTED_VALUE"""),"Dinner")</f>
        <v>Dinner</v>
      </c>
      <c r="K10" s="106">
        <f>IFERROR(__xludf.DUMMYFUNCTION("""COMPUTED_VALUE"""),46050.0)</f>
        <v>46050</v>
      </c>
      <c r="L10" s="71" t="str">
        <f>IFERROR(__xludf.DUMMYFUNCTION("""COMPUTED_VALUE"""),"Wednesday")</f>
        <v>Wednesday</v>
      </c>
      <c r="M10" s="71" t="str">
        <f>IFERROR(__xludf.DUMMYFUNCTION("""COMPUTED_VALUE"""),"BF")</f>
        <v>BF</v>
      </c>
      <c r="N10" s="109">
        <f>IFERROR(__xludf.DUMMYFUNCTION("""COMPUTED_VALUE"""),1.4516624040920716)</f>
        <v>1.451662404</v>
      </c>
      <c r="O10" s="71" t="str">
        <f>IFERROR(__xludf.DUMMYFUNCTION("""COMPUTED_VALUE"""),"")</f>
        <v/>
      </c>
      <c r="P10" s="71" t="str">
        <f>IFERROR(__xludf.DUMMYFUNCTION("""COMPUTED_VALUE"""),"")</f>
        <v/>
      </c>
      <c r="Q10" s="78" t="str">
        <f>IFERROR(__xludf.DUMMYFUNCTION("""COMPUTED_VALUE"""),"")</f>
        <v/>
      </c>
      <c r="R10" s="78" t="str">
        <f>IFERROR(__xludf.DUMMYFUNCTION("""COMPUTED_VALUE"""),"")</f>
        <v/>
      </c>
      <c r="S10" s="80" t="str">
        <f>IFERROR(__xludf.DUMMYFUNCTION("""COMPUTED_VALUE"""),"")</f>
        <v/>
      </c>
      <c r="T10" s="80" t="str">
        <f>IFERROR(__xludf.DUMMYFUNCTION("""COMPUTED_VALUE"""),"")</f>
        <v/>
      </c>
      <c r="U10" s="71" t="str">
        <f>IFERROR(__xludf.DUMMYFUNCTION("""COMPUTED_VALUE"""),"")</f>
        <v/>
      </c>
      <c r="V10" s="78" t="str">
        <f>IFERROR(__xludf.DUMMYFUNCTION("""COMPUTED_VALUE"""),"")</f>
        <v/>
      </c>
      <c r="W10" s="62" t="str">
        <f>IFERROR(__xludf.DUMMYFUNCTION("""COMPUTED_VALUE"""),"")</f>
        <v/>
      </c>
      <c r="X10" s="80" t="str">
        <f>IFERROR(__xludf.DUMMYFUNCTION("""COMPUTED_VALUE"""),"")</f>
        <v/>
      </c>
      <c r="Y10" s="109" t="str">
        <f>IFERROR(__xludf.DUMMYFUNCTION("""COMPUTED_VALUE"""),"")</f>
        <v/>
      </c>
      <c r="Z10" s="71"/>
      <c r="AA10" s="71"/>
      <c r="AB10" s="71"/>
    </row>
    <row r="11">
      <c r="A11" s="105">
        <f>IFERROR(__xludf.DUMMYFUNCTION("""COMPUTED_VALUE"""),46050.87090170139)</f>
        <v>46050.8709</v>
      </c>
      <c r="B11" s="71" t="str">
        <f>IFERROR(__xludf.DUMMYFUNCTION("""COMPUTED_VALUE"""),"Brynn Hornig")</f>
        <v>Brynn Hornig</v>
      </c>
      <c r="C11" s="71" t="b">
        <f>IFERROR(__xludf.DUMMYFUNCTION("""COMPUTED_VALUE"""),FALSE)</f>
        <v>0</v>
      </c>
      <c r="D11" s="132">
        <f>IFERROR(__xludf.DUMMYFUNCTION("""COMPUTED_VALUE"""),0.75)</f>
        <v>0.75</v>
      </c>
      <c r="E11" s="78">
        <f>IFERROR(__xludf.DUMMYFUNCTION("""COMPUTED_VALUE"""),0.125)</f>
        <v>0.125</v>
      </c>
      <c r="F11" s="132">
        <f>IFERROR(__xludf.DUMMYFUNCTION("""COMPUTED_VALUE"""),0.875)</f>
        <v>0.875</v>
      </c>
      <c r="G11" s="78">
        <f>IFERROR(__xludf.DUMMYFUNCTION("""COMPUTED_VALUE"""),0.125)</f>
        <v>0.125</v>
      </c>
      <c r="H11" s="71">
        <f>IFERROR(__xludf.DUMMYFUNCTION("""COMPUTED_VALUE"""),130.0)</f>
        <v>130</v>
      </c>
      <c r="I11" s="80">
        <f>IFERROR(__xludf.DUMMYFUNCTION("""COMPUTED_VALUE"""),43.333333333333336)</f>
        <v>43.33333333</v>
      </c>
      <c r="J11" s="71" t="str">
        <f>IFERROR(__xludf.DUMMYFUNCTION("""COMPUTED_VALUE"""),"Dinner")</f>
        <v>Dinner</v>
      </c>
      <c r="K11" s="106">
        <f>IFERROR(__xludf.DUMMYFUNCTION("""COMPUTED_VALUE"""),46050.0)</f>
        <v>46050</v>
      </c>
      <c r="L11" s="71" t="str">
        <f>IFERROR(__xludf.DUMMYFUNCTION("""COMPUTED_VALUE"""),"Wednesday")</f>
        <v>Wednesday</v>
      </c>
      <c r="M11" s="71" t="str">
        <f>IFERROR(__xludf.DUMMYFUNCTION("""COMPUTED_VALUE"""),"MF")</f>
        <v>MF</v>
      </c>
      <c r="N11" s="109">
        <f>IFERROR(__xludf.DUMMYFUNCTION("""COMPUTED_VALUE"""),0.9343172144548527)</f>
        <v>0.9343172145</v>
      </c>
      <c r="O11" s="71">
        <f>IFERROR(__xludf.DUMMYFUNCTION("""COMPUTED_VALUE"""),130.0)</f>
        <v>130</v>
      </c>
      <c r="P11" s="71">
        <f>IFERROR(__xludf.DUMMYFUNCTION("""COMPUTED_VALUE"""),445.0)</f>
        <v>445</v>
      </c>
      <c r="Q11" s="78">
        <f>IFERROR(__xludf.DUMMYFUNCTION("""COMPUTED_VALUE"""),0.125)</f>
        <v>0.125</v>
      </c>
      <c r="R11" s="78">
        <f>IFERROR(__xludf.DUMMYFUNCTION("""COMPUTED_VALUE"""),0.34930555555183673)</f>
        <v>0.3493055556</v>
      </c>
      <c r="S11" s="80">
        <f>IFERROR(__xludf.DUMMYFUNCTION("""COMPUTED_VALUE"""),43.333333333333336)</f>
        <v>43.33333333</v>
      </c>
      <c r="T11" s="80">
        <f>IFERROR(__xludf.DUMMYFUNCTION("""COMPUTED_VALUE"""),50.272455090389904)</f>
        <v>50.27245509</v>
      </c>
      <c r="U11" s="71">
        <f>IFERROR(__xludf.DUMMYFUNCTION("""COMPUTED_VALUE"""),575.0)</f>
        <v>575</v>
      </c>
      <c r="V11" s="78">
        <f>IFERROR(__xludf.DUMMYFUNCTION("""COMPUTED_VALUE"""),0.47430555555183673)</f>
        <v>0.4743055556</v>
      </c>
      <c r="W11" s="62">
        <f>IFERROR(__xludf.DUMMYFUNCTION("""COMPUTED_VALUE"""),50.51244509556442)</f>
        <v>50.5124451</v>
      </c>
      <c r="X11" s="80">
        <f>IFERROR(__xludf.DUMMYFUNCTION("""COMPUTED_VALUE"""),48.53767465112576)</f>
        <v>48.53767465</v>
      </c>
      <c r="Y11" s="109">
        <f>IFERROR(__xludf.DUMMYFUNCTION("""COMPUTED_VALUE"""),0.977260073400578)</f>
        <v>0.9772600734</v>
      </c>
      <c r="Z11" s="71"/>
      <c r="AA11" s="71"/>
      <c r="AB11" s="71"/>
    </row>
    <row r="12">
      <c r="A12" s="105">
        <f>IFERROR(__xludf.DUMMYFUNCTION("""COMPUTED_VALUE"""),46051.53061296296)</f>
        <v>46051.53061</v>
      </c>
      <c r="B12" s="71" t="str">
        <f>IFERROR(__xludf.DUMMYFUNCTION("""COMPUTED_VALUE"""),"Emmett Khan")</f>
        <v>Emmett Khan</v>
      </c>
      <c r="C12" s="71" t="b">
        <f>IFERROR(__xludf.DUMMYFUNCTION("""COMPUTED_VALUE"""),FALSE)</f>
        <v>0</v>
      </c>
      <c r="D12" s="132">
        <f>IFERROR(__xludf.DUMMYFUNCTION("""COMPUTED_VALUE"""),0.47916666666424135)</f>
        <v>0.4791666667</v>
      </c>
      <c r="E12" s="78">
        <f>IFERROR(__xludf.DUMMYFUNCTION("""COMPUTED_VALUE"""),0.04930555555620231)</f>
        <v>0.04930555556</v>
      </c>
      <c r="F12" s="132">
        <f>IFERROR(__xludf.DUMMYFUNCTION("""COMPUTED_VALUE"""),0.5284722222204437)</f>
        <v>0.5284722222</v>
      </c>
      <c r="G12" s="78">
        <f>IFERROR(__xludf.DUMMYFUNCTION("""COMPUTED_VALUE"""),0.04930555555620231)</f>
        <v>0.04930555556</v>
      </c>
      <c r="H12" s="71">
        <f>IFERROR(__xludf.DUMMYFUNCTION("""COMPUTED_VALUE"""),33.0)</f>
        <v>33</v>
      </c>
      <c r="I12" s="80">
        <f>IFERROR(__xludf.DUMMYFUNCTION("""COMPUTED_VALUE"""),27.887323943296167)</f>
        <v>27.88732394</v>
      </c>
      <c r="J12" s="71" t="str">
        <f>IFERROR(__xludf.DUMMYFUNCTION("""COMPUTED_VALUE"""),"Lunch")</f>
        <v>Lunch</v>
      </c>
      <c r="K12" s="106">
        <f>IFERROR(__xludf.DUMMYFUNCTION("""COMPUTED_VALUE"""),46051.0)</f>
        <v>46051</v>
      </c>
      <c r="L12" s="71" t="str">
        <f>IFERROR(__xludf.DUMMYFUNCTION("""COMPUTED_VALUE"""),"Thursday")</f>
        <v>Thursday</v>
      </c>
      <c r="M12" s="71" t="str">
        <f>IFERROR(__xludf.DUMMYFUNCTION("""COMPUTED_VALUE"""),"BF")</f>
        <v>BF</v>
      </c>
      <c r="N12" s="109">
        <f>IFERROR(__xludf.DUMMYFUNCTION("""COMPUTED_VALUE"""),0.9836573264673951)</f>
        <v>0.9836573265</v>
      </c>
      <c r="O12" s="71" t="str">
        <f>IFERROR(__xludf.DUMMYFUNCTION("""COMPUTED_VALUE"""),"")</f>
        <v/>
      </c>
      <c r="P12" s="71" t="str">
        <f>IFERROR(__xludf.DUMMYFUNCTION("""COMPUTED_VALUE"""),"")</f>
        <v/>
      </c>
      <c r="Q12" s="78" t="str">
        <f>IFERROR(__xludf.DUMMYFUNCTION("""COMPUTED_VALUE"""),"")</f>
        <v/>
      </c>
      <c r="R12" s="78" t="str">
        <f>IFERROR(__xludf.DUMMYFUNCTION("""COMPUTED_VALUE"""),"")</f>
        <v/>
      </c>
      <c r="S12" s="80" t="str">
        <f>IFERROR(__xludf.DUMMYFUNCTION("""COMPUTED_VALUE"""),"")</f>
        <v/>
      </c>
      <c r="T12" s="80" t="str">
        <f>IFERROR(__xludf.DUMMYFUNCTION("""COMPUTED_VALUE"""),"")</f>
        <v/>
      </c>
      <c r="U12" s="71" t="str">
        <f>IFERROR(__xludf.DUMMYFUNCTION("""COMPUTED_VALUE"""),"")</f>
        <v/>
      </c>
      <c r="V12" s="78" t="str">
        <f>IFERROR(__xludf.DUMMYFUNCTION("""COMPUTED_VALUE"""),"")</f>
        <v/>
      </c>
      <c r="W12" s="62" t="str">
        <f>IFERROR(__xludf.DUMMYFUNCTION("""COMPUTED_VALUE"""),"")</f>
        <v/>
      </c>
      <c r="X12" s="80" t="str">
        <f>IFERROR(__xludf.DUMMYFUNCTION("""COMPUTED_VALUE"""),"")</f>
        <v/>
      </c>
      <c r="Y12" s="109" t="str">
        <f>IFERROR(__xludf.DUMMYFUNCTION("""COMPUTED_VALUE"""),"")</f>
        <v/>
      </c>
      <c r="Z12" s="71"/>
      <c r="AA12" s="71"/>
      <c r="AB12" s="71"/>
    </row>
    <row r="13">
      <c r="A13" s="105">
        <f>IFERROR(__xludf.DUMMYFUNCTION("""COMPUTED_VALUE"""),46051.54014075232)</f>
        <v>46051.54014</v>
      </c>
      <c r="B13" s="71" t="str">
        <f>IFERROR(__xludf.DUMMYFUNCTION("""COMPUTED_VALUE"""),"Kyra Turner")</f>
        <v>Kyra Turner</v>
      </c>
      <c r="C13" s="71" t="b">
        <f>IFERROR(__xludf.DUMMYFUNCTION("""COMPUTED_VALUE"""),FALSE)</f>
        <v>0</v>
      </c>
      <c r="D13" s="132">
        <f>IFERROR(__xludf.DUMMYFUNCTION("""COMPUTED_VALUE"""),0.5)</f>
        <v>0.5</v>
      </c>
      <c r="E13" s="78">
        <f>IFERROR(__xludf.DUMMYFUNCTION("""COMPUTED_VALUE"""),0.03749999999854481)</f>
        <v>0.0375</v>
      </c>
      <c r="F13" s="132">
        <f>IFERROR(__xludf.DUMMYFUNCTION("""COMPUTED_VALUE"""),0.5374999999985448)</f>
        <v>0.5375</v>
      </c>
      <c r="G13" s="78">
        <f>IFERROR(__xludf.DUMMYFUNCTION("""COMPUTED_VALUE"""),0.1416666666700621)</f>
        <v>0.1416666667</v>
      </c>
      <c r="H13" s="71">
        <f>IFERROR(__xludf.DUMMYFUNCTION("""COMPUTED_VALUE"""),28.0)</f>
        <v>28</v>
      </c>
      <c r="I13" s="80">
        <f>IFERROR(__xludf.DUMMYFUNCTION("""COMPUTED_VALUE"""),31.76470588159161)</f>
        <v>31.76470588</v>
      </c>
      <c r="J13" s="71" t="str">
        <f>IFERROR(__xludf.DUMMYFUNCTION("""COMPUTED_VALUE"""),"Lunch")</f>
        <v>Lunch</v>
      </c>
      <c r="K13" s="106">
        <f>IFERROR(__xludf.DUMMYFUNCTION("""COMPUTED_VALUE"""),46051.0)</f>
        <v>46051</v>
      </c>
      <c r="L13" s="71" t="str">
        <f>IFERROR(__xludf.DUMMYFUNCTION("""COMPUTED_VALUE"""),"Thursday")</f>
        <v>Thursday</v>
      </c>
      <c r="M13" s="71" t="str">
        <f>IFERROR(__xludf.DUMMYFUNCTION("""COMPUTED_VALUE"""),"BF")</f>
        <v>BF</v>
      </c>
      <c r="N13" s="150">
        <f>IFERROR(__xludf.DUMMYFUNCTION("""COMPUTED_VALUE"""),1.1204225162314532)</f>
        <v>1.120422516</v>
      </c>
      <c r="O13" s="71" t="str">
        <f>IFERROR(__xludf.DUMMYFUNCTION("""COMPUTED_VALUE"""),"")</f>
        <v/>
      </c>
      <c r="P13" s="71" t="str">
        <f>IFERROR(__xludf.DUMMYFUNCTION("""COMPUTED_VALUE"""),"")</f>
        <v/>
      </c>
      <c r="Q13" s="78" t="str">
        <f>IFERROR(__xludf.DUMMYFUNCTION("""COMPUTED_VALUE"""),"")</f>
        <v/>
      </c>
      <c r="R13" s="78" t="str">
        <f>IFERROR(__xludf.DUMMYFUNCTION("""COMPUTED_VALUE"""),"")</f>
        <v/>
      </c>
      <c r="S13" s="80" t="str">
        <f>IFERROR(__xludf.DUMMYFUNCTION("""COMPUTED_VALUE"""),"")</f>
        <v/>
      </c>
      <c r="T13" s="80" t="str">
        <f>IFERROR(__xludf.DUMMYFUNCTION("""COMPUTED_VALUE"""),"")</f>
        <v/>
      </c>
      <c r="U13" s="71" t="str">
        <f>IFERROR(__xludf.DUMMYFUNCTION("""COMPUTED_VALUE"""),"")</f>
        <v/>
      </c>
      <c r="V13" s="78" t="str">
        <f>IFERROR(__xludf.DUMMYFUNCTION("""COMPUTED_VALUE"""),"")</f>
        <v/>
      </c>
      <c r="W13" s="62" t="str">
        <f>IFERROR(__xludf.DUMMYFUNCTION("""COMPUTED_VALUE"""),"")</f>
        <v/>
      </c>
      <c r="X13" s="80" t="str">
        <f>IFERROR(__xludf.DUMMYFUNCTION("""COMPUTED_VALUE"""),"")</f>
        <v/>
      </c>
      <c r="Y13" s="109" t="str">
        <f>IFERROR(__xludf.DUMMYFUNCTION("""COMPUTED_VALUE"""),"")</f>
        <v/>
      </c>
      <c r="Z13" s="71"/>
      <c r="AA13" s="71"/>
      <c r="AB13" s="71"/>
    </row>
    <row r="14">
      <c r="A14" s="105">
        <f>IFERROR(__xludf.DUMMYFUNCTION("""COMPUTED_VALUE"""),46051.644792499996)</f>
        <v>46051.64479</v>
      </c>
      <c r="B14" s="71" t="str">
        <f>IFERROR(__xludf.DUMMYFUNCTION("""COMPUTED_VALUE"""),"Kyra Turner")</f>
        <v>Kyra Turner</v>
      </c>
      <c r="C14" s="71" t="b">
        <f>IFERROR(__xludf.DUMMYFUNCTION("""COMPUTED_VALUE"""),TRUE)</f>
        <v>1</v>
      </c>
      <c r="D14" s="132">
        <f>IFERROR(__xludf.DUMMYFUNCTION("""COMPUTED_VALUE"""),0.5395833333313931)</f>
        <v>0.5395833333</v>
      </c>
      <c r="E14" s="78">
        <f>IFERROR(__xludf.DUMMYFUNCTION("""COMPUTED_VALUE"""),0.1041666666715173)</f>
        <v>0.1041666667</v>
      </c>
      <c r="F14" s="132">
        <f>IFERROR(__xludf.DUMMYFUNCTION("""COMPUTED_VALUE"""),0.6437500000029104)</f>
        <v>0.64375</v>
      </c>
      <c r="G14" s="78" t="str">
        <f>IFERROR(__xludf.DUMMYFUNCTION("""COMPUTED_VALUE"""),"")</f>
        <v/>
      </c>
      <c r="H14" s="71">
        <f>IFERROR(__xludf.DUMMYFUNCTION("""COMPUTED_VALUE"""),80.0)</f>
        <v>80</v>
      </c>
      <c r="I14" s="80" t="str">
        <f>IFERROR(__xludf.DUMMYFUNCTION("""COMPUTED_VALUE"""),"")</f>
        <v/>
      </c>
      <c r="J14" s="71" t="str">
        <f>IFERROR(__xludf.DUMMYFUNCTION("""COMPUTED_VALUE"""),"Lunch")</f>
        <v>Lunch</v>
      </c>
      <c r="K14" s="106">
        <f>IFERROR(__xludf.DUMMYFUNCTION("""COMPUTED_VALUE"""),46051.0)</f>
        <v>46051</v>
      </c>
      <c r="L14" s="71" t="str">
        <f>IFERROR(__xludf.DUMMYFUNCTION("""COMPUTED_VALUE"""),"Thursday")</f>
        <v>Thursday</v>
      </c>
      <c r="M14" s="71" t="str">
        <f>IFERROR(__xludf.DUMMYFUNCTION("""COMPUTED_VALUE"""),"BF")</f>
        <v>BF</v>
      </c>
      <c r="N14" s="150" t="str">
        <f>IFERROR(__xludf.DUMMYFUNCTION("""COMPUTED_VALUE"""),"")</f>
        <v/>
      </c>
      <c r="O14" s="71" t="str">
        <f>IFERROR(__xludf.DUMMYFUNCTION("""COMPUTED_VALUE"""),"")</f>
        <v/>
      </c>
      <c r="P14" s="71" t="str">
        <f>IFERROR(__xludf.DUMMYFUNCTION("""COMPUTED_VALUE"""),"")</f>
        <v/>
      </c>
      <c r="Q14" s="78" t="str">
        <f>IFERROR(__xludf.DUMMYFUNCTION("""COMPUTED_VALUE"""),"")</f>
        <v/>
      </c>
      <c r="R14" s="78" t="str">
        <f>IFERROR(__xludf.DUMMYFUNCTION("""COMPUTED_VALUE"""),"")</f>
        <v/>
      </c>
      <c r="S14" s="80" t="str">
        <f>IFERROR(__xludf.DUMMYFUNCTION("""COMPUTED_VALUE"""),"")</f>
        <v/>
      </c>
      <c r="T14" s="80" t="str">
        <f>IFERROR(__xludf.DUMMYFUNCTION("""COMPUTED_VALUE"""),"")</f>
        <v/>
      </c>
      <c r="U14" s="71" t="str">
        <f>IFERROR(__xludf.DUMMYFUNCTION("""COMPUTED_VALUE"""),"")</f>
        <v/>
      </c>
      <c r="V14" s="78" t="str">
        <f>IFERROR(__xludf.DUMMYFUNCTION("""COMPUTED_VALUE"""),"")</f>
        <v/>
      </c>
      <c r="W14" s="62" t="str">
        <f>IFERROR(__xludf.DUMMYFUNCTION("""COMPUTED_VALUE"""),"")</f>
        <v/>
      </c>
      <c r="X14" s="80" t="str">
        <f>IFERROR(__xludf.DUMMYFUNCTION("""COMPUTED_VALUE"""),"")</f>
        <v/>
      </c>
      <c r="Y14" s="109" t="str">
        <f>IFERROR(__xludf.DUMMYFUNCTION("""COMPUTED_VALUE"""),"")</f>
        <v/>
      </c>
      <c r="Z14" s="71"/>
      <c r="AA14" s="71"/>
      <c r="AB14" s="71"/>
    </row>
    <row r="15">
      <c r="A15" s="105">
        <f>IFERROR(__xludf.DUMMYFUNCTION("""COMPUTED_VALUE"""),46051.779202060185)</f>
        <v>46051.7792</v>
      </c>
      <c r="B15" s="71" t="str">
        <f>IFERROR(__xludf.DUMMYFUNCTION("""COMPUTED_VALUE"""),"Emmett Khan")</f>
        <v>Emmett Khan</v>
      </c>
      <c r="C15" s="71" t="b">
        <f>IFERROR(__xludf.DUMMYFUNCTION("""COMPUTED_VALUE"""),FALSE)</f>
        <v>0</v>
      </c>
      <c r="D15" s="132">
        <f>IFERROR(__xludf.DUMMYFUNCTION("""COMPUTED_VALUE"""),0.7083333333357587)</f>
        <v>0.7083333333</v>
      </c>
      <c r="E15" s="78">
        <f>IFERROR(__xludf.DUMMYFUNCTION("""COMPUTED_VALUE"""),0.07291666666424135)</f>
        <v>0.07291666666</v>
      </c>
      <c r="F15" s="132">
        <f>IFERROR(__xludf.DUMMYFUNCTION("""COMPUTED_VALUE"""),0.78125)</f>
        <v>0.78125</v>
      </c>
      <c r="G15" s="78">
        <f>IFERROR(__xludf.DUMMYFUNCTION("""COMPUTED_VALUE"""),0.07291666666424135)</f>
        <v>0.07291666666</v>
      </c>
      <c r="H15" s="71">
        <f>IFERROR(__xludf.DUMMYFUNCTION("""COMPUTED_VALUE"""),93.0)</f>
        <v>93</v>
      </c>
      <c r="I15" s="80">
        <f>IFERROR(__xludf.DUMMYFUNCTION("""COMPUTED_VALUE"""),53.142857144624756)</f>
        <v>53.14285714</v>
      </c>
      <c r="J15" s="71" t="str">
        <f>IFERROR(__xludf.DUMMYFUNCTION("""COMPUTED_VALUE"""),"Dinner")</f>
        <v>Dinner</v>
      </c>
      <c r="K15" s="106">
        <f>IFERROR(__xludf.DUMMYFUNCTION("""COMPUTED_VALUE"""),46051.0)</f>
        <v>46051</v>
      </c>
      <c r="L15" s="71" t="str">
        <f>IFERROR(__xludf.DUMMYFUNCTION("""COMPUTED_VALUE"""),"Thursday")</f>
        <v>Thursday</v>
      </c>
      <c r="M15" s="71" t="str">
        <f>IFERROR(__xludf.DUMMYFUNCTION("""COMPUTED_VALUE"""),"MF")</f>
        <v>MF</v>
      </c>
      <c r="N15" s="150">
        <f>IFERROR(__xludf.DUMMYFUNCTION("""COMPUTED_VALUE"""),1.1458219905124147)</f>
        <v>1.145821991</v>
      </c>
      <c r="O15" s="71">
        <f>IFERROR(__xludf.DUMMYFUNCTION("""COMPUTED_VALUE"""),93.0)</f>
        <v>93</v>
      </c>
      <c r="P15" s="71">
        <f>IFERROR(__xludf.DUMMYFUNCTION("""COMPUTED_VALUE"""),141.0)</f>
        <v>141</v>
      </c>
      <c r="Q15" s="78">
        <f>IFERROR(__xludf.DUMMYFUNCTION("""COMPUTED_VALUE"""),0.07291666666424135)</f>
        <v>0.07291666666</v>
      </c>
      <c r="R15" s="78">
        <f>IFERROR(__xludf.DUMMYFUNCTION("""COMPUTED_VALUE"""),0.19097222222626442)</f>
        <v>0.1909722222</v>
      </c>
      <c r="S15" s="80">
        <f>IFERROR(__xludf.DUMMYFUNCTION("""COMPUTED_VALUE"""),53.142857144624756)</f>
        <v>53.14285714</v>
      </c>
      <c r="T15" s="80">
        <f>IFERROR(__xludf.DUMMYFUNCTION("""COMPUTED_VALUE"""),29.82601491244389)</f>
        <v>29.82601491</v>
      </c>
      <c r="U15" s="71">
        <f>IFERROR(__xludf.DUMMYFUNCTION("""COMPUTED_VALUE"""),234.0)</f>
        <v>234</v>
      </c>
      <c r="V15" s="78">
        <f>IFERROR(__xludf.DUMMYFUNCTION("""COMPUTED_VALUE"""),0.26388888889050577)</f>
        <v>0.2638888889</v>
      </c>
      <c r="W15" s="62">
        <f>IFERROR(__xludf.DUMMYFUNCTION("""COMPUTED_VALUE"""),36.94736842082625)</f>
        <v>36.94736842</v>
      </c>
      <c r="X15" s="80">
        <f>IFERROR(__xludf.DUMMYFUNCTION("""COMPUTED_VALUE"""),37.59829565650418)</f>
        <v>37.59829566</v>
      </c>
      <c r="Y15" s="109">
        <f>IFERROR(__xludf.DUMMYFUNCTION("""COMPUTED_VALUE"""),0.5290550786467236)</f>
        <v>0.5290550786</v>
      </c>
      <c r="Z15" s="71"/>
      <c r="AA15" s="71"/>
      <c r="AB15" s="71"/>
    </row>
    <row r="16">
      <c r="A16" s="105">
        <f>IFERROR(__xludf.DUMMYFUNCTION("""COMPUTED_VALUE"""),46052.58172553241)</f>
        <v>46052.58173</v>
      </c>
      <c r="B16" s="71" t="str">
        <f>IFERROR(__xludf.DUMMYFUNCTION("""COMPUTED_VALUE"""),"Brynn Hornig")</f>
        <v>Brynn Hornig</v>
      </c>
      <c r="C16" s="71" t="b">
        <f>IFERROR(__xludf.DUMMYFUNCTION("""COMPUTED_VALUE"""),FALSE)</f>
        <v>0</v>
      </c>
      <c r="D16" s="132">
        <f>IFERROR(__xludf.DUMMYFUNCTION("""COMPUTED_VALUE"""),0.5208333333357587)</f>
        <v>0.5208333333</v>
      </c>
      <c r="E16" s="78">
        <f>IFERROR(__xludf.DUMMYFUNCTION("""COMPUTED_VALUE"""),0.0625)</f>
        <v>0.0625</v>
      </c>
      <c r="F16" s="132">
        <f>IFERROR(__xludf.DUMMYFUNCTION("""COMPUTED_VALUE"""),0.5833333333357587)</f>
        <v>0.5833333333</v>
      </c>
      <c r="G16" s="78">
        <f>IFERROR(__xludf.DUMMYFUNCTION("""COMPUTED_VALUE"""),0.0625)</f>
        <v>0.0625</v>
      </c>
      <c r="H16" s="71">
        <f>IFERROR(__xludf.DUMMYFUNCTION("""COMPUTED_VALUE"""),76.0)</f>
        <v>76</v>
      </c>
      <c r="I16" s="80">
        <f>IFERROR(__xludf.DUMMYFUNCTION("""COMPUTED_VALUE"""),50.666666666666664)</f>
        <v>50.66666667</v>
      </c>
      <c r="J16" s="71" t="str">
        <f>IFERROR(__xludf.DUMMYFUNCTION("""COMPUTED_VALUE"""),"Lunch")</f>
        <v>Lunch</v>
      </c>
      <c r="K16" s="106">
        <f>IFERROR(__xludf.DUMMYFUNCTION("""COMPUTED_VALUE"""),46052.0)</f>
        <v>46052</v>
      </c>
      <c r="L16" s="71" t="str">
        <f>IFERROR(__xludf.DUMMYFUNCTION("""COMPUTED_VALUE"""),"Friday")</f>
        <v>Friday</v>
      </c>
      <c r="M16" s="71" t="str">
        <f>IFERROR(__xludf.DUMMYFUNCTION("""COMPUTED_VALUE"""),"BF")</f>
        <v>BF</v>
      </c>
      <c r="N16" s="150">
        <f>IFERROR(__xludf.DUMMYFUNCTION("""COMPUTED_VALUE"""),1.7871430753157198)</f>
        <v>1.787143075</v>
      </c>
      <c r="O16" s="71" t="str">
        <f>IFERROR(__xludf.DUMMYFUNCTION("""COMPUTED_VALUE"""),"")</f>
        <v/>
      </c>
      <c r="P16" s="71" t="str">
        <f>IFERROR(__xludf.DUMMYFUNCTION("""COMPUTED_VALUE"""),"")</f>
        <v/>
      </c>
      <c r="Q16" s="78" t="str">
        <f>IFERROR(__xludf.DUMMYFUNCTION("""COMPUTED_VALUE"""),"")</f>
        <v/>
      </c>
      <c r="R16" s="78" t="str">
        <f>IFERROR(__xludf.DUMMYFUNCTION("""COMPUTED_VALUE"""),"")</f>
        <v/>
      </c>
      <c r="S16" s="80" t="str">
        <f>IFERROR(__xludf.DUMMYFUNCTION("""COMPUTED_VALUE"""),"")</f>
        <v/>
      </c>
      <c r="T16" s="80" t="str">
        <f>IFERROR(__xludf.DUMMYFUNCTION("""COMPUTED_VALUE"""),"")</f>
        <v/>
      </c>
      <c r="U16" s="71" t="str">
        <f>IFERROR(__xludf.DUMMYFUNCTION("""COMPUTED_VALUE"""),"")</f>
        <v/>
      </c>
      <c r="V16" s="78" t="str">
        <f>IFERROR(__xludf.DUMMYFUNCTION("""COMPUTED_VALUE"""),"")</f>
        <v/>
      </c>
      <c r="W16" s="62" t="str">
        <f>IFERROR(__xludf.DUMMYFUNCTION("""COMPUTED_VALUE"""),"")</f>
        <v/>
      </c>
      <c r="X16" s="80" t="str">
        <f>IFERROR(__xludf.DUMMYFUNCTION("""COMPUTED_VALUE"""),"")</f>
        <v/>
      </c>
      <c r="Y16" s="109" t="str">
        <f>IFERROR(__xludf.DUMMYFUNCTION("""COMPUTED_VALUE"""),"")</f>
        <v/>
      </c>
      <c r="Z16" s="71"/>
      <c r="AA16" s="71"/>
      <c r="AB16" s="71"/>
    </row>
    <row r="17">
      <c r="A17" s="105">
        <f>IFERROR(__xludf.DUMMYFUNCTION("""COMPUTED_VALUE"""),46052.6284697338)</f>
        <v>46052.62847</v>
      </c>
      <c r="B17" s="71" t="str">
        <f>IFERROR(__xludf.DUMMYFUNCTION("""COMPUTED_VALUE"""),"Oluwatimilehin Shodipe")</f>
        <v>Oluwatimilehin Shodipe</v>
      </c>
      <c r="C17" s="71" t="b">
        <f>IFERROR(__xludf.DUMMYFUNCTION("""COMPUTED_VALUE"""),FALSE)</f>
        <v>0</v>
      </c>
      <c r="D17" s="132">
        <f>IFERROR(__xludf.DUMMYFUNCTION("""COMPUTED_VALUE"""),0.48263888889050577)</f>
        <v>0.4826388889</v>
      </c>
      <c r="E17" s="78">
        <f>IFERROR(__xludf.DUMMYFUNCTION("""COMPUTED_VALUE"""),0.14236111110949423)</f>
        <v>0.1423611111</v>
      </c>
      <c r="F17" s="132">
        <f>IFERROR(__xludf.DUMMYFUNCTION("""COMPUTED_VALUE"""),0.625)</f>
        <v>0.625</v>
      </c>
      <c r="G17" s="78">
        <f>IFERROR(__xludf.DUMMYFUNCTION("""COMPUTED_VALUE"""),0.14236111110949423)</f>
        <v>0.1423611111</v>
      </c>
      <c r="H17" s="71">
        <f>IFERROR(__xludf.DUMMYFUNCTION("""COMPUTED_VALUE"""),144.0)</f>
        <v>144</v>
      </c>
      <c r="I17" s="80">
        <f>IFERROR(__xludf.DUMMYFUNCTION("""COMPUTED_VALUE"""),42.146341463893314)</f>
        <v>42.14634146</v>
      </c>
      <c r="J17" s="71" t="str">
        <f>IFERROR(__xludf.DUMMYFUNCTION("""COMPUTED_VALUE"""),"Lunch")</f>
        <v>Lunch</v>
      </c>
      <c r="K17" s="106">
        <f>IFERROR(__xludf.DUMMYFUNCTION("""COMPUTED_VALUE"""),46052.0)</f>
        <v>46052</v>
      </c>
      <c r="L17" s="71" t="str">
        <f>IFERROR(__xludf.DUMMYFUNCTION("""COMPUTED_VALUE"""),"Friday")</f>
        <v>Friday</v>
      </c>
      <c r="M17" s="71" t="str">
        <f>IFERROR(__xludf.DUMMYFUNCTION("""COMPUTED_VALUE"""),"MF")</f>
        <v>MF</v>
      </c>
      <c r="N17" s="150">
        <f>IFERROR(__xludf.DUMMYFUNCTION("""COMPUTED_VALUE"""),0.8382745004876582)</f>
        <v>0.8382745005</v>
      </c>
      <c r="O17" s="71" t="str">
        <f>IFERROR(__xludf.DUMMYFUNCTION("""COMPUTED_VALUE"""),"")</f>
        <v/>
      </c>
      <c r="P17" s="71" t="str">
        <f>IFERROR(__xludf.DUMMYFUNCTION("""COMPUTED_VALUE"""),"")</f>
        <v/>
      </c>
      <c r="Q17" s="78" t="str">
        <f>IFERROR(__xludf.DUMMYFUNCTION("""COMPUTED_VALUE"""),"")</f>
        <v/>
      </c>
      <c r="R17" s="78" t="str">
        <f>IFERROR(__xludf.DUMMYFUNCTION("""COMPUTED_VALUE"""),"")</f>
        <v/>
      </c>
      <c r="S17" s="80" t="str">
        <f>IFERROR(__xludf.DUMMYFUNCTION("""COMPUTED_VALUE"""),"")</f>
        <v/>
      </c>
      <c r="T17" s="80" t="str">
        <f>IFERROR(__xludf.DUMMYFUNCTION("""COMPUTED_VALUE"""),"")</f>
        <v/>
      </c>
      <c r="U17" s="71" t="str">
        <f>IFERROR(__xludf.DUMMYFUNCTION("""COMPUTED_VALUE"""),"")</f>
        <v/>
      </c>
      <c r="V17" s="78" t="str">
        <f>IFERROR(__xludf.DUMMYFUNCTION("""COMPUTED_VALUE"""),"")</f>
        <v/>
      </c>
      <c r="W17" s="62" t="str">
        <f>IFERROR(__xludf.DUMMYFUNCTION("""COMPUTED_VALUE"""),"")</f>
        <v/>
      </c>
      <c r="X17" s="80" t="str">
        <f>IFERROR(__xludf.DUMMYFUNCTION("""COMPUTED_VALUE"""),"")</f>
        <v/>
      </c>
      <c r="Y17" s="109" t="str">
        <f>IFERROR(__xludf.DUMMYFUNCTION("""COMPUTED_VALUE"""),"")</f>
        <v/>
      </c>
      <c r="Z17" s="71"/>
      <c r="AA17" s="71"/>
      <c r="AB17" s="71"/>
    </row>
    <row r="18">
      <c r="A18" s="105">
        <f>IFERROR(__xludf.DUMMYFUNCTION("""COMPUTED_VALUE"""),46052.80948892361)</f>
        <v>46052.80949</v>
      </c>
      <c r="B18" s="71" t="str">
        <f>IFERROR(__xludf.DUMMYFUNCTION("""COMPUTED_VALUE"""),"Orpheus Wilson")</f>
        <v>Orpheus Wilson</v>
      </c>
      <c r="C18" s="71" t="b">
        <f>IFERROR(__xludf.DUMMYFUNCTION("""COMPUTED_VALUE"""),FALSE)</f>
        <v>0</v>
      </c>
      <c r="D18" s="132">
        <f>IFERROR(__xludf.DUMMYFUNCTION("""COMPUTED_VALUE"""),0.7472222222204437)</f>
        <v>0.7472222222</v>
      </c>
      <c r="E18" s="78">
        <f>IFERROR(__xludf.DUMMYFUNCTION("""COMPUTED_VALUE"""),0.061111111113859806)</f>
        <v>0.06111111111</v>
      </c>
      <c r="F18" s="132">
        <f>IFERROR(__xludf.DUMMYFUNCTION("""COMPUTED_VALUE"""),0.8083333333343035)</f>
        <v>0.8083333333</v>
      </c>
      <c r="G18" s="78">
        <f>IFERROR(__xludf.DUMMYFUNCTION("""COMPUTED_VALUE"""),0.0743055555576575)</f>
        <v>0.07430555556</v>
      </c>
      <c r="H18" s="71">
        <f>IFERROR(__xludf.DUMMYFUNCTION("""COMPUTED_VALUE"""),158.0)</f>
        <v>158</v>
      </c>
      <c r="I18" s="80">
        <f>IFERROR(__xludf.DUMMYFUNCTION("""COMPUTED_VALUE"""),107.10280373528805)</f>
        <v>107.1028037</v>
      </c>
      <c r="J18" s="71" t="str">
        <f>IFERROR(__xludf.DUMMYFUNCTION("""COMPUTED_VALUE"""),"Dinner")</f>
        <v>Dinner</v>
      </c>
      <c r="K18" s="106">
        <f>IFERROR(__xludf.DUMMYFUNCTION("""COMPUTED_VALUE"""),46052.0)</f>
        <v>46052</v>
      </c>
      <c r="L18" s="71" t="str">
        <f>IFERROR(__xludf.DUMMYFUNCTION("""COMPUTED_VALUE"""),"Friday")</f>
        <v>Friday</v>
      </c>
      <c r="M18" s="71" t="str">
        <f>IFERROR(__xludf.DUMMYFUNCTION("""COMPUTED_VALUE"""),"MF")</f>
        <v>MF</v>
      </c>
      <c r="N18" s="150">
        <f>IFERROR(__xludf.DUMMYFUNCTION("""COMPUTED_VALUE"""),2.3092613826059796)</f>
        <v>2.309261383</v>
      </c>
      <c r="O18" s="71" t="str">
        <f>IFERROR(__xludf.DUMMYFUNCTION("""COMPUTED_VALUE"""),"")</f>
        <v/>
      </c>
      <c r="P18" s="71" t="str">
        <f>IFERROR(__xludf.DUMMYFUNCTION("""COMPUTED_VALUE"""),"")</f>
        <v/>
      </c>
      <c r="Q18" s="78" t="str">
        <f>IFERROR(__xludf.DUMMYFUNCTION("""COMPUTED_VALUE"""),"")</f>
        <v/>
      </c>
      <c r="R18" s="78" t="str">
        <f>IFERROR(__xludf.DUMMYFUNCTION("""COMPUTED_VALUE"""),"")</f>
        <v/>
      </c>
      <c r="S18" s="80" t="str">
        <f>IFERROR(__xludf.DUMMYFUNCTION("""COMPUTED_VALUE"""),"")</f>
        <v/>
      </c>
      <c r="T18" s="80" t="str">
        <f>IFERROR(__xludf.DUMMYFUNCTION("""COMPUTED_VALUE"""),"")</f>
        <v/>
      </c>
      <c r="U18" s="71" t="str">
        <f>IFERROR(__xludf.DUMMYFUNCTION("""COMPUTED_VALUE"""),"")</f>
        <v/>
      </c>
      <c r="V18" s="78" t="str">
        <f>IFERROR(__xludf.DUMMYFUNCTION("""COMPUTED_VALUE"""),"")</f>
        <v/>
      </c>
      <c r="W18" s="62" t="str">
        <f>IFERROR(__xludf.DUMMYFUNCTION("""COMPUTED_VALUE"""),"")</f>
        <v/>
      </c>
      <c r="X18" s="80" t="str">
        <f>IFERROR(__xludf.DUMMYFUNCTION("""COMPUTED_VALUE"""),"")</f>
        <v/>
      </c>
      <c r="Y18" s="109" t="str">
        <f>IFERROR(__xludf.DUMMYFUNCTION("""COMPUTED_VALUE"""),"")</f>
        <v/>
      </c>
      <c r="Z18" s="71"/>
      <c r="AA18" s="71"/>
      <c r="AB18" s="71"/>
    </row>
    <row r="19">
      <c r="A19" s="105">
        <f>IFERROR(__xludf.DUMMYFUNCTION("""COMPUTED_VALUE"""),46052.83015725695)</f>
        <v>46052.83016</v>
      </c>
      <c r="B19" s="71" t="str">
        <f>IFERROR(__xludf.DUMMYFUNCTION("""COMPUTED_VALUE"""),"Orpheus Wilson")</f>
        <v>Orpheus Wilson</v>
      </c>
      <c r="C19" s="71" t="b">
        <f>IFERROR(__xludf.DUMMYFUNCTION("""COMPUTED_VALUE"""),TRUE)</f>
        <v>1</v>
      </c>
      <c r="D19" s="132">
        <f>IFERROR(__xludf.DUMMYFUNCTION("""COMPUTED_VALUE"""),0.8145833333328483)</f>
        <v>0.8145833333</v>
      </c>
      <c r="E19" s="78">
        <f>IFERROR(__xludf.DUMMYFUNCTION("""COMPUTED_VALUE"""),0.013194444443797693)</f>
        <v>0.01319444444</v>
      </c>
      <c r="F19" s="132">
        <f>IFERROR(__xludf.DUMMYFUNCTION("""COMPUTED_VALUE"""),0.827777777776646)</f>
        <v>0.8277777778</v>
      </c>
      <c r="G19" s="78" t="str">
        <f>IFERROR(__xludf.DUMMYFUNCTION("""COMPUTED_VALUE"""),"")</f>
        <v/>
      </c>
      <c r="H19" s="71">
        <f>IFERROR(__xludf.DUMMYFUNCTION("""COMPUTED_VALUE"""),33.0)</f>
        <v>33</v>
      </c>
      <c r="I19" s="80" t="str">
        <f>IFERROR(__xludf.DUMMYFUNCTION("""COMPUTED_VALUE"""),"")</f>
        <v/>
      </c>
      <c r="J19" s="71" t="str">
        <f>IFERROR(__xludf.DUMMYFUNCTION("""COMPUTED_VALUE"""),"Dinner")</f>
        <v>Dinner</v>
      </c>
      <c r="K19" s="106">
        <f>IFERROR(__xludf.DUMMYFUNCTION("""COMPUTED_VALUE"""),46052.0)</f>
        <v>46052</v>
      </c>
      <c r="L19" s="71" t="str">
        <f>IFERROR(__xludf.DUMMYFUNCTION("""COMPUTED_VALUE"""),"Friday")</f>
        <v>Friday</v>
      </c>
      <c r="M19" s="71" t="str">
        <f>IFERROR(__xludf.DUMMYFUNCTION("""COMPUTED_VALUE"""),"MF")</f>
        <v>MF</v>
      </c>
      <c r="N19" s="150" t="str">
        <f>IFERROR(__xludf.DUMMYFUNCTION("""COMPUTED_VALUE"""),"")</f>
        <v/>
      </c>
      <c r="O19" s="71">
        <f>IFERROR(__xludf.DUMMYFUNCTION("""COMPUTED_VALUE"""),335.0)</f>
        <v>335</v>
      </c>
      <c r="P19" s="71">
        <f>IFERROR(__xludf.DUMMYFUNCTION("""COMPUTED_VALUE"""),76.0)</f>
        <v>76</v>
      </c>
      <c r="Q19" s="78">
        <f>IFERROR(__xludf.DUMMYFUNCTION("""COMPUTED_VALUE"""),0.21666666666715173)</f>
        <v>0.2166666667</v>
      </c>
      <c r="R19" s="78">
        <f>IFERROR(__xludf.DUMMYFUNCTION("""COMPUTED_VALUE"""),0.0625)</f>
        <v>0.0625</v>
      </c>
      <c r="S19" s="80">
        <f>IFERROR(__xludf.DUMMYFUNCTION("""COMPUTED_VALUE"""),74.62457259959068)</f>
        <v>74.6245726</v>
      </c>
      <c r="T19" s="80">
        <f>IFERROR(__xludf.DUMMYFUNCTION("""COMPUTED_VALUE"""),50.666666666666664)</f>
        <v>50.66666667</v>
      </c>
      <c r="U19" s="71">
        <f>IFERROR(__xludf.DUMMYFUNCTION("""COMPUTED_VALUE"""),411.0)</f>
        <v>411</v>
      </c>
      <c r="V19" s="78">
        <f>IFERROR(__xludf.DUMMYFUNCTION("""COMPUTED_VALUE"""),0.27916666666715173)</f>
        <v>0.2791666667</v>
      </c>
      <c r="W19" s="62">
        <f>IFERROR(__xludf.DUMMYFUNCTION("""COMPUTED_VALUE"""),61.343283581982966)</f>
        <v>61.34328358</v>
      </c>
      <c r="X19" s="80">
        <f>IFERROR(__xludf.DUMMYFUNCTION("""COMPUTED_VALUE"""),66.63860395528268)</f>
        <v>66.63860396</v>
      </c>
      <c r="Y19" s="109">
        <f>IFERROR(__xludf.DUMMYFUNCTION("""COMPUTED_VALUE"""),0.9315886130891315)</f>
        <v>0.9315886131</v>
      </c>
      <c r="Z19" s="71"/>
      <c r="AA19" s="71"/>
      <c r="AB19" s="71"/>
    </row>
    <row r="20">
      <c r="A20" s="105">
        <f>IFERROR(__xludf.DUMMYFUNCTION("""COMPUTED_VALUE"""),46055.643042905096)</f>
        <v>46055.64304</v>
      </c>
      <c r="B20" s="71" t="str">
        <f>IFERROR(__xludf.DUMMYFUNCTION("""COMPUTED_VALUE"""),"Brynn Hornig")</f>
        <v>Brynn Hornig</v>
      </c>
      <c r="C20" s="71" t="b">
        <f>IFERROR(__xludf.DUMMYFUNCTION("""COMPUTED_VALUE"""),FALSE)</f>
        <v>0</v>
      </c>
      <c r="D20" s="132">
        <f>IFERROR(__xludf.DUMMYFUNCTION("""COMPUTED_VALUE"""),0.5208333333357587)</f>
        <v>0.5208333333</v>
      </c>
      <c r="E20" s="78">
        <f>IFERROR(__xludf.DUMMYFUNCTION("""COMPUTED_VALUE"""),0.125)</f>
        <v>0.125</v>
      </c>
      <c r="F20" s="132">
        <f>IFERROR(__xludf.DUMMYFUNCTION("""COMPUTED_VALUE"""),0.6458333333357587)</f>
        <v>0.6458333333</v>
      </c>
      <c r="G20" s="78">
        <f>IFERROR(__xludf.DUMMYFUNCTION("""COMPUTED_VALUE"""),0.125)</f>
        <v>0.125</v>
      </c>
      <c r="H20" s="71">
        <f>IFERROR(__xludf.DUMMYFUNCTION("""COMPUTED_VALUE"""),106.0)</f>
        <v>106</v>
      </c>
      <c r="I20" s="80">
        <f>IFERROR(__xludf.DUMMYFUNCTION("""COMPUTED_VALUE"""),35.333333333333336)</f>
        <v>35.33333333</v>
      </c>
      <c r="J20" s="71" t="str">
        <f>IFERROR(__xludf.DUMMYFUNCTION("""COMPUTED_VALUE"""),"Lunch")</f>
        <v>Lunch</v>
      </c>
      <c r="K20" s="106">
        <f>IFERROR(__xludf.DUMMYFUNCTION("""COMPUTED_VALUE"""),46055.0)</f>
        <v>46055</v>
      </c>
      <c r="L20" s="71" t="str">
        <f>IFERROR(__xludf.DUMMYFUNCTION("""COMPUTED_VALUE"""),"Monday")</f>
        <v>Monday</v>
      </c>
      <c r="M20" s="71" t="str">
        <f>IFERROR(__xludf.DUMMYFUNCTION("""COMPUTED_VALUE"""),"BF")</f>
        <v>BF</v>
      </c>
      <c r="N20" s="150">
        <f>IFERROR(__xludf.DUMMYFUNCTION("""COMPUTED_VALUE"""),1.246297144628068)</f>
        <v>1.246297145</v>
      </c>
      <c r="O20" s="71" t="str">
        <f>IFERROR(__xludf.DUMMYFUNCTION("""COMPUTED_VALUE"""),"")</f>
        <v/>
      </c>
      <c r="P20" s="71" t="str">
        <f>IFERROR(__xludf.DUMMYFUNCTION("""COMPUTED_VALUE"""),"")</f>
        <v/>
      </c>
      <c r="Q20" s="78" t="str">
        <f>IFERROR(__xludf.DUMMYFUNCTION("""COMPUTED_VALUE"""),"")</f>
        <v/>
      </c>
      <c r="R20" s="78" t="str">
        <f>IFERROR(__xludf.DUMMYFUNCTION("""COMPUTED_VALUE"""),"")</f>
        <v/>
      </c>
      <c r="S20" s="80" t="str">
        <f>IFERROR(__xludf.DUMMYFUNCTION("""COMPUTED_VALUE"""),"")</f>
        <v/>
      </c>
      <c r="T20" s="80" t="str">
        <f>IFERROR(__xludf.DUMMYFUNCTION("""COMPUTED_VALUE"""),"")</f>
        <v/>
      </c>
      <c r="U20" s="71" t="str">
        <f>IFERROR(__xludf.DUMMYFUNCTION("""COMPUTED_VALUE"""),"")</f>
        <v/>
      </c>
      <c r="V20" s="78" t="str">
        <f>IFERROR(__xludf.DUMMYFUNCTION("""COMPUTED_VALUE"""),"")</f>
        <v/>
      </c>
      <c r="W20" s="62" t="str">
        <f>IFERROR(__xludf.DUMMYFUNCTION("""COMPUTED_VALUE"""),"")</f>
        <v/>
      </c>
      <c r="X20" s="80" t="str">
        <f>IFERROR(__xludf.DUMMYFUNCTION("""COMPUTED_VALUE"""),"")</f>
        <v/>
      </c>
      <c r="Y20" s="109" t="str">
        <f>IFERROR(__xludf.DUMMYFUNCTION("""COMPUTED_VALUE"""),"")</f>
        <v/>
      </c>
      <c r="Z20" s="71"/>
      <c r="AA20" s="71"/>
      <c r="AB20" s="71"/>
    </row>
    <row r="21">
      <c r="A21" s="105">
        <f>IFERROR(__xludf.DUMMYFUNCTION("""COMPUTED_VALUE"""),46055.7456662037)</f>
        <v>46055.74567</v>
      </c>
      <c r="B21" s="71" t="str">
        <f>IFERROR(__xludf.DUMMYFUNCTION("""COMPUTED_VALUE"""),"Orpheus Wilson")</f>
        <v>Orpheus Wilson</v>
      </c>
      <c r="C21" s="71" t="b">
        <f>IFERROR(__xludf.DUMMYFUNCTION("""COMPUTED_VALUE"""),FALSE)</f>
        <v>0</v>
      </c>
      <c r="D21" s="132">
        <f>IFERROR(__xludf.DUMMYFUNCTION("""COMPUTED_VALUE"""),0.6666666666642413)</f>
        <v>0.6666666667</v>
      </c>
      <c r="E21" s="78">
        <f>IFERROR(__xludf.DUMMYFUNCTION("""COMPUTED_VALUE"""),0.07638888889050577)</f>
        <v>0.07638888889</v>
      </c>
      <c r="F21" s="132">
        <f>IFERROR(__xludf.DUMMYFUNCTION("""COMPUTED_VALUE"""),0.7430555555547471)</f>
        <v>0.7430555556</v>
      </c>
      <c r="G21" s="78">
        <f>IFERROR(__xludf.DUMMYFUNCTION("""COMPUTED_VALUE"""),0.07638888889050577)</f>
        <v>0.07638888889</v>
      </c>
      <c r="H21" s="71">
        <f>IFERROR(__xludf.DUMMYFUNCTION("""COMPUTED_VALUE"""),99.0)</f>
        <v>99</v>
      </c>
      <c r="I21" s="80">
        <f>IFERROR(__xludf.DUMMYFUNCTION("""COMPUTED_VALUE"""),53.999999998857014)</f>
        <v>54</v>
      </c>
      <c r="J21" s="71" t="str">
        <f>IFERROR(__xludf.DUMMYFUNCTION("""COMPUTED_VALUE"""),"Dinner")</f>
        <v>Dinner</v>
      </c>
      <c r="K21" s="106">
        <f>IFERROR(__xludf.DUMMYFUNCTION("""COMPUTED_VALUE"""),46055.0)</f>
        <v>46055</v>
      </c>
      <c r="L21" s="71" t="str">
        <f>IFERROR(__xludf.DUMMYFUNCTION("""COMPUTED_VALUE"""),"Monday")</f>
        <v>Monday</v>
      </c>
      <c r="M21" s="71" t="str">
        <f>IFERROR(__xludf.DUMMYFUNCTION("""COMPUTED_VALUE"""),"MF")</f>
        <v>MF</v>
      </c>
      <c r="N21" s="150">
        <f>IFERROR(__xludf.DUMMYFUNCTION("""COMPUTED_VALUE"""),1.1643029902960185)</f>
        <v>1.16430299</v>
      </c>
      <c r="O21" s="71" t="str">
        <f>IFERROR(__xludf.DUMMYFUNCTION("""COMPUTED_VALUE"""),"")</f>
        <v/>
      </c>
      <c r="P21" s="71" t="str">
        <f>IFERROR(__xludf.DUMMYFUNCTION("""COMPUTED_VALUE"""),"")</f>
        <v/>
      </c>
      <c r="Q21" s="78" t="str">
        <f>IFERROR(__xludf.DUMMYFUNCTION("""COMPUTED_VALUE"""),"")</f>
        <v/>
      </c>
      <c r="R21" s="78" t="str">
        <f>IFERROR(__xludf.DUMMYFUNCTION("""COMPUTED_VALUE"""),"")</f>
        <v/>
      </c>
      <c r="S21" s="80" t="str">
        <f>IFERROR(__xludf.DUMMYFUNCTION("""COMPUTED_VALUE"""),"")</f>
        <v/>
      </c>
      <c r="T21" s="80" t="str">
        <f>IFERROR(__xludf.DUMMYFUNCTION("""COMPUTED_VALUE"""),"")</f>
        <v/>
      </c>
      <c r="U21" s="71" t="str">
        <f>IFERROR(__xludf.DUMMYFUNCTION("""COMPUTED_VALUE"""),"")</f>
        <v/>
      </c>
      <c r="V21" s="78" t="str">
        <f>IFERROR(__xludf.DUMMYFUNCTION("""COMPUTED_VALUE"""),"")</f>
        <v/>
      </c>
      <c r="W21" s="62" t="str">
        <f>IFERROR(__xludf.DUMMYFUNCTION("""COMPUTED_VALUE"""),"")</f>
        <v/>
      </c>
      <c r="X21" s="80" t="str">
        <f>IFERROR(__xludf.DUMMYFUNCTION("""COMPUTED_VALUE"""),"")</f>
        <v/>
      </c>
      <c r="Y21" s="109" t="str">
        <f>IFERROR(__xludf.DUMMYFUNCTION("""COMPUTED_VALUE"""),"")</f>
        <v/>
      </c>
      <c r="Z21" s="71"/>
      <c r="AA21" s="71"/>
      <c r="AB21" s="71"/>
    </row>
    <row r="22">
      <c r="A22" s="105">
        <f>IFERROR(__xludf.DUMMYFUNCTION("""COMPUTED_VALUE"""),46055.86231668982)</f>
        <v>46055.86232</v>
      </c>
      <c r="B22" s="71" t="str">
        <f>IFERROR(__xludf.DUMMYFUNCTION("""COMPUTED_VALUE"""),"Arjya Aich")</f>
        <v>Arjya Aich</v>
      </c>
      <c r="C22" s="71" t="b">
        <f>IFERROR(__xludf.DUMMYFUNCTION("""COMPUTED_VALUE"""),FALSE)</f>
        <v>0</v>
      </c>
      <c r="D22" s="132">
        <f>IFERROR(__xludf.DUMMYFUNCTION("""COMPUTED_VALUE"""),0.6875)</f>
        <v>0.6875</v>
      </c>
      <c r="E22" s="78">
        <f>IFERROR(__xludf.DUMMYFUNCTION("""COMPUTED_VALUE"""),0.17013888889050577)</f>
        <v>0.1701388889</v>
      </c>
      <c r="F22" s="132">
        <f>IFERROR(__xludf.DUMMYFUNCTION("""COMPUTED_VALUE"""),0.8576388888905058)</f>
        <v>0.8576388889</v>
      </c>
      <c r="G22" s="78">
        <f>IFERROR(__xludf.DUMMYFUNCTION("""COMPUTED_VALUE"""),0.17013888889050577)</f>
        <v>0.1701388889</v>
      </c>
      <c r="H22" s="71">
        <f>IFERROR(__xludf.DUMMYFUNCTION("""COMPUTED_VALUE"""),171.0)</f>
        <v>171</v>
      </c>
      <c r="I22" s="80">
        <f>IFERROR(__xludf.DUMMYFUNCTION("""COMPUTED_VALUE"""),41.87755102001019)</f>
        <v>41.87755102</v>
      </c>
      <c r="J22" s="71" t="str">
        <f>IFERROR(__xludf.DUMMYFUNCTION("""COMPUTED_VALUE"""),"Dinner")</f>
        <v>Dinner</v>
      </c>
      <c r="K22" s="106">
        <f>IFERROR(__xludf.DUMMYFUNCTION("""COMPUTED_VALUE"""),46055.0)</f>
        <v>46055</v>
      </c>
      <c r="L22" s="71" t="str">
        <f>IFERROR(__xludf.DUMMYFUNCTION("""COMPUTED_VALUE"""),"Monday")</f>
        <v>Monday</v>
      </c>
      <c r="M22" s="71" t="str">
        <f>IFERROR(__xludf.DUMMYFUNCTION("""COMPUTED_VALUE"""),"BF")</f>
        <v>BF</v>
      </c>
      <c r="N22" s="150">
        <f>IFERROR(__xludf.DUMMYFUNCTION("""COMPUTED_VALUE"""),0.9425126572141354)</f>
        <v>0.9425126572</v>
      </c>
      <c r="O22" s="71" t="str">
        <f>IFERROR(__xludf.DUMMYFUNCTION("""COMPUTED_VALUE"""),"")</f>
        <v/>
      </c>
      <c r="P22" s="71" t="str">
        <f>IFERROR(__xludf.DUMMYFUNCTION("""COMPUTED_VALUE"""),"")</f>
        <v/>
      </c>
      <c r="Q22" s="78" t="str">
        <f>IFERROR(__xludf.DUMMYFUNCTION("""COMPUTED_VALUE"""),"")</f>
        <v/>
      </c>
      <c r="R22" s="78" t="str">
        <f>IFERROR(__xludf.DUMMYFUNCTION("""COMPUTED_VALUE"""),"")</f>
        <v/>
      </c>
      <c r="S22" s="80" t="str">
        <f>IFERROR(__xludf.DUMMYFUNCTION("""COMPUTED_VALUE"""),"")</f>
        <v/>
      </c>
      <c r="T22" s="80" t="str">
        <f>IFERROR(__xludf.DUMMYFUNCTION("""COMPUTED_VALUE"""),"")</f>
        <v/>
      </c>
      <c r="U22" s="71" t="str">
        <f>IFERROR(__xludf.DUMMYFUNCTION("""COMPUTED_VALUE"""),"")</f>
        <v/>
      </c>
      <c r="V22" s="78" t="str">
        <f>IFERROR(__xludf.DUMMYFUNCTION("""COMPUTED_VALUE"""),"")</f>
        <v/>
      </c>
      <c r="W22" s="62" t="str">
        <f>IFERROR(__xludf.DUMMYFUNCTION("""COMPUTED_VALUE"""),"")</f>
        <v/>
      </c>
      <c r="X22" s="80" t="str">
        <f>IFERROR(__xludf.DUMMYFUNCTION("""COMPUTED_VALUE"""),"")</f>
        <v/>
      </c>
      <c r="Y22" s="109" t="str">
        <f>IFERROR(__xludf.DUMMYFUNCTION("""COMPUTED_VALUE"""),"")</f>
        <v/>
      </c>
      <c r="Z22" s="71"/>
      <c r="AA22" s="71"/>
      <c r="AB22" s="71"/>
    </row>
    <row r="23">
      <c r="A23" s="105">
        <f>IFERROR(__xludf.DUMMYFUNCTION("""COMPUTED_VALUE"""),46055.86573452546)</f>
        <v>46055.86573</v>
      </c>
      <c r="B23" s="71" t="str">
        <f>IFERROR(__xludf.DUMMYFUNCTION("""COMPUTED_VALUE"""),"Maureen Surgot")</f>
        <v>Maureen Surgot</v>
      </c>
      <c r="C23" s="71" t="b">
        <f>IFERROR(__xludf.DUMMYFUNCTION("""COMPUTED_VALUE"""),FALSE)</f>
        <v>0</v>
      </c>
      <c r="D23" s="132">
        <f>IFERROR(__xludf.DUMMYFUNCTION("""COMPUTED_VALUE"""),0.75)</f>
        <v>0.75</v>
      </c>
      <c r="E23" s="78">
        <f>IFERROR(__xludf.DUMMYFUNCTION("""COMPUTED_VALUE"""),0.125)</f>
        <v>0.125</v>
      </c>
      <c r="F23" s="132">
        <f>IFERROR(__xludf.DUMMYFUNCTION("""COMPUTED_VALUE"""),0.875)</f>
        <v>0.875</v>
      </c>
      <c r="G23" s="78">
        <f>IFERROR(__xludf.DUMMYFUNCTION("""COMPUTED_VALUE"""),0.125)</f>
        <v>0.125</v>
      </c>
      <c r="H23" s="71">
        <f>IFERROR(__xludf.DUMMYFUNCTION("""COMPUTED_VALUE"""),144.0)</f>
        <v>144</v>
      </c>
      <c r="I23" s="80">
        <f>IFERROR(__xludf.DUMMYFUNCTION("""COMPUTED_VALUE"""),48.0)</f>
        <v>48</v>
      </c>
      <c r="J23" s="71" t="str">
        <f>IFERROR(__xludf.DUMMYFUNCTION("""COMPUTED_VALUE"""),"Dinner")</f>
        <v>Dinner</v>
      </c>
      <c r="K23" s="106">
        <f>IFERROR(__xludf.DUMMYFUNCTION("""COMPUTED_VALUE"""),46055.0)</f>
        <v>46055</v>
      </c>
      <c r="L23" s="71" t="str">
        <f>IFERROR(__xludf.DUMMYFUNCTION("""COMPUTED_VALUE"""),"Monday")</f>
        <v>Monday</v>
      </c>
      <c r="M23" s="71" t="str">
        <f>IFERROR(__xludf.DUMMYFUNCTION("""COMPUTED_VALUE"""),"MF")</f>
        <v>MF</v>
      </c>
      <c r="N23" s="150">
        <f>IFERROR(__xludf.DUMMYFUNCTION("""COMPUTED_VALUE"""),1.0349359913961445)</f>
        <v>1.034935991</v>
      </c>
      <c r="O23" s="71">
        <f>IFERROR(__xludf.DUMMYFUNCTION("""COMPUTED_VALUE"""),243.0)</f>
        <v>243</v>
      </c>
      <c r="P23" s="71">
        <f>IFERROR(__xludf.DUMMYFUNCTION("""COMPUTED_VALUE"""),277.0)</f>
        <v>277</v>
      </c>
      <c r="Q23" s="78">
        <f>IFERROR(__xludf.DUMMYFUNCTION("""COMPUTED_VALUE"""),0.20138888889050577)</f>
        <v>0.2013888889</v>
      </c>
      <c r="R23" s="78">
        <f>IFERROR(__xludf.DUMMYFUNCTION("""COMPUTED_VALUE"""),0.29513888889050577)</f>
        <v>0.2951388889</v>
      </c>
      <c r="S23" s="80">
        <f>IFERROR(__xludf.DUMMYFUNCTION("""COMPUTED_VALUE"""),50.99999999942851)</f>
        <v>51</v>
      </c>
      <c r="T23" s="80">
        <f>IFERROR(__xludf.DUMMYFUNCTION("""COMPUTED_VALUE"""),38.60544217667176)</f>
        <v>38.60544218</v>
      </c>
      <c r="U23" s="71">
        <f>IFERROR(__xludf.DUMMYFUNCTION("""COMPUTED_VALUE"""),520.0)</f>
        <v>520</v>
      </c>
      <c r="V23" s="78">
        <f>IFERROR(__xludf.DUMMYFUNCTION("""COMPUTED_VALUE"""),0.49652777778101154)</f>
        <v>0.4965277778</v>
      </c>
      <c r="W23" s="62">
        <f>IFERROR(__xludf.DUMMYFUNCTION("""COMPUTED_VALUE"""),43.636363636079444)</f>
        <v>43.63636364</v>
      </c>
      <c r="X23" s="80">
        <f>IFERROR(__xludf.DUMMYFUNCTION("""COMPUTED_VALUE"""),44.802721088050134)</f>
        <v>44.80272109</v>
      </c>
      <c r="Y23" s="109">
        <f>IFERROR(__xludf.DUMMYFUNCTION("""COMPUTED_VALUE"""),0.8124941992378819)</f>
        <v>0.8124941992</v>
      </c>
      <c r="Z23" s="71"/>
      <c r="AA23" s="71"/>
      <c r="AB23" s="71"/>
    </row>
    <row r="24">
      <c r="A24" s="105">
        <f>IFERROR(__xludf.DUMMYFUNCTION("""COMPUTED_VALUE"""),46056.33595287037)</f>
        <v>46056.33595</v>
      </c>
      <c r="B24" s="71" t="str">
        <f>IFERROR(__xludf.DUMMYFUNCTION("""COMPUTED_VALUE"""),"Denise Romanszysn")</f>
        <v>Denise Romanszysn</v>
      </c>
      <c r="C24" s="71" t="b">
        <f>IFERROR(__xludf.DUMMYFUNCTION("""COMPUTED_VALUE"""),FALSE)</f>
        <v>0</v>
      </c>
      <c r="D24" s="132">
        <f>IFERROR(__xludf.DUMMYFUNCTION("""COMPUTED_VALUE"""),0.29861111110949423)</f>
        <v>0.2986111111</v>
      </c>
      <c r="E24" s="78">
        <f>IFERROR(__xludf.DUMMYFUNCTION("""COMPUTED_VALUE"""),0.02916666666715173)</f>
        <v>0.02916666667</v>
      </c>
      <c r="F24" s="132">
        <f>IFERROR(__xludf.DUMMYFUNCTION("""COMPUTED_VALUE"""),0.32777777777664596)</f>
        <v>0.3277777778</v>
      </c>
      <c r="G24" s="78">
        <f>IFERROR(__xludf.DUMMYFUNCTION("""COMPUTED_VALUE"""),0.14513888888905058)</f>
        <v>0.1451388889</v>
      </c>
      <c r="H24" s="71">
        <f>IFERROR(__xludf.DUMMYFUNCTION("""COMPUTED_VALUE"""),34.0)</f>
        <v>34</v>
      </c>
      <c r="I24" s="80">
        <f>IFERROR(__xludf.DUMMYFUNCTION("""COMPUTED_VALUE"""),39.04306220091344)</f>
        <v>39.0430622</v>
      </c>
      <c r="J24" s="71" t="str">
        <f>IFERROR(__xludf.DUMMYFUNCTION("""COMPUTED_VALUE"""),"Breakfast")</f>
        <v>Breakfast</v>
      </c>
      <c r="K24" s="106">
        <f>IFERROR(__xludf.DUMMYFUNCTION("""COMPUTED_VALUE"""),46056.0)</f>
        <v>46056</v>
      </c>
      <c r="L24" s="71" t="str">
        <f>IFERROR(__xludf.DUMMYFUNCTION("""COMPUTED_VALUE"""),"Tuesday")</f>
        <v>Tuesday</v>
      </c>
      <c r="M24" s="71" t="str">
        <f>IFERROR(__xludf.DUMMYFUNCTION("""COMPUTED_VALUE"""),"BF")</f>
        <v>BF</v>
      </c>
      <c r="N24" s="150">
        <f>IFERROR(__xludf.DUMMYFUNCTION("""COMPUTED_VALUE"""),1.3771487812792773)</f>
        <v>1.377148781</v>
      </c>
      <c r="O24" s="71" t="str">
        <f>IFERROR(__xludf.DUMMYFUNCTION("""COMPUTED_VALUE"""),"")</f>
        <v/>
      </c>
      <c r="P24" s="71" t="str">
        <f>IFERROR(__xludf.DUMMYFUNCTION("""COMPUTED_VALUE"""),"")</f>
        <v/>
      </c>
      <c r="Q24" s="78" t="str">
        <f>IFERROR(__xludf.DUMMYFUNCTION("""COMPUTED_VALUE"""),"")</f>
        <v/>
      </c>
      <c r="R24" s="78" t="str">
        <f>IFERROR(__xludf.DUMMYFUNCTION("""COMPUTED_VALUE"""),"")</f>
        <v/>
      </c>
      <c r="S24" s="80" t="str">
        <f>IFERROR(__xludf.DUMMYFUNCTION("""COMPUTED_VALUE"""),"")</f>
        <v/>
      </c>
      <c r="T24" s="80" t="str">
        <f>IFERROR(__xludf.DUMMYFUNCTION("""COMPUTED_VALUE"""),"")</f>
        <v/>
      </c>
      <c r="U24" s="71" t="str">
        <f>IFERROR(__xludf.DUMMYFUNCTION("""COMPUTED_VALUE"""),"")</f>
        <v/>
      </c>
      <c r="V24" s="78" t="str">
        <f>IFERROR(__xludf.DUMMYFUNCTION("""COMPUTED_VALUE"""),"")</f>
        <v/>
      </c>
      <c r="W24" s="62" t="str">
        <f>IFERROR(__xludf.DUMMYFUNCTION("""COMPUTED_VALUE"""),"")</f>
        <v/>
      </c>
      <c r="X24" s="80" t="str">
        <f>IFERROR(__xludf.DUMMYFUNCTION("""COMPUTED_VALUE"""),"")</f>
        <v/>
      </c>
      <c r="Y24" s="109" t="str">
        <f>IFERROR(__xludf.DUMMYFUNCTION("""COMPUTED_VALUE"""),"")</f>
        <v/>
      </c>
      <c r="Z24" s="71"/>
      <c r="AA24" s="71"/>
      <c r="AB24" s="71"/>
    </row>
    <row r="25">
      <c r="A25" s="105">
        <f>IFERROR(__xludf.DUMMYFUNCTION("""COMPUTED_VALUE"""),46056.49120446759)</f>
        <v>46056.4912</v>
      </c>
      <c r="B25" s="71" t="str">
        <f>IFERROR(__xludf.DUMMYFUNCTION("""COMPUTED_VALUE"""),"Denise Romanszysn")</f>
        <v>Denise Romanszysn</v>
      </c>
      <c r="C25" s="71" t="b">
        <f>IFERROR(__xludf.DUMMYFUNCTION("""COMPUTED_VALUE"""),TRUE)</f>
        <v>1</v>
      </c>
      <c r="D25" s="132">
        <f>IFERROR(__xludf.DUMMYFUNCTION("""COMPUTED_VALUE"""),0.3312500000029104)</f>
        <v>0.33125</v>
      </c>
      <c r="E25" s="78">
        <f>IFERROR(__xludf.DUMMYFUNCTION("""COMPUTED_VALUE"""),0.11597222222189885)</f>
        <v>0.1159722222</v>
      </c>
      <c r="F25" s="132">
        <f>IFERROR(__xludf.DUMMYFUNCTION("""COMPUTED_VALUE"""),0.44722222222480923)</f>
        <v>0.4472222222</v>
      </c>
      <c r="G25" s="78" t="str">
        <f>IFERROR(__xludf.DUMMYFUNCTION("""COMPUTED_VALUE"""),"")</f>
        <v/>
      </c>
      <c r="H25" s="71">
        <f>IFERROR(__xludf.DUMMYFUNCTION("""COMPUTED_VALUE"""),102.0)</f>
        <v>102</v>
      </c>
      <c r="I25" s="80" t="str">
        <f>IFERROR(__xludf.DUMMYFUNCTION("""COMPUTED_VALUE"""),"")</f>
        <v/>
      </c>
      <c r="J25" s="71" t="str">
        <f>IFERROR(__xludf.DUMMYFUNCTION("""COMPUTED_VALUE"""),"Breakfast")</f>
        <v>Breakfast</v>
      </c>
      <c r="K25" s="106">
        <f>IFERROR(__xludf.DUMMYFUNCTION("""COMPUTED_VALUE"""),46056.0)</f>
        <v>46056</v>
      </c>
      <c r="L25" s="71" t="str">
        <f>IFERROR(__xludf.DUMMYFUNCTION("""COMPUTED_VALUE"""),"Tuesday")</f>
        <v>Tuesday</v>
      </c>
      <c r="M25" s="71" t="str">
        <f>IFERROR(__xludf.DUMMYFUNCTION("""COMPUTED_VALUE"""),"BF")</f>
        <v>BF</v>
      </c>
      <c r="N25" s="150" t="str">
        <f>IFERROR(__xludf.DUMMYFUNCTION("""COMPUTED_VALUE"""),"")</f>
        <v/>
      </c>
      <c r="O25" s="71" t="str">
        <f>IFERROR(__xludf.DUMMYFUNCTION("""COMPUTED_VALUE"""),"")</f>
        <v/>
      </c>
      <c r="P25" s="71" t="str">
        <f>IFERROR(__xludf.DUMMYFUNCTION("""COMPUTED_VALUE"""),"")</f>
        <v/>
      </c>
      <c r="Q25" s="78" t="str">
        <f>IFERROR(__xludf.DUMMYFUNCTION("""COMPUTED_VALUE"""),"")</f>
        <v/>
      </c>
      <c r="R25" s="78" t="str">
        <f>IFERROR(__xludf.DUMMYFUNCTION("""COMPUTED_VALUE"""),"")</f>
        <v/>
      </c>
      <c r="S25" s="80" t="str">
        <f>IFERROR(__xludf.DUMMYFUNCTION("""COMPUTED_VALUE"""),"")</f>
        <v/>
      </c>
      <c r="T25" s="80" t="str">
        <f>IFERROR(__xludf.DUMMYFUNCTION("""COMPUTED_VALUE"""),"")</f>
        <v/>
      </c>
      <c r="U25" s="71" t="str">
        <f>IFERROR(__xludf.DUMMYFUNCTION("""COMPUTED_VALUE"""),"")</f>
        <v/>
      </c>
      <c r="V25" s="78" t="str">
        <f>IFERROR(__xludf.DUMMYFUNCTION("""COMPUTED_VALUE"""),"")</f>
        <v/>
      </c>
      <c r="W25" s="62" t="str">
        <f>IFERROR(__xludf.DUMMYFUNCTION("""COMPUTED_VALUE"""),"")</f>
        <v/>
      </c>
      <c r="X25" s="80" t="str">
        <f>IFERROR(__xludf.DUMMYFUNCTION("""COMPUTED_VALUE"""),"")</f>
        <v/>
      </c>
      <c r="Y25" s="109" t="str">
        <f>IFERROR(__xludf.DUMMYFUNCTION("""COMPUTED_VALUE"""),"")</f>
        <v/>
      </c>
      <c r="Z25" s="71"/>
      <c r="AA25" s="71"/>
      <c r="AB25" s="71"/>
    </row>
    <row r="26">
      <c r="A26" s="105">
        <f>IFERROR(__xludf.DUMMYFUNCTION("""COMPUTED_VALUE"""),46056.59429493056)</f>
        <v>46056.59429</v>
      </c>
      <c r="B26" s="71" t="str">
        <f>IFERROR(__xludf.DUMMYFUNCTION("""COMPUTED_VALUE"""),"Kaylie Forgue")</f>
        <v>Kaylie Forgue</v>
      </c>
      <c r="C26" s="71" t="b">
        <f>IFERROR(__xludf.DUMMYFUNCTION("""COMPUTED_VALUE"""),FALSE)</f>
        <v>0</v>
      </c>
      <c r="D26" s="132">
        <f>IFERROR(__xludf.DUMMYFUNCTION("""COMPUTED_VALUE"""),0.4444444444452529)</f>
        <v>0.4444444444</v>
      </c>
      <c r="E26" s="78">
        <f>IFERROR(__xludf.DUMMYFUNCTION("""COMPUTED_VALUE"""),0.07499999999708962)</f>
        <v>0.075</v>
      </c>
      <c r="F26" s="132">
        <f>IFERROR(__xludf.DUMMYFUNCTION("""COMPUTED_VALUE"""),0.5194444444423425)</f>
        <v>0.5194444444</v>
      </c>
      <c r="G26" s="78">
        <f>IFERROR(__xludf.DUMMYFUNCTION("""COMPUTED_VALUE"""),0.07499999999708962)</f>
        <v>0.075</v>
      </c>
      <c r="H26" s="71">
        <f>IFERROR(__xludf.DUMMYFUNCTION("""COMPUTED_VALUE"""),73.0)</f>
        <v>73</v>
      </c>
      <c r="I26" s="80">
        <f>IFERROR(__xludf.DUMMYFUNCTION("""COMPUTED_VALUE"""),40.55555555712932)</f>
        <v>40.55555556</v>
      </c>
      <c r="J26" s="71" t="str">
        <f>IFERROR(__xludf.DUMMYFUNCTION("""COMPUTED_VALUE"""),"Breakfast/Lunch")</f>
        <v>Breakfast/Lunch</v>
      </c>
      <c r="K26" s="106">
        <f>IFERROR(__xludf.DUMMYFUNCTION("""COMPUTED_VALUE"""),46056.0)</f>
        <v>46056</v>
      </c>
      <c r="L26" s="71" t="str">
        <f>IFERROR(__xludf.DUMMYFUNCTION("""COMPUTED_VALUE"""),"Tuesday")</f>
        <v>Tuesday</v>
      </c>
      <c r="M26" s="71" t="str">
        <f>IFERROR(__xludf.DUMMYFUNCTION("""COMPUTED_VALUE"""),"BF")</f>
        <v>BF</v>
      </c>
      <c r="N26" s="150">
        <f>IFERROR(__xludf.DUMMYFUNCTION("""COMPUTED_VALUE"""),1.2917771211858127)</f>
        <v>1.291777121</v>
      </c>
      <c r="O26" s="71" t="str">
        <f>IFERROR(__xludf.DUMMYFUNCTION("""COMPUTED_VALUE"""),"")</f>
        <v/>
      </c>
      <c r="P26" s="71" t="str">
        <f>IFERROR(__xludf.DUMMYFUNCTION("""COMPUTED_VALUE"""),"")</f>
        <v/>
      </c>
      <c r="Q26" s="78" t="str">
        <f>IFERROR(__xludf.DUMMYFUNCTION("""COMPUTED_VALUE"""),"")</f>
        <v/>
      </c>
      <c r="R26" s="78" t="str">
        <f>IFERROR(__xludf.DUMMYFUNCTION("""COMPUTED_VALUE"""),"")</f>
        <v/>
      </c>
      <c r="S26" s="80" t="str">
        <f>IFERROR(__xludf.DUMMYFUNCTION("""COMPUTED_VALUE"""),"")</f>
        <v/>
      </c>
      <c r="T26" s="80" t="str">
        <f>IFERROR(__xludf.DUMMYFUNCTION("""COMPUTED_VALUE"""),"")</f>
        <v/>
      </c>
      <c r="U26" s="71" t="str">
        <f>IFERROR(__xludf.DUMMYFUNCTION("""COMPUTED_VALUE"""),"")</f>
        <v/>
      </c>
      <c r="V26" s="78" t="str">
        <f>IFERROR(__xludf.DUMMYFUNCTION("""COMPUTED_VALUE"""),"")</f>
        <v/>
      </c>
      <c r="W26" s="62" t="str">
        <f>IFERROR(__xludf.DUMMYFUNCTION("""COMPUTED_VALUE"""),"")</f>
        <v/>
      </c>
      <c r="X26" s="80" t="str">
        <f>IFERROR(__xludf.DUMMYFUNCTION("""COMPUTED_VALUE"""),"")</f>
        <v/>
      </c>
      <c r="Y26" s="109" t="str">
        <f>IFERROR(__xludf.DUMMYFUNCTION("""COMPUTED_VALUE"""),"")</f>
        <v/>
      </c>
      <c r="Z26" s="71"/>
      <c r="AA26" s="71"/>
      <c r="AB26" s="71"/>
    </row>
    <row r="27">
      <c r="A27" s="105">
        <f>IFERROR(__xludf.DUMMYFUNCTION("""COMPUTED_VALUE"""),46056.55673972222)</f>
        <v>46056.55674</v>
      </c>
      <c r="B27" s="71" t="str">
        <f>IFERROR(__xludf.DUMMYFUNCTION("""COMPUTED_VALUE"""),"Kyra Turner")</f>
        <v>Kyra Turner</v>
      </c>
      <c r="C27" s="71" t="b">
        <f>IFERROR(__xludf.DUMMYFUNCTION("""COMPUTED_VALUE"""),FALSE)</f>
        <v>0</v>
      </c>
      <c r="D27" s="132">
        <f>IFERROR(__xludf.DUMMYFUNCTION("""COMPUTED_VALUE"""),0.48402777777664596)</f>
        <v>0.4840277778</v>
      </c>
      <c r="E27" s="78">
        <f>IFERROR(__xludf.DUMMYFUNCTION("""COMPUTED_VALUE"""),0.07013888889196096)</f>
        <v>0.07013888889</v>
      </c>
      <c r="F27" s="132">
        <f>IFERROR(__xludf.DUMMYFUNCTION("""COMPUTED_VALUE"""),0.5541666666686069)</f>
        <v>0.5541666667</v>
      </c>
      <c r="G27" s="78">
        <f>IFERROR(__xludf.DUMMYFUNCTION("""COMPUTED_VALUE"""),0.13263888889196096)</f>
        <v>0.1326388889</v>
      </c>
      <c r="H27" s="71">
        <f>IFERROR(__xludf.DUMMYFUNCTION("""COMPUTED_VALUE"""),109.0)</f>
        <v>109</v>
      </c>
      <c r="I27" s="80">
        <f>IFERROR(__xludf.DUMMYFUNCTION("""COMPUTED_VALUE"""),61.25654450119903)</f>
        <v>61.2565445</v>
      </c>
      <c r="J27" s="71" t="str">
        <f>IFERROR(__xludf.DUMMYFUNCTION("""COMPUTED_VALUE"""),"Lunch")</f>
        <v>Lunch</v>
      </c>
      <c r="K27" s="106">
        <f>IFERROR(__xludf.DUMMYFUNCTION("""COMPUTED_VALUE"""),46056.0)</f>
        <v>46056</v>
      </c>
      <c r="L27" s="71" t="str">
        <f>IFERROR(__xludf.DUMMYFUNCTION("""COMPUTED_VALUE"""),"Tuesday")</f>
        <v>Tuesday</v>
      </c>
      <c r="M27" s="71" t="str">
        <f>IFERROR(__xludf.DUMMYFUNCTION("""COMPUTED_VALUE"""),"MF")</f>
        <v>MF</v>
      </c>
      <c r="N27" s="150">
        <f>IFERROR(__xludf.DUMMYFUNCTION("""COMPUTED_VALUE"""),1.218369079255287)</f>
        <v>1.218369079</v>
      </c>
      <c r="O27" s="71" t="str">
        <f>IFERROR(__xludf.DUMMYFUNCTION("""COMPUTED_VALUE"""),"")</f>
        <v/>
      </c>
      <c r="P27" s="71" t="str">
        <f>IFERROR(__xludf.DUMMYFUNCTION("""COMPUTED_VALUE"""),"")</f>
        <v/>
      </c>
      <c r="Q27" s="78" t="str">
        <f>IFERROR(__xludf.DUMMYFUNCTION("""COMPUTED_VALUE"""),"")</f>
        <v/>
      </c>
      <c r="R27" s="78" t="str">
        <f>IFERROR(__xludf.DUMMYFUNCTION("""COMPUTED_VALUE"""),"")</f>
        <v/>
      </c>
      <c r="S27" s="80" t="str">
        <f>IFERROR(__xludf.DUMMYFUNCTION("""COMPUTED_VALUE"""),"")</f>
        <v/>
      </c>
      <c r="T27" s="80" t="str">
        <f>IFERROR(__xludf.DUMMYFUNCTION("""COMPUTED_VALUE"""),"")</f>
        <v/>
      </c>
      <c r="U27" s="71" t="str">
        <f>IFERROR(__xludf.DUMMYFUNCTION("""COMPUTED_VALUE"""),"")</f>
        <v/>
      </c>
      <c r="V27" s="78" t="str">
        <f>IFERROR(__xludf.DUMMYFUNCTION("""COMPUTED_VALUE"""),"")</f>
        <v/>
      </c>
      <c r="W27" s="62" t="str">
        <f>IFERROR(__xludf.DUMMYFUNCTION("""COMPUTED_VALUE"""),"")</f>
        <v/>
      </c>
      <c r="X27" s="80" t="str">
        <f>IFERROR(__xludf.DUMMYFUNCTION("""COMPUTED_VALUE"""),"")</f>
        <v/>
      </c>
      <c r="Y27" s="109" t="str">
        <f>IFERROR(__xludf.DUMMYFUNCTION("""COMPUTED_VALUE"""),"")</f>
        <v/>
      </c>
      <c r="Z27" s="71"/>
      <c r="AA27" s="71"/>
      <c r="AB27" s="71"/>
    </row>
    <row r="28">
      <c r="A28" s="105">
        <f>IFERROR(__xludf.DUMMYFUNCTION("""COMPUTED_VALUE"""),46056.62460309028)</f>
        <v>46056.6246</v>
      </c>
      <c r="B28" s="71" t="str">
        <f>IFERROR(__xludf.DUMMYFUNCTION("""COMPUTED_VALUE"""),"Kyra Turner")</f>
        <v>Kyra Turner</v>
      </c>
      <c r="C28" s="71" t="b">
        <f>IFERROR(__xludf.DUMMYFUNCTION("""COMPUTED_VALUE"""),TRUE)</f>
        <v>1</v>
      </c>
      <c r="D28" s="132">
        <f>IFERROR(__xludf.DUMMYFUNCTION("""COMPUTED_VALUE"""),0.5597222222204437)</f>
        <v>0.5597222222</v>
      </c>
      <c r="E28" s="78">
        <f>IFERROR(__xludf.DUMMYFUNCTION("""COMPUTED_VALUE"""),0.0625)</f>
        <v>0.0625</v>
      </c>
      <c r="F28" s="132">
        <f>IFERROR(__xludf.DUMMYFUNCTION("""COMPUTED_VALUE"""),0.6222222222204437)</f>
        <v>0.6222222222</v>
      </c>
      <c r="G28" s="78" t="str">
        <f>IFERROR(__xludf.DUMMYFUNCTION("""COMPUTED_VALUE"""),"")</f>
        <v/>
      </c>
      <c r="H28" s="71">
        <f>IFERROR(__xludf.DUMMYFUNCTION("""COMPUTED_VALUE"""),86.0)</f>
        <v>86</v>
      </c>
      <c r="I28" s="80" t="str">
        <f>IFERROR(__xludf.DUMMYFUNCTION("""COMPUTED_VALUE"""),"")</f>
        <v/>
      </c>
      <c r="J28" s="71" t="str">
        <f>IFERROR(__xludf.DUMMYFUNCTION("""COMPUTED_VALUE"""),"Lunch")</f>
        <v>Lunch</v>
      </c>
      <c r="K28" s="106">
        <f>IFERROR(__xludf.DUMMYFUNCTION("""COMPUTED_VALUE"""),46056.0)</f>
        <v>46056</v>
      </c>
      <c r="L28" s="71" t="str">
        <f>IFERROR(__xludf.DUMMYFUNCTION("""COMPUTED_VALUE"""),"Tuesday")</f>
        <v>Tuesday</v>
      </c>
      <c r="M28" s="71" t="str">
        <f>IFERROR(__xludf.DUMMYFUNCTION("""COMPUTED_VALUE"""),"MF")</f>
        <v>MF</v>
      </c>
      <c r="N28" s="150" t="str">
        <f>IFERROR(__xludf.DUMMYFUNCTION("""COMPUTED_VALUE"""),"")</f>
        <v/>
      </c>
      <c r="O28" s="71" t="str">
        <f>IFERROR(__xludf.DUMMYFUNCTION("""COMPUTED_VALUE"""),"")</f>
        <v/>
      </c>
      <c r="P28" s="71" t="str">
        <f>IFERROR(__xludf.DUMMYFUNCTION("""COMPUTED_VALUE"""),"")</f>
        <v/>
      </c>
      <c r="Q28" s="78" t="str">
        <f>IFERROR(__xludf.DUMMYFUNCTION("""COMPUTED_VALUE"""),"")</f>
        <v/>
      </c>
      <c r="R28" s="78" t="str">
        <f>IFERROR(__xludf.DUMMYFUNCTION("""COMPUTED_VALUE"""),"")</f>
        <v/>
      </c>
      <c r="S28" s="80" t="str">
        <f>IFERROR(__xludf.DUMMYFUNCTION("""COMPUTED_VALUE"""),"")</f>
        <v/>
      </c>
      <c r="T28" s="80" t="str">
        <f>IFERROR(__xludf.DUMMYFUNCTION("""COMPUTED_VALUE"""),"")</f>
        <v/>
      </c>
      <c r="U28" s="71" t="str">
        <f>IFERROR(__xludf.DUMMYFUNCTION("""COMPUTED_VALUE"""),"")</f>
        <v/>
      </c>
      <c r="V28" s="78" t="str">
        <f>IFERROR(__xludf.DUMMYFUNCTION("""COMPUTED_VALUE"""),"")</f>
        <v/>
      </c>
      <c r="W28" s="62" t="str">
        <f>IFERROR(__xludf.DUMMYFUNCTION("""COMPUTED_VALUE"""),"")</f>
        <v/>
      </c>
      <c r="X28" s="80" t="str">
        <f>IFERROR(__xludf.DUMMYFUNCTION("""COMPUTED_VALUE"""),"")</f>
        <v/>
      </c>
      <c r="Y28" s="109" t="str">
        <f>IFERROR(__xludf.DUMMYFUNCTION("""COMPUTED_VALUE"""),"")</f>
        <v/>
      </c>
      <c r="Z28" s="71"/>
      <c r="AA28" s="71"/>
      <c r="AB28" s="71"/>
    </row>
    <row r="29">
      <c r="A29" s="105">
        <f>IFERROR(__xludf.DUMMYFUNCTION("""COMPUTED_VALUE"""),46056.83776568287)</f>
        <v>46056.83777</v>
      </c>
      <c r="B29" s="71" t="str">
        <f>IFERROR(__xludf.DUMMYFUNCTION("""COMPUTED_VALUE"""),"Leah Bucci")</f>
        <v>Leah Bucci</v>
      </c>
      <c r="C29" s="71" t="b">
        <f>IFERROR(__xludf.DUMMYFUNCTION("""COMPUTED_VALUE"""),FALSE)</f>
        <v>0</v>
      </c>
      <c r="D29" s="132">
        <f>IFERROR(__xludf.DUMMYFUNCTION("""COMPUTED_VALUE"""),0.6875)</f>
        <v>0.6875</v>
      </c>
      <c r="E29" s="78">
        <f>IFERROR(__xludf.DUMMYFUNCTION("""COMPUTED_VALUE"""),0.0625)</f>
        <v>0.0625</v>
      </c>
      <c r="F29" s="132">
        <f>IFERROR(__xludf.DUMMYFUNCTION("""COMPUTED_VALUE"""),0.75)</f>
        <v>0.75</v>
      </c>
      <c r="G29" s="78">
        <f>IFERROR(__xludf.DUMMYFUNCTION("""COMPUTED_VALUE"""),0.14930555556202307)</f>
        <v>0.1493055556</v>
      </c>
      <c r="H29" s="71">
        <f>IFERROR(__xludf.DUMMYFUNCTION("""COMPUTED_VALUE"""),154.0)</f>
        <v>154</v>
      </c>
      <c r="I29" s="80">
        <f>IFERROR(__xludf.DUMMYFUNCTION("""COMPUTED_VALUE"""),60.558139532260505)</f>
        <v>60.55813953</v>
      </c>
      <c r="J29" s="71" t="str">
        <f>IFERROR(__xludf.DUMMYFUNCTION("""COMPUTED_VALUE"""),"Dinner")</f>
        <v>Dinner</v>
      </c>
      <c r="K29" s="106">
        <f>IFERROR(__xludf.DUMMYFUNCTION("""COMPUTED_VALUE"""),46056.0)</f>
        <v>46056</v>
      </c>
      <c r="L29" s="71" t="str">
        <f>IFERROR(__xludf.DUMMYFUNCTION("""COMPUTED_VALUE"""),"Tuesday")</f>
        <v>Tuesday</v>
      </c>
      <c r="M29" s="71" t="str">
        <f>IFERROR(__xludf.DUMMYFUNCTION("""COMPUTED_VALUE"""),"BF")</f>
        <v>BF</v>
      </c>
      <c r="N29" s="150">
        <f>IFERROR(__xludf.DUMMYFUNCTION("""COMPUTED_VALUE"""),1.3629453398366689)</f>
        <v>1.36294534</v>
      </c>
      <c r="O29" s="71" t="str">
        <f>IFERROR(__xludf.DUMMYFUNCTION("""COMPUTED_VALUE"""),"")</f>
        <v/>
      </c>
      <c r="P29" s="71" t="str">
        <f>IFERROR(__xludf.DUMMYFUNCTION("""COMPUTED_VALUE"""),"")</f>
        <v/>
      </c>
      <c r="Q29" s="78" t="str">
        <f>IFERROR(__xludf.DUMMYFUNCTION("""COMPUTED_VALUE"""),"")</f>
        <v/>
      </c>
      <c r="R29" s="78" t="str">
        <f>IFERROR(__xludf.DUMMYFUNCTION("""COMPUTED_VALUE"""),"")</f>
        <v/>
      </c>
      <c r="S29" s="80" t="str">
        <f>IFERROR(__xludf.DUMMYFUNCTION("""COMPUTED_VALUE"""),"")</f>
        <v/>
      </c>
      <c r="T29" s="80" t="str">
        <f>IFERROR(__xludf.DUMMYFUNCTION("""COMPUTED_VALUE"""),"")</f>
        <v/>
      </c>
      <c r="U29" s="71" t="str">
        <f>IFERROR(__xludf.DUMMYFUNCTION("""COMPUTED_VALUE"""),"")</f>
        <v/>
      </c>
      <c r="V29" s="78" t="str">
        <f>IFERROR(__xludf.DUMMYFUNCTION("""COMPUTED_VALUE"""),"")</f>
        <v/>
      </c>
      <c r="W29" s="62" t="str">
        <f>IFERROR(__xludf.DUMMYFUNCTION("""COMPUTED_VALUE"""),"")</f>
        <v/>
      </c>
      <c r="X29" s="80" t="str">
        <f>IFERROR(__xludf.DUMMYFUNCTION("""COMPUTED_VALUE"""),"")</f>
        <v/>
      </c>
      <c r="Y29" s="109" t="str">
        <f>IFERROR(__xludf.DUMMYFUNCTION("""COMPUTED_VALUE"""),"")</f>
        <v/>
      </c>
      <c r="Z29" s="71"/>
      <c r="AA29" s="71"/>
      <c r="AB29" s="71"/>
    </row>
    <row r="30">
      <c r="A30" s="105">
        <f>IFERROR(__xludf.DUMMYFUNCTION("""COMPUTED_VALUE"""),46056.83851019676)</f>
        <v>46056.83851</v>
      </c>
      <c r="B30" s="71" t="str">
        <f>IFERROR(__xludf.DUMMYFUNCTION("""COMPUTED_VALUE"""),"Leah Bucci")</f>
        <v>Leah Bucci</v>
      </c>
      <c r="C30" s="71" t="b">
        <f>IFERROR(__xludf.DUMMYFUNCTION("""COMPUTED_VALUE"""),TRUE)</f>
        <v>1</v>
      </c>
      <c r="D30" s="132">
        <f>IFERROR(__xludf.DUMMYFUNCTION("""COMPUTED_VALUE"""),0.7534722222189885)</f>
        <v>0.7534722222</v>
      </c>
      <c r="E30" s="78">
        <f>IFERROR(__xludf.DUMMYFUNCTION("""COMPUTED_VALUE"""),0.08680555556202307)</f>
        <v>0.08680555556</v>
      </c>
      <c r="F30" s="132">
        <f>IFERROR(__xludf.DUMMYFUNCTION("""COMPUTED_VALUE"""),0.8402777777810115)</f>
        <v>0.8402777778</v>
      </c>
      <c r="G30" s="78" t="str">
        <f>IFERROR(__xludf.DUMMYFUNCTION("""COMPUTED_VALUE"""),"")</f>
        <v/>
      </c>
      <c r="H30" s="71">
        <f>IFERROR(__xludf.DUMMYFUNCTION("""COMPUTED_VALUE"""),63.0)</f>
        <v>63</v>
      </c>
      <c r="I30" s="80" t="str">
        <f>IFERROR(__xludf.DUMMYFUNCTION("""COMPUTED_VALUE"""),"")</f>
        <v/>
      </c>
      <c r="J30" s="71" t="str">
        <f>IFERROR(__xludf.DUMMYFUNCTION("""COMPUTED_VALUE"""),"Dinner")</f>
        <v>Dinner</v>
      </c>
      <c r="K30" s="106">
        <f>IFERROR(__xludf.DUMMYFUNCTION("""COMPUTED_VALUE"""),46056.0)</f>
        <v>46056</v>
      </c>
      <c r="L30" s="71" t="str">
        <f>IFERROR(__xludf.DUMMYFUNCTION("""COMPUTED_VALUE"""),"Tuesday")</f>
        <v>Tuesday</v>
      </c>
      <c r="M30" s="71" t="str">
        <f>IFERROR(__xludf.DUMMYFUNCTION("""COMPUTED_VALUE"""),"BF")</f>
        <v>BF</v>
      </c>
      <c r="N30" s="150" t="str">
        <f>IFERROR(__xludf.DUMMYFUNCTION("""COMPUTED_VALUE"""),"")</f>
        <v/>
      </c>
      <c r="O30" s="71" t="str">
        <f>IFERROR(__xludf.DUMMYFUNCTION("""COMPUTED_VALUE"""),"")</f>
        <v/>
      </c>
      <c r="P30" s="71" t="str">
        <f>IFERROR(__xludf.DUMMYFUNCTION("""COMPUTED_VALUE"""),"")</f>
        <v/>
      </c>
      <c r="Q30" s="78" t="str">
        <f>IFERROR(__xludf.DUMMYFUNCTION("""COMPUTED_VALUE"""),"")</f>
        <v/>
      </c>
      <c r="R30" s="78" t="str">
        <f>IFERROR(__xludf.DUMMYFUNCTION("""COMPUTED_VALUE"""),"")</f>
        <v/>
      </c>
      <c r="S30" s="80" t="str">
        <f>IFERROR(__xludf.DUMMYFUNCTION("""COMPUTED_VALUE"""),"")</f>
        <v/>
      </c>
      <c r="T30" s="80" t="str">
        <f>IFERROR(__xludf.DUMMYFUNCTION("""COMPUTED_VALUE"""),"")</f>
        <v/>
      </c>
      <c r="U30" s="71" t="str">
        <f>IFERROR(__xludf.DUMMYFUNCTION("""COMPUTED_VALUE"""),"")</f>
        <v/>
      </c>
      <c r="V30" s="78" t="str">
        <f>IFERROR(__xludf.DUMMYFUNCTION("""COMPUTED_VALUE"""),"")</f>
        <v/>
      </c>
      <c r="W30" s="62" t="str">
        <f>IFERROR(__xludf.DUMMYFUNCTION("""COMPUTED_VALUE"""),"")</f>
        <v/>
      </c>
      <c r="X30" s="80" t="str">
        <f>IFERROR(__xludf.DUMMYFUNCTION("""COMPUTED_VALUE"""),"")</f>
        <v/>
      </c>
      <c r="Y30" s="109" t="str">
        <f>IFERROR(__xludf.DUMMYFUNCTION("""COMPUTED_VALUE"""),"")</f>
        <v/>
      </c>
      <c r="Z30" s="71"/>
      <c r="AA30" s="71"/>
      <c r="AB30" s="71"/>
    </row>
    <row r="31">
      <c r="A31" s="105">
        <f>IFERROR(__xludf.DUMMYFUNCTION("""COMPUTED_VALUE"""),46056.84040743056)</f>
        <v>46056.84041</v>
      </c>
      <c r="B31" s="71" t="str">
        <f>IFERROR(__xludf.DUMMYFUNCTION("""COMPUTED_VALUE"""),"Alexis Sylvestre")</f>
        <v>Alexis Sylvestre</v>
      </c>
      <c r="C31" s="71" t="b">
        <f>IFERROR(__xludf.DUMMYFUNCTION("""COMPUTED_VALUE"""),FALSE)</f>
        <v>0</v>
      </c>
      <c r="D31" s="132">
        <f>IFERROR(__xludf.DUMMYFUNCTION("""COMPUTED_VALUE"""),0.6666666666642413)</f>
        <v>0.6666666667</v>
      </c>
      <c r="E31" s="78">
        <f>IFERROR(__xludf.DUMMYFUNCTION("""COMPUTED_VALUE"""),0.0847222222291748)</f>
        <v>0.08472222223</v>
      </c>
      <c r="F31" s="132">
        <f>IFERROR(__xludf.DUMMYFUNCTION("""COMPUTED_VALUE"""),0.7513888888934162)</f>
        <v>0.7513888889</v>
      </c>
      <c r="G31" s="78">
        <f>IFERROR(__xludf.DUMMYFUNCTION("""COMPUTED_VALUE"""),0.0847222222291748)</f>
        <v>0.08472222223</v>
      </c>
      <c r="H31" s="71">
        <f>IFERROR(__xludf.DUMMYFUNCTION("""COMPUTED_VALUE"""),99.0)</f>
        <v>99</v>
      </c>
      <c r="I31" s="80">
        <f>IFERROR(__xludf.DUMMYFUNCTION("""COMPUTED_VALUE"""),48.6885245861684)</f>
        <v>48.68852459</v>
      </c>
      <c r="J31" s="71" t="str">
        <f>IFERROR(__xludf.DUMMYFUNCTION("""COMPUTED_VALUE"""),"Dinner")</f>
        <v>Dinner</v>
      </c>
      <c r="K31" s="106">
        <f>IFERROR(__xludf.DUMMYFUNCTION("""COMPUTED_VALUE"""),46056.0)</f>
        <v>46056</v>
      </c>
      <c r="L31" s="71" t="str">
        <f>IFERROR(__xludf.DUMMYFUNCTION("""COMPUTED_VALUE"""),"Tuesday")</f>
        <v>Tuesday</v>
      </c>
      <c r="M31" s="71" t="str">
        <f>IFERROR(__xludf.DUMMYFUNCTION("""COMPUTED_VALUE"""),"MF")</f>
        <v>MF</v>
      </c>
      <c r="N31" s="150">
        <f>IFERROR(__xludf.DUMMYFUNCTION("""COMPUTED_VALUE"""),1.049781384629203)</f>
        <v>1.049781385</v>
      </c>
      <c r="O31" s="71" t="str">
        <f>IFERROR(__xludf.DUMMYFUNCTION("""COMPUTED_VALUE"""),"")</f>
        <v/>
      </c>
      <c r="P31" s="71" t="str">
        <f>IFERROR(__xludf.DUMMYFUNCTION("""COMPUTED_VALUE"""),"")</f>
        <v/>
      </c>
      <c r="Q31" s="78" t="str">
        <f>IFERROR(__xludf.DUMMYFUNCTION("""COMPUTED_VALUE"""),"")</f>
        <v/>
      </c>
      <c r="R31" s="78" t="str">
        <f>IFERROR(__xludf.DUMMYFUNCTION("""COMPUTED_VALUE"""),"")</f>
        <v/>
      </c>
      <c r="S31" s="80" t="str">
        <f>IFERROR(__xludf.DUMMYFUNCTION("""COMPUTED_VALUE"""),"")</f>
        <v/>
      </c>
      <c r="T31" s="80" t="str">
        <f>IFERROR(__xludf.DUMMYFUNCTION("""COMPUTED_VALUE"""),"")</f>
        <v/>
      </c>
      <c r="U31" s="71" t="str">
        <f>IFERROR(__xludf.DUMMYFUNCTION("""COMPUTED_VALUE"""),"")</f>
        <v/>
      </c>
      <c r="V31" s="78" t="str">
        <f>IFERROR(__xludf.DUMMYFUNCTION("""COMPUTED_VALUE"""),"")</f>
        <v/>
      </c>
      <c r="W31" s="62" t="str">
        <f>IFERROR(__xludf.DUMMYFUNCTION("""COMPUTED_VALUE"""),"")</f>
        <v/>
      </c>
      <c r="X31" s="80" t="str">
        <f>IFERROR(__xludf.DUMMYFUNCTION("""COMPUTED_VALUE"""),"")</f>
        <v/>
      </c>
      <c r="Y31" s="109" t="str">
        <f>IFERROR(__xludf.DUMMYFUNCTION("""COMPUTED_VALUE"""),"")</f>
        <v/>
      </c>
      <c r="Z31" s="71"/>
      <c r="AA31" s="71"/>
      <c r="AB31" s="71"/>
    </row>
    <row r="32">
      <c r="A32" s="105">
        <f>IFERROR(__xludf.DUMMYFUNCTION("""COMPUTED_VALUE"""),46057.062216307866)</f>
        <v>46057.06222</v>
      </c>
      <c r="B32" s="71" t="str">
        <f>IFERROR(__xludf.DUMMYFUNCTION("""COMPUTED_VALUE"""),"Arjya Aich")</f>
        <v>Arjya Aich</v>
      </c>
      <c r="C32" s="71" t="b">
        <f>IFERROR(__xludf.DUMMYFUNCTION("""COMPUTED_VALUE"""),FALSE)</f>
        <v>0</v>
      </c>
      <c r="D32" s="132">
        <f>IFERROR(__xludf.DUMMYFUNCTION("""COMPUTED_VALUE"""),0.7916666666642413)</f>
        <v>0.7916666667</v>
      </c>
      <c r="E32" s="78">
        <f>IFERROR(__xludf.DUMMYFUNCTION("""COMPUTED_VALUE"""),0.08333333333575865)</f>
        <v>0.08333333334</v>
      </c>
      <c r="F32" s="132">
        <f>IFERROR(__xludf.DUMMYFUNCTION("""COMPUTED_VALUE"""),0.875)</f>
        <v>0.875</v>
      </c>
      <c r="G32" s="78">
        <f>IFERROR(__xludf.DUMMYFUNCTION("""COMPUTED_VALUE"""),0.08333333333575865)</f>
        <v>0.08333333334</v>
      </c>
      <c r="H32" s="71">
        <f>IFERROR(__xludf.DUMMYFUNCTION("""COMPUTED_VALUE"""),89.0)</f>
        <v>89</v>
      </c>
      <c r="I32" s="80">
        <f>IFERROR(__xludf.DUMMYFUNCTION("""COMPUTED_VALUE"""),44.49999999870488)</f>
        <v>44.5</v>
      </c>
      <c r="J32" s="71" t="str">
        <f>IFERROR(__xludf.DUMMYFUNCTION("""COMPUTED_VALUE"""),"Dinner")</f>
        <v>Dinner</v>
      </c>
      <c r="K32" s="106">
        <f>IFERROR(__xludf.DUMMYFUNCTION("""COMPUTED_VALUE"""),46056.0)</f>
        <v>46056</v>
      </c>
      <c r="L32" s="71" t="str">
        <f>IFERROR(__xludf.DUMMYFUNCTION("""COMPUTED_VALUE"""),"Tuesday")</f>
        <v>Tuesday</v>
      </c>
      <c r="M32" s="71" t="str">
        <f>IFERROR(__xludf.DUMMYFUNCTION("""COMPUTED_VALUE"""),"MF")</f>
        <v>MF</v>
      </c>
      <c r="N32" s="109">
        <f>IFERROR(__xludf.DUMMYFUNCTION("""COMPUTED_VALUE"""),0.9594719086622513)</f>
        <v>0.9594719087</v>
      </c>
      <c r="O32" s="71" t="str">
        <f>IFERROR(__xludf.DUMMYFUNCTION("""COMPUTED_VALUE"""),"")</f>
        <v/>
      </c>
      <c r="P32" s="71" t="str">
        <f>IFERROR(__xludf.DUMMYFUNCTION("""COMPUTED_VALUE"""),"")</f>
        <v/>
      </c>
      <c r="Q32" s="78" t="str">
        <f>IFERROR(__xludf.DUMMYFUNCTION("""COMPUTED_VALUE"""),"")</f>
        <v/>
      </c>
      <c r="R32" s="78" t="str">
        <f>IFERROR(__xludf.DUMMYFUNCTION("""COMPUTED_VALUE"""),"")</f>
        <v/>
      </c>
      <c r="S32" s="80" t="str">
        <f>IFERROR(__xludf.DUMMYFUNCTION("""COMPUTED_VALUE"""),"")</f>
        <v/>
      </c>
      <c r="T32" s="80" t="str">
        <f>IFERROR(__xludf.DUMMYFUNCTION("""COMPUTED_VALUE"""),"")</f>
        <v/>
      </c>
      <c r="U32" s="71" t="str">
        <f>IFERROR(__xludf.DUMMYFUNCTION("""COMPUTED_VALUE"""),"")</f>
        <v/>
      </c>
      <c r="V32" s="78" t="str">
        <f>IFERROR(__xludf.DUMMYFUNCTION("""COMPUTED_VALUE"""),"")</f>
        <v/>
      </c>
      <c r="W32" s="62" t="str">
        <f>IFERROR(__xludf.DUMMYFUNCTION("""COMPUTED_VALUE"""),"")</f>
        <v/>
      </c>
      <c r="X32" s="80" t="str">
        <f>IFERROR(__xludf.DUMMYFUNCTION("""COMPUTED_VALUE"""),"")</f>
        <v/>
      </c>
      <c r="Y32" s="109" t="str">
        <f>IFERROR(__xludf.DUMMYFUNCTION("""COMPUTED_VALUE"""),"")</f>
        <v/>
      </c>
      <c r="Z32" s="71"/>
      <c r="AA32" s="71"/>
      <c r="AB32" s="71"/>
    </row>
    <row r="33">
      <c r="A33" s="105">
        <f>IFERROR(__xludf.DUMMYFUNCTION("""COMPUTED_VALUE"""),46057.37776274305)</f>
        <v>46057.37776</v>
      </c>
      <c r="B33" s="71" t="str">
        <f>IFERROR(__xludf.DUMMYFUNCTION("""COMPUTED_VALUE"""),"Oluwatimilehin Shodipe")</f>
        <v>Oluwatimilehin Shodipe</v>
      </c>
      <c r="C33" s="71" t="b">
        <f>IFERROR(__xludf.DUMMYFUNCTION("""COMPUTED_VALUE"""),FALSE)</f>
        <v>0</v>
      </c>
      <c r="D33" s="132">
        <f>IFERROR(__xludf.DUMMYFUNCTION("""COMPUTED_VALUE"""),0.5243055555547471)</f>
        <v>0.5243055556</v>
      </c>
      <c r="E33" s="78">
        <f>IFERROR(__xludf.DUMMYFUNCTION("""COMPUTED_VALUE"""),0.12152777777858625)</f>
        <v>0.1215277778</v>
      </c>
      <c r="F33" s="132">
        <f>IFERROR(__xludf.DUMMYFUNCTION("""COMPUTED_VALUE"""),0.6458333333333334)</f>
        <v>0.6458333333</v>
      </c>
      <c r="G33" s="78">
        <f>IFERROR(__xludf.DUMMYFUNCTION("""COMPUTED_VALUE"""),0.12152777777858625)</f>
        <v>0.1215277778</v>
      </c>
      <c r="H33" s="71">
        <f>IFERROR(__xludf.DUMMYFUNCTION("""COMPUTED_VALUE"""),81.0)</f>
        <v>81</v>
      </c>
      <c r="I33" s="80">
        <f>IFERROR(__xludf.DUMMYFUNCTION("""COMPUTED_VALUE"""),27.77142857124382)</f>
        <v>27.77142857</v>
      </c>
      <c r="J33" s="71" t="str">
        <f>IFERROR(__xludf.DUMMYFUNCTION("""COMPUTED_VALUE"""),"Lunch")</f>
        <v>Lunch</v>
      </c>
      <c r="K33" s="106">
        <f>IFERROR(__xludf.DUMMYFUNCTION("""COMPUTED_VALUE"""),46056.0)</f>
        <v>46056</v>
      </c>
      <c r="L33" s="71" t="str">
        <f>IFERROR(__xludf.DUMMYFUNCTION("""COMPUTED_VALUE"""),"Tuesday")</f>
        <v>Tuesday</v>
      </c>
      <c r="M33" s="71" t="str">
        <f>IFERROR(__xludf.DUMMYFUNCTION("""COMPUTED_VALUE"""),"BF")</f>
        <v>BF</v>
      </c>
      <c r="N33" s="109">
        <f>IFERROR(__xludf.DUMMYFUNCTION("""COMPUTED_VALUE"""),0.979569399922175)</f>
        <v>0.9795693999</v>
      </c>
      <c r="O33" s="71">
        <f>IFERROR(__xludf.DUMMYFUNCTION("""COMPUTED_VALUE"""),383.0)</f>
        <v>383</v>
      </c>
      <c r="P33" s="71">
        <f>IFERROR(__xludf.DUMMYFUNCTION("""COMPUTED_VALUE"""),507.0)</f>
        <v>507</v>
      </c>
      <c r="Q33" s="78">
        <f>IFERROR(__xludf.DUMMYFUNCTION("""COMPUTED_VALUE"""),0.3006944444568944)</f>
        <v>0.3006944445</v>
      </c>
      <c r="R33" s="78">
        <f>IFERROR(__xludf.DUMMYFUNCTION("""COMPUTED_VALUE"""),0.4909722222267495)</f>
        <v>0.4909722222</v>
      </c>
      <c r="S33" s="80">
        <f>IFERROR(__xludf.DUMMYFUNCTION("""COMPUTED_VALUE"""),51.48168969535743)</f>
        <v>51.4816897</v>
      </c>
      <c r="T33" s="80">
        <f>IFERROR(__xludf.DUMMYFUNCTION("""COMPUTED_VALUE"""),41.98204646538677)</f>
        <v>41.98204647</v>
      </c>
      <c r="U33" s="71">
        <f>IFERROR(__xludf.DUMMYFUNCTION("""COMPUTED_VALUE"""),890.0)</f>
        <v>890</v>
      </c>
      <c r="V33" s="78">
        <f>IFERROR(__xludf.DUMMYFUNCTION("""COMPUTED_VALUE"""),0.7916666666836439)</f>
        <v>0.7916666667</v>
      </c>
      <c r="W33" s="62">
        <f>IFERROR(__xludf.DUMMYFUNCTION("""COMPUTED_VALUE"""),46.84210526215337)</f>
        <v>46.84210526</v>
      </c>
      <c r="X33" s="80">
        <f>IFERROR(__xludf.DUMMYFUNCTION("""COMPUTED_VALUE"""),46.053322135374195)</f>
        <v>46.05332214</v>
      </c>
      <c r="Y33" s="109">
        <f>IFERROR(__xludf.DUMMYFUNCTION("""COMPUTED_VALUE"""),0.6331452672385959)</f>
        <v>0.6331452672</v>
      </c>
      <c r="Z33" s="71"/>
      <c r="AA33" s="71"/>
      <c r="AB33" s="71"/>
    </row>
    <row r="34">
      <c r="A34" s="105">
        <f>IFERROR(__xludf.DUMMYFUNCTION("""COMPUTED_VALUE"""),46057.389669236116)</f>
        <v>46057.38967</v>
      </c>
      <c r="B34" s="71" t="str">
        <f>IFERROR(__xludf.DUMMYFUNCTION("""COMPUTED_VALUE"""),"Kaylie Forgue")</f>
        <v>Kaylie Forgue</v>
      </c>
      <c r="C34" s="71" t="b">
        <f>IFERROR(__xludf.DUMMYFUNCTION("""COMPUTED_VALUE"""),FALSE)</f>
        <v>0</v>
      </c>
      <c r="D34" s="132">
        <f>IFERROR(__xludf.DUMMYFUNCTION("""COMPUTED_VALUE"""),0.3118055555532919)</f>
        <v>0.3118055556</v>
      </c>
      <c r="E34" s="78">
        <f>IFERROR(__xludf.DUMMYFUNCTION("""COMPUTED_VALUE"""),0.05625000000145519)</f>
        <v>0.05625</v>
      </c>
      <c r="F34" s="132">
        <f>IFERROR(__xludf.DUMMYFUNCTION("""COMPUTED_VALUE"""),0.3680555555547471)</f>
        <v>0.3680555556</v>
      </c>
      <c r="G34" s="78">
        <f>IFERROR(__xludf.DUMMYFUNCTION("""COMPUTED_VALUE"""),0.05625000000145519)</f>
        <v>0.05625</v>
      </c>
      <c r="H34" s="71">
        <f>IFERROR(__xludf.DUMMYFUNCTION("""COMPUTED_VALUE"""),92.0)</f>
        <v>92</v>
      </c>
      <c r="I34" s="80">
        <f>IFERROR(__xludf.DUMMYFUNCTION("""COMPUTED_VALUE"""),68.14814814638515)</f>
        <v>68.14814815</v>
      </c>
      <c r="J34" s="71" t="str">
        <f>IFERROR(__xludf.DUMMYFUNCTION("""COMPUTED_VALUE"""),"Breakfast")</f>
        <v>Breakfast</v>
      </c>
      <c r="K34" s="106">
        <f>IFERROR(__xludf.DUMMYFUNCTION("""COMPUTED_VALUE"""),46057.0)</f>
        <v>46057</v>
      </c>
      <c r="L34" s="71" t="str">
        <f>IFERROR(__xludf.DUMMYFUNCTION("""COMPUTED_VALUE"""),"Wednesday")</f>
        <v>Wednesday</v>
      </c>
      <c r="M34" s="71" t="str">
        <f>IFERROR(__xludf.DUMMYFUNCTION("""COMPUTED_VALUE"""),"BF")</f>
        <v>BF</v>
      </c>
      <c r="N34" s="109">
        <f>IFERROR(__xludf.DUMMYFUNCTION("""COMPUTED_VALUE"""),2.403759691882935)</f>
        <v>2.403759692</v>
      </c>
      <c r="O34" s="71" t="str">
        <f>IFERROR(__xludf.DUMMYFUNCTION("""COMPUTED_VALUE"""),"")</f>
        <v/>
      </c>
      <c r="P34" s="71" t="str">
        <f>IFERROR(__xludf.DUMMYFUNCTION("""COMPUTED_VALUE"""),"")</f>
        <v/>
      </c>
      <c r="Q34" s="78" t="str">
        <f>IFERROR(__xludf.DUMMYFUNCTION("""COMPUTED_VALUE"""),"")</f>
        <v/>
      </c>
      <c r="R34" s="78" t="str">
        <f>IFERROR(__xludf.DUMMYFUNCTION("""COMPUTED_VALUE"""),"")</f>
        <v/>
      </c>
      <c r="S34" s="80" t="str">
        <f>IFERROR(__xludf.DUMMYFUNCTION("""COMPUTED_VALUE"""),"")</f>
        <v/>
      </c>
      <c r="T34" s="80" t="str">
        <f>IFERROR(__xludf.DUMMYFUNCTION("""COMPUTED_VALUE"""),"")</f>
        <v/>
      </c>
      <c r="U34" s="71" t="str">
        <f>IFERROR(__xludf.DUMMYFUNCTION("""COMPUTED_VALUE"""),"")</f>
        <v/>
      </c>
      <c r="V34" s="78" t="str">
        <f>IFERROR(__xludf.DUMMYFUNCTION("""COMPUTED_VALUE"""),"")</f>
        <v/>
      </c>
      <c r="W34" s="62" t="str">
        <f>IFERROR(__xludf.DUMMYFUNCTION("""COMPUTED_VALUE"""),"")</f>
        <v/>
      </c>
      <c r="X34" s="80" t="str">
        <f>IFERROR(__xludf.DUMMYFUNCTION("""COMPUTED_VALUE"""),"")</f>
        <v/>
      </c>
      <c r="Y34" s="109" t="str">
        <f>IFERROR(__xludf.DUMMYFUNCTION("""COMPUTED_VALUE"""),"")</f>
        <v/>
      </c>
      <c r="Z34" s="71"/>
      <c r="AA34" s="71"/>
      <c r="AB34" s="71"/>
    </row>
    <row r="35">
      <c r="A35" s="105">
        <f>IFERROR(__xludf.DUMMYFUNCTION("""COMPUTED_VALUE"""),46057.537840868055)</f>
        <v>46057.53784</v>
      </c>
      <c r="B35" s="71" t="str">
        <f>IFERROR(__xludf.DUMMYFUNCTION("""COMPUTED_VALUE"""),"Oluwatimilehin Shodipe")</f>
        <v>Oluwatimilehin Shodipe</v>
      </c>
      <c r="C35" s="71" t="b">
        <f>IFERROR(__xludf.DUMMYFUNCTION("""COMPUTED_VALUE"""),FALSE)</f>
        <v>0</v>
      </c>
      <c r="D35" s="132">
        <f>IFERROR(__xludf.DUMMYFUNCTION("""COMPUTED_VALUE"""),0.47916666666424135)</f>
        <v>0.4791666667</v>
      </c>
      <c r="E35" s="78">
        <f>IFERROR(__xludf.DUMMYFUNCTION("""COMPUTED_VALUE"""),0.05902777778101154)</f>
        <v>0.05902777778</v>
      </c>
      <c r="F35" s="132">
        <f>IFERROR(__xludf.DUMMYFUNCTION("""COMPUTED_VALUE"""),0.5381944444452529)</f>
        <v>0.5381944444</v>
      </c>
      <c r="G35" s="78">
        <f>IFERROR(__xludf.DUMMYFUNCTION("""COMPUTED_VALUE"""),0.05902777778101154)</f>
        <v>0.05902777778</v>
      </c>
      <c r="H35" s="71">
        <f>IFERROR(__xludf.DUMMYFUNCTION("""COMPUTED_VALUE"""),65.0)</f>
        <v>65</v>
      </c>
      <c r="I35" s="80">
        <f>IFERROR(__xludf.DUMMYFUNCTION("""COMPUTED_VALUE"""),45.88235293866287)</f>
        <v>45.88235294</v>
      </c>
      <c r="J35" s="71" t="str">
        <f>IFERROR(__xludf.DUMMYFUNCTION("""COMPUTED_VALUE"""),"Lunch")</f>
        <v>Lunch</v>
      </c>
      <c r="K35" s="106">
        <f>IFERROR(__xludf.DUMMYFUNCTION("""COMPUTED_VALUE"""),46057.0)</f>
        <v>46057</v>
      </c>
      <c r="L35" s="71" t="str">
        <f>IFERROR(__xludf.DUMMYFUNCTION("""COMPUTED_VALUE"""),"Wednesday")</f>
        <v>Wednesday</v>
      </c>
      <c r="M35" s="71" t="str">
        <f>IFERROR(__xludf.DUMMYFUNCTION("""COMPUTED_VALUE"""),"MF")</f>
        <v>MF</v>
      </c>
      <c r="N35" s="109">
        <f>IFERROR(__xludf.DUMMYFUNCTION("""COMPUTED_VALUE"""),0.9125823299231411)</f>
        <v>0.9125823299</v>
      </c>
      <c r="O35" s="71" t="str">
        <f>IFERROR(__xludf.DUMMYFUNCTION("""COMPUTED_VALUE"""),"")</f>
        <v/>
      </c>
      <c r="P35" s="71" t="str">
        <f>IFERROR(__xludf.DUMMYFUNCTION("""COMPUTED_VALUE"""),"")</f>
        <v/>
      </c>
      <c r="Q35" s="78" t="str">
        <f>IFERROR(__xludf.DUMMYFUNCTION("""COMPUTED_VALUE"""),"")</f>
        <v/>
      </c>
      <c r="R35" s="78" t="str">
        <f>IFERROR(__xludf.DUMMYFUNCTION("""COMPUTED_VALUE"""),"")</f>
        <v/>
      </c>
      <c r="S35" s="80" t="str">
        <f>IFERROR(__xludf.DUMMYFUNCTION("""COMPUTED_VALUE"""),"")</f>
        <v/>
      </c>
      <c r="T35" s="80" t="str">
        <f>IFERROR(__xludf.DUMMYFUNCTION("""COMPUTED_VALUE"""),"")</f>
        <v/>
      </c>
      <c r="U35" s="71" t="str">
        <f>IFERROR(__xludf.DUMMYFUNCTION("""COMPUTED_VALUE"""),"")</f>
        <v/>
      </c>
      <c r="V35" s="78" t="str">
        <f>IFERROR(__xludf.DUMMYFUNCTION("""COMPUTED_VALUE"""),"")</f>
        <v/>
      </c>
      <c r="W35" s="62" t="str">
        <f>IFERROR(__xludf.DUMMYFUNCTION("""COMPUTED_VALUE"""),"")</f>
        <v/>
      </c>
      <c r="X35" s="80" t="str">
        <f>IFERROR(__xludf.DUMMYFUNCTION("""COMPUTED_VALUE"""),"")</f>
        <v/>
      </c>
      <c r="Y35" s="109" t="str">
        <f>IFERROR(__xludf.DUMMYFUNCTION("""COMPUTED_VALUE"""),"")</f>
        <v/>
      </c>
      <c r="Z35" s="71"/>
      <c r="AA35" s="71"/>
      <c r="AB35" s="71"/>
    </row>
    <row r="36">
      <c r="A36" s="105">
        <f>IFERROR(__xludf.DUMMYFUNCTION("""COMPUTED_VALUE"""),46057.62108427084)</f>
        <v>46057.62108</v>
      </c>
      <c r="B36" s="71" t="str">
        <f>IFERROR(__xludf.DUMMYFUNCTION("""COMPUTED_VALUE"""),"Evan Morgan")</f>
        <v>Evan Morgan</v>
      </c>
      <c r="C36" s="71" t="b">
        <f>IFERROR(__xludf.DUMMYFUNCTION("""COMPUTED_VALUE"""),FALSE)</f>
        <v>0</v>
      </c>
      <c r="D36" s="132">
        <f>IFERROR(__xludf.DUMMYFUNCTION("""COMPUTED_VALUE"""),0.5416666666642413)</f>
        <v>0.5416666667</v>
      </c>
      <c r="E36" s="78">
        <f>IFERROR(__xludf.DUMMYFUNCTION("""COMPUTED_VALUE"""),0.07916666667006211)</f>
        <v>0.07916666667</v>
      </c>
      <c r="F36" s="132">
        <f>IFERROR(__xludf.DUMMYFUNCTION("""COMPUTED_VALUE"""),0.6208333333343035)</f>
        <v>0.6208333333</v>
      </c>
      <c r="G36" s="78">
        <f>IFERROR(__xludf.DUMMYFUNCTION("""COMPUTED_VALUE"""),0.07916666667006211)</f>
        <v>0.07916666667</v>
      </c>
      <c r="H36" s="71">
        <f>IFERROR(__xludf.DUMMYFUNCTION("""COMPUTED_VALUE"""),90.0)</f>
        <v>90</v>
      </c>
      <c r="I36" s="80">
        <f>IFERROR(__xludf.DUMMYFUNCTION("""COMPUTED_VALUE"""),47.368421050599956)</f>
        <v>47.36842105</v>
      </c>
      <c r="J36" s="71" t="str">
        <f>IFERROR(__xludf.DUMMYFUNCTION("""COMPUTED_VALUE"""),"Lunch")</f>
        <v>Lunch</v>
      </c>
      <c r="K36" s="106">
        <f>IFERROR(__xludf.DUMMYFUNCTION("""COMPUTED_VALUE"""),46057.0)</f>
        <v>46057</v>
      </c>
      <c r="L36" s="71" t="str">
        <f>IFERROR(__xludf.DUMMYFUNCTION("""COMPUTED_VALUE"""),"Wednesday")</f>
        <v>Wednesday</v>
      </c>
      <c r="M36" s="71" t="str">
        <f>IFERROR(__xludf.DUMMYFUNCTION("""COMPUTED_VALUE"""),"MF")</f>
        <v>MF</v>
      </c>
      <c r="N36" s="109">
        <f>IFERROR(__xludf.DUMMYFUNCTION("""COMPUTED_VALUE"""),0.9421396523610073)</f>
        <v>0.9421396524</v>
      </c>
      <c r="O36" s="71" t="str">
        <f>IFERROR(__xludf.DUMMYFUNCTION("""COMPUTED_VALUE"""),"")</f>
        <v/>
      </c>
      <c r="P36" s="71" t="str">
        <f>IFERROR(__xludf.DUMMYFUNCTION("""COMPUTED_VALUE"""),"")</f>
        <v/>
      </c>
      <c r="Q36" s="78" t="str">
        <f>IFERROR(__xludf.DUMMYFUNCTION("""COMPUTED_VALUE"""),"")</f>
        <v/>
      </c>
      <c r="R36" s="78" t="str">
        <f>IFERROR(__xludf.DUMMYFUNCTION("""COMPUTED_VALUE"""),"")</f>
        <v/>
      </c>
      <c r="S36" s="80" t="str">
        <f>IFERROR(__xludf.DUMMYFUNCTION("""COMPUTED_VALUE"""),"")</f>
        <v/>
      </c>
      <c r="T36" s="80" t="str">
        <f>IFERROR(__xludf.DUMMYFUNCTION("""COMPUTED_VALUE"""),"")</f>
        <v/>
      </c>
      <c r="U36" s="71" t="str">
        <f>IFERROR(__xludf.DUMMYFUNCTION("""COMPUTED_VALUE"""),"")</f>
        <v/>
      </c>
      <c r="V36" s="78" t="str">
        <f>IFERROR(__xludf.DUMMYFUNCTION("""COMPUTED_VALUE"""),"")</f>
        <v/>
      </c>
      <c r="W36" s="62" t="str">
        <f>IFERROR(__xludf.DUMMYFUNCTION("""COMPUTED_VALUE"""),"")</f>
        <v/>
      </c>
      <c r="X36" s="80" t="str">
        <f>IFERROR(__xludf.DUMMYFUNCTION("""COMPUTED_VALUE"""),"")</f>
        <v/>
      </c>
      <c r="Y36" s="109" t="str">
        <f>IFERROR(__xludf.DUMMYFUNCTION("""COMPUTED_VALUE"""),"")</f>
        <v/>
      </c>
      <c r="Z36" s="71"/>
      <c r="AA36" s="71"/>
      <c r="AB36" s="71"/>
    </row>
    <row r="37">
      <c r="A37" s="105">
        <f>IFERROR(__xludf.DUMMYFUNCTION("""COMPUTED_VALUE"""),46057.642263553236)</f>
        <v>46057.64226</v>
      </c>
      <c r="B37" s="71" t="str">
        <f>IFERROR(__xludf.DUMMYFUNCTION("""COMPUTED_VALUE"""),"Arjya Aich")</f>
        <v>Arjya Aich</v>
      </c>
      <c r="C37" s="71" t="b">
        <f>IFERROR(__xludf.DUMMYFUNCTION("""COMPUTED_VALUE"""),FALSE)</f>
        <v>0</v>
      </c>
      <c r="D37" s="132">
        <f>IFERROR(__xludf.DUMMYFUNCTION("""COMPUTED_VALUE"""),0.5)</f>
        <v>0.5</v>
      </c>
      <c r="E37" s="78">
        <f>IFERROR(__xludf.DUMMYFUNCTION("""COMPUTED_VALUE"""),0.14583333333575865)</f>
        <v>0.1458333333</v>
      </c>
      <c r="F37" s="132">
        <f>IFERROR(__xludf.DUMMYFUNCTION("""COMPUTED_VALUE"""),0.6458333333357587)</f>
        <v>0.6458333333</v>
      </c>
      <c r="G37" s="78">
        <f>IFERROR(__xludf.DUMMYFUNCTION("""COMPUTED_VALUE"""),0.14583333333575865)</f>
        <v>0.1458333333</v>
      </c>
      <c r="H37" s="71">
        <f>IFERROR(__xludf.DUMMYFUNCTION("""COMPUTED_VALUE"""),19.0)</f>
        <v>19</v>
      </c>
      <c r="I37" s="80">
        <f>IFERROR(__xludf.DUMMYFUNCTION("""COMPUTED_VALUE"""),5.428571428481147)</f>
        <v>5.428571428</v>
      </c>
      <c r="J37" s="71" t="str">
        <f>IFERROR(__xludf.DUMMYFUNCTION("""COMPUTED_VALUE"""),"Lunch")</f>
        <v>Lunch</v>
      </c>
      <c r="K37" s="106">
        <f>IFERROR(__xludf.DUMMYFUNCTION("""COMPUTED_VALUE"""),46057.0)</f>
        <v>46057</v>
      </c>
      <c r="L37" s="71" t="str">
        <f>IFERROR(__xludf.DUMMYFUNCTION("""COMPUTED_VALUE"""),"Wednesday")</f>
        <v>Wednesday</v>
      </c>
      <c r="M37" s="71" t="str">
        <f>IFERROR(__xludf.DUMMYFUNCTION("""COMPUTED_VALUE"""),"BF")</f>
        <v>BF</v>
      </c>
      <c r="N37" s="109">
        <f>IFERROR(__xludf.DUMMYFUNCTION("""COMPUTED_VALUE"""),0.1914796152092141)</f>
        <v>0.1914796152</v>
      </c>
      <c r="O37" s="71" t="str">
        <f>IFERROR(__xludf.DUMMYFUNCTION("""COMPUTED_VALUE"""),"")</f>
        <v/>
      </c>
      <c r="P37" s="71" t="str">
        <f>IFERROR(__xludf.DUMMYFUNCTION("""COMPUTED_VALUE"""),"")</f>
        <v/>
      </c>
      <c r="Q37" s="78" t="str">
        <f>IFERROR(__xludf.DUMMYFUNCTION("""COMPUTED_VALUE"""),"")</f>
        <v/>
      </c>
      <c r="R37" s="78" t="str">
        <f>IFERROR(__xludf.DUMMYFUNCTION("""COMPUTED_VALUE"""),"")</f>
        <v/>
      </c>
      <c r="S37" s="80" t="str">
        <f>IFERROR(__xludf.DUMMYFUNCTION("""COMPUTED_VALUE"""),"")</f>
        <v/>
      </c>
      <c r="T37" s="80" t="str">
        <f>IFERROR(__xludf.DUMMYFUNCTION("""COMPUTED_VALUE"""),"")</f>
        <v/>
      </c>
      <c r="U37" s="71" t="str">
        <f>IFERROR(__xludf.DUMMYFUNCTION("""COMPUTED_VALUE"""),"")</f>
        <v/>
      </c>
      <c r="V37" s="78" t="str">
        <f>IFERROR(__xludf.DUMMYFUNCTION("""COMPUTED_VALUE"""),"")</f>
        <v/>
      </c>
      <c r="W37" s="62" t="str">
        <f>IFERROR(__xludf.DUMMYFUNCTION("""COMPUTED_VALUE"""),"")</f>
        <v/>
      </c>
      <c r="X37" s="80" t="str">
        <f>IFERROR(__xludf.DUMMYFUNCTION("""COMPUTED_VALUE"""),"")</f>
        <v/>
      </c>
      <c r="Y37" s="109" t="str">
        <f>IFERROR(__xludf.DUMMYFUNCTION("""COMPUTED_VALUE"""),"")</f>
        <v/>
      </c>
      <c r="Z37" s="71"/>
      <c r="AA37" s="71"/>
      <c r="AB37" s="71"/>
    </row>
    <row r="38">
      <c r="A38" s="105">
        <f>IFERROR(__xludf.DUMMYFUNCTION("""COMPUTED_VALUE"""),46057.736328935185)</f>
        <v>46057.73633</v>
      </c>
      <c r="B38" s="71" t="str">
        <f>IFERROR(__xludf.DUMMYFUNCTION("""COMPUTED_VALUE"""),"Evan Morgan")</f>
        <v>Evan Morgan</v>
      </c>
      <c r="C38" s="71" t="b">
        <f>IFERROR(__xludf.DUMMYFUNCTION("""COMPUTED_VALUE"""),FALSE)</f>
        <v>0</v>
      </c>
      <c r="D38" s="132">
        <f>IFERROR(__xludf.DUMMYFUNCTION("""COMPUTED_VALUE"""),0.6666666666642413)</f>
        <v>0.6666666667</v>
      </c>
      <c r="E38" s="78">
        <f>IFERROR(__xludf.DUMMYFUNCTION("""COMPUTED_VALUE"""),0.0729166666715173)</f>
        <v>0.07291666667</v>
      </c>
      <c r="F38" s="132">
        <f>IFERROR(__xludf.DUMMYFUNCTION("""COMPUTED_VALUE"""),0.7395833333357587)</f>
        <v>0.7395833333</v>
      </c>
      <c r="G38" s="78">
        <f>IFERROR(__xludf.DUMMYFUNCTION("""COMPUTED_VALUE"""),0.0729166666715173)</f>
        <v>0.07291666667</v>
      </c>
      <c r="H38" s="71">
        <f>IFERROR(__xludf.DUMMYFUNCTION("""COMPUTED_VALUE"""),58.0)</f>
        <v>58</v>
      </c>
      <c r="I38" s="80">
        <f>IFERROR(__xludf.DUMMYFUNCTION("""COMPUTED_VALUE"""),33.14285714065238)</f>
        <v>33.14285714</v>
      </c>
      <c r="J38" s="71" t="str">
        <f>IFERROR(__xludf.DUMMYFUNCTION("""COMPUTED_VALUE"""),"Dinner")</f>
        <v>Dinner</v>
      </c>
      <c r="K38" s="106">
        <f>IFERROR(__xludf.DUMMYFUNCTION("""COMPUTED_VALUE"""),46057.0)</f>
        <v>46057</v>
      </c>
      <c r="L38" s="71" t="str">
        <f>IFERROR(__xludf.DUMMYFUNCTION("""COMPUTED_VALUE"""),"Wednesday")</f>
        <v>Wednesday</v>
      </c>
      <c r="M38" s="71" t="str">
        <f>IFERROR(__xludf.DUMMYFUNCTION("""COMPUTED_VALUE"""),"MF")</f>
        <v>MF</v>
      </c>
      <c r="N38" s="109">
        <f>IFERROR(__xludf.DUMMYFUNCTION("""COMPUTED_VALUE"""),0.7145986606783721)</f>
        <v>0.7145986607</v>
      </c>
      <c r="O38" s="71" t="str">
        <f>IFERROR(__xludf.DUMMYFUNCTION("""COMPUTED_VALUE"""),"")</f>
        <v/>
      </c>
      <c r="P38" s="71" t="str">
        <f>IFERROR(__xludf.DUMMYFUNCTION("""COMPUTED_VALUE"""),"")</f>
        <v/>
      </c>
      <c r="Q38" s="78" t="str">
        <f>IFERROR(__xludf.DUMMYFUNCTION("""COMPUTED_VALUE"""),"")</f>
        <v/>
      </c>
      <c r="R38" s="78" t="str">
        <f>IFERROR(__xludf.DUMMYFUNCTION("""COMPUTED_VALUE"""),"")</f>
        <v/>
      </c>
      <c r="S38" s="80" t="str">
        <f>IFERROR(__xludf.DUMMYFUNCTION("""COMPUTED_VALUE"""),"")</f>
        <v/>
      </c>
      <c r="T38" s="80" t="str">
        <f>IFERROR(__xludf.DUMMYFUNCTION("""COMPUTED_VALUE"""),"")</f>
        <v/>
      </c>
      <c r="U38" s="71" t="str">
        <f>IFERROR(__xludf.DUMMYFUNCTION("""COMPUTED_VALUE"""),"")</f>
        <v/>
      </c>
      <c r="V38" s="78" t="str">
        <f>IFERROR(__xludf.DUMMYFUNCTION("""COMPUTED_VALUE"""),"")</f>
        <v/>
      </c>
      <c r="W38" s="62" t="str">
        <f>IFERROR(__xludf.DUMMYFUNCTION("""COMPUTED_VALUE"""),"")</f>
        <v/>
      </c>
      <c r="X38" s="80" t="str">
        <f>IFERROR(__xludf.DUMMYFUNCTION("""COMPUTED_VALUE"""),"")</f>
        <v/>
      </c>
      <c r="Y38" s="109" t="str">
        <f>IFERROR(__xludf.DUMMYFUNCTION("""COMPUTED_VALUE"""),"")</f>
        <v/>
      </c>
      <c r="Z38" s="71"/>
      <c r="AA38" s="71"/>
      <c r="AB38" s="71"/>
    </row>
    <row r="39">
      <c r="A39" s="105">
        <f>IFERROR(__xludf.DUMMYFUNCTION("""COMPUTED_VALUE"""),46057.84896283565)</f>
        <v>46057.84896</v>
      </c>
      <c r="B39" s="71" t="str">
        <f>IFERROR(__xludf.DUMMYFUNCTION("""COMPUTED_VALUE"""),"Maureen Surgot")</f>
        <v>Maureen Surgot</v>
      </c>
      <c r="C39" s="71" t="b">
        <f>IFERROR(__xludf.DUMMYFUNCTION("""COMPUTED_VALUE"""),FALSE)</f>
        <v>0</v>
      </c>
      <c r="D39" s="132">
        <f>IFERROR(__xludf.DUMMYFUNCTION("""COMPUTED_VALUE"""),0.6875)</f>
        <v>0.6875</v>
      </c>
      <c r="E39" s="78">
        <f>IFERROR(__xludf.DUMMYFUNCTION("""COMPUTED_VALUE"""),0.16666666666424135)</f>
        <v>0.1666666667</v>
      </c>
      <c r="F39" s="132">
        <f>IFERROR(__xludf.DUMMYFUNCTION("""COMPUTED_VALUE"""),0.8541666666642413)</f>
        <v>0.8541666667</v>
      </c>
      <c r="G39" s="78">
        <f>IFERROR(__xludf.DUMMYFUNCTION("""COMPUTED_VALUE"""),0.16666666666424135)</f>
        <v>0.1666666667</v>
      </c>
      <c r="H39" s="71">
        <f>IFERROR(__xludf.DUMMYFUNCTION("""COMPUTED_VALUE"""),210.0)</f>
        <v>210</v>
      </c>
      <c r="I39" s="80">
        <f>IFERROR(__xludf.DUMMYFUNCTION("""COMPUTED_VALUE"""),52.500000000763976)</f>
        <v>52.5</v>
      </c>
      <c r="J39" s="71" t="str">
        <f>IFERROR(__xludf.DUMMYFUNCTION("""COMPUTED_VALUE"""),"Dinner")</f>
        <v>Dinner</v>
      </c>
      <c r="K39" s="106">
        <f>IFERROR(__xludf.DUMMYFUNCTION("""COMPUTED_VALUE"""),46057.0)</f>
        <v>46057</v>
      </c>
      <c r="L39" s="71" t="str">
        <f>IFERROR(__xludf.DUMMYFUNCTION("""COMPUTED_VALUE"""),"Wednesday")</f>
        <v>Wednesday</v>
      </c>
      <c r="M39" s="71" t="str">
        <f>IFERROR(__xludf.DUMMYFUNCTION("""COMPUTED_VALUE"""),"BF")</f>
        <v>BF</v>
      </c>
      <c r="N39" s="109">
        <f>IFERROR(__xludf.DUMMYFUNCTION("""COMPUTED_VALUE"""),1.1815856777493605)</f>
        <v>1.181585678</v>
      </c>
      <c r="O39" s="71" t="str">
        <f>IFERROR(__xludf.DUMMYFUNCTION("""COMPUTED_VALUE"""),"")</f>
        <v/>
      </c>
      <c r="P39" s="71" t="str">
        <f>IFERROR(__xludf.DUMMYFUNCTION("""COMPUTED_VALUE"""),"")</f>
        <v/>
      </c>
      <c r="Q39" s="78" t="str">
        <f>IFERROR(__xludf.DUMMYFUNCTION("""COMPUTED_VALUE"""),"")</f>
        <v/>
      </c>
      <c r="R39" s="78" t="str">
        <f>IFERROR(__xludf.DUMMYFUNCTION("""COMPUTED_VALUE"""),"")</f>
        <v/>
      </c>
      <c r="S39" s="80" t="str">
        <f>IFERROR(__xludf.DUMMYFUNCTION("""COMPUTED_VALUE"""),"")</f>
        <v/>
      </c>
      <c r="T39" s="80" t="str">
        <f>IFERROR(__xludf.DUMMYFUNCTION("""COMPUTED_VALUE"""),"")</f>
        <v/>
      </c>
      <c r="U39" s="71" t="str">
        <f>IFERROR(__xludf.DUMMYFUNCTION("""COMPUTED_VALUE"""),"")</f>
        <v/>
      </c>
      <c r="V39" s="78" t="str">
        <f>IFERROR(__xludf.DUMMYFUNCTION("""COMPUTED_VALUE"""),"")</f>
        <v/>
      </c>
      <c r="W39" s="62" t="str">
        <f>IFERROR(__xludf.DUMMYFUNCTION("""COMPUTED_VALUE"""),"")</f>
        <v/>
      </c>
      <c r="X39" s="80" t="str">
        <f>IFERROR(__xludf.DUMMYFUNCTION("""COMPUTED_VALUE"""),"")</f>
        <v/>
      </c>
      <c r="Y39" s="109" t="str">
        <f>IFERROR(__xludf.DUMMYFUNCTION("""COMPUTED_VALUE"""),"")</f>
        <v/>
      </c>
      <c r="Z39" s="71"/>
      <c r="AA39" s="71"/>
      <c r="AB39" s="71"/>
    </row>
    <row r="40">
      <c r="A40" s="105">
        <f>IFERROR(__xludf.DUMMYFUNCTION("""COMPUTED_VALUE"""),46057.97156842593)</f>
        <v>46057.97157</v>
      </c>
      <c r="B40" s="71" t="str">
        <f>IFERROR(__xludf.DUMMYFUNCTION("""COMPUTED_VALUE"""),"Oluwatimilehin Shodipe")</f>
        <v>Oluwatimilehin Shodipe</v>
      </c>
      <c r="C40" s="71" t="b">
        <f>IFERROR(__xludf.DUMMYFUNCTION("""COMPUTED_VALUE"""),FALSE)</f>
        <v>0</v>
      </c>
      <c r="D40" s="132">
        <f>IFERROR(__xludf.DUMMYFUNCTION("""COMPUTED_VALUE"""),0.42708333333575865)</f>
        <v>0.4270833333</v>
      </c>
      <c r="E40" s="78">
        <f>IFERROR(__xludf.DUMMYFUNCTION("""COMPUTED_VALUE"""),0.04513888888322981)</f>
        <v>0.04513888888</v>
      </c>
      <c r="F40" s="132">
        <f>IFERROR(__xludf.DUMMYFUNCTION("""COMPUTED_VALUE"""),0.47222222221898846)</f>
        <v>0.4722222222</v>
      </c>
      <c r="G40" s="78">
        <f>IFERROR(__xludf.DUMMYFUNCTION("""COMPUTED_VALUE"""),0.04513888888322981)</f>
        <v>0.04513888888</v>
      </c>
      <c r="H40" s="71">
        <f>IFERROR(__xludf.DUMMYFUNCTION("""COMPUTED_VALUE"""),68.0)</f>
        <v>68</v>
      </c>
      <c r="I40" s="80">
        <f>IFERROR(__xludf.DUMMYFUNCTION("""COMPUTED_VALUE"""),62.76923077710017)</f>
        <v>62.76923078</v>
      </c>
      <c r="J40" s="71" t="str">
        <f>IFERROR(__xludf.DUMMYFUNCTION("""COMPUTED_VALUE"""),"Breakfast/Lunch")</f>
        <v>Breakfast/Lunch</v>
      </c>
      <c r="K40" s="106">
        <f>IFERROR(__xludf.DUMMYFUNCTION("""COMPUTED_VALUE"""),46057.0)</f>
        <v>46057</v>
      </c>
      <c r="L40" s="71" t="str">
        <f>IFERROR(__xludf.DUMMYFUNCTION("""COMPUTED_VALUE"""),"Wednesday")</f>
        <v>Wednesday</v>
      </c>
      <c r="M40" s="71" t="str">
        <f>IFERROR(__xludf.DUMMYFUNCTION("""COMPUTED_VALUE"""),"BF")</f>
        <v>BF</v>
      </c>
      <c r="N40" s="109">
        <f>IFERROR(__xludf.DUMMYFUNCTION("""COMPUTED_VALUE"""),1.5797975165822569)</f>
        <v>1.579797517</v>
      </c>
      <c r="O40" s="71">
        <f>IFERROR(__xludf.DUMMYFUNCTION("""COMPUTED_VALUE"""),213.0)</f>
        <v>213</v>
      </c>
      <c r="P40" s="71">
        <f>IFERROR(__xludf.DUMMYFUNCTION("""COMPUTED_VALUE"""),389.0)</f>
        <v>389</v>
      </c>
      <c r="Q40" s="78">
        <f>IFERROR(__xludf.DUMMYFUNCTION("""COMPUTED_VALUE"""),0.21111111112259096)</f>
        <v>0.2111111111</v>
      </c>
      <c r="R40" s="78">
        <f>IFERROR(__xludf.DUMMYFUNCTION("""COMPUTED_VALUE"""),0.413888888884685)</f>
        <v>0.4138888889</v>
      </c>
      <c r="S40" s="80">
        <f>IFERROR(__xludf.DUMMYFUNCTION("""COMPUTED_VALUE"""),42.1312103766384)</f>
        <v>42.13121038</v>
      </c>
      <c r="T40" s="80">
        <f>IFERROR(__xludf.DUMMYFUNCTION("""COMPUTED_VALUE"""),47.211487588182614)</f>
        <v>47.21148759</v>
      </c>
      <c r="U40" s="71">
        <f>IFERROR(__xludf.DUMMYFUNCTION("""COMPUTED_VALUE"""),602.0)</f>
        <v>602</v>
      </c>
      <c r="V40" s="78">
        <f>IFERROR(__xludf.DUMMYFUNCTION("""COMPUTED_VALUE"""),0.625000000007276)</f>
        <v>0.625</v>
      </c>
      <c r="W40" s="62">
        <f>IFERROR(__xludf.DUMMYFUNCTION("""COMPUTED_VALUE"""),40.13333333286612)</f>
        <v>40.13333333</v>
      </c>
      <c r="X40" s="80">
        <f>IFERROR(__xludf.DUMMYFUNCTION("""COMPUTED_VALUE"""),45.03422592609223)</f>
        <v>45.03422593</v>
      </c>
      <c r="Y40" s="109">
        <f>IFERROR(__xludf.DUMMYFUNCTION("""COMPUTED_VALUE"""),0.936711119418228)</f>
        <v>0.9367111194</v>
      </c>
      <c r="Z40" s="71"/>
      <c r="AA40" s="71"/>
      <c r="AB40" s="71"/>
    </row>
    <row r="41">
      <c r="A41" s="105">
        <f>IFERROR(__xludf.DUMMYFUNCTION("""COMPUTED_VALUE"""),46058.36293699074)</f>
        <v>46058.36294</v>
      </c>
      <c r="B41" s="71" t="str">
        <f>IFERROR(__xludf.DUMMYFUNCTION("""COMPUTED_VALUE"""),"Evan Morgan")</f>
        <v>Evan Morgan</v>
      </c>
      <c r="C41" s="71" t="b">
        <f>IFERROR(__xludf.DUMMYFUNCTION("""COMPUTED_VALUE"""),FALSE)</f>
        <v>0</v>
      </c>
      <c r="D41" s="132">
        <f>IFERROR(__xludf.DUMMYFUNCTION("""COMPUTED_VALUE"""),0.29166666666424135)</f>
        <v>0.2916666667</v>
      </c>
      <c r="E41" s="78">
        <f>IFERROR(__xludf.DUMMYFUNCTION("""COMPUTED_VALUE"""),0.06944444444525288)</f>
        <v>0.06944444445</v>
      </c>
      <c r="F41" s="132">
        <f>IFERROR(__xludf.DUMMYFUNCTION("""COMPUTED_VALUE"""),0.36111111110949423)</f>
        <v>0.3611111111</v>
      </c>
      <c r="G41" s="78">
        <f>IFERROR(__xludf.DUMMYFUNCTION("""COMPUTED_VALUE"""),0.06944444444525288)</f>
        <v>0.06944444445</v>
      </c>
      <c r="H41" s="71">
        <f>IFERROR(__xludf.DUMMYFUNCTION("""COMPUTED_VALUE"""),18.0)</f>
        <v>18</v>
      </c>
      <c r="I41" s="80">
        <f>IFERROR(__xludf.DUMMYFUNCTION("""COMPUTED_VALUE"""),10.799999999874272)</f>
        <v>10.8</v>
      </c>
      <c r="J41" s="71" t="str">
        <f>IFERROR(__xludf.DUMMYFUNCTION("""COMPUTED_VALUE"""),"Breakfast")</f>
        <v>Breakfast</v>
      </c>
      <c r="K41" s="106">
        <f>IFERROR(__xludf.DUMMYFUNCTION("""COMPUTED_VALUE"""),46058.0)</f>
        <v>46058</v>
      </c>
      <c r="L41" s="71" t="str">
        <f>IFERROR(__xludf.DUMMYFUNCTION("""COMPUTED_VALUE"""),"Thursday")</f>
        <v>Thursday</v>
      </c>
      <c r="M41" s="71" t="str">
        <f>IFERROR(__xludf.DUMMYFUNCTION("""COMPUTED_VALUE"""),"BF")</f>
        <v>BF</v>
      </c>
      <c r="N41" s="109">
        <f>IFERROR(__xludf.DUMMYFUNCTION("""COMPUTED_VALUE"""),0.38094365552338977)</f>
        <v>0.3809436555</v>
      </c>
      <c r="O41" s="71" t="str">
        <f>IFERROR(__xludf.DUMMYFUNCTION("""COMPUTED_VALUE"""),"")</f>
        <v/>
      </c>
      <c r="P41" s="71" t="str">
        <f>IFERROR(__xludf.DUMMYFUNCTION("""COMPUTED_VALUE"""),"")</f>
        <v/>
      </c>
      <c r="Q41" s="78" t="str">
        <f>IFERROR(__xludf.DUMMYFUNCTION("""COMPUTED_VALUE"""),"")</f>
        <v/>
      </c>
      <c r="R41" s="78" t="str">
        <f>IFERROR(__xludf.DUMMYFUNCTION("""COMPUTED_VALUE"""),"")</f>
        <v/>
      </c>
      <c r="S41" s="80" t="str">
        <f>IFERROR(__xludf.DUMMYFUNCTION("""COMPUTED_VALUE"""),"")</f>
        <v/>
      </c>
      <c r="T41" s="80" t="str">
        <f>IFERROR(__xludf.DUMMYFUNCTION("""COMPUTED_VALUE"""),"")</f>
        <v/>
      </c>
      <c r="U41" s="71" t="str">
        <f>IFERROR(__xludf.DUMMYFUNCTION("""COMPUTED_VALUE"""),"")</f>
        <v/>
      </c>
      <c r="V41" s="78" t="str">
        <f>IFERROR(__xludf.DUMMYFUNCTION("""COMPUTED_VALUE"""),"")</f>
        <v/>
      </c>
      <c r="W41" s="62" t="str">
        <f>IFERROR(__xludf.DUMMYFUNCTION("""COMPUTED_VALUE"""),"")</f>
        <v/>
      </c>
      <c r="X41" s="80" t="str">
        <f>IFERROR(__xludf.DUMMYFUNCTION("""COMPUTED_VALUE"""),"")</f>
        <v/>
      </c>
      <c r="Y41" s="109" t="str">
        <f>IFERROR(__xludf.DUMMYFUNCTION("""COMPUTED_VALUE"""),"")</f>
        <v/>
      </c>
      <c r="Z41" s="71"/>
      <c r="AA41" s="71"/>
      <c r="AB41" s="71"/>
    </row>
    <row r="42">
      <c r="A42" s="105">
        <f>IFERROR(__xludf.DUMMYFUNCTION("""COMPUTED_VALUE"""),46058.4093524537)</f>
        <v>46058.40935</v>
      </c>
      <c r="B42" s="71" t="str">
        <f>IFERROR(__xludf.DUMMYFUNCTION("""COMPUTED_VALUE"""),"Sophia Kluck")</f>
        <v>Sophia Kluck</v>
      </c>
      <c r="C42" s="71" t="b">
        <f>IFERROR(__xludf.DUMMYFUNCTION("""COMPUTED_VALUE"""),FALSE)</f>
        <v>0</v>
      </c>
      <c r="D42" s="132">
        <f>IFERROR(__xludf.DUMMYFUNCTION("""COMPUTED_VALUE"""),0.36597222222189885)</f>
        <v>0.3659722222</v>
      </c>
      <c r="E42" s="78">
        <f>IFERROR(__xludf.DUMMYFUNCTION("""COMPUTED_VALUE"""),0.0430555555576575)</f>
        <v>0.04305555556</v>
      </c>
      <c r="F42" s="132">
        <f>IFERROR(__xludf.DUMMYFUNCTION("""COMPUTED_VALUE"""),0.40902777777955635)</f>
        <v>0.4090277778</v>
      </c>
      <c r="G42" s="78">
        <f>IFERROR(__xludf.DUMMYFUNCTION("""COMPUTED_VALUE"""),0.10277777777810115)</f>
        <v>0.1027777778</v>
      </c>
      <c r="H42" s="71">
        <f>IFERROR(__xludf.DUMMYFUNCTION("""COMPUTED_VALUE"""),32.0)</f>
        <v>32</v>
      </c>
      <c r="I42" s="80">
        <f>IFERROR(__xludf.DUMMYFUNCTION("""COMPUTED_VALUE"""),38.918918918796464)</f>
        <v>38.91891892</v>
      </c>
      <c r="J42" s="71" t="str">
        <f>IFERROR(__xludf.DUMMYFUNCTION("""COMPUTED_VALUE"""),"Breakfast")</f>
        <v>Breakfast</v>
      </c>
      <c r="K42" s="106">
        <f>IFERROR(__xludf.DUMMYFUNCTION("""COMPUTED_VALUE"""),46058.0)</f>
        <v>46058</v>
      </c>
      <c r="L42" s="71" t="str">
        <f>IFERROR(__xludf.DUMMYFUNCTION("""COMPUTED_VALUE"""),"Thursday")</f>
        <v>Thursday</v>
      </c>
      <c r="M42" s="71" t="str">
        <f>IFERROR(__xludf.DUMMYFUNCTION("""COMPUTED_VALUE"""),"BF")</f>
        <v>BF</v>
      </c>
      <c r="N42" s="109">
        <f>IFERROR(__xludf.DUMMYFUNCTION("""COMPUTED_VALUE"""),1.3727699298256788)</f>
        <v>1.37276993</v>
      </c>
      <c r="O42" s="71" t="str">
        <f>IFERROR(__xludf.DUMMYFUNCTION("""COMPUTED_VALUE"""),"")</f>
        <v/>
      </c>
      <c r="P42" s="71" t="str">
        <f>IFERROR(__xludf.DUMMYFUNCTION("""COMPUTED_VALUE"""),"")</f>
        <v/>
      </c>
      <c r="Q42" s="78" t="str">
        <f>IFERROR(__xludf.DUMMYFUNCTION("""COMPUTED_VALUE"""),"")</f>
        <v/>
      </c>
      <c r="R42" s="78" t="str">
        <f>IFERROR(__xludf.DUMMYFUNCTION("""COMPUTED_VALUE"""),"")</f>
        <v/>
      </c>
      <c r="S42" s="80" t="str">
        <f>IFERROR(__xludf.DUMMYFUNCTION("""COMPUTED_VALUE"""),"")</f>
        <v/>
      </c>
      <c r="T42" s="80" t="str">
        <f>IFERROR(__xludf.DUMMYFUNCTION("""COMPUTED_VALUE"""),"")</f>
        <v/>
      </c>
      <c r="U42" s="71" t="str">
        <f>IFERROR(__xludf.DUMMYFUNCTION("""COMPUTED_VALUE"""),"")</f>
        <v/>
      </c>
      <c r="V42" s="78" t="str">
        <f>IFERROR(__xludf.DUMMYFUNCTION("""COMPUTED_VALUE"""),"")</f>
        <v/>
      </c>
      <c r="W42" s="62" t="str">
        <f>IFERROR(__xludf.DUMMYFUNCTION("""COMPUTED_VALUE"""),"")</f>
        <v/>
      </c>
      <c r="X42" s="80" t="str">
        <f>IFERROR(__xludf.DUMMYFUNCTION("""COMPUTED_VALUE"""),"")</f>
        <v/>
      </c>
      <c r="Y42" s="109" t="str">
        <f>IFERROR(__xludf.DUMMYFUNCTION("""COMPUTED_VALUE"""),"")</f>
        <v/>
      </c>
      <c r="Z42" s="71"/>
      <c r="AA42" s="71"/>
      <c r="AB42" s="71"/>
    </row>
    <row r="43">
      <c r="A43" s="105">
        <f>IFERROR(__xludf.DUMMYFUNCTION("""COMPUTED_VALUE"""),46058.47202248842)</f>
        <v>46058.47202</v>
      </c>
      <c r="B43" s="71" t="str">
        <f>IFERROR(__xludf.DUMMYFUNCTION("""COMPUTED_VALUE"""),"Sophia Kluck")</f>
        <v>Sophia Kluck</v>
      </c>
      <c r="C43" s="71" t="b">
        <f>IFERROR(__xludf.DUMMYFUNCTION("""COMPUTED_VALUE"""),TRUE)</f>
        <v>1</v>
      </c>
      <c r="D43" s="132">
        <f>IFERROR(__xludf.DUMMYFUNCTION("""COMPUTED_VALUE"""),0.4118055555591127)</f>
        <v>0.4118055556</v>
      </c>
      <c r="E43" s="78">
        <f>IFERROR(__xludf.DUMMYFUNCTION("""COMPUTED_VALUE"""),0.059722222220443655)</f>
        <v>0.05972222222</v>
      </c>
      <c r="F43" s="132">
        <f>IFERROR(__xludf.DUMMYFUNCTION("""COMPUTED_VALUE"""),0.47152777777955635)</f>
        <v>0.4715277778</v>
      </c>
      <c r="G43" s="78" t="str">
        <f>IFERROR(__xludf.DUMMYFUNCTION("""COMPUTED_VALUE"""),"")</f>
        <v/>
      </c>
      <c r="H43" s="71">
        <f>IFERROR(__xludf.DUMMYFUNCTION("""COMPUTED_VALUE"""),64.0)</f>
        <v>64</v>
      </c>
      <c r="I43" s="80" t="str">
        <f>IFERROR(__xludf.DUMMYFUNCTION("""COMPUTED_VALUE"""),"")</f>
        <v/>
      </c>
      <c r="J43" s="71" t="str">
        <f>IFERROR(__xludf.DUMMYFUNCTION("""COMPUTED_VALUE"""),"Breakfast/Lunch")</f>
        <v>Breakfast/Lunch</v>
      </c>
      <c r="K43" s="106">
        <f>IFERROR(__xludf.DUMMYFUNCTION("""COMPUTED_VALUE"""),46058.0)</f>
        <v>46058</v>
      </c>
      <c r="L43" s="71" t="str">
        <f>IFERROR(__xludf.DUMMYFUNCTION("""COMPUTED_VALUE"""),"Thursday")</f>
        <v>Thursday</v>
      </c>
      <c r="M43" s="71" t="str">
        <f>IFERROR(__xludf.DUMMYFUNCTION("""COMPUTED_VALUE"""),"BF")</f>
        <v>BF</v>
      </c>
      <c r="N43" s="109" t="str">
        <f>IFERROR(__xludf.DUMMYFUNCTION("""COMPUTED_VALUE"""),"")</f>
        <v/>
      </c>
      <c r="O43" s="71" t="str">
        <f>IFERROR(__xludf.DUMMYFUNCTION("""COMPUTED_VALUE"""),"")</f>
        <v/>
      </c>
      <c r="P43" s="71" t="str">
        <f>IFERROR(__xludf.DUMMYFUNCTION("""COMPUTED_VALUE"""),"")</f>
        <v/>
      </c>
      <c r="Q43" s="78" t="str">
        <f>IFERROR(__xludf.DUMMYFUNCTION("""COMPUTED_VALUE"""),"")</f>
        <v/>
      </c>
      <c r="R43" s="78" t="str">
        <f>IFERROR(__xludf.DUMMYFUNCTION("""COMPUTED_VALUE"""),"")</f>
        <v/>
      </c>
      <c r="S43" s="80" t="str">
        <f>IFERROR(__xludf.DUMMYFUNCTION("""COMPUTED_VALUE"""),"")</f>
        <v/>
      </c>
      <c r="T43" s="80" t="str">
        <f>IFERROR(__xludf.DUMMYFUNCTION("""COMPUTED_VALUE"""),"")</f>
        <v/>
      </c>
      <c r="U43" s="71" t="str">
        <f>IFERROR(__xludf.DUMMYFUNCTION("""COMPUTED_VALUE"""),"")</f>
        <v/>
      </c>
      <c r="V43" s="78" t="str">
        <f>IFERROR(__xludf.DUMMYFUNCTION("""COMPUTED_VALUE"""),"")</f>
        <v/>
      </c>
      <c r="W43" s="62" t="str">
        <f>IFERROR(__xludf.DUMMYFUNCTION("""COMPUTED_VALUE"""),"")</f>
        <v/>
      </c>
      <c r="X43" s="80" t="str">
        <f>IFERROR(__xludf.DUMMYFUNCTION("""COMPUTED_VALUE"""),"")</f>
        <v/>
      </c>
      <c r="Y43" s="109" t="str">
        <f>IFERROR(__xludf.DUMMYFUNCTION("""COMPUTED_VALUE"""),"")</f>
        <v/>
      </c>
      <c r="Z43" s="71"/>
      <c r="AA43" s="71"/>
      <c r="AB43" s="71"/>
    </row>
    <row r="44">
      <c r="A44" s="105">
        <f>IFERROR(__xludf.DUMMYFUNCTION("""COMPUTED_VALUE"""),46058.526926481485)</f>
        <v>46058.52693</v>
      </c>
      <c r="B44" s="71" t="str">
        <f>IFERROR(__xludf.DUMMYFUNCTION("""COMPUTED_VALUE"""),"Emmett Khan")</f>
        <v>Emmett Khan</v>
      </c>
      <c r="C44" s="71" t="b">
        <f>IFERROR(__xludf.DUMMYFUNCTION("""COMPUTED_VALUE"""),FALSE)</f>
        <v>0</v>
      </c>
      <c r="D44" s="132">
        <f>IFERROR(__xludf.DUMMYFUNCTION("""COMPUTED_VALUE"""),0.47916666666424135)</f>
        <v>0.4791666667</v>
      </c>
      <c r="E44" s="78">
        <f>IFERROR(__xludf.DUMMYFUNCTION("""COMPUTED_VALUE"""),0.05208333333575865)</f>
        <v>0.05208333334</v>
      </c>
      <c r="F44" s="132">
        <f>IFERROR(__xludf.DUMMYFUNCTION("""COMPUTED_VALUE"""),0.53125)</f>
        <v>0.53125</v>
      </c>
      <c r="G44" s="78">
        <f>IFERROR(__xludf.DUMMYFUNCTION("""COMPUTED_VALUE"""),0.05208333333575865)</f>
        <v>0.05208333334</v>
      </c>
      <c r="H44" s="71">
        <f>IFERROR(__xludf.DUMMYFUNCTION("""COMPUTED_VALUE"""),50.0)</f>
        <v>50</v>
      </c>
      <c r="I44" s="80">
        <f>IFERROR(__xludf.DUMMYFUNCTION("""COMPUTED_VALUE"""),39.999999998137355)</f>
        <v>40</v>
      </c>
      <c r="J44" s="71" t="str">
        <f>IFERROR(__xludf.DUMMYFUNCTION("""COMPUTED_VALUE"""),"Lunch")</f>
        <v>Lunch</v>
      </c>
      <c r="K44" s="106">
        <f>IFERROR(__xludf.DUMMYFUNCTION("""COMPUTED_VALUE"""),46058.0)</f>
        <v>46058</v>
      </c>
      <c r="L44" s="71" t="str">
        <f>IFERROR(__xludf.DUMMYFUNCTION("""COMPUTED_VALUE"""),"Thursday")</f>
        <v>Thursday</v>
      </c>
      <c r="M44" s="71" t="str">
        <f>IFERROR(__xludf.DUMMYFUNCTION("""COMPUTED_VALUE"""),"MF")</f>
        <v>MF</v>
      </c>
      <c r="N44" s="109">
        <f>IFERROR(__xludf.DUMMYFUNCTION("""COMPUTED_VALUE"""),0.7955845953241479)</f>
        <v>0.7955845953</v>
      </c>
      <c r="O44" s="71" t="str">
        <f>IFERROR(__xludf.DUMMYFUNCTION("""COMPUTED_VALUE"""),"")</f>
        <v/>
      </c>
      <c r="P44" s="71" t="str">
        <f>IFERROR(__xludf.DUMMYFUNCTION("""COMPUTED_VALUE"""),"")</f>
        <v/>
      </c>
      <c r="Q44" s="78" t="str">
        <f>IFERROR(__xludf.DUMMYFUNCTION("""COMPUTED_VALUE"""),"")</f>
        <v/>
      </c>
      <c r="R44" s="78" t="str">
        <f>IFERROR(__xludf.DUMMYFUNCTION("""COMPUTED_VALUE"""),"")</f>
        <v/>
      </c>
      <c r="S44" s="80" t="str">
        <f>IFERROR(__xludf.DUMMYFUNCTION("""COMPUTED_VALUE"""),"")</f>
        <v/>
      </c>
      <c r="T44" s="80" t="str">
        <f>IFERROR(__xludf.DUMMYFUNCTION("""COMPUTED_VALUE"""),"")</f>
        <v/>
      </c>
      <c r="U44" s="71" t="str">
        <f>IFERROR(__xludf.DUMMYFUNCTION("""COMPUTED_VALUE"""),"")</f>
        <v/>
      </c>
      <c r="V44" s="78" t="str">
        <f>IFERROR(__xludf.DUMMYFUNCTION("""COMPUTED_VALUE"""),"")</f>
        <v/>
      </c>
      <c r="W44" s="62" t="str">
        <f>IFERROR(__xludf.DUMMYFUNCTION("""COMPUTED_VALUE"""),"")</f>
        <v/>
      </c>
      <c r="X44" s="80" t="str">
        <f>IFERROR(__xludf.DUMMYFUNCTION("""COMPUTED_VALUE"""),"")</f>
        <v/>
      </c>
      <c r="Y44" s="109" t="str">
        <f>IFERROR(__xludf.DUMMYFUNCTION("""COMPUTED_VALUE"""),"")</f>
        <v/>
      </c>
      <c r="Z44" s="71"/>
      <c r="AA44" s="71"/>
      <c r="AB44" s="71"/>
    </row>
    <row r="45">
      <c r="A45" s="105">
        <f>IFERROR(__xludf.DUMMYFUNCTION("""COMPUTED_VALUE"""),46058.777276967594)</f>
        <v>46058.77728</v>
      </c>
      <c r="B45" s="71" t="str">
        <f>IFERROR(__xludf.DUMMYFUNCTION("""COMPUTED_VALUE"""),"Emmett Khan")</f>
        <v>Emmett Khan</v>
      </c>
      <c r="C45" s="71" t="b">
        <f>IFERROR(__xludf.DUMMYFUNCTION("""COMPUTED_VALUE"""),FALSE)</f>
        <v>0</v>
      </c>
      <c r="D45" s="132">
        <f>IFERROR(__xludf.DUMMYFUNCTION("""COMPUTED_VALUE"""),0.7083333333357587)</f>
        <v>0.7083333333</v>
      </c>
      <c r="E45" s="78">
        <f>IFERROR(__xludf.DUMMYFUNCTION("""COMPUTED_VALUE"""),0.07291666666424135)</f>
        <v>0.07291666666</v>
      </c>
      <c r="F45" s="132">
        <f>IFERROR(__xludf.DUMMYFUNCTION("""COMPUTED_VALUE"""),0.78125)</f>
        <v>0.78125</v>
      </c>
      <c r="G45" s="78">
        <f>IFERROR(__xludf.DUMMYFUNCTION("""COMPUTED_VALUE"""),0.07291666666424135)</f>
        <v>0.07291666666</v>
      </c>
      <c r="H45" s="71">
        <f>IFERROR(__xludf.DUMMYFUNCTION("""COMPUTED_VALUE"""),155.0)</f>
        <v>155</v>
      </c>
      <c r="I45" s="80">
        <f>IFERROR(__xludf.DUMMYFUNCTION("""COMPUTED_VALUE"""),88.5714285743746)</f>
        <v>88.57142857</v>
      </c>
      <c r="J45" s="71" t="str">
        <f>IFERROR(__xludf.DUMMYFUNCTION("""COMPUTED_VALUE"""),"Dinner")</f>
        <v>Dinner</v>
      </c>
      <c r="K45" s="106">
        <f>IFERROR(__xludf.DUMMYFUNCTION("""COMPUTED_VALUE"""),46058.0)</f>
        <v>46058</v>
      </c>
      <c r="L45" s="71" t="str">
        <f>IFERROR(__xludf.DUMMYFUNCTION("""COMPUTED_VALUE"""),"Thursday")</f>
        <v>Thursday</v>
      </c>
      <c r="M45" s="71" t="str">
        <f>IFERROR(__xludf.DUMMYFUNCTION("""COMPUTED_VALUE"""),"MF")</f>
        <v>MF</v>
      </c>
      <c r="N45" s="109">
        <f>IFERROR(__xludf.DUMMYFUNCTION("""COMPUTED_VALUE"""),1.909703317520691)</f>
        <v>1.909703318</v>
      </c>
      <c r="O45" s="71" t="str">
        <f>IFERROR(__xludf.DUMMYFUNCTION("""COMPUTED_VALUE"""),"")</f>
        <v/>
      </c>
      <c r="P45" s="71" t="str">
        <f>IFERROR(__xludf.DUMMYFUNCTION("""COMPUTED_VALUE"""),"")</f>
        <v/>
      </c>
      <c r="Q45" s="78" t="str">
        <f>IFERROR(__xludf.DUMMYFUNCTION("""COMPUTED_VALUE"""),"")</f>
        <v/>
      </c>
      <c r="R45" s="78" t="str">
        <f>IFERROR(__xludf.DUMMYFUNCTION("""COMPUTED_VALUE"""),"")</f>
        <v/>
      </c>
      <c r="S45" s="80" t="str">
        <f>IFERROR(__xludf.DUMMYFUNCTION("""COMPUTED_VALUE"""),"")</f>
        <v/>
      </c>
      <c r="T45" s="80" t="str">
        <f>IFERROR(__xludf.DUMMYFUNCTION("""COMPUTED_VALUE"""),"")</f>
        <v/>
      </c>
      <c r="U45" s="71" t="str">
        <f>IFERROR(__xludf.DUMMYFUNCTION("""COMPUTED_VALUE"""),"")</f>
        <v/>
      </c>
      <c r="V45" s="78" t="str">
        <f>IFERROR(__xludf.DUMMYFUNCTION("""COMPUTED_VALUE"""),"")</f>
        <v/>
      </c>
      <c r="W45" s="62" t="str">
        <f>IFERROR(__xludf.DUMMYFUNCTION("""COMPUTED_VALUE"""),"")</f>
        <v/>
      </c>
      <c r="X45" s="80" t="str">
        <f>IFERROR(__xludf.DUMMYFUNCTION("""COMPUTED_VALUE"""),"")</f>
        <v/>
      </c>
      <c r="Y45" s="109" t="str">
        <f>IFERROR(__xludf.DUMMYFUNCTION("""COMPUTED_VALUE"""),"")</f>
        <v/>
      </c>
      <c r="Z45" s="71"/>
      <c r="AA45" s="71"/>
      <c r="AB45" s="71"/>
    </row>
    <row r="46">
      <c r="A46" s="105">
        <f>IFERROR(__xludf.DUMMYFUNCTION("""COMPUTED_VALUE"""),46058.855831469904)</f>
        <v>46058.85583</v>
      </c>
      <c r="B46" s="71" t="str">
        <f>IFERROR(__xludf.DUMMYFUNCTION("""COMPUTED_VALUE"""),"Leah Bucci")</f>
        <v>Leah Bucci</v>
      </c>
      <c r="C46" s="71" t="b">
        <f>IFERROR(__xludf.DUMMYFUNCTION("""COMPUTED_VALUE"""),FALSE)</f>
        <v>0</v>
      </c>
      <c r="D46" s="132">
        <f>IFERROR(__xludf.DUMMYFUNCTION("""COMPUTED_VALUE"""),0.6875)</f>
        <v>0.6875</v>
      </c>
      <c r="E46" s="78">
        <f>IFERROR(__xludf.DUMMYFUNCTION("""COMPUTED_VALUE"""),0.04166666666424135)</f>
        <v>0.04166666666</v>
      </c>
      <c r="F46" s="132">
        <f>IFERROR(__xludf.DUMMYFUNCTION("""COMPUTED_VALUE"""),0.7291666666642413)</f>
        <v>0.7291666667</v>
      </c>
      <c r="G46" s="78">
        <f>IFERROR(__xludf.DUMMYFUNCTION("""COMPUTED_VALUE"""),0.1701388888832298)</f>
        <v>0.1701388889</v>
      </c>
      <c r="H46" s="71">
        <f>IFERROR(__xludf.DUMMYFUNCTION("""COMPUTED_VALUE"""),77.0)</f>
        <v>77</v>
      </c>
      <c r="I46" s="80">
        <f>IFERROR(__xludf.DUMMYFUNCTION("""COMPUTED_VALUE"""),103.10204081975586)</f>
        <v>103.1020408</v>
      </c>
      <c r="J46" s="71" t="str">
        <f>IFERROR(__xludf.DUMMYFUNCTION("""COMPUTED_VALUE"""),"Dinner")</f>
        <v>Dinner</v>
      </c>
      <c r="K46" s="106">
        <f>IFERROR(__xludf.DUMMYFUNCTION("""COMPUTED_VALUE"""),46058.0)</f>
        <v>46058</v>
      </c>
      <c r="L46" s="71" t="str">
        <f>IFERROR(__xludf.DUMMYFUNCTION("""COMPUTED_VALUE"""),"Thursday")</f>
        <v>Thursday</v>
      </c>
      <c r="M46" s="71" t="str">
        <f>IFERROR(__xludf.DUMMYFUNCTION("""COMPUTED_VALUE"""),"BF")</f>
        <v>BF</v>
      </c>
      <c r="N46" s="109">
        <f>IFERROR(__xludf.DUMMYFUNCTION("""COMPUTED_VALUE"""),2.3204551386205847)</f>
        <v>2.320455139</v>
      </c>
      <c r="O46" s="71" t="str">
        <f>IFERROR(__xludf.DUMMYFUNCTION("""COMPUTED_VALUE"""),"")</f>
        <v/>
      </c>
      <c r="P46" s="71" t="str">
        <f>IFERROR(__xludf.DUMMYFUNCTION("""COMPUTED_VALUE"""),"")</f>
        <v/>
      </c>
      <c r="Q46" s="78" t="str">
        <f>IFERROR(__xludf.DUMMYFUNCTION("""COMPUTED_VALUE"""),"")</f>
        <v/>
      </c>
      <c r="R46" s="78" t="str">
        <f>IFERROR(__xludf.DUMMYFUNCTION("""COMPUTED_VALUE"""),"")</f>
        <v/>
      </c>
      <c r="S46" s="80" t="str">
        <f>IFERROR(__xludf.DUMMYFUNCTION("""COMPUTED_VALUE"""),"")</f>
        <v/>
      </c>
      <c r="T46" s="80" t="str">
        <f>IFERROR(__xludf.DUMMYFUNCTION("""COMPUTED_VALUE"""),"")</f>
        <v/>
      </c>
      <c r="U46" s="71" t="str">
        <f>IFERROR(__xludf.DUMMYFUNCTION("""COMPUTED_VALUE"""),"")</f>
        <v/>
      </c>
      <c r="V46" s="78" t="str">
        <f>IFERROR(__xludf.DUMMYFUNCTION("""COMPUTED_VALUE"""),"")</f>
        <v/>
      </c>
      <c r="W46" s="62" t="str">
        <f>IFERROR(__xludf.DUMMYFUNCTION("""COMPUTED_VALUE"""),"")</f>
        <v/>
      </c>
      <c r="X46" s="80" t="str">
        <f>IFERROR(__xludf.DUMMYFUNCTION("""COMPUTED_VALUE"""),"")</f>
        <v/>
      </c>
      <c r="Y46" s="109" t="str">
        <f>IFERROR(__xludf.DUMMYFUNCTION("""COMPUTED_VALUE"""),"")</f>
        <v/>
      </c>
      <c r="Z46" s="71"/>
      <c r="AA46" s="71"/>
      <c r="AB46" s="71"/>
    </row>
    <row r="47">
      <c r="A47" s="105">
        <f>IFERROR(__xludf.DUMMYFUNCTION("""COMPUTED_VALUE"""),46058.85662983796)</f>
        <v>46058.85663</v>
      </c>
      <c r="B47" s="71" t="str">
        <f>IFERROR(__xludf.DUMMYFUNCTION("""COMPUTED_VALUE"""),"Leah Bucci")</f>
        <v>Leah Bucci</v>
      </c>
      <c r="C47" s="71" t="b">
        <f>IFERROR(__xludf.DUMMYFUNCTION("""COMPUTED_VALUE"""),TRUE)</f>
        <v>1</v>
      </c>
      <c r="D47" s="132">
        <f>IFERROR(__xludf.DUMMYFUNCTION("""COMPUTED_VALUE"""),0.7326388888905058)</f>
        <v>0.7326388889</v>
      </c>
      <c r="E47" s="78">
        <f>IFERROR(__xludf.DUMMYFUNCTION("""COMPUTED_VALUE"""),0.038194444445252884)</f>
        <v>0.03819444445</v>
      </c>
      <c r="F47" s="132">
        <f>IFERROR(__xludf.DUMMYFUNCTION("""COMPUTED_VALUE"""),0.7708333333357587)</f>
        <v>0.7708333333</v>
      </c>
      <c r="G47" s="78" t="str">
        <f>IFERROR(__xludf.DUMMYFUNCTION("""COMPUTED_VALUE"""),"")</f>
        <v/>
      </c>
      <c r="H47" s="71">
        <f>IFERROR(__xludf.DUMMYFUNCTION("""COMPUTED_VALUE"""),79.0)</f>
        <v>79</v>
      </c>
      <c r="I47" s="80" t="str">
        <f>IFERROR(__xludf.DUMMYFUNCTION("""COMPUTED_VALUE"""),"")</f>
        <v/>
      </c>
      <c r="J47" s="71" t="str">
        <f>IFERROR(__xludf.DUMMYFUNCTION("""COMPUTED_VALUE"""),"Dinner")</f>
        <v>Dinner</v>
      </c>
      <c r="K47" s="106">
        <f>IFERROR(__xludf.DUMMYFUNCTION("""COMPUTED_VALUE"""),46058.0)</f>
        <v>46058</v>
      </c>
      <c r="L47" s="71" t="str">
        <f>IFERROR(__xludf.DUMMYFUNCTION("""COMPUTED_VALUE"""),"Thursday")</f>
        <v>Thursday</v>
      </c>
      <c r="M47" s="71" t="str">
        <f>IFERROR(__xludf.DUMMYFUNCTION("""COMPUTED_VALUE"""),"BF")</f>
        <v>BF</v>
      </c>
      <c r="N47" s="109" t="str">
        <f>IFERROR(__xludf.DUMMYFUNCTION("""COMPUTED_VALUE"""),"")</f>
        <v/>
      </c>
      <c r="O47" s="71" t="str">
        <f>IFERROR(__xludf.DUMMYFUNCTION("""COMPUTED_VALUE"""),"")</f>
        <v/>
      </c>
      <c r="P47" s="71" t="str">
        <f>IFERROR(__xludf.DUMMYFUNCTION("""COMPUTED_VALUE"""),"")</f>
        <v/>
      </c>
      <c r="Q47" s="78" t="str">
        <f>IFERROR(__xludf.DUMMYFUNCTION("""COMPUTED_VALUE"""),"")</f>
        <v/>
      </c>
      <c r="R47" s="78" t="str">
        <f>IFERROR(__xludf.DUMMYFUNCTION("""COMPUTED_VALUE"""),"")</f>
        <v/>
      </c>
      <c r="S47" s="80" t="str">
        <f>IFERROR(__xludf.DUMMYFUNCTION("""COMPUTED_VALUE"""),"")</f>
        <v/>
      </c>
      <c r="T47" s="80" t="str">
        <f>IFERROR(__xludf.DUMMYFUNCTION("""COMPUTED_VALUE"""),"")</f>
        <v/>
      </c>
      <c r="U47" s="71" t="str">
        <f>IFERROR(__xludf.DUMMYFUNCTION("""COMPUTED_VALUE"""),"")</f>
        <v/>
      </c>
      <c r="V47" s="78" t="str">
        <f>IFERROR(__xludf.DUMMYFUNCTION("""COMPUTED_VALUE"""),"")</f>
        <v/>
      </c>
      <c r="W47" s="62" t="str">
        <f>IFERROR(__xludf.DUMMYFUNCTION("""COMPUTED_VALUE"""),"")</f>
        <v/>
      </c>
      <c r="X47" s="80" t="str">
        <f>IFERROR(__xludf.DUMMYFUNCTION("""COMPUTED_VALUE"""),"")</f>
        <v/>
      </c>
      <c r="Y47" s="109" t="str">
        <f>IFERROR(__xludf.DUMMYFUNCTION("""COMPUTED_VALUE"""),"")</f>
        <v/>
      </c>
      <c r="Z47" s="71"/>
      <c r="AA47" s="71"/>
      <c r="AB47" s="71"/>
    </row>
    <row r="48">
      <c r="A48" s="105">
        <f>IFERROR(__xludf.DUMMYFUNCTION("""COMPUTED_VALUE"""),46058.8581721875)</f>
        <v>46058.85817</v>
      </c>
      <c r="B48" s="71" t="str">
        <f>IFERROR(__xludf.DUMMYFUNCTION("""COMPUTED_VALUE"""),"Leah Bucci")</f>
        <v>Leah Bucci</v>
      </c>
      <c r="C48" s="71" t="b">
        <f>IFERROR(__xludf.DUMMYFUNCTION("""COMPUTED_VALUE"""),TRUE)</f>
        <v>1</v>
      </c>
      <c r="D48" s="132">
        <f>IFERROR(__xludf.DUMMYFUNCTION("""COMPUTED_VALUE"""),0.7638888888905058)</f>
        <v>0.7638888889</v>
      </c>
      <c r="E48" s="78">
        <f>IFERROR(__xludf.DUMMYFUNCTION("""COMPUTED_VALUE"""),0.02777777777373558)</f>
        <v>0.02777777777</v>
      </c>
      <c r="F48" s="132">
        <f>IFERROR(__xludf.DUMMYFUNCTION("""COMPUTED_VALUE"""),0.7916666666642413)</f>
        <v>0.7916666667</v>
      </c>
      <c r="G48" s="78" t="str">
        <f>IFERROR(__xludf.DUMMYFUNCTION("""COMPUTED_VALUE"""),"")</f>
        <v/>
      </c>
      <c r="H48" s="71">
        <f>IFERROR(__xludf.DUMMYFUNCTION("""COMPUTED_VALUE"""),199.0)</f>
        <v>199</v>
      </c>
      <c r="I48" s="80" t="str">
        <f>IFERROR(__xludf.DUMMYFUNCTION("""COMPUTED_VALUE"""),"")</f>
        <v/>
      </c>
      <c r="J48" s="71" t="str">
        <f>IFERROR(__xludf.DUMMYFUNCTION("""COMPUTED_VALUE"""),"Dinner")</f>
        <v>Dinner</v>
      </c>
      <c r="K48" s="106">
        <f>IFERROR(__xludf.DUMMYFUNCTION("""COMPUTED_VALUE"""),46058.0)</f>
        <v>46058</v>
      </c>
      <c r="L48" s="71" t="str">
        <f>IFERROR(__xludf.DUMMYFUNCTION("""COMPUTED_VALUE"""),"Thursday")</f>
        <v>Thursday</v>
      </c>
      <c r="M48" s="71" t="str">
        <f>IFERROR(__xludf.DUMMYFUNCTION("""COMPUTED_VALUE"""),"BF")</f>
        <v>BF</v>
      </c>
      <c r="N48" s="109" t="str">
        <f>IFERROR(__xludf.DUMMYFUNCTION("""COMPUTED_VALUE"""),"")</f>
        <v/>
      </c>
      <c r="O48" s="71" t="str">
        <f>IFERROR(__xludf.DUMMYFUNCTION("""COMPUTED_VALUE"""),"")</f>
        <v/>
      </c>
      <c r="P48" s="71" t="str">
        <f>IFERROR(__xludf.DUMMYFUNCTION("""COMPUTED_VALUE"""),"")</f>
        <v/>
      </c>
      <c r="Q48" s="78" t="str">
        <f>IFERROR(__xludf.DUMMYFUNCTION("""COMPUTED_VALUE"""),"")</f>
        <v/>
      </c>
      <c r="R48" s="78" t="str">
        <f>IFERROR(__xludf.DUMMYFUNCTION("""COMPUTED_VALUE"""),"")</f>
        <v/>
      </c>
      <c r="S48" s="80" t="str">
        <f>IFERROR(__xludf.DUMMYFUNCTION("""COMPUTED_VALUE"""),"")</f>
        <v/>
      </c>
      <c r="T48" s="80" t="str">
        <f>IFERROR(__xludf.DUMMYFUNCTION("""COMPUTED_VALUE"""),"")</f>
        <v/>
      </c>
      <c r="U48" s="71" t="str">
        <f>IFERROR(__xludf.DUMMYFUNCTION("""COMPUTED_VALUE"""),"")</f>
        <v/>
      </c>
      <c r="V48" s="78" t="str">
        <f>IFERROR(__xludf.DUMMYFUNCTION("""COMPUTED_VALUE"""),"")</f>
        <v/>
      </c>
      <c r="W48" s="62" t="str">
        <f>IFERROR(__xludf.DUMMYFUNCTION("""COMPUTED_VALUE"""),"")</f>
        <v/>
      </c>
      <c r="X48" s="80" t="str">
        <f>IFERROR(__xludf.DUMMYFUNCTION("""COMPUTED_VALUE"""),"")</f>
        <v/>
      </c>
      <c r="Y48" s="109" t="str">
        <f>IFERROR(__xludf.DUMMYFUNCTION("""COMPUTED_VALUE"""),"")</f>
        <v/>
      </c>
      <c r="Z48" s="71"/>
      <c r="AA48" s="71"/>
      <c r="AB48" s="71"/>
    </row>
    <row r="49">
      <c r="A49" s="105">
        <f>IFERROR(__xludf.DUMMYFUNCTION("""COMPUTED_VALUE"""),46058.85883106482)</f>
        <v>46058.85883</v>
      </c>
      <c r="B49" s="71" t="str">
        <f>IFERROR(__xludf.DUMMYFUNCTION("""COMPUTED_VALUE"""),"Leah Bucci")</f>
        <v>Leah Bucci</v>
      </c>
      <c r="C49" s="71" t="b">
        <f>IFERROR(__xludf.DUMMYFUNCTION("""COMPUTED_VALUE"""),TRUE)</f>
        <v>1</v>
      </c>
      <c r="D49" s="132">
        <f>IFERROR(__xludf.DUMMYFUNCTION("""COMPUTED_VALUE"""),0.7916666666642413)</f>
        <v>0.7916666667</v>
      </c>
      <c r="E49" s="78">
        <f>IFERROR(__xludf.DUMMYFUNCTION("""COMPUTED_VALUE"""),0.0625)</f>
        <v>0.0625</v>
      </c>
      <c r="F49" s="132">
        <f>IFERROR(__xludf.DUMMYFUNCTION("""COMPUTED_VALUE"""),0.8541666666642413)</f>
        <v>0.8541666667</v>
      </c>
      <c r="G49" s="78" t="str">
        <f>IFERROR(__xludf.DUMMYFUNCTION("""COMPUTED_VALUE"""),"")</f>
        <v/>
      </c>
      <c r="H49" s="71">
        <f>IFERROR(__xludf.DUMMYFUNCTION("""COMPUTED_VALUE"""),66.0)</f>
        <v>66</v>
      </c>
      <c r="I49" s="80" t="str">
        <f>IFERROR(__xludf.DUMMYFUNCTION("""COMPUTED_VALUE"""),"")</f>
        <v/>
      </c>
      <c r="J49" s="71" t="str">
        <f>IFERROR(__xludf.DUMMYFUNCTION("""COMPUTED_VALUE"""),"Dinner")</f>
        <v>Dinner</v>
      </c>
      <c r="K49" s="106">
        <f>IFERROR(__xludf.DUMMYFUNCTION("""COMPUTED_VALUE"""),46058.0)</f>
        <v>46058</v>
      </c>
      <c r="L49" s="71" t="str">
        <f>IFERROR(__xludf.DUMMYFUNCTION("""COMPUTED_VALUE"""),"Thursday")</f>
        <v>Thursday</v>
      </c>
      <c r="M49" s="71" t="str">
        <f>IFERROR(__xludf.DUMMYFUNCTION("""COMPUTED_VALUE"""),"BF")</f>
        <v>BF</v>
      </c>
      <c r="N49" s="109" t="str">
        <f>IFERROR(__xludf.DUMMYFUNCTION("""COMPUTED_VALUE"""),"")</f>
        <v/>
      </c>
      <c r="O49" s="71" t="str">
        <f>IFERROR(__xludf.DUMMYFUNCTION("""COMPUTED_VALUE"""),"")</f>
        <v/>
      </c>
      <c r="P49" s="71" t="str">
        <f>IFERROR(__xludf.DUMMYFUNCTION("""COMPUTED_VALUE"""),"")</f>
        <v/>
      </c>
      <c r="Q49" s="78" t="str">
        <f>IFERROR(__xludf.DUMMYFUNCTION("""COMPUTED_VALUE"""),"")</f>
        <v/>
      </c>
      <c r="R49" s="78" t="str">
        <f>IFERROR(__xludf.DUMMYFUNCTION("""COMPUTED_VALUE"""),"")</f>
        <v/>
      </c>
      <c r="S49" s="80" t="str">
        <f>IFERROR(__xludf.DUMMYFUNCTION("""COMPUTED_VALUE"""),"")</f>
        <v/>
      </c>
      <c r="T49" s="80" t="str">
        <f>IFERROR(__xludf.DUMMYFUNCTION("""COMPUTED_VALUE"""),"")</f>
        <v/>
      </c>
      <c r="U49" s="71" t="str">
        <f>IFERROR(__xludf.DUMMYFUNCTION("""COMPUTED_VALUE"""),"")</f>
        <v/>
      </c>
      <c r="V49" s="78" t="str">
        <f>IFERROR(__xludf.DUMMYFUNCTION("""COMPUTED_VALUE"""),"")</f>
        <v/>
      </c>
      <c r="W49" s="62" t="str">
        <f>IFERROR(__xludf.DUMMYFUNCTION("""COMPUTED_VALUE"""),"")</f>
        <v/>
      </c>
      <c r="X49" s="80" t="str">
        <f>IFERROR(__xludf.DUMMYFUNCTION("""COMPUTED_VALUE"""),"")</f>
        <v/>
      </c>
      <c r="Y49" s="109" t="str">
        <f>IFERROR(__xludf.DUMMYFUNCTION("""COMPUTED_VALUE"""),"")</f>
        <v/>
      </c>
      <c r="Z49" s="71"/>
      <c r="AA49" s="71"/>
      <c r="AB49" s="71"/>
    </row>
    <row r="50">
      <c r="A50" s="105">
        <f>IFERROR(__xludf.DUMMYFUNCTION("""COMPUTED_VALUE"""),46059.05051597222)</f>
        <v>46059.05052</v>
      </c>
      <c r="B50" s="71" t="str">
        <f>IFERROR(__xludf.DUMMYFUNCTION("""COMPUTED_VALUE"""),"Arjya Aich")</f>
        <v>Arjya Aich</v>
      </c>
      <c r="C50" s="71" t="b">
        <f>IFERROR(__xludf.DUMMYFUNCTION("""COMPUTED_VALUE"""),FALSE)</f>
        <v>0</v>
      </c>
      <c r="D50" s="132">
        <f>IFERROR(__xludf.DUMMYFUNCTION("""COMPUTED_VALUE"""),0.7916666666642413)</f>
        <v>0.7916666667</v>
      </c>
      <c r="E50" s="78">
        <f>IFERROR(__xludf.DUMMYFUNCTION("""COMPUTED_VALUE"""),0.08333333333575865)</f>
        <v>0.08333333334</v>
      </c>
      <c r="F50" s="132">
        <f>IFERROR(__xludf.DUMMYFUNCTION("""COMPUTED_VALUE"""),0.875)</f>
        <v>0.875</v>
      </c>
      <c r="G50" s="78">
        <f>IFERROR(__xludf.DUMMYFUNCTION("""COMPUTED_VALUE"""),0.08333333333575865)</f>
        <v>0.08333333334</v>
      </c>
      <c r="H50" s="71">
        <f>IFERROR(__xludf.DUMMYFUNCTION("""COMPUTED_VALUE"""),76.0)</f>
        <v>76</v>
      </c>
      <c r="I50" s="80">
        <f>IFERROR(__xludf.DUMMYFUNCTION("""COMPUTED_VALUE"""),37.999999998894054)</f>
        <v>38</v>
      </c>
      <c r="J50" s="71" t="str">
        <f>IFERROR(__xludf.DUMMYFUNCTION("""COMPUTED_VALUE"""),"Dinner")</f>
        <v>Dinner</v>
      </c>
      <c r="K50" s="106">
        <f>IFERROR(__xludf.DUMMYFUNCTION("""COMPUTED_VALUE"""),46058.0)</f>
        <v>46058</v>
      </c>
      <c r="L50" s="71" t="str">
        <f>IFERROR(__xludf.DUMMYFUNCTION("""COMPUTED_VALUE"""),"Thursday")</f>
        <v>Thursday</v>
      </c>
      <c r="M50" s="71" t="str">
        <f>IFERROR(__xludf.DUMMYFUNCTION("""COMPUTED_VALUE"""),"MF")</f>
        <v>MF</v>
      </c>
      <c r="N50" s="109">
        <f>IFERROR(__xludf.DUMMYFUNCTION("""COMPUTED_VALUE"""),0.8193243264981023)</f>
        <v>0.8193243265</v>
      </c>
      <c r="O50" s="71">
        <f>IFERROR(__xludf.DUMMYFUNCTION("""COMPUTED_VALUE"""),281.0)</f>
        <v>281</v>
      </c>
      <c r="P50" s="71">
        <f>IFERROR(__xludf.DUMMYFUNCTION("""COMPUTED_VALUE"""),535.0)</f>
        <v>535</v>
      </c>
      <c r="Q50" s="78">
        <f>IFERROR(__xludf.DUMMYFUNCTION("""COMPUTED_VALUE"""),0.20833333333575865)</f>
        <v>0.2083333333</v>
      </c>
      <c r="R50" s="78">
        <f>IFERROR(__xludf.DUMMYFUNCTION("""COMPUTED_VALUE"""),0.34236111110658385)</f>
        <v>0.3423611111</v>
      </c>
      <c r="S50" s="80">
        <f>IFERROR(__xludf.DUMMYFUNCTION("""COMPUTED_VALUE"""),55.523809523801994)</f>
        <v>55.52380952</v>
      </c>
      <c r="T50" s="80">
        <f>IFERROR(__xludf.DUMMYFUNCTION("""COMPUTED_VALUE"""),50.94031991280887)</f>
        <v>50.94031991</v>
      </c>
      <c r="U50" s="71">
        <f>IFERROR(__xludf.DUMMYFUNCTION("""COMPUTED_VALUE"""),816.0)</f>
        <v>816</v>
      </c>
      <c r="V50" s="78">
        <f>IFERROR(__xludf.DUMMYFUNCTION("""COMPUTED_VALUE"""),0.5506944444423425)</f>
        <v>0.5506944444</v>
      </c>
      <c r="W50" s="62">
        <f>IFERROR(__xludf.DUMMYFUNCTION("""COMPUTED_VALUE"""),61.740226986364284)</f>
        <v>61.74022699</v>
      </c>
      <c r="X50" s="80">
        <f>IFERROR(__xludf.DUMMYFUNCTION("""COMPUTED_VALUE"""),53.23206471830543)</f>
        <v>53.23206472</v>
      </c>
      <c r="Y50" s="109">
        <f>IFERROR(__xludf.DUMMYFUNCTION("""COMPUTED_VALUE"""),0.6357873242524765)</f>
        <v>0.6357873243</v>
      </c>
      <c r="Z50" s="71"/>
      <c r="AA50" s="71"/>
      <c r="AB50" s="71"/>
    </row>
    <row r="51">
      <c r="A51" s="105">
        <f>IFERROR(__xludf.DUMMYFUNCTION("""COMPUTED_VALUE"""),46059.579424606476)</f>
        <v>46059.57942</v>
      </c>
      <c r="B51" s="71" t="str">
        <f>IFERROR(__xludf.DUMMYFUNCTION("""COMPUTED_VALUE"""),"Brynn Hornig")</f>
        <v>Brynn Hornig</v>
      </c>
      <c r="C51" s="71" t="b">
        <f>IFERROR(__xludf.DUMMYFUNCTION("""COMPUTED_VALUE"""),FALSE)</f>
        <v>0</v>
      </c>
      <c r="D51" s="132">
        <f>IFERROR(__xludf.DUMMYFUNCTION("""COMPUTED_VALUE"""),0.5208333333357587)</f>
        <v>0.5208333333</v>
      </c>
      <c r="E51" s="78">
        <f>IFERROR(__xludf.DUMMYFUNCTION("""COMPUTED_VALUE"""),0.0625)</f>
        <v>0.0625</v>
      </c>
      <c r="F51" s="132">
        <f>IFERROR(__xludf.DUMMYFUNCTION("""COMPUTED_VALUE"""),0.5833333333357587)</f>
        <v>0.5833333333</v>
      </c>
      <c r="G51" s="78">
        <f>IFERROR(__xludf.DUMMYFUNCTION("""COMPUTED_VALUE"""),0.0625)</f>
        <v>0.0625</v>
      </c>
      <c r="H51" s="71">
        <f>IFERROR(__xludf.DUMMYFUNCTION("""COMPUTED_VALUE"""),50.0)</f>
        <v>50</v>
      </c>
      <c r="I51" s="80">
        <f>IFERROR(__xludf.DUMMYFUNCTION("""COMPUTED_VALUE"""),33.333333333333336)</f>
        <v>33.33333333</v>
      </c>
      <c r="J51" s="71" t="str">
        <f>IFERROR(__xludf.DUMMYFUNCTION("""COMPUTED_VALUE"""),"Lunch")</f>
        <v>Lunch</v>
      </c>
      <c r="K51" s="106">
        <f>IFERROR(__xludf.DUMMYFUNCTION("""COMPUTED_VALUE"""),46059.0)</f>
        <v>46059</v>
      </c>
      <c r="L51" s="71" t="str">
        <f>IFERROR(__xludf.DUMMYFUNCTION("""COMPUTED_VALUE"""),"Friday")</f>
        <v>Friday</v>
      </c>
      <c r="M51" s="71" t="str">
        <f>IFERROR(__xludf.DUMMYFUNCTION("""COMPUTED_VALUE"""),"BF")</f>
        <v>BF</v>
      </c>
      <c r="N51" s="109">
        <f>IFERROR(__xludf.DUMMYFUNCTION("""COMPUTED_VALUE"""),1.1757520232340264)</f>
        <v>1.175752023</v>
      </c>
      <c r="O51" s="71" t="str">
        <f>IFERROR(__xludf.DUMMYFUNCTION("""COMPUTED_VALUE"""),"")</f>
        <v/>
      </c>
      <c r="P51" s="71" t="str">
        <f>IFERROR(__xludf.DUMMYFUNCTION("""COMPUTED_VALUE"""),"")</f>
        <v/>
      </c>
      <c r="Q51" s="78" t="str">
        <f>IFERROR(__xludf.DUMMYFUNCTION("""COMPUTED_VALUE"""),"")</f>
        <v/>
      </c>
      <c r="R51" s="78" t="str">
        <f>IFERROR(__xludf.DUMMYFUNCTION("""COMPUTED_VALUE"""),"")</f>
        <v/>
      </c>
      <c r="S51" s="80" t="str">
        <f>IFERROR(__xludf.DUMMYFUNCTION("""COMPUTED_VALUE"""),"")</f>
        <v/>
      </c>
      <c r="T51" s="80" t="str">
        <f>IFERROR(__xludf.DUMMYFUNCTION("""COMPUTED_VALUE"""),"")</f>
        <v/>
      </c>
      <c r="U51" s="71" t="str">
        <f>IFERROR(__xludf.DUMMYFUNCTION("""COMPUTED_VALUE"""),"")</f>
        <v/>
      </c>
      <c r="V51" s="78" t="str">
        <f>IFERROR(__xludf.DUMMYFUNCTION("""COMPUTED_VALUE"""),"")</f>
        <v/>
      </c>
      <c r="W51" s="62" t="str">
        <f>IFERROR(__xludf.DUMMYFUNCTION("""COMPUTED_VALUE"""),"")</f>
        <v/>
      </c>
      <c r="X51" s="80" t="str">
        <f>IFERROR(__xludf.DUMMYFUNCTION("""COMPUTED_VALUE"""),"")</f>
        <v/>
      </c>
      <c r="Y51" s="109" t="str">
        <f>IFERROR(__xludf.DUMMYFUNCTION("""COMPUTED_VALUE"""),"")</f>
        <v/>
      </c>
      <c r="Z51" s="71"/>
      <c r="AA51" s="71"/>
      <c r="AB51" s="71"/>
    </row>
    <row r="52">
      <c r="A52" s="105">
        <f>IFERROR(__xludf.DUMMYFUNCTION("""COMPUTED_VALUE"""),46059.62125418981)</f>
        <v>46059.62125</v>
      </c>
      <c r="B52" s="71" t="str">
        <f>IFERROR(__xludf.DUMMYFUNCTION("""COMPUTED_VALUE"""),"Oluwatimilehin Shodipe")</f>
        <v>Oluwatimilehin Shodipe</v>
      </c>
      <c r="C52" s="71" t="b">
        <f>IFERROR(__xludf.DUMMYFUNCTION("""COMPUTED_VALUE"""),FALSE)</f>
        <v>0</v>
      </c>
      <c r="D52" s="132">
        <f>IFERROR(__xludf.DUMMYFUNCTION("""COMPUTED_VALUE"""),0.47916666666424135)</f>
        <v>0.4791666667</v>
      </c>
      <c r="E52" s="78">
        <f>IFERROR(__xludf.DUMMYFUNCTION("""COMPUTED_VALUE"""),0.14375000000291038)</f>
        <v>0.14375</v>
      </c>
      <c r="F52" s="132">
        <f>IFERROR(__xludf.DUMMYFUNCTION("""COMPUTED_VALUE"""),0.6229166666671517)</f>
        <v>0.6229166667</v>
      </c>
      <c r="G52" s="78">
        <f>IFERROR(__xludf.DUMMYFUNCTION("""COMPUTED_VALUE"""),0.14375000000291038)</f>
        <v>0.14375</v>
      </c>
      <c r="H52" s="71">
        <f>IFERROR(__xludf.DUMMYFUNCTION("""COMPUTED_VALUE"""),191.0)</f>
        <v>191</v>
      </c>
      <c r="I52" s="80">
        <f>IFERROR(__xludf.DUMMYFUNCTION("""COMPUTED_VALUE"""),55.36231883945884)</f>
        <v>55.36231884</v>
      </c>
      <c r="J52" s="71" t="str">
        <f>IFERROR(__xludf.DUMMYFUNCTION("""COMPUTED_VALUE"""),"Lunch")</f>
        <v>Lunch</v>
      </c>
      <c r="K52" s="106">
        <f>IFERROR(__xludf.DUMMYFUNCTION("""COMPUTED_VALUE"""),46059.0)</f>
        <v>46059</v>
      </c>
      <c r="L52" s="71" t="str">
        <f>IFERROR(__xludf.DUMMYFUNCTION("""COMPUTED_VALUE"""),"Friday")</f>
        <v>Friday</v>
      </c>
      <c r="M52" s="71" t="str">
        <f>IFERROR(__xludf.DUMMYFUNCTION("""COMPUTED_VALUE"""),"MF")</f>
        <v>MF</v>
      </c>
      <c r="N52" s="109">
        <f>IFERROR(__xludf.DUMMYFUNCTION("""COMPUTED_VALUE"""),1.1011352008037083)</f>
        <v>1.101135201</v>
      </c>
      <c r="O52" s="71" t="str">
        <f>IFERROR(__xludf.DUMMYFUNCTION("""COMPUTED_VALUE"""),"")</f>
        <v/>
      </c>
      <c r="P52" s="71" t="str">
        <f>IFERROR(__xludf.DUMMYFUNCTION("""COMPUTED_VALUE"""),"")</f>
        <v/>
      </c>
      <c r="Q52" s="78" t="str">
        <f>IFERROR(__xludf.DUMMYFUNCTION("""COMPUTED_VALUE"""),"")</f>
        <v/>
      </c>
      <c r="R52" s="78" t="str">
        <f>IFERROR(__xludf.DUMMYFUNCTION("""COMPUTED_VALUE"""),"")</f>
        <v/>
      </c>
      <c r="S52" s="80" t="str">
        <f>IFERROR(__xludf.DUMMYFUNCTION("""COMPUTED_VALUE"""),"")</f>
        <v/>
      </c>
      <c r="T52" s="80" t="str">
        <f>IFERROR(__xludf.DUMMYFUNCTION("""COMPUTED_VALUE"""),"")</f>
        <v/>
      </c>
      <c r="U52" s="71" t="str">
        <f>IFERROR(__xludf.DUMMYFUNCTION("""COMPUTED_VALUE"""),"")</f>
        <v/>
      </c>
      <c r="V52" s="78" t="str">
        <f>IFERROR(__xludf.DUMMYFUNCTION("""COMPUTED_VALUE"""),"")</f>
        <v/>
      </c>
      <c r="W52" s="62" t="str">
        <f>IFERROR(__xludf.DUMMYFUNCTION("""COMPUTED_VALUE"""),"")</f>
        <v/>
      </c>
      <c r="X52" s="80" t="str">
        <f>IFERROR(__xludf.DUMMYFUNCTION("""COMPUTED_VALUE"""),"")</f>
        <v/>
      </c>
      <c r="Y52" s="109" t="str">
        <f>IFERROR(__xludf.DUMMYFUNCTION("""COMPUTED_VALUE"""),"")</f>
        <v/>
      </c>
      <c r="Z52" s="71"/>
      <c r="AA52" s="71"/>
      <c r="AB52" s="71"/>
    </row>
    <row r="53">
      <c r="A53" s="105">
        <f>IFERROR(__xludf.DUMMYFUNCTION("""COMPUTED_VALUE"""),46059.78689563657)</f>
        <v>46059.7869</v>
      </c>
      <c r="B53" s="71" t="str">
        <f>IFERROR(__xludf.DUMMYFUNCTION("""COMPUTED_VALUE"""),"Leah Bucci")</f>
        <v>Leah Bucci</v>
      </c>
      <c r="C53" s="71" t="b">
        <f>IFERROR(__xludf.DUMMYFUNCTION("""COMPUTED_VALUE"""),FALSE)</f>
        <v>0</v>
      </c>
      <c r="D53" s="132">
        <f>IFERROR(__xludf.DUMMYFUNCTION("""COMPUTED_VALUE"""),0.6666666666642413)</f>
        <v>0.6666666667</v>
      </c>
      <c r="E53" s="78">
        <f>IFERROR(__xludf.DUMMYFUNCTION("""COMPUTED_VALUE"""),0.08333333333575865)</f>
        <v>0.08333333334</v>
      </c>
      <c r="F53" s="132">
        <f>IFERROR(__xludf.DUMMYFUNCTION("""COMPUTED_VALUE"""),0.75)</f>
        <v>0.75</v>
      </c>
      <c r="G53" s="78">
        <f>IFERROR(__xludf.DUMMYFUNCTION("""COMPUTED_VALUE"""),0.08333333333575865)</f>
        <v>0.08333333334</v>
      </c>
      <c r="H53" s="71">
        <f>IFERROR(__xludf.DUMMYFUNCTION("""COMPUTED_VALUE"""),124.0)</f>
        <v>124</v>
      </c>
      <c r="I53" s="80">
        <f>IFERROR(__xludf.DUMMYFUNCTION("""COMPUTED_VALUE"""),61.99999999819556)</f>
        <v>62</v>
      </c>
      <c r="J53" s="71" t="str">
        <f>IFERROR(__xludf.DUMMYFUNCTION("""COMPUTED_VALUE"""),"Dinner")</f>
        <v>Dinner</v>
      </c>
      <c r="K53" s="106">
        <f>IFERROR(__xludf.DUMMYFUNCTION("""COMPUTED_VALUE"""),46059.0)</f>
        <v>46059</v>
      </c>
      <c r="L53" s="71" t="str">
        <f>IFERROR(__xludf.DUMMYFUNCTION("""COMPUTED_VALUE"""),"Friday")</f>
        <v>Friday</v>
      </c>
      <c r="M53" s="71" t="str">
        <f>IFERROR(__xludf.DUMMYFUNCTION("""COMPUTED_VALUE"""),"MF")</f>
        <v>MF</v>
      </c>
      <c r="N53" s="109">
        <f>IFERROR(__xludf.DUMMYFUNCTION("""COMPUTED_VALUE"""),1.3367923221811142)</f>
        <v>1.336792322</v>
      </c>
      <c r="O53" s="71" t="str">
        <f>IFERROR(__xludf.DUMMYFUNCTION("""COMPUTED_VALUE"""),"")</f>
        <v/>
      </c>
      <c r="P53" s="71" t="str">
        <f>IFERROR(__xludf.DUMMYFUNCTION("""COMPUTED_VALUE"""),"")</f>
        <v/>
      </c>
      <c r="Q53" s="78" t="str">
        <f>IFERROR(__xludf.DUMMYFUNCTION("""COMPUTED_VALUE"""),"")</f>
        <v/>
      </c>
      <c r="R53" s="78" t="str">
        <f>IFERROR(__xludf.DUMMYFUNCTION("""COMPUTED_VALUE"""),"")</f>
        <v/>
      </c>
      <c r="S53" s="80" t="str">
        <f>IFERROR(__xludf.DUMMYFUNCTION("""COMPUTED_VALUE"""),"")</f>
        <v/>
      </c>
      <c r="T53" s="80" t="str">
        <f>IFERROR(__xludf.DUMMYFUNCTION("""COMPUTED_VALUE"""),"")</f>
        <v/>
      </c>
      <c r="U53" s="71" t="str">
        <f>IFERROR(__xludf.DUMMYFUNCTION("""COMPUTED_VALUE"""),"")</f>
        <v/>
      </c>
      <c r="V53" s="78" t="str">
        <f>IFERROR(__xludf.DUMMYFUNCTION("""COMPUTED_VALUE"""),"")</f>
        <v/>
      </c>
      <c r="W53" s="62" t="str">
        <f>IFERROR(__xludf.DUMMYFUNCTION("""COMPUTED_VALUE"""),"")</f>
        <v/>
      </c>
      <c r="X53" s="80" t="str">
        <f>IFERROR(__xludf.DUMMYFUNCTION("""COMPUTED_VALUE"""),"")</f>
        <v/>
      </c>
      <c r="Y53" s="109" t="str">
        <f>IFERROR(__xludf.DUMMYFUNCTION("""COMPUTED_VALUE"""),"")</f>
        <v/>
      </c>
      <c r="Z53" s="71"/>
      <c r="AA53" s="71"/>
      <c r="AB53" s="71"/>
    </row>
    <row r="54">
      <c r="A54" s="105">
        <f>IFERROR(__xludf.DUMMYFUNCTION("""COMPUTED_VALUE"""),46059.79432734953)</f>
        <v>46059.79433</v>
      </c>
      <c r="B54" s="71" t="str">
        <f>IFERROR(__xludf.DUMMYFUNCTION("""COMPUTED_VALUE"""),"Orpheus Wilson")</f>
        <v>Orpheus Wilson</v>
      </c>
      <c r="C54" s="71" t="b">
        <f>IFERROR(__xludf.DUMMYFUNCTION("""COMPUTED_VALUE"""),FALSE)</f>
        <v>0</v>
      </c>
      <c r="D54" s="132">
        <f>IFERROR(__xludf.DUMMYFUNCTION("""COMPUTED_VALUE"""),0.7493055555532919)</f>
        <v>0.7493055556</v>
      </c>
      <c r="E54" s="78">
        <f>IFERROR(__xludf.DUMMYFUNCTION("""COMPUTED_VALUE"""),0.04652777778392192)</f>
        <v>0.04652777778</v>
      </c>
      <c r="F54" s="132">
        <f>IFERROR(__xludf.DUMMYFUNCTION("""COMPUTED_VALUE"""),0.7958333333372138)</f>
        <v>0.7958333333</v>
      </c>
      <c r="G54" s="78">
        <f>IFERROR(__xludf.DUMMYFUNCTION("""COMPUTED_VALUE"""),0.08055555556347826)</f>
        <v>0.08055555556</v>
      </c>
      <c r="H54" s="71">
        <f>IFERROR(__xludf.DUMMYFUNCTION("""COMPUTED_VALUE"""),150.0)</f>
        <v>150</v>
      </c>
      <c r="I54" s="80">
        <f>IFERROR(__xludf.DUMMYFUNCTION("""COMPUTED_VALUE"""),129.8275861941279)</f>
        <v>129.8275862</v>
      </c>
      <c r="J54" s="71" t="str">
        <f>IFERROR(__xludf.DUMMYFUNCTION("""COMPUTED_VALUE"""),"Dinner")</f>
        <v>Dinner</v>
      </c>
      <c r="K54" s="106">
        <f>IFERROR(__xludf.DUMMYFUNCTION("""COMPUTED_VALUE"""),46059.0)</f>
        <v>46059</v>
      </c>
      <c r="L54" s="71" t="str">
        <f>IFERROR(__xludf.DUMMYFUNCTION("""COMPUTED_VALUE"""),"Friday")</f>
        <v>Friday</v>
      </c>
      <c r="M54" s="71" t="str">
        <f>IFERROR(__xludf.DUMMYFUNCTION("""COMPUTED_VALUE"""),"MF")</f>
        <v>MF</v>
      </c>
      <c r="N54" s="109">
        <f>IFERROR(__xludf.DUMMYFUNCTION("""COMPUTED_VALUE"""),2.7992342005914197)</f>
        <v>2.799234201</v>
      </c>
      <c r="O54" s="71" t="str">
        <f>IFERROR(__xludf.DUMMYFUNCTION("""COMPUTED_VALUE"""),"")</f>
        <v/>
      </c>
      <c r="P54" s="71" t="str">
        <f>IFERROR(__xludf.DUMMYFUNCTION("""COMPUTED_VALUE"""),"")</f>
        <v/>
      </c>
      <c r="Q54" s="78" t="str">
        <f>IFERROR(__xludf.DUMMYFUNCTION("""COMPUTED_VALUE"""),"")</f>
        <v/>
      </c>
      <c r="R54" s="78" t="str">
        <f>IFERROR(__xludf.DUMMYFUNCTION("""COMPUTED_VALUE"""),"")</f>
        <v/>
      </c>
      <c r="S54" s="80" t="str">
        <f>IFERROR(__xludf.DUMMYFUNCTION("""COMPUTED_VALUE"""),"")</f>
        <v/>
      </c>
      <c r="T54" s="80" t="str">
        <f>IFERROR(__xludf.DUMMYFUNCTION("""COMPUTED_VALUE"""),"")</f>
        <v/>
      </c>
      <c r="U54" s="71" t="str">
        <f>IFERROR(__xludf.DUMMYFUNCTION("""COMPUTED_VALUE"""),"")</f>
        <v/>
      </c>
      <c r="V54" s="78" t="str">
        <f>IFERROR(__xludf.DUMMYFUNCTION("""COMPUTED_VALUE"""),"")</f>
        <v/>
      </c>
      <c r="W54" s="62" t="str">
        <f>IFERROR(__xludf.DUMMYFUNCTION("""COMPUTED_VALUE"""),"")</f>
        <v/>
      </c>
      <c r="X54" s="80" t="str">
        <f>IFERROR(__xludf.DUMMYFUNCTION("""COMPUTED_VALUE"""),"")</f>
        <v/>
      </c>
      <c r="Y54" s="109" t="str">
        <f>IFERROR(__xludf.DUMMYFUNCTION("""COMPUTED_VALUE"""),"")</f>
        <v/>
      </c>
      <c r="Z54" s="71"/>
      <c r="AA54" s="71"/>
      <c r="AB54" s="71"/>
    </row>
    <row r="55">
      <c r="A55" s="105">
        <f>IFERROR(__xludf.DUMMYFUNCTION("""COMPUTED_VALUE"""),46060.02027628472)</f>
        <v>46060.02028</v>
      </c>
      <c r="B55" s="71" t="str">
        <f>IFERROR(__xludf.DUMMYFUNCTION("""COMPUTED_VALUE"""),"Orpheus Wilson")</f>
        <v>Orpheus Wilson</v>
      </c>
      <c r="C55" s="71" t="b">
        <f>IFERROR(__xludf.DUMMYFUNCTION("""COMPUTED_VALUE"""),TRUE)</f>
        <v>1</v>
      </c>
      <c r="D55" s="132">
        <f>IFERROR(__xludf.DUMMYFUNCTION("""COMPUTED_VALUE"""),0.7937499999970896)</f>
        <v>0.79375</v>
      </c>
      <c r="E55" s="78">
        <f>IFERROR(__xludf.DUMMYFUNCTION("""COMPUTED_VALUE"""),0.034027777779556345)</f>
        <v>0.03402777778</v>
      </c>
      <c r="F55" s="132">
        <f>IFERROR(__xludf.DUMMYFUNCTION("""COMPUTED_VALUE"""),0.827777777776646)</f>
        <v>0.8277777778</v>
      </c>
      <c r="G55" s="78" t="str">
        <f>IFERROR(__xludf.DUMMYFUNCTION("""COMPUTED_VALUE"""),"")</f>
        <v/>
      </c>
      <c r="H55" s="71">
        <f>IFERROR(__xludf.DUMMYFUNCTION("""COMPUTED_VALUE"""),101.0)</f>
        <v>101</v>
      </c>
      <c r="I55" s="80" t="str">
        <f>IFERROR(__xludf.DUMMYFUNCTION("""COMPUTED_VALUE"""),"")</f>
        <v/>
      </c>
      <c r="J55" s="71" t="str">
        <f>IFERROR(__xludf.DUMMYFUNCTION("""COMPUTED_VALUE"""),"Dinner")</f>
        <v>Dinner</v>
      </c>
      <c r="K55" s="106">
        <f>IFERROR(__xludf.DUMMYFUNCTION("""COMPUTED_VALUE"""),46059.0)</f>
        <v>46059</v>
      </c>
      <c r="L55" s="71" t="str">
        <f>IFERROR(__xludf.DUMMYFUNCTION("""COMPUTED_VALUE"""),"Friday")</f>
        <v>Friday</v>
      </c>
      <c r="M55" s="71" t="str">
        <f>IFERROR(__xludf.DUMMYFUNCTION("""COMPUTED_VALUE"""),"MF")</f>
        <v>MF</v>
      </c>
      <c r="N55" s="109" t="str">
        <f>IFERROR(__xludf.DUMMYFUNCTION("""COMPUTED_VALUE"""),"")</f>
        <v/>
      </c>
      <c r="O55" s="71">
        <f>IFERROR(__xludf.DUMMYFUNCTION("""COMPUTED_VALUE"""),566.0)</f>
        <v>566</v>
      </c>
      <c r="P55" s="71">
        <f>IFERROR(__xludf.DUMMYFUNCTION("""COMPUTED_VALUE"""),50.0)</f>
        <v>50</v>
      </c>
      <c r="Q55" s="78">
        <f>IFERROR(__xludf.DUMMYFUNCTION("""COMPUTED_VALUE"""),0.3076388889021473)</f>
        <v>0.3076388889</v>
      </c>
      <c r="R55" s="78">
        <f>IFERROR(__xludf.DUMMYFUNCTION("""COMPUTED_VALUE"""),0.0625)</f>
        <v>0.0625</v>
      </c>
      <c r="S55" s="80">
        <f>IFERROR(__xludf.DUMMYFUNCTION("""COMPUTED_VALUE"""),82.3966350105941)</f>
        <v>82.39663501</v>
      </c>
      <c r="T55" s="80">
        <f>IFERROR(__xludf.DUMMYFUNCTION("""COMPUTED_VALUE"""),33.333333333333336)</f>
        <v>33.33333333</v>
      </c>
      <c r="U55" s="71">
        <f>IFERROR(__xludf.DUMMYFUNCTION("""COMPUTED_VALUE"""),616.0)</f>
        <v>616</v>
      </c>
      <c r="V55" s="78">
        <f>IFERROR(__xludf.DUMMYFUNCTION("""COMPUTED_VALUE"""),0.3701388889021473)</f>
        <v>0.3701388889</v>
      </c>
      <c r="W55" s="62">
        <f>IFERROR(__xludf.DUMMYFUNCTION("""COMPUTED_VALUE"""),69.34333958475814)</f>
        <v>69.34333958</v>
      </c>
      <c r="X55" s="80">
        <f>IFERROR(__xludf.DUMMYFUNCTION("""COMPUTED_VALUE"""),70.1308095912789)</f>
        <v>70.13080959</v>
      </c>
      <c r="Y55" s="109">
        <f>IFERROR(__xludf.DUMMYFUNCTION("""COMPUTED_VALUE"""),1.0300710732232417)</f>
        <v>1.030071073</v>
      </c>
      <c r="Z55" s="71"/>
      <c r="AA55" s="71"/>
      <c r="AB55" s="71"/>
    </row>
    <row r="56">
      <c r="A56" s="105">
        <f>IFERROR(__xludf.DUMMYFUNCTION("""COMPUTED_VALUE"""),46062.437844444445)</f>
        <v>46062.43784</v>
      </c>
      <c r="B56" s="71" t="str">
        <f>IFERROR(__xludf.DUMMYFUNCTION("""COMPUTED_VALUE"""),"Sophia Kluck")</f>
        <v>Sophia Kluck</v>
      </c>
      <c r="C56" s="71" t="b">
        <f>IFERROR(__xludf.DUMMYFUNCTION("""COMPUTED_VALUE"""),FALSE)</f>
        <v>0</v>
      </c>
      <c r="D56" s="132">
        <f>IFERROR(__xludf.DUMMYFUNCTION("""COMPUTED_VALUE"""),0.3694444444408873)</f>
        <v>0.3694444444</v>
      </c>
      <c r="E56" s="78">
        <f>IFERROR(__xludf.DUMMYFUNCTION("""COMPUTED_VALUE"""),0.06527777777955635)</f>
        <v>0.06527777778</v>
      </c>
      <c r="F56" s="132">
        <f>IFERROR(__xludf.DUMMYFUNCTION("""COMPUTED_VALUE"""),0.43472222222044365)</f>
        <v>0.4347222222</v>
      </c>
      <c r="G56" s="78">
        <f>IFERROR(__xludf.DUMMYFUNCTION("""COMPUTED_VALUE"""),0.06527777777955635)</f>
        <v>0.06527777778</v>
      </c>
      <c r="H56" s="71">
        <f>IFERROR(__xludf.DUMMYFUNCTION("""COMPUTED_VALUE"""),51.0)</f>
        <v>51</v>
      </c>
      <c r="I56" s="80">
        <f>IFERROR(__xludf.DUMMYFUNCTION("""COMPUTED_VALUE"""),32.55319148847475)</f>
        <v>32.55319149</v>
      </c>
      <c r="J56" s="71" t="str">
        <f>IFERROR(__xludf.DUMMYFUNCTION("""COMPUTED_VALUE"""),"Breakfast")</f>
        <v>Breakfast</v>
      </c>
      <c r="K56" s="106">
        <f>IFERROR(__xludf.DUMMYFUNCTION("""COMPUTED_VALUE"""),46062.0)</f>
        <v>46062</v>
      </c>
      <c r="L56" s="71" t="str">
        <f>IFERROR(__xludf.DUMMYFUNCTION("""COMPUTED_VALUE"""),"Monday")</f>
        <v>Monday</v>
      </c>
      <c r="M56" s="71" t="str">
        <f>IFERROR(__xludf.DUMMYFUNCTION("""COMPUTED_VALUE"""),"BF")</f>
        <v>BF</v>
      </c>
      <c r="N56" s="109">
        <f>IFERROR(__xludf.DUMMYFUNCTION("""COMPUTED_VALUE"""),1.148234422658966)</f>
        <v>1.148234423</v>
      </c>
      <c r="O56" s="71" t="str">
        <f>IFERROR(__xludf.DUMMYFUNCTION("""COMPUTED_VALUE"""),"")</f>
        <v/>
      </c>
      <c r="P56" s="71" t="str">
        <f>IFERROR(__xludf.DUMMYFUNCTION("""COMPUTED_VALUE"""),"")</f>
        <v/>
      </c>
      <c r="Q56" s="78" t="str">
        <f>IFERROR(__xludf.DUMMYFUNCTION("""COMPUTED_VALUE"""),"")</f>
        <v/>
      </c>
      <c r="R56" s="78" t="str">
        <f>IFERROR(__xludf.DUMMYFUNCTION("""COMPUTED_VALUE"""),"")</f>
        <v/>
      </c>
      <c r="S56" s="80" t="str">
        <f>IFERROR(__xludf.DUMMYFUNCTION("""COMPUTED_VALUE"""),"")</f>
        <v/>
      </c>
      <c r="T56" s="80" t="str">
        <f>IFERROR(__xludf.DUMMYFUNCTION("""COMPUTED_VALUE"""),"")</f>
        <v/>
      </c>
      <c r="U56" s="71" t="str">
        <f>IFERROR(__xludf.DUMMYFUNCTION("""COMPUTED_VALUE"""),"")</f>
        <v/>
      </c>
      <c r="V56" s="78" t="str">
        <f>IFERROR(__xludf.DUMMYFUNCTION("""COMPUTED_VALUE"""),"")</f>
        <v/>
      </c>
      <c r="W56" s="62" t="str">
        <f>IFERROR(__xludf.DUMMYFUNCTION("""COMPUTED_VALUE"""),"")</f>
        <v/>
      </c>
      <c r="X56" s="80" t="str">
        <f>IFERROR(__xludf.DUMMYFUNCTION("""COMPUTED_VALUE"""),"")</f>
        <v/>
      </c>
      <c r="Y56" s="109" t="str">
        <f>IFERROR(__xludf.DUMMYFUNCTION("""COMPUTED_VALUE"""),"")</f>
        <v/>
      </c>
      <c r="Z56" s="71"/>
      <c r="AA56" s="71"/>
      <c r="AB56" s="71"/>
    </row>
    <row r="57">
      <c r="A57" s="105">
        <f>IFERROR(__xludf.DUMMYFUNCTION("""COMPUTED_VALUE"""),46062.642289062496)</f>
        <v>46062.64229</v>
      </c>
      <c r="B57" s="71" t="str">
        <f>IFERROR(__xludf.DUMMYFUNCTION("""COMPUTED_VALUE"""),"Brynn Hornig")</f>
        <v>Brynn Hornig</v>
      </c>
      <c r="C57" s="71" t="b">
        <f>IFERROR(__xludf.DUMMYFUNCTION("""COMPUTED_VALUE"""),FALSE)</f>
        <v>0</v>
      </c>
      <c r="D57" s="132">
        <f>IFERROR(__xludf.DUMMYFUNCTION("""COMPUTED_VALUE"""),0.5208333333357587)</f>
        <v>0.5208333333</v>
      </c>
      <c r="E57" s="78">
        <f>IFERROR(__xludf.DUMMYFUNCTION("""COMPUTED_VALUE"""),0.125)</f>
        <v>0.125</v>
      </c>
      <c r="F57" s="132">
        <f>IFERROR(__xludf.DUMMYFUNCTION("""COMPUTED_VALUE"""),0.6458333333357587)</f>
        <v>0.6458333333</v>
      </c>
      <c r="G57" s="78">
        <f>IFERROR(__xludf.DUMMYFUNCTION("""COMPUTED_VALUE"""),0.125)</f>
        <v>0.125</v>
      </c>
      <c r="H57" s="71">
        <f>IFERROR(__xludf.DUMMYFUNCTION("""COMPUTED_VALUE"""),69.0)</f>
        <v>69</v>
      </c>
      <c r="I57" s="80">
        <f>IFERROR(__xludf.DUMMYFUNCTION("""COMPUTED_VALUE"""),23.0)</f>
        <v>23</v>
      </c>
      <c r="J57" s="71" t="str">
        <f>IFERROR(__xludf.DUMMYFUNCTION("""COMPUTED_VALUE"""),"Lunch")</f>
        <v>Lunch</v>
      </c>
      <c r="K57" s="106">
        <f>IFERROR(__xludf.DUMMYFUNCTION("""COMPUTED_VALUE"""),46062.0)</f>
        <v>46062</v>
      </c>
      <c r="L57" s="71" t="str">
        <f>IFERROR(__xludf.DUMMYFUNCTION("""COMPUTED_VALUE"""),"Monday")</f>
        <v>Monday</v>
      </c>
      <c r="M57" s="71" t="str">
        <f>IFERROR(__xludf.DUMMYFUNCTION("""COMPUTED_VALUE"""),"BF")</f>
        <v>BF</v>
      </c>
      <c r="N57" s="109">
        <f>IFERROR(__xludf.DUMMYFUNCTION("""COMPUTED_VALUE"""),0.8112688960314781)</f>
        <v>0.811268896</v>
      </c>
      <c r="O57" s="71" t="str">
        <f>IFERROR(__xludf.DUMMYFUNCTION("""COMPUTED_VALUE"""),"")</f>
        <v/>
      </c>
      <c r="P57" s="71" t="str">
        <f>IFERROR(__xludf.DUMMYFUNCTION("""COMPUTED_VALUE"""),"")</f>
        <v/>
      </c>
      <c r="Q57" s="78" t="str">
        <f>IFERROR(__xludf.DUMMYFUNCTION("""COMPUTED_VALUE"""),"")</f>
        <v/>
      </c>
      <c r="R57" s="78" t="str">
        <f>IFERROR(__xludf.DUMMYFUNCTION("""COMPUTED_VALUE"""),"")</f>
        <v/>
      </c>
      <c r="S57" s="80" t="str">
        <f>IFERROR(__xludf.DUMMYFUNCTION("""COMPUTED_VALUE"""),"")</f>
        <v/>
      </c>
      <c r="T57" s="80" t="str">
        <f>IFERROR(__xludf.DUMMYFUNCTION("""COMPUTED_VALUE"""),"")</f>
        <v/>
      </c>
      <c r="U57" s="71" t="str">
        <f>IFERROR(__xludf.DUMMYFUNCTION("""COMPUTED_VALUE"""),"")</f>
        <v/>
      </c>
      <c r="V57" s="78" t="str">
        <f>IFERROR(__xludf.DUMMYFUNCTION("""COMPUTED_VALUE"""),"")</f>
        <v/>
      </c>
      <c r="W57" s="62" t="str">
        <f>IFERROR(__xludf.DUMMYFUNCTION("""COMPUTED_VALUE"""),"")</f>
        <v/>
      </c>
      <c r="X57" s="80" t="str">
        <f>IFERROR(__xludf.DUMMYFUNCTION("""COMPUTED_VALUE"""),"")</f>
        <v/>
      </c>
      <c r="Y57" s="109" t="str">
        <f>IFERROR(__xludf.DUMMYFUNCTION("""COMPUTED_VALUE"""),"")</f>
        <v/>
      </c>
      <c r="Z57" s="71"/>
      <c r="AA57" s="71"/>
      <c r="AB57" s="71"/>
    </row>
    <row r="58">
      <c r="A58" s="105">
        <f>IFERROR(__xludf.DUMMYFUNCTION("""COMPUTED_VALUE"""),46062.748181724535)</f>
        <v>46062.74818</v>
      </c>
      <c r="B58" s="71" t="str">
        <f>IFERROR(__xludf.DUMMYFUNCTION("""COMPUTED_VALUE"""),"Orpheus Wilson")</f>
        <v>Orpheus Wilson</v>
      </c>
      <c r="C58" s="71" t="b">
        <f>IFERROR(__xludf.DUMMYFUNCTION("""COMPUTED_VALUE"""),FALSE)</f>
        <v>0</v>
      </c>
      <c r="D58" s="132">
        <f>IFERROR(__xludf.DUMMYFUNCTION("""COMPUTED_VALUE"""),0.6652777777781012)</f>
        <v>0.6652777778</v>
      </c>
      <c r="E58" s="78">
        <f>IFERROR(__xludf.DUMMYFUNCTION("""COMPUTED_VALUE"""),0.08125000000291038)</f>
        <v>0.08125</v>
      </c>
      <c r="F58" s="132">
        <f>IFERROR(__xludf.DUMMYFUNCTION("""COMPUTED_VALUE"""),0.7465277777810115)</f>
        <v>0.7465277778</v>
      </c>
      <c r="G58" s="78">
        <f>IFERROR(__xludf.DUMMYFUNCTION("""COMPUTED_VALUE"""),0.08125000000291038)</f>
        <v>0.08125</v>
      </c>
      <c r="H58" s="71">
        <f>IFERROR(__xludf.DUMMYFUNCTION("""COMPUTED_VALUE"""),122.0)</f>
        <v>122</v>
      </c>
      <c r="I58" s="80">
        <f>IFERROR(__xludf.DUMMYFUNCTION("""COMPUTED_VALUE"""),62.56410256186151)</f>
        <v>62.56410256</v>
      </c>
      <c r="J58" s="71" t="str">
        <f>IFERROR(__xludf.DUMMYFUNCTION("""COMPUTED_VALUE"""),"Dinner")</f>
        <v>Dinner</v>
      </c>
      <c r="K58" s="106">
        <f>IFERROR(__xludf.DUMMYFUNCTION("""COMPUTED_VALUE"""),46062.0)</f>
        <v>46062</v>
      </c>
      <c r="L58" s="71" t="str">
        <f>IFERROR(__xludf.DUMMYFUNCTION("""COMPUTED_VALUE"""),"Monday")</f>
        <v>Monday</v>
      </c>
      <c r="M58" s="71" t="str">
        <f>IFERROR(__xludf.DUMMYFUNCTION("""COMPUTED_VALUE"""),"MF")</f>
        <v>MF</v>
      </c>
      <c r="N58" s="109">
        <f>IFERROR(__xludf.DUMMYFUNCTION("""COMPUTED_VALUE"""),1.348955031472296)</f>
        <v>1.348955031</v>
      </c>
      <c r="O58" s="71" t="str">
        <f>IFERROR(__xludf.DUMMYFUNCTION("""COMPUTED_VALUE"""),"")</f>
        <v/>
      </c>
      <c r="P58" s="71" t="str">
        <f>IFERROR(__xludf.DUMMYFUNCTION("""COMPUTED_VALUE"""),"")</f>
        <v/>
      </c>
      <c r="Q58" s="78" t="str">
        <f>IFERROR(__xludf.DUMMYFUNCTION("""COMPUTED_VALUE"""),"")</f>
        <v/>
      </c>
      <c r="R58" s="78" t="str">
        <f>IFERROR(__xludf.DUMMYFUNCTION("""COMPUTED_VALUE"""),"")</f>
        <v/>
      </c>
      <c r="S58" s="80" t="str">
        <f>IFERROR(__xludf.DUMMYFUNCTION("""COMPUTED_VALUE"""),"")</f>
        <v/>
      </c>
      <c r="T58" s="80" t="str">
        <f>IFERROR(__xludf.DUMMYFUNCTION("""COMPUTED_VALUE"""),"")</f>
        <v/>
      </c>
      <c r="U58" s="71" t="str">
        <f>IFERROR(__xludf.DUMMYFUNCTION("""COMPUTED_VALUE"""),"")</f>
        <v/>
      </c>
      <c r="V58" s="78" t="str">
        <f>IFERROR(__xludf.DUMMYFUNCTION("""COMPUTED_VALUE"""),"")</f>
        <v/>
      </c>
      <c r="W58" s="62" t="str">
        <f>IFERROR(__xludf.DUMMYFUNCTION("""COMPUTED_VALUE"""),"")</f>
        <v/>
      </c>
      <c r="X58" s="80" t="str">
        <f>IFERROR(__xludf.DUMMYFUNCTION("""COMPUTED_VALUE"""),"")</f>
        <v/>
      </c>
      <c r="Y58" s="109" t="str">
        <f>IFERROR(__xludf.DUMMYFUNCTION("""COMPUTED_VALUE"""),"")</f>
        <v/>
      </c>
      <c r="Z58" s="71"/>
      <c r="AA58" s="71"/>
      <c r="AB58" s="71"/>
    </row>
    <row r="59">
      <c r="A59" s="105">
        <f>IFERROR(__xludf.DUMMYFUNCTION("""COMPUTED_VALUE"""),46062.8551894213)</f>
        <v>46062.85519</v>
      </c>
      <c r="B59" s="71" t="str">
        <f>IFERROR(__xludf.DUMMYFUNCTION("""COMPUTED_VALUE"""),"Arjya Aich")</f>
        <v>Arjya Aich</v>
      </c>
      <c r="C59" s="71" t="b">
        <f>IFERROR(__xludf.DUMMYFUNCTION("""COMPUTED_VALUE"""),FALSE)</f>
        <v>0</v>
      </c>
      <c r="D59" s="132">
        <f>IFERROR(__xludf.DUMMYFUNCTION("""COMPUTED_VALUE"""),0.6875)</f>
        <v>0.6875</v>
      </c>
      <c r="E59" s="78">
        <f>IFERROR(__xludf.DUMMYFUNCTION("""COMPUTED_VALUE"""),0.16666666666424135)</f>
        <v>0.1666666667</v>
      </c>
      <c r="F59" s="132">
        <f>IFERROR(__xludf.DUMMYFUNCTION("""COMPUTED_VALUE"""),0.8541666666642413)</f>
        <v>0.8541666667</v>
      </c>
      <c r="G59" s="78">
        <f>IFERROR(__xludf.DUMMYFUNCTION("""COMPUTED_VALUE"""),0.16666666666424135)</f>
        <v>0.1666666667</v>
      </c>
      <c r="H59" s="71">
        <f>IFERROR(__xludf.DUMMYFUNCTION("""COMPUTED_VALUE"""),130.0)</f>
        <v>130</v>
      </c>
      <c r="I59" s="80">
        <f>IFERROR(__xludf.DUMMYFUNCTION("""COMPUTED_VALUE"""),32.50000000047294)</f>
        <v>32.5</v>
      </c>
      <c r="J59" s="71" t="str">
        <f>IFERROR(__xludf.DUMMYFUNCTION("""COMPUTED_VALUE"""),"Dinner")</f>
        <v>Dinner</v>
      </c>
      <c r="K59" s="106">
        <f>IFERROR(__xludf.DUMMYFUNCTION("""COMPUTED_VALUE"""),46062.0)</f>
        <v>46062</v>
      </c>
      <c r="L59" s="71" t="str">
        <f>IFERROR(__xludf.DUMMYFUNCTION("""COMPUTED_VALUE"""),"Monday")</f>
        <v>Monday</v>
      </c>
      <c r="M59" s="71" t="str">
        <f>IFERROR(__xludf.DUMMYFUNCTION("""COMPUTED_VALUE"""),"BF")</f>
        <v>BF</v>
      </c>
      <c r="N59" s="109">
        <f>IFERROR(__xludf.DUMMYFUNCTION("""COMPUTED_VALUE"""),0.7314578005115089)</f>
        <v>0.7314578005</v>
      </c>
      <c r="O59" s="71" t="str">
        <f>IFERROR(__xludf.DUMMYFUNCTION("""COMPUTED_VALUE"""),"")</f>
        <v/>
      </c>
      <c r="P59" s="71" t="str">
        <f>IFERROR(__xludf.DUMMYFUNCTION("""COMPUTED_VALUE"""),"")</f>
        <v/>
      </c>
      <c r="Q59" s="78" t="str">
        <f>IFERROR(__xludf.DUMMYFUNCTION("""COMPUTED_VALUE"""),"")</f>
        <v/>
      </c>
      <c r="R59" s="78" t="str">
        <f>IFERROR(__xludf.DUMMYFUNCTION("""COMPUTED_VALUE"""),"")</f>
        <v/>
      </c>
      <c r="S59" s="80" t="str">
        <f>IFERROR(__xludf.DUMMYFUNCTION("""COMPUTED_VALUE"""),"")</f>
        <v/>
      </c>
      <c r="T59" s="80" t="str">
        <f>IFERROR(__xludf.DUMMYFUNCTION("""COMPUTED_VALUE"""),"")</f>
        <v/>
      </c>
      <c r="U59" s="71" t="str">
        <f>IFERROR(__xludf.DUMMYFUNCTION("""COMPUTED_VALUE"""),"")</f>
        <v/>
      </c>
      <c r="V59" s="78" t="str">
        <f>IFERROR(__xludf.DUMMYFUNCTION("""COMPUTED_VALUE"""),"")</f>
        <v/>
      </c>
      <c r="W59" s="62" t="str">
        <f>IFERROR(__xludf.DUMMYFUNCTION("""COMPUTED_VALUE"""),"")</f>
        <v/>
      </c>
      <c r="X59" s="80" t="str">
        <f>IFERROR(__xludf.DUMMYFUNCTION("""COMPUTED_VALUE"""),"")</f>
        <v/>
      </c>
      <c r="Y59" s="109" t="str">
        <f>IFERROR(__xludf.DUMMYFUNCTION("""COMPUTED_VALUE"""),"")</f>
        <v/>
      </c>
      <c r="Z59" s="71"/>
      <c r="AA59" s="71"/>
      <c r="AB59" s="71"/>
    </row>
    <row r="60">
      <c r="A60" s="105">
        <f>IFERROR(__xludf.DUMMYFUNCTION("""COMPUTED_VALUE"""),46062.86871931713)</f>
        <v>46062.86872</v>
      </c>
      <c r="B60" s="71" t="str">
        <f>IFERROR(__xludf.DUMMYFUNCTION("""COMPUTED_VALUE"""),"Maureen Surgot")</f>
        <v>Maureen Surgot</v>
      </c>
      <c r="C60" s="71" t="b">
        <f>IFERROR(__xludf.DUMMYFUNCTION("""COMPUTED_VALUE"""),FALSE)</f>
        <v>0</v>
      </c>
      <c r="D60" s="132">
        <f>IFERROR(__xludf.DUMMYFUNCTION("""COMPUTED_VALUE"""),0.75)</f>
        <v>0.75</v>
      </c>
      <c r="E60" s="78">
        <f>IFERROR(__xludf.DUMMYFUNCTION("""COMPUTED_VALUE"""),0.125)</f>
        <v>0.125</v>
      </c>
      <c r="F60" s="132">
        <f>IFERROR(__xludf.DUMMYFUNCTION("""COMPUTED_VALUE"""),0.875)</f>
        <v>0.875</v>
      </c>
      <c r="G60" s="78">
        <f>IFERROR(__xludf.DUMMYFUNCTION("""COMPUTED_VALUE"""),0.125)</f>
        <v>0.125</v>
      </c>
      <c r="H60" s="71">
        <f>IFERROR(__xludf.DUMMYFUNCTION("""COMPUTED_VALUE"""),86.0)</f>
        <v>86</v>
      </c>
      <c r="I60" s="80">
        <f>IFERROR(__xludf.DUMMYFUNCTION("""COMPUTED_VALUE"""),28.666666666666668)</f>
        <v>28.66666667</v>
      </c>
      <c r="J60" s="71" t="str">
        <f>IFERROR(__xludf.DUMMYFUNCTION("""COMPUTED_VALUE"""),"Dinner")</f>
        <v>Dinner</v>
      </c>
      <c r="K60" s="106">
        <f>IFERROR(__xludf.DUMMYFUNCTION("""COMPUTED_VALUE"""),46062.0)</f>
        <v>46062</v>
      </c>
      <c r="L60" s="71" t="str">
        <f>IFERROR(__xludf.DUMMYFUNCTION("""COMPUTED_VALUE"""),"Monday")</f>
        <v>Monday</v>
      </c>
      <c r="M60" s="71" t="str">
        <f>IFERROR(__xludf.DUMMYFUNCTION("""COMPUTED_VALUE"""),"MF")</f>
        <v>MF</v>
      </c>
      <c r="N60" s="109">
        <f>IFERROR(__xludf.DUMMYFUNCTION("""COMPUTED_VALUE"""),0.6180867726393641)</f>
        <v>0.6180867726</v>
      </c>
      <c r="O60" s="71" t="str">
        <f>IFERROR(__xludf.DUMMYFUNCTION("""COMPUTED_VALUE"""),"")</f>
        <v/>
      </c>
      <c r="P60" s="71" t="str">
        <f>IFERROR(__xludf.DUMMYFUNCTION("""COMPUTED_VALUE"""),"")</f>
        <v/>
      </c>
      <c r="Q60" s="78" t="str">
        <f>IFERROR(__xludf.DUMMYFUNCTION("""COMPUTED_VALUE"""),"")</f>
        <v/>
      </c>
      <c r="R60" s="78" t="str">
        <f>IFERROR(__xludf.DUMMYFUNCTION("""COMPUTED_VALUE"""),"")</f>
        <v/>
      </c>
      <c r="S60" s="80" t="str">
        <f>IFERROR(__xludf.DUMMYFUNCTION("""COMPUTED_VALUE"""),"")</f>
        <v/>
      </c>
      <c r="T60" s="80" t="str">
        <f>IFERROR(__xludf.DUMMYFUNCTION("""COMPUTED_VALUE"""),"")</f>
        <v/>
      </c>
      <c r="U60" s="71" t="str">
        <f>IFERROR(__xludf.DUMMYFUNCTION("""COMPUTED_VALUE"""),"")</f>
        <v/>
      </c>
      <c r="V60" s="78" t="str">
        <f>IFERROR(__xludf.DUMMYFUNCTION("""COMPUTED_VALUE"""),"")</f>
        <v/>
      </c>
      <c r="W60" s="62" t="str">
        <f>IFERROR(__xludf.DUMMYFUNCTION("""COMPUTED_VALUE"""),"")</f>
        <v/>
      </c>
      <c r="X60" s="80" t="str">
        <f>IFERROR(__xludf.DUMMYFUNCTION("""COMPUTED_VALUE"""),"")</f>
        <v/>
      </c>
      <c r="Y60" s="109" t="str">
        <f>IFERROR(__xludf.DUMMYFUNCTION("""COMPUTED_VALUE"""),"")</f>
        <v/>
      </c>
      <c r="Z60" s="71"/>
      <c r="AA60" s="71"/>
      <c r="AB60" s="71"/>
    </row>
    <row r="61">
      <c r="A61" s="105">
        <f>IFERROR(__xludf.DUMMYFUNCTION("""COMPUTED_VALUE"""),46062.987411759255)</f>
        <v>46062.98741</v>
      </c>
      <c r="B61" s="71" t="str">
        <f>IFERROR(__xludf.DUMMYFUNCTION("""COMPUTED_VALUE"""),"Denise Romanszysn")</f>
        <v>Denise Romanszysn</v>
      </c>
      <c r="C61" s="71" t="b">
        <f>IFERROR(__xludf.DUMMYFUNCTION("""COMPUTED_VALUE"""),FALSE)</f>
        <v>0</v>
      </c>
      <c r="D61" s="132">
        <f>IFERROR(__xludf.DUMMYFUNCTION("""COMPUTED_VALUE"""),0.4437499999985448)</f>
        <v>0.44375</v>
      </c>
      <c r="E61" s="78">
        <f>IFERROR(__xludf.DUMMYFUNCTION("""COMPUTED_VALUE"""),0.04236111111094942)</f>
        <v>0.04236111111</v>
      </c>
      <c r="F61" s="132">
        <f>IFERROR(__xludf.DUMMYFUNCTION("""COMPUTED_VALUE"""),0.48611111110949423)</f>
        <v>0.4861111111</v>
      </c>
      <c r="G61" s="78">
        <f>IFERROR(__xludf.DUMMYFUNCTION("""COMPUTED_VALUE"""),0.04236111111094942)</f>
        <v>0.04236111111</v>
      </c>
      <c r="H61" s="71">
        <f>IFERROR(__xludf.DUMMYFUNCTION("""COMPUTED_VALUE"""),53.0)</f>
        <v>53</v>
      </c>
      <c r="I61" s="80">
        <f>IFERROR(__xludf.DUMMYFUNCTION("""COMPUTED_VALUE"""),52.131147541182585)</f>
        <v>52.13114754</v>
      </c>
      <c r="J61" s="71" t="str">
        <f>IFERROR(__xludf.DUMMYFUNCTION("""COMPUTED_VALUE"""),"Breakfast/Lunch")</f>
        <v>Breakfast/Lunch</v>
      </c>
      <c r="K61" s="106">
        <f>IFERROR(__xludf.DUMMYFUNCTION("""COMPUTED_VALUE"""),46062.0)</f>
        <v>46062</v>
      </c>
      <c r="L61" s="71" t="str">
        <f>IFERROR(__xludf.DUMMYFUNCTION("""COMPUTED_VALUE"""),"Monday")</f>
        <v>Monday</v>
      </c>
      <c r="M61" s="71" t="str">
        <f>IFERROR(__xludf.DUMMYFUNCTION("""COMPUTED_VALUE"""),"BF")</f>
        <v>BF</v>
      </c>
      <c r="N61" s="109">
        <f>IFERROR(__xludf.DUMMYFUNCTION("""COMPUTED_VALUE"""),1.5327977815064826)</f>
        <v>1.532797782</v>
      </c>
      <c r="O61" s="71" t="str">
        <f>IFERROR(__xludf.DUMMYFUNCTION("""COMPUTED_VALUE"""),"")</f>
        <v/>
      </c>
      <c r="P61" s="71" t="str">
        <f>IFERROR(__xludf.DUMMYFUNCTION("""COMPUTED_VALUE"""),"")</f>
        <v/>
      </c>
      <c r="Q61" s="78" t="str">
        <f>IFERROR(__xludf.DUMMYFUNCTION("""COMPUTED_VALUE"""),"")</f>
        <v/>
      </c>
      <c r="R61" s="78" t="str">
        <f>IFERROR(__xludf.DUMMYFUNCTION("""COMPUTED_VALUE"""),"")</f>
        <v/>
      </c>
      <c r="S61" s="80" t="str">
        <f>IFERROR(__xludf.DUMMYFUNCTION("""COMPUTED_VALUE"""),"")</f>
        <v/>
      </c>
      <c r="T61" s="80" t="str">
        <f>IFERROR(__xludf.DUMMYFUNCTION("""COMPUTED_VALUE"""),"")</f>
        <v/>
      </c>
      <c r="U61" s="71" t="str">
        <f>IFERROR(__xludf.DUMMYFUNCTION("""COMPUTED_VALUE"""),"")</f>
        <v/>
      </c>
      <c r="V61" s="78" t="str">
        <f>IFERROR(__xludf.DUMMYFUNCTION("""COMPUTED_VALUE"""),"")</f>
        <v/>
      </c>
      <c r="W61" s="62" t="str">
        <f>IFERROR(__xludf.DUMMYFUNCTION("""COMPUTED_VALUE"""),"")</f>
        <v/>
      </c>
      <c r="X61" s="80" t="str">
        <f>IFERROR(__xludf.DUMMYFUNCTION("""COMPUTED_VALUE"""),"")</f>
        <v/>
      </c>
      <c r="Y61" s="109" t="str">
        <f>IFERROR(__xludf.DUMMYFUNCTION("""COMPUTED_VALUE"""),"")</f>
        <v/>
      </c>
      <c r="Z61" s="71"/>
      <c r="AA61" s="71"/>
      <c r="AB61" s="71"/>
    </row>
    <row r="62">
      <c r="A62" s="105">
        <f>IFERROR(__xludf.DUMMYFUNCTION("""COMPUTED_VALUE"""),46062.98841665509)</f>
        <v>46062.98842</v>
      </c>
      <c r="B62" s="71" t="str">
        <f>IFERROR(__xludf.DUMMYFUNCTION("""COMPUTED_VALUE"""),"Denise Romanszysn")</f>
        <v>Denise Romanszysn</v>
      </c>
      <c r="C62" s="71" t="b">
        <f>IFERROR(__xludf.DUMMYFUNCTION("""COMPUTED_VALUE"""),FALSE)</f>
        <v>0</v>
      </c>
      <c r="D62" s="132">
        <f>IFERROR(__xludf.DUMMYFUNCTION("""COMPUTED_VALUE"""),0.5479166666627862)</f>
        <v>0.5479166667</v>
      </c>
      <c r="E62" s="78">
        <f>IFERROR(__xludf.DUMMYFUNCTION("""COMPUTED_VALUE"""),0.0743055555576575)</f>
        <v>0.07430555556</v>
      </c>
      <c r="F62" s="132">
        <f>IFERROR(__xludf.DUMMYFUNCTION("""COMPUTED_VALUE"""),0.6222222222204437)</f>
        <v>0.6222222222</v>
      </c>
      <c r="G62" s="78">
        <f>IFERROR(__xludf.DUMMYFUNCTION("""COMPUTED_VALUE"""),0.0743055555576575)</f>
        <v>0.07430555556</v>
      </c>
      <c r="H62" s="71">
        <f>IFERROR(__xludf.DUMMYFUNCTION("""COMPUTED_VALUE"""),117.0)</f>
        <v>117</v>
      </c>
      <c r="I62" s="80">
        <f>IFERROR(__xludf.DUMMYFUNCTION("""COMPUTED_VALUE"""),65.60747663365812)</f>
        <v>65.60747663</v>
      </c>
      <c r="J62" s="71" t="str">
        <f>IFERROR(__xludf.DUMMYFUNCTION("""COMPUTED_VALUE"""),"Lunch")</f>
        <v>Lunch</v>
      </c>
      <c r="K62" s="106">
        <f>IFERROR(__xludf.DUMMYFUNCTION("""COMPUTED_VALUE"""),46062.0)</f>
        <v>46062</v>
      </c>
      <c r="L62" s="71" t="str">
        <f>IFERROR(__xludf.DUMMYFUNCTION("""COMPUTED_VALUE"""),"Monday")</f>
        <v>Monday</v>
      </c>
      <c r="M62" s="71" t="str">
        <f>IFERROR(__xludf.DUMMYFUNCTION("""COMPUTED_VALUE"""),"MF")</f>
        <v>MF</v>
      </c>
      <c r="N62" s="109">
        <f>IFERROR(__xludf.DUMMYFUNCTION("""COMPUTED_VALUE"""),1.3049074437564494)</f>
        <v>1.304907444</v>
      </c>
      <c r="O62" s="71">
        <f>IFERROR(__xludf.DUMMYFUNCTION("""COMPUTED_VALUE"""),325.0)</f>
        <v>325</v>
      </c>
      <c r="P62" s="71">
        <f>IFERROR(__xludf.DUMMYFUNCTION("""COMPUTED_VALUE"""),303.0)</f>
        <v>303</v>
      </c>
      <c r="Q62" s="78">
        <f>IFERROR(__xludf.DUMMYFUNCTION("""COMPUTED_VALUE"""),0.2805555555605679)</f>
        <v>0.2805555556</v>
      </c>
      <c r="R62" s="78">
        <f>IFERROR(__xludf.DUMMYFUNCTION("""COMPUTED_VALUE"""),0.3993055555547471)</f>
        <v>0.3993055556</v>
      </c>
      <c r="S62" s="80">
        <f>IFERROR(__xludf.DUMMYFUNCTION("""COMPUTED_VALUE"""),52.27941528739543)</f>
        <v>52.27941529</v>
      </c>
      <c r="T62" s="80">
        <f>IFERROR(__xludf.DUMMYFUNCTION("""COMPUTED_VALUE"""),35.04608475753257)</f>
        <v>35.04608476</v>
      </c>
      <c r="U62" s="71">
        <f>IFERROR(__xludf.DUMMYFUNCTION("""COMPUTED_VALUE"""),628.0)</f>
        <v>628</v>
      </c>
      <c r="V62" s="78">
        <f>IFERROR(__xludf.DUMMYFUNCTION("""COMPUTED_VALUE"""),0.679861111115315)</f>
        <v>0.6798611111</v>
      </c>
      <c r="W62" s="62">
        <f>IFERROR(__xludf.DUMMYFUNCTION("""COMPUTED_VALUE"""),38.488253319476)</f>
        <v>38.48825332</v>
      </c>
      <c r="X62" s="80">
        <f>IFERROR(__xludf.DUMMYFUNCTION("""COMPUTED_VALUE"""),42.43179784175951)</f>
        <v>42.43179784</v>
      </c>
      <c r="Y62" s="109">
        <f>IFERROR(__xludf.DUMMYFUNCTION("""COMPUTED_VALUE"""),0.8270138404755046)</f>
        <v>0.8270138405</v>
      </c>
      <c r="Z62" s="71"/>
      <c r="AA62" s="71"/>
      <c r="AB62" s="71"/>
    </row>
    <row r="63">
      <c r="A63" s="105">
        <f>IFERROR(__xludf.DUMMYFUNCTION("""COMPUTED_VALUE"""),46063.52036556713)</f>
        <v>46063.52037</v>
      </c>
      <c r="B63" s="71" t="str">
        <f>IFERROR(__xludf.DUMMYFUNCTION("""COMPUTED_VALUE"""),"Kaylie Forgue")</f>
        <v>Kaylie Forgue</v>
      </c>
      <c r="C63" s="71" t="b">
        <f>IFERROR(__xludf.DUMMYFUNCTION("""COMPUTED_VALUE"""),FALSE)</f>
        <v>0</v>
      </c>
      <c r="D63" s="132">
        <f>IFERROR(__xludf.DUMMYFUNCTION("""COMPUTED_VALUE"""),0.44583333333333336)</f>
        <v>0.4458333333</v>
      </c>
      <c r="E63" s="78">
        <f>IFERROR(__xludf.DUMMYFUNCTION("""COMPUTED_VALUE"""),0.07361111110900914)</f>
        <v>0.07361111111</v>
      </c>
      <c r="F63" s="132">
        <f>IFERROR(__xludf.DUMMYFUNCTION("""COMPUTED_VALUE"""),0.5194444444423425)</f>
        <v>0.5194444444</v>
      </c>
      <c r="G63" s="78">
        <f>IFERROR(__xludf.DUMMYFUNCTION("""COMPUTED_VALUE"""),0.07361111110900914)</f>
        <v>0.07361111111</v>
      </c>
      <c r="H63" s="71">
        <f>IFERROR(__xludf.DUMMYFUNCTION("""COMPUTED_VALUE"""),101.0)</f>
        <v>101</v>
      </c>
      <c r="I63" s="80">
        <f>IFERROR(__xludf.DUMMYFUNCTION("""COMPUTED_VALUE"""),57.169811322387204)</f>
        <v>57.16981132</v>
      </c>
      <c r="J63" s="71" t="str">
        <f>IFERROR(__xludf.DUMMYFUNCTION("""COMPUTED_VALUE"""),"Breakfast/Lunch")</f>
        <v>Breakfast/Lunch</v>
      </c>
      <c r="K63" s="106">
        <f>IFERROR(__xludf.DUMMYFUNCTION("""COMPUTED_VALUE"""),46063.0)</f>
        <v>46063</v>
      </c>
      <c r="L63" s="71" t="str">
        <f>IFERROR(__xludf.DUMMYFUNCTION("""COMPUTED_VALUE"""),"Tuesday")</f>
        <v>Tuesday</v>
      </c>
      <c r="M63" s="71" t="str">
        <f>IFERROR(__xludf.DUMMYFUNCTION("""COMPUTED_VALUE"""),"BF")</f>
        <v>BF</v>
      </c>
      <c r="N63" s="109">
        <f>IFERROR(__xludf.DUMMYFUNCTION("""COMPUTED_VALUE"""),1.8357540941339474)</f>
        <v>1.835754094</v>
      </c>
      <c r="O63" s="71" t="str">
        <f>IFERROR(__xludf.DUMMYFUNCTION("""COMPUTED_VALUE"""),"")</f>
        <v/>
      </c>
      <c r="P63" s="71" t="str">
        <f>IFERROR(__xludf.DUMMYFUNCTION("""COMPUTED_VALUE"""),"")</f>
        <v/>
      </c>
      <c r="Q63" s="78" t="str">
        <f>IFERROR(__xludf.DUMMYFUNCTION("""COMPUTED_VALUE"""),"")</f>
        <v/>
      </c>
      <c r="R63" s="78" t="str">
        <f>IFERROR(__xludf.DUMMYFUNCTION("""COMPUTED_VALUE"""),"")</f>
        <v/>
      </c>
      <c r="S63" s="80" t="str">
        <f>IFERROR(__xludf.DUMMYFUNCTION("""COMPUTED_VALUE"""),"")</f>
        <v/>
      </c>
      <c r="T63" s="80" t="str">
        <f>IFERROR(__xludf.DUMMYFUNCTION("""COMPUTED_VALUE"""),"")</f>
        <v/>
      </c>
      <c r="U63" s="71" t="str">
        <f>IFERROR(__xludf.DUMMYFUNCTION("""COMPUTED_VALUE"""),"")</f>
        <v/>
      </c>
      <c r="V63" s="78" t="str">
        <f>IFERROR(__xludf.DUMMYFUNCTION("""COMPUTED_VALUE"""),"")</f>
        <v/>
      </c>
      <c r="W63" s="62" t="str">
        <f>IFERROR(__xludf.DUMMYFUNCTION("""COMPUTED_VALUE"""),"")</f>
        <v/>
      </c>
      <c r="X63" s="80" t="str">
        <f>IFERROR(__xludf.DUMMYFUNCTION("""COMPUTED_VALUE"""),"")</f>
        <v/>
      </c>
      <c r="Y63" s="109" t="str">
        <f>IFERROR(__xludf.DUMMYFUNCTION("""COMPUTED_VALUE"""),"")</f>
        <v/>
      </c>
      <c r="Z63" s="71"/>
      <c r="AA63" s="71"/>
      <c r="AB63" s="71"/>
    </row>
    <row r="64">
      <c r="A64" s="105">
        <f>IFERROR(__xludf.DUMMYFUNCTION("""COMPUTED_VALUE"""),46063.57693978009)</f>
        <v>46063.57694</v>
      </c>
      <c r="B64" s="71" t="str">
        <f>IFERROR(__xludf.DUMMYFUNCTION("""COMPUTED_VALUE"""),"Kyra Turner")</f>
        <v>Kyra Turner</v>
      </c>
      <c r="C64" s="71" t="b">
        <f>IFERROR(__xludf.DUMMYFUNCTION("""COMPUTED_VALUE"""),FALSE)</f>
        <v>0</v>
      </c>
      <c r="D64" s="132">
        <f>IFERROR(__xludf.DUMMYFUNCTION("""COMPUTED_VALUE"""),0.48541666666278616)</f>
        <v>0.4854166667</v>
      </c>
      <c r="E64" s="78">
        <f>IFERROR(__xludf.DUMMYFUNCTION("""COMPUTED_VALUE"""),0.08402777778246673)</f>
        <v>0.08402777778</v>
      </c>
      <c r="F64" s="132">
        <f>IFERROR(__xludf.DUMMYFUNCTION("""COMPUTED_VALUE"""),0.5694444444452529)</f>
        <v>0.5694444444</v>
      </c>
      <c r="G64" s="78">
        <f>IFERROR(__xludf.DUMMYFUNCTION("""COMPUTED_VALUE"""),0.1270833333344652)</f>
        <v>0.1270833333</v>
      </c>
      <c r="H64" s="71">
        <f>IFERROR(__xludf.DUMMYFUNCTION("""COMPUTED_VALUE"""),126.0)</f>
        <v>126</v>
      </c>
      <c r="I64" s="80">
        <f>IFERROR(__xludf.DUMMYFUNCTION("""COMPUTED_VALUE"""),59.672131147009516)</f>
        <v>59.67213115</v>
      </c>
      <c r="J64" s="71" t="str">
        <f>IFERROR(__xludf.DUMMYFUNCTION("""COMPUTED_VALUE"""),"Lunch")</f>
        <v>Lunch</v>
      </c>
      <c r="K64" s="106">
        <f>IFERROR(__xludf.DUMMYFUNCTION("""COMPUTED_VALUE"""),46063.0)</f>
        <v>46063</v>
      </c>
      <c r="L64" s="71" t="str">
        <f>IFERROR(__xludf.DUMMYFUNCTION("""COMPUTED_VALUE"""),"Tuesday")</f>
        <v>Tuesday</v>
      </c>
      <c r="M64" s="71" t="str">
        <f>IFERROR(__xludf.DUMMYFUNCTION("""COMPUTED_VALUE"""),"MF")</f>
        <v>MF</v>
      </c>
      <c r="N64" s="109">
        <f>IFERROR(__xludf.DUMMYFUNCTION("""COMPUTED_VALUE"""),1.1868557078233435)</f>
        <v>1.186855708</v>
      </c>
      <c r="O64" s="71" t="str">
        <f>IFERROR(__xludf.DUMMYFUNCTION("""COMPUTED_VALUE"""),"")</f>
        <v/>
      </c>
      <c r="P64" s="71" t="str">
        <f>IFERROR(__xludf.DUMMYFUNCTION("""COMPUTED_VALUE"""),"")</f>
        <v/>
      </c>
      <c r="Q64" s="78" t="str">
        <f>IFERROR(__xludf.DUMMYFUNCTION("""COMPUTED_VALUE"""),"")</f>
        <v/>
      </c>
      <c r="R64" s="78" t="str">
        <f>IFERROR(__xludf.DUMMYFUNCTION("""COMPUTED_VALUE"""),"")</f>
        <v/>
      </c>
      <c r="S64" s="80" t="str">
        <f>IFERROR(__xludf.DUMMYFUNCTION("""COMPUTED_VALUE"""),"")</f>
        <v/>
      </c>
      <c r="T64" s="80" t="str">
        <f>IFERROR(__xludf.DUMMYFUNCTION("""COMPUTED_VALUE"""),"")</f>
        <v/>
      </c>
      <c r="U64" s="71" t="str">
        <f>IFERROR(__xludf.DUMMYFUNCTION("""COMPUTED_VALUE"""),"")</f>
        <v/>
      </c>
      <c r="V64" s="78" t="str">
        <f>IFERROR(__xludf.DUMMYFUNCTION("""COMPUTED_VALUE"""),"")</f>
        <v/>
      </c>
      <c r="W64" s="62" t="str">
        <f>IFERROR(__xludf.DUMMYFUNCTION("""COMPUTED_VALUE"""),"")</f>
        <v/>
      </c>
      <c r="X64" s="80" t="str">
        <f>IFERROR(__xludf.DUMMYFUNCTION("""COMPUTED_VALUE"""),"")</f>
        <v/>
      </c>
      <c r="Y64" s="109" t="str">
        <f>IFERROR(__xludf.DUMMYFUNCTION("""COMPUTED_VALUE"""),"")</f>
        <v/>
      </c>
      <c r="Z64" s="71"/>
      <c r="AA64" s="71"/>
      <c r="AB64" s="71"/>
    </row>
    <row r="65">
      <c r="A65" s="105">
        <f>IFERROR(__xludf.DUMMYFUNCTION("""COMPUTED_VALUE"""),46063.62017760417)</f>
        <v>46063.62018</v>
      </c>
      <c r="B65" s="71" t="str">
        <f>IFERROR(__xludf.DUMMYFUNCTION("""COMPUTED_VALUE"""),"Kyra Turner")</f>
        <v>Kyra Turner</v>
      </c>
      <c r="C65" s="71" t="b">
        <f>IFERROR(__xludf.DUMMYFUNCTION("""COMPUTED_VALUE"""),TRUE)</f>
        <v>1</v>
      </c>
      <c r="D65" s="132">
        <f>IFERROR(__xludf.DUMMYFUNCTION("""COMPUTED_VALUE"""),0.5763888888888888)</f>
        <v>0.5763888889</v>
      </c>
      <c r="E65" s="78">
        <f>IFERROR(__xludf.DUMMYFUNCTION("""COMPUTED_VALUE"""),0.04305555555199847)</f>
        <v>0.04305555555</v>
      </c>
      <c r="F65" s="132">
        <f>IFERROR(__xludf.DUMMYFUNCTION("""COMPUTED_VALUE"""),0.6194444444408873)</f>
        <v>0.6194444444</v>
      </c>
      <c r="G65" s="78" t="str">
        <f>IFERROR(__xludf.DUMMYFUNCTION("""COMPUTED_VALUE"""),"")</f>
        <v/>
      </c>
      <c r="H65" s="71">
        <f>IFERROR(__xludf.DUMMYFUNCTION("""COMPUTED_VALUE"""),56.0)</f>
        <v>56</v>
      </c>
      <c r="I65" s="80" t="str">
        <f>IFERROR(__xludf.DUMMYFUNCTION("""COMPUTED_VALUE"""),"")</f>
        <v/>
      </c>
      <c r="J65" s="71" t="str">
        <f>IFERROR(__xludf.DUMMYFUNCTION("""COMPUTED_VALUE"""),"Lunch")</f>
        <v>Lunch</v>
      </c>
      <c r="K65" s="106">
        <f>IFERROR(__xludf.DUMMYFUNCTION("""COMPUTED_VALUE"""),46063.0)</f>
        <v>46063</v>
      </c>
      <c r="L65" s="71" t="str">
        <f>IFERROR(__xludf.DUMMYFUNCTION("""COMPUTED_VALUE"""),"Tuesday")</f>
        <v>Tuesday</v>
      </c>
      <c r="M65" s="71" t="str">
        <f>IFERROR(__xludf.DUMMYFUNCTION("""COMPUTED_VALUE"""),"MF")</f>
        <v>MF</v>
      </c>
      <c r="N65" s="109" t="str">
        <f>IFERROR(__xludf.DUMMYFUNCTION("""COMPUTED_VALUE"""),"")</f>
        <v/>
      </c>
      <c r="O65" s="71" t="str">
        <f>IFERROR(__xludf.DUMMYFUNCTION("""COMPUTED_VALUE"""),"")</f>
        <v/>
      </c>
      <c r="P65" s="71" t="str">
        <f>IFERROR(__xludf.DUMMYFUNCTION("""COMPUTED_VALUE"""),"")</f>
        <v/>
      </c>
      <c r="Q65" s="78" t="str">
        <f>IFERROR(__xludf.DUMMYFUNCTION("""COMPUTED_VALUE"""),"")</f>
        <v/>
      </c>
      <c r="R65" s="78" t="str">
        <f>IFERROR(__xludf.DUMMYFUNCTION("""COMPUTED_VALUE"""),"")</f>
        <v/>
      </c>
      <c r="S65" s="80" t="str">
        <f>IFERROR(__xludf.DUMMYFUNCTION("""COMPUTED_VALUE"""),"")</f>
        <v/>
      </c>
      <c r="T65" s="80" t="str">
        <f>IFERROR(__xludf.DUMMYFUNCTION("""COMPUTED_VALUE"""),"")</f>
        <v/>
      </c>
      <c r="U65" s="71" t="str">
        <f>IFERROR(__xludf.DUMMYFUNCTION("""COMPUTED_VALUE"""),"")</f>
        <v/>
      </c>
      <c r="V65" s="78" t="str">
        <f>IFERROR(__xludf.DUMMYFUNCTION("""COMPUTED_VALUE"""),"")</f>
        <v/>
      </c>
      <c r="W65" s="62" t="str">
        <f>IFERROR(__xludf.DUMMYFUNCTION("""COMPUTED_VALUE"""),"")</f>
        <v/>
      </c>
      <c r="X65" s="80" t="str">
        <f>IFERROR(__xludf.DUMMYFUNCTION("""COMPUTED_VALUE"""),"")</f>
        <v/>
      </c>
      <c r="Y65" s="109" t="str">
        <f>IFERROR(__xludf.DUMMYFUNCTION("""COMPUTED_VALUE"""),"")</f>
        <v/>
      </c>
      <c r="Z65" s="71"/>
      <c r="AA65" s="71"/>
      <c r="AB65" s="71"/>
    </row>
    <row r="66">
      <c r="A66" s="105">
        <f>IFERROR(__xludf.DUMMYFUNCTION("""COMPUTED_VALUE"""),46063.64648833333)</f>
        <v>46063.64649</v>
      </c>
      <c r="B66" s="71" t="str">
        <f>IFERROR(__xludf.DUMMYFUNCTION("""COMPUTED_VALUE"""),"Arjya Aich")</f>
        <v>Arjya Aich</v>
      </c>
      <c r="C66" s="71" t="b">
        <f>IFERROR(__xludf.DUMMYFUNCTION("""COMPUTED_VALUE"""),FALSE)</f>
        <v>0</v>
      </c>
      <c r="D66" s="132">
        <f>IFERROR(__xludf.DUMMYFUNCTION("""COMPUTED_VALUE"""),0.5138888888905058)</f>
        <v>0.5138888889</v>
      </c>
      <c r="E66" s="78">
        <f>IFERROR(__xludf.DUMMYFUNCTION("""COMPUTED_VALUE"""),0.13194444444525288)</f>
        <v>0.1319444444</v>
      </c>
      <c r="F66" s="132">
        <f>IFERROR(__xludf.DUMMYFUNCTION("""COMPUTED_VALUE"""),0.6458333333357587)</f>
        <v>0.6458333333</v>
      </c>
      <c r="G66" s="78">
        <f>IFERROR(__xludf.DUMMYFUNCTION("""COMPUTED_VALUE"""),0.13194444444525288)</f>
        <v>0.1319444444</v>
      </c>
      <c r="H66" s="71">
        <f>IFERROR(__xludf.DUMMYFUNCTION("""COMPUTED_VALUE"""),40.0)</f>
        <v>40</v>
      </c>
      <c r="I66" s="80">
        <f>IFERROR(__xludf.DUMMYFUNCTION("""COMPUTED_VALUE"""),12.631578947291025)</f>
        <v>12.63157895</v>
      </c>
      <c r="J66" s="71" t="str">
        <f>IFERROR(__xludf.DUMMYFUNCTION("""COMPUTED_VALUE"""),"Lunch")</f>
        <v>Lunch</v>
      </c>
      <c r="K66" s="106">
        <f>IFERROR(__xludf.DUMMYFUNCTION("""COMPUTED_VALUE"""),46063.0)</f>
        <v>46063</v>
      </c>
      <c r="L66" s="71" t="str">
        <f>IFERROR(__xludf.DUMMYFUNCTION("""COMPUTED_VALUE"""),"Tuesday")</f>
        <v>Tuesday</v>
      </c>
      <c r="M66" s="71" t="str">
        <f>IFERROR(__xludf.DUMMYFUNCTION("""COMPUTED_VALUE"""),"BF")</f>
        <v>BF</v>
      </c>
      <c r="N66" s="109">
        <f>IFERROR(__xludf.DUMMYFUNCTION("""COMPUTED_VALUE"""),0.4455481351175326)</f>
        <v>0.4455481351</v>
      </c>
      <c r="O66" s="71" t="str">
        <f>IFERROR(__xludf.DUMMYFUNCTION("""COMPUTED_VALUE"""),"")</f>
        <v/>
      </c>
      <c r="P66" s="71" t="str">
        <f>IFERROR(__xludf.DUMMYFUNCTION("""COMPUTED_VALUE"""),"")</f>
        <v/>
      </c>
      <c r="Q66" s="78" t="str">
        <f>IFERROR(__xludf.DUMMYFUNCTION("""COMPUTED_VALUE"""),"")</f>
        <v/>
      </c>
      <c r="R66" s="78" t="str">
        <f>IFERROR(__xludf.DUMMYFUNCTION("""COMPUTED_VALUE"""),"")</f>
        <v/>
      </c>
      <c r="S66" s="80" t="str">
        <f>IFERROR(__xludf.DUMMYFUNCTION("""COMPUTED_VALUE"""),"")</f>
        <v/>
      </c>
      <c r="T66" s="80" t="str">
        <f>IFERROR(__xludf.DUMMYFUNCTION("""COMPUTED_VALUE"""),"")</f>
        <v/>
      </c>
      <c r="U66" s="71" t="str">
        <f>IFERROR(__xludf.DUMMYFUNCTION("""COMPUTED_VALUE"""),"")</f>
        <v/>
      </c>
      <c r="V66" s="78" t="str">
        <f>IFERROR(__xludf.DUMMYFUNCTION("""COMPUTED_VALUE"""),"")</f>
        <v/>
      </c>
      <c r="W66" s="62" t="str">
        <f>IFERROR(__xludf.DUMMYFUNCTION("""COMPUTED_VALUE"""),"")</f>
        <v/>
      </c>
      <c r="X66" s="80" t="str">
        <f>IFERROR(__xludf.DUMMYFUNCTION("""COMPUTED_VALUE"""),"")</f>
        <v/>
      </c>
      <c r="Y66" s="109" t="str">
        <f>IFERROR(__xludf.DUMMYFUNCTION("""COMPUTED_VALUE"""),"")</f>
        <v/>
      </c>
      <c r="Z66" s="71"/>
      <c r="AA66" s="71"/>
      <c r="AB66" s="71"/>
    </row>
    <row r="67">
      <c r="A67" s="105">
        <f>IFERROR(__xludf.DUMMYFUNCTION("""COMPUTED_VALUE"""),46063.86804144676)</f>
        <v>46063.86804</v>
      </c>
      <c r="B67" s="71" t="str">
        <f>IFERROR(__xludf.DUMMYFUNCTION("""COMPUTED_VALUE"""),"Laila Maisuria")</f>
        <v>Laila Maisuria</v>
      </c>
      <c r="C67" s="71" t="b">
        <f>IFERROR(__xludf.DUMMYFUNCTION("""COMPUTED_VALUE"""),FALSE)</f>
        <v>0</v>
      </c>
      <c r="D67" s="132">
        <f>IFERROR(__xludf.DUMMYFUNCTION("""COMPUTED_VALUE"""),0.7548611111124046)</f>
        <v>0.7548611111</v>
      </c>
      <c r="E67" s="78">
        <f>IFERROR(__xludf.DUMMYFUNCTION("""COMPUTED_VALUE"""),0.11180555555620231)</f>
        <v>0.1118055556</v>
      </c>
      <c r="F67" s="132">
        <f>IFERROR(__xludf.DUMMYFUNCTION("""COMPUTED_VALUE"""),0.8666666666686069)</f>
        <v>0.8666666667</v>
      </c>
      <c r="G67" s="78">
        <f>IFERROR(__xludf.DUMMYFUNCTION("""COMPUTED_VALUE"""),0.11180555555620231)</f>
        <v>0.1118055556</v>
      </c>
      <c r="H67" s="71">
        <f>IFERROR(__xludf.DUMMYFUNCTION("""COMPUTED_VALUE"""),123.0)</f>
        <v>123</v>
      </c>
      <c r="I67" s="80">
        <f>IFERROR(__xludf.DUMMYFUNCTION("""COMPUTED_VALUE"""),45.838509316505025)</f>
        <v>45.83850932</v>
      </c>
      <c r="J67" s="71" t="str">
        <f>IFERROR(__xludf.DUMMYFUNCTION("""COMPUTED_VALUE"""),"Dinner")</f>
        <v>Dinner</v>
      </c>
      <c r="K67" s="106">
        <f>IFERROR(__xludf.DUMMYFUNCTION("""COMPUTED_VALUE"""),46063.0)</f>
        <v>46063</v>
      </c>
      <c r="L67" s="71" t="str">
        <f>IFERROR(__xludf.DUMMYFUNCTION("""COMPUTED_VALUE"""),"Tuesday")</f>
        <v>Tuesday</v>
      </c>
      <c r="M67" s="71" t="str">
        <f>IFERROR(__xludf.DUMMYFUNCTION("""COMPUTED_VALUE"""),"MF")</f>
        <v>MF</v>
      </c>
      <c r="N67" s="109">
        <f>IFERROR(__xludf.DUMMYFUNCTION("""COMPUTED_VALUE"""),0.9883317309083028)</f>
        <v>0.9883317309</v>
      </c>
      <c r="O67" s="71" t="str">
        <f>IFERROR(__xludf.DUMMYFUNCTION("""COMPUTED_VALUE"""),"")</f>
        <v/>
      </c>
      <c r="P67" s="71" t="str">
        <f>IFERROR(__xludf.DUMMYFUNCTION("""COMPUTED_VALUE"""),"")</f>
        <v/>
      </c>
      <c r="Q67" s="78" t="str">
        <f>IFERROR(__xludf.DUMMYFUNCTION("""COMPUTED_VALUE"""),"")</f>
        <v/>
      </c>
      <c r="R67" s="78" t="str">
        <f>IFERROR(__xludf.DUMMYFUNCTION("""COMPUTED_VALUE"""),"")</f>
        <v/>
      </c>
      <c r="S67" s="80" t="str">
        <f>IFERROR(__xludf.DUMMYFUNCTION("""COMPUTED_VALUE"""),"")</f>
        <v/>
      </c>
      <c r="T67" s="80" t="str">
        <f>IFERROR(__xludf.DUMMYFUNCTION("""COMPUTED_VALUE"""),"")</f>
        <v/>
      </c>
      <c r="U67" s="71" t="str">
        <f>IFERROR(__xludf.DUMMYFUNCTION("""COMPUTED_VALUE"""),"")</f>
        <v/>
      </c>
      <c r="V67" s="78" t="str">
        <f>IFERROR(__xludf.DUMMYFUNCTION("""COMPUTED_VALUE"""),"")</f>
        <v/>
      </c>
      <c r="W67" s="62" t="str">
        <f>IFERROR(__xludf.DUMMYFUNCTION("""COMPUTED_VALUE"""),"")</f>
        <v/>
      </c>
      <c r="X67" s="80" t="str">
        <f>IFERROR(__xludf.DUMMYFUNCTION("""COMPUTED_VALUE"""),"")</f>
        <v/>
      </c>
      <c r="Y67" s="109" t="str">
        <f>IFERROR(__xludf.DUMMYFUNCTION("""COMPUTED_VALUE"""),"")</f>
        <v/>
      </c>
      <c r="Z67" s="71"/>
      <c r="AA67" s="71"/>
      <c r="AB67" s="71"/>
    </row>
    <row r="68">
      <c r="A68" s="105">
        <f>IFERROR(__xludf.DUMMYFUNCTION("""COMPUTED_VALUE"""),46064.42201444444)</f>
        <v>46064.42201</v>
      </c>
      <c r="B68" s="71" t="str">
        <f>IFERROR(__xludf.DUMMYFUNCTION("""COMPUTED_VALUE"""),"Leah Bucci")</f>
        <v>Leah Bucci</v>
      </c>
      <c r="C68" s="71" t="b">
        <f>IFERROR(__xludf.DUMMYFUNCTION("""COMPUTED_VALUE"""),FALSE)</f>
        <v>0</v>
      </c>
      <c r="D68" s="132">
        <f>IFERROR(__xludf.DUMMYFUNCTION("""COMPUTED_VALUE"""),0.6875)</f>
        <v>0.6875</v>
      </c>
      <c r="E68" s="78">
        <f>IFERROR(__xludf.DUMMYFUNCTION("""COMPUTED_VALUE"""),0.10416666666424135)</f>
        <v>0.1041666667</v>
      </c>
      <c r="F68" s="132">
        <f>IFERROR(__xludf.DUMMYFUNCTION("""COMPUTED_VALUE"""),0.7916666666642413)</f>
        <v>0.7916666667</v>
      </c>
      <c r="G68" s="78">
        <f>IFERROR(__xludf.DUMMYFUNCTION("""COMPUTED_VALUE"""),0.10416666666424135)</f>
        <v>0.1041666667</v>
      </c>
      <c r="H68" s="71">
        <f>IFERROR(__xludf.DUMMYFUNCTION("""COMPUTED_VALUE"""),117.0)</f>
        <v>117</v>
      </c>
      <c r="I68" s="80">
        <f>IFERROR(__xludf.DUMMYFUNCTION("""COMPUTED_VALUE"""),46.80000000108965)</f>
        <v>46.8</v>
      </c>
      <c r="J68" s="71" t="str">
        <f>IFERROR(__xludf.DUMMYFUNCTION("""COMPUTED_VALUE"""),"Dinner")</f>
        <v>Dinner</v>
      </c>
      <c r="K68" s="106">
        <f>IFERROR(__xludf.DUMMYFUNCTION("""COMPUTED_VALUE"""),46063.0)</f>
        <v>46063</v>
      </c>
      <c r="L68" s="71" t="str">
        <f>IFERROR(__xludf.DUMMYFUNCTION("""COMPUTED_VALUE"""),"Tuesday")</f>
        <v>Tuesday</v>
      </c>
      <c r="M68" s="71" t="str">
        <f>IFERROR(__xludf.DUMMYFUNCTION("""COMPUTED_VALUE"""),"BF")</f>
        <v>BF</v>
      </c>
      <c r="N68" s="109">
        <f>IFERROR(__xludf.DUMMYFUNCTION("""COMPUTED_VALUE"""),1.0532992327457693)</f>
        <v>1.053299233</v>
      </c>
      <c r="O68" s="71">
        <f>IFERROR(__xludf.DUMMYFUNCTION("""COMPUTED_VALUE"""),305.0)</f>
        <v>305</v>
      </c>
      <c r="P68" s="71">
        <f>IFERROR(__xludf.DUMMYFUNCTION("""COMPUTED_VALUE"""),258.0)</f>
        <v>258</v>
      </c>
      <c r="Q68" s="78">
        <f>IFERROR(__xludf.DUMMYFUNCTION("""COMPUTED_VALUE"""),0.2388888888906675)</f>
        <v>0.2388888889</v>
      </c>
      <c r="R68" s="78">
        <f>IFERROR(__xludf.DUMMYFUNCTION("""COMPUTED_VALUE"""),0.3097222222185034)</f>
        <v>0.3097222222</v>
      </c>
      <c r="S68" s="80">
        <f>IFERROR(__xludf.DUMMYFUNCTION("""COMPUTED_VALUE"""),52.75532023175727)</f>
        <v>52.75532023</v>
      </c>
      <c r="T68" s="80">
        <f>IFERROR(__xludf.DUMMYFUNCTION("""COMPUTED_VALUE"""),38.867130090255955)</f>
        <v>38.86713009</v>
      </c>
      <c r="U68" s="71">
        <f>IFERROR(__xludf.DUMMYFUNCTION("""COMPUTED_VALUE"""),563.0)</f>
        <v>563</v>
      </c>
      <c r="V68" s="78">
        <f>IFERROR(__xludf.DUMMYFUNCTION("""COMPUTED_VALUE"""),0.5486111111091709)</f>
        <v>0.5486111111</v>
      </c>
      <c r="W68" s="62">
        <f>IFERROR(__xludf.DUMMYFUNCTION("""COMPUTED_VALUE"""),42.7594936710373)</f>
        <v>42.75949367</v>
      </c>
      <c r="X68" s="80">
        <f>IFERROR(__xludf.DUMMYFUNCTION("""COMPUTED_VALUE"""),44.42240614685648)</f>
        <v>44.42240615</v>
      </c>
      <c r="Y68" s="109">
        <f>IFERROR(__xludf.DUMMYFUNCTION("""COMPUTED_VALUE"""),0.670626942609193)</f>
        <v>0.6706269426</v>
      </c>
      <c r="Z68" s="71"/>
      <c r="AA68" s="71"/>
      <c r="AB68" s="71"/>
    </row>
    <row r="69">
      <c r="A69" s="105">
        <f>IFERROR(__xludf.DUMMYFUNCTION("""COMPUTED_VALUE"""),46064.62069019676)</f>
        <v>46064.62069</v>
      </c>
      <c r="B69" s="71" t="str">
        <f>IFERROR(__xludf.DUMMYFUNCTION("""COMPUTED_VALUE"""),"Evan Morgan")</f>
        <v>Evan Morgan</v>
      </c>
      <c r="C69" s="71" t="b">
        <f>IFERROR(__xludf.DUMMYFUNCTION("""COMPUTED_VALUE"""),FALSE)</f>
        <v>0</v>
      </c>
      <c r="D69" s="132">
        <f>IFERROR(__xludf.DUMMYFUNCTION("""COMPUTED_VALUE"""),0.5416666666642413)</f>
        <v>0.5416666667</v>
      </c>
      <c r="E69" s="78">
        <f>IFERROR(__xludf.DUMMYFUNCTION("""COMPUTED_VALUE"""),0.08333333333575865)</f>
        <v>0.08333333334</v>
      </c>
      <c r="F69" s="132">
        <f>IFERROR(__xludf.DUMMYFUNCTION("""COMPUTED_VALUE"""),0.625)</f>
        <v>0.625</v>
      </c>
      <c r="G69" s="78">
        <f>IFERROR(__xludf.DUMMYFUNCTION("""COMPUTED_VALUE"""),0.08333333333575865)</f>
        <v>0.08333333334</v>
      </c>
      <c r="H69" s="71">
        <f>IFERROR(__xludf.DUMMYFUNCTION("""COMPUTED_VALUE"""),128.0)</f>
        <v>128</v>
      </c>
      <c r="I69" s="80">
        <f>IFERROR(__xludf.DUMMYFUNCTION("""COMPUTED_VALUE"""),63.999999998137355)</f>
        <v>64</v>
      </c>
      <c r="J69" s="71" t="str">
        <f>IFERROR(__xludf.DUMMYFUNCTION("""COMPUTED_VALUE"""),"Lunch")</f>
        <v>Lunch</v>
      </c>
      <c r="K69" s="106">
        <f>IFERROR(__xludf.DUMMYFUNCTION("""COMPUTED_VALUE"""),46064.0)</f>
        <v>46064</v>
      </c>
      <c r="L69" s="71" t="str">
        <f>IFERROR(__xludf.DUMMYFUNCTION("""COMPUTED_VALUE"""),"Wednesday")</f>
        <v>Wednesday</v>
      </c>
      <c r="M69" s="71" t="str">
        <f>IFERROR(__xludf.DUMMYFUNCTION("""COMPUTED_VALUE"""),"MF")</f>
        <v>MF</v>
      </c>
      <c r="N69" s="109">
        <f>IFERROR(__xludf.DUMMYFUNCTION("""COMPUTED_VALUE"""),1.272935352540865)</f>
        <v>1.272935353</v>
      </c>
      <c r="O69" s="71" t="str">
        <f>IFERROR(__xludf.DUMMYFUNCTION("""COMPUTED_VALUE"""),"")</f>
        <v/>
      </c>
      <c r="P69" s="71" t="str">
        <f>IFERROR(__xludf.DUMMYFUNCTION("""COMPUTED_VALUE"""),"")</f>
        <v/>
      </c>
      <c r="Q69" s="78" t="str">
        <f>IFERROR(__xludf.DUMMYFUNCTION("""COMPUTED_VALUE"""),"")</f>
        <v/>
      </c>
      <c r="R69" s="78" t="str">
        <f>IFERROR(__xludf.DUMMYFUNCTION("""COMPUTED_VALUE"""),"")</f>
        <v/>
      </c>
      <c r="S69" s="80" t="str">
        <f>IFERROR(__xludf.DUMMYFUNCTION("""COMPUTED_VALUE"""),"")</f>
        <v/>
      </c>
      <c r="T69" s="80" t="str">
        <f>IFERROR(__xludf.DUMMYFUNCTION("""COMPUTED_VALUE"""),"")</f>
        <v/>
      </c>
      <c r="U69" s="71" t="str">
        <f>IFERROR(__xludf.DUMMYFUNCTION("""COMPUTED_VALUE"""),"")</f>
        <v/>
      </c>
      <c r="V69" s="78" t="str">
        <f>IFERROR(__xludf.DUMMYFUNCTION("""COMPUTED_VALUE"""),"")</f>
        <v/>
      </c>
      <c r="W69" s="62" t="str">
        <f>IFERROR(__xludf.DUMMYFUNCTION("""COMPUTED_VALUE"""),"")</f>
        <v/>
      </c>
      <c r="X69" s="80" t="str">
        <f>IFERROR(__xludf.DUMMYFUNCTION("""COMPUTED_VALUE"""),"")</f>
        <v/>
      </c>
      <c r="Y69" s="109" t="str">
        <f>IFERROR(__xludf.DUMMYFUNCTION("""COMPUTED_VALUE"""),"")</f>
        <v/>
      </c>
      <c r="Z69" s="71"/>
      <c r="AA69" s="71"/>
      <c r="AB69" s="71"/>
    </row>
    <row r="70">
      <c r="A70" s="105">
        <f>IFERROR(__xludf.DUMMYFUNCTION("""COMPUTED_VALUE"""),46064.739611620374)</f>
        <v>46064.73961</v>
      </c>
      <c r="B70" s="71" t="str">
        <f>IFERROR(__xludf.DUMMYFUNCTION("""COMPUTED_VALUE"""),"Evan Morgan")</f>
        <v>Evan Morgan</v>
      </c>
      <c r="C70" s="71" t="b">
        <f>IFERROR(__xludf.DUMMYFUNCTION("""COMPUTED_VALUE"""),FALSE)</f>
        <v>0</v>
      </c>
      <c r="D70" s="132">
        <f>IFERROR(__xludf.DUMMYFUNCTION("""COMPUTED_VALUE"""),0.6666666666642413)</f>
        <v>0.6666666667</v>
      </c>
      <c r="E70" s="78">
        <f>IFERROR(__xludf.DUMMYFUNCTION("""COMPUTED_VALUE"""),0.06597222222626442)</f>
        <v>0.06597222223</v>
      </c>
      <c r="F70" s="132">
        <f>IFERROR(__xludf.DUMMYFUNCTION("""COMPUTED_VALUE"""),0.7326388888905058)</f>
        <v>0.7326388889</v>
      </c>
      <c r="G70" s="78">
        <f>IFERROR(__xludf.DUMMYFUNCTION("""COMPUTED_VALUE"""),0.06597222222626442)</f>
        <v>0.06597222223</v>
      </c>
      <c r="H70" s="71">
        <f>IFERROR(__xludf.DUMMYFUNCTION("""COMPUTED_VALUE"""),94.0)</f>
        <v>94</v>
      </c>
      <c r="I70" s="80">
        <f>IFERROR(__xludf.DUMMYFUNCTION("""COMPUTED_VALUE"""),59.368421048994)</f>
        <v>59.36842105</v>
      </c>
      <c r="J70" s="71" t="str">
        <f>IFERROR(__xludf.DUMMYFUNCTION("""COMPUTED_VALUE"""),"Dinner")</f>
        <v>Dinner</v>
      </c>
      <c r="K70" s="106">
        <f>IFERROR(__xludf.DUMMYFUNCTION("""COMPUTED_VALUE"""),46064.0)</f>
        <v>46064</v>
      </c>
      <c r="L70" s="71" t="str">
        <f>IFERROR(__xludf.DUMMYFUNCTION("""COMPUTED_VALUE"""),"Wednesday")</f>
        <v>Wednesday</v>
      </c>
      <c r="M70" s="71" t="str">
        <f>IFERROR(__xludf.DUMMYFUNCTION("""COMPUTED_VALUE"""),"MF")</f>
        <v>MF</v>
      </c>
      <c r="N70" s="109">
        <f>IFERROR(__xludf.DUMMYFUNCTION("""COMPUTED_VALUE"""),1.2800524103325903)</f>
        <v>1.28005241</v>
      </c>
      <c r="O70" s="71" t="str">
        <f>IFERROR(__xludf.DUMMYFUNCTION("""COMPUTED_VALUE"""),"")</f>
        <v/>
      </c>
      <c r="P70" s="71" t="str">
        <f>IFERROR(__xludf.DUMMYFUNCTION("""COMPUTED_VALUE"""),"")</f>
        <v/>
      </c>
      <c r="Q70" s="78" t="str">
        <f>IFERROR(__xludf.DUMMYFUNCTION("""COMPUTED_VALUE"""),"")</f>
        <v/>
      </c>
      <c r="R70" s="78" t="str">
        <f>IFERROR(__xludf.DUMMYFUNCTION("""COMPUTED_VALUE"""),"")</f>
        <v/>
      </c>
      <c r="S70" s="80" t="str">
        <f>IFERROR(__xludf.DUMMYFUNCTION("""COMPUTED_VALUE"""),"")</f>
        <v/>
      </c>
      <c r="T70" s="80" t="str">
        <f>IFERROR(__xludf.DUMMYFUNCTION("""COMPUTED_VALUE"""),"")</f>
        <v/>
      </c>
      <c r="U70" s="71" t="str">
        <f>IFERROR(__xludf.DUMMYFUNCTION("""COMPUTED_VALUE"""),"")</f>
        <v/>
      </c>
      <c r="V70" s="78" t="str">
        <f>IFERROR(__xludf.DUMMYFUNCTION("""COMPUTED_VALUE"""),"")</f>
        <v/>
      </c>
      <c r="W70" s="62" t="str">
        <f>IFERROR(__xludf.DUMMYFUNCTION("""COMPUTED_VALUE"""),"")</f>
        <v/>
      </c>
      <c r="X70" s="80" t="str">
        <f>IFERROR(__xludf.DUMMYFUNCTION("""COMPUTED_VALUE"""),"")</f>
        <v/>
      </c>
      <c r="Y70" s="109" t="str">
        <f>IFERROR(__xludf.DUMMYFUNCTION("""COMPUTED_VALUE"""),"")</f>
        <v/>
      </c>
      <c r="Z70" s="71"/>
      <c r="AA70" s="71"/>
      <c r="AB70" s="71"/>
    </row>
    <row r="71">
      <c r="A71" s="105">
        <f>IFERROR(__xludf.DUMMYFUNCTION("""COMPUTED_VALUE"""),46064.79300583333)</f>
        <v>46064.79301</v>
      </c>
      <c r="B71" s="71" t="str">
        <f>IFERROR(__xludf.DUMMYFUNCTION("""COMPUTED_VALUE"""),"Brynn Hornig")</f>
        <v>Brynn Hornig</v>
      </c>
      <c r="C71" s="71" t="b">
        <f>IFERROR(__xludf.DUMMYFUNCTION("""COMPUTED_VALUE"""),FALSE)</f>
        <v>0</v>
      </c>
      <c r="D71" s="132">
        <f>IFERROR(__xludf.DUMMYFUNCTION("""COMPUTED_VALUE"""),0.75)</f>
        <v>0.75</v>
      </c>
      <c r="E71" s="78">
        <f>IFERROR(__xludf.DUMMYFUNCTION("""COMPUTED_VALUE"""),0.04166666666424135)</f>
        <v>0.04166666666</v>
      </c>
      <c r="F71" s="132">
        <f>IFERROR(__xludf.DUMMYFUNCTION("""COMPUTED_VALUE"""),0.7916666666642413)</f>
        <v>0.7916666667</v>
      </c>
      <c r="G71" s="78">
        <f>IFERROR(__xludf.DUMMYFUNCTION("""COMPUTED_VALUE"""),0.04166666666424135)</f>
        <v>0.04166666666</v>
      </c>
      <c r="H71" s="71">
        <f>IFERROR(__xludf.DUMMYFUNCTION("""COMPUTED_VALUE"""),116.0)</f>
        <v>116</v>
      </c>
      <c r="I71" s="80">
        <f>IFERROR(__xludf.DUMMYFUNCTION("""COMPUTED_VALUE"""),116.00000000675209)</f>
        <v>116</v>
      </c>
      <c r="J71" s="71" t="str">
        <f>IFERROR(__xludf.DUMMYFUNCTION("""COMPUTED_VALUE"""),"Dinner")</f>
        <v>Dinner</v>
      </c>
      <c r="K71" s="106">
        <f>IFERROR(__xludf.DUMMYFUNCTION("""COMPUTED_VALUE"""),46064.0)</f>
        <v>46064</v>
      </c>
      <c r="L71" s="71" t="str">
        <f>IFERROR(__xludf.DUMMYFUNCTION("""COMPUTED_VALUE"""),"Wednesday")</f>
        <v>Wednesday</v>
      </c>
      <c r="M71" s="71" t="str">
        <f>IFERROR(__xludf.DUMMYFUNCTION("""COMPUTED_VALUE"""),"MF")</f>
        <v>MF</v>
      </c>
      <c r="N71" s="109">
        <f>IFERROR(__xludf.DUMMYFUNCTION("""COMPUTED_VALUE"""),2.5010953126862656)</f>
        <v>2.501095313</v>
      </c>
      <c r="O71" s="71" t="str">
        <f>IFERROR(__xludf.DUMMYFUNCTION("""COMPUTED_VALUE"""),"")</f>
        <v/>
      </c>
      <c r="P71" s="71" t="str">
        <f>IFERROR(__xludf.DUMMYFUNCTION("""COMPUTED_VALUE"""),"")</f>
        <v/>
      </c>
      <c r="Q71" s="78" t="str">
        <f>IFERROR(__xludf.DUMMYFUNCTION("""COMPUTED_VALUE"""),"")</f>
        <v/>
      </c>
      <c r="R71" s="78" t="str">
        <f>IFERROR(__xludf.DUMMYFUNCTION("""COMPUTED_VALUE"""),"")</f>
        <v/>
      </c>
      <c r="S71" s="80" t="str">
        <f>IFERROR(__xludf.DUMMYFUNCTION("""COMPUTED_VALUE"""),"")</f>
        <v/>
      </c>
      <c r="T71" s="80" t="str">
        <f>IFERROR(__xludf.DUMMYFUNCTION("""COMPUTED_VALUE"""),"")</f>
        <v/>
      </c>
      <c r="U71" s="71" t="str">
        <f>IFERROR(__xludf.DUMMYFUNCTION("""COMPUTED_VALUE"""),"")</f>
        <v/>
      </c>
      <c r="V71" s="78" t="str">
        <f>IFERROR(__xludf.DUMMYFUNCTION("""COMPUTED_VALUE"""),"")</f>
        <v/>
      </c>
      <c r="W71" s="62" t="str">
        <f>IFERROR(__xludf.DUMMYFUNCTION("""COMPUTED_VALUE"""),"")</f>
        <v/>
      </c>
      <c r="X71" s="80" t="str">
        <f>IFERROR(__xludf.DUMMYFUNCTION("""COMPUTED_VALUE"""),"")</f>
        <v/>
      </c>
      <c r="Y71" s="109" t="str">
        <f>IFERROR(__xludf.DUMMYFUNCTION("""COMPUTED_VALUE"""),"")</f>
        <v/>
      </c>
      <c r="Z71" s="71"/>
      <c r="AA71" s="71"/>
      <c r="AB71" s="71"/>
    </row>
    <row r="72">
      <c r="A72" s="105">
        <f>IFERROR(__xludf.DUMMYFUNCTION("""COMPUTED_VALUE"""),46064.847970601855)</f>
        <v>46064.84797</v>
      </c>
      <c r="B72" s="71" t="str">
        <f>IFERROR(__xludf.DUMMYFUNCTION("""COMPUTED_VALUE"""),"Maureen Surgot")</f>
        <v>Maureen Surgot</v>
      </c>
      <c r="C72" s="71" t="b">
        <f>IFERROR(__xludf.DUMMYFUNCTION("""COMPUTED_VALUE"""),FALSE)</f>
        <v>0</v>
      </c>
      <c r="D72" s="132">
        <f>IFERROR(__xludf.DUMMYFUNCTION("""COMPUTED_VALUE"""),0.6875)</f>
        <v>0.6875</v>
      </c>
      <c r="E72" s="78">
        <f>IFERROR(__xludf.DUMMYFUNCTION("""COMPUTED_VALUE"""),0.16666666666424135)</f>
        <v>0.1666666667</v>
      </c>
      <c r="F72" s="132">
        <f>IFERROR(__xludf.DUMMYFUNCTION("""COMPUTED_VALUE"""),0.8541666666642413)</f>
        <v>0.8541666667</v>
      </c>
      <c r="G72" s="78">
        <f>IFERROR(__xludf.DUMMYFUNCTION("""COMPUTED_VALUE"""),0.16666666666424135)</f>
        <v>0.1666666667</v>
      </c>
      <c r="H72" s="71">
        <f>IFERROR(__xludf.DUMMYFUNCTION("""COMPUTED_VALUE"""),149.0)</f>
        <v>149</v>
      </c>
      <c r="I72" s="80">
        <f>IFERROR(__xludf.DUMMYFUNCTION("""COMPUTED_VALUE"""),37.25000000054206)</f>
        <v>37.25</v>
      </c>
      <c r="J72" s="71" t="str">
        <f>IFERROR(__xludf.DUMMYFUNCTION("""COMPUTED_VALUE"""),"Dinner")</f>
        <v>Dinner</v>
      </c>
      <c r="K72" s="106">
        <f>IFERROR(__xludf.DUMMYFUNCTION("""COMPUTED_VALUE"""),46064.0)</f>
        <v>46064</v>
      </c>
      <c r="L72" s="71" t="str">
        <f>IFERROR(__xludf.DUMMYFUNCTION("""COMPUTED_VALUE"""),"Wednesday")</f>
        <v>Wednesday</v>
      </c>
      <c r="M72" s="71" t="str">
        <f>IFERROR(__xludf.DUMMYFUNCTION("""COMPUTED_VALUE"""),"BF")</f>
        <v>BF</v>
      </c>
      <c r="N72" s="109">
        <f>IFERROR(__xludf.DUMMYFUNCTION("""COMPUTED_VALUE"""),0.8383631713554986)</f>
        <v>0.8383631714</v>
      </c>
      <c r="O72" s="71" t="str">
        <f>IFERROR(__xludf.DUMMYFUNCTION("""COMPUTED_VALUE"""),"")</f>
        <v/>
      </c>
      <c r="P72" s="71" t="str">
        <f>IFERROR(__xludf.DUMMYFUNCTION("""COMPUTED_VALUE"""),"")</f>
        <v/>
      </c>
      <c r="Q72" s="78" t="str">
        <f>IFERROR(__xludf.DUMMYFUNCTION("""COMPUTED_VALUE"""),"")</f>
        <v/>
      </c>
      <c r="R72" s="78" t="str">
        <f>IFERROR(__xludf.DUMMYFUNCTION("""COMPUTED_VALUE"""),"")</f>
        <v/>
      </c>
      <c r="S72" s="80" t="str">
        <f>IFERROR(__xludf.DUMMYFUNCTION("""COMPUTED_VALUE"""),"")</f>
        <v/>
      </c>
      <c r="T72" s="80" t="str">
        <f>IFERROR(__xludf.DUMMYFUNCTION("""COMPUTED_VALUE"""),"")</f>
        <v/>
      </c>
      <c r="U72" s="71" t="str">
        <f>IFERROR(__xludf.DUMMYFUNCTION("""COMPUTED_VALUE"""),"")</f>
        <v/>
      </c>
      <c r="V72" s="78" t="str">
        <f>IFERROR(__xludf.DUMMYFUNCTION("""COMPUTED_VALUE"""),"")</f>
        <v/>
      </c>
      <c r="W72" s="62" t="str">
        <f>IFERROR(__xludf.DUMMYFUNCTION("""COMPUTED_VALUE"""),"")</f>
        <v/>
      </c>
      <c r="X72" s="80" t="str">
        <f>IFERROR(__xludf.DUMMYFUNCTION("""COMPUTED_VALUE"""),"")</f>
        <v/>
      </c>
      <c r="Y72" s="109" t="str">
        <f>IFERROR(__xludf.DUMMYFUNCTION("""COMPUTED_VALUE"""),"")</f>
        <v/>
      </c>
      <c r="Z72" s="71"/>
      <c r="AA72" s="71"/>
      <c r="AB72" s="71"/>
    </row>
    <row r="73">
      <c r="A73" s="105">
        <f>IFERROR(__xludf.DUMMYFUNCTION("""COMPUTED_VALUE"""),46064.853610833336)</f>
        <v>46064.85361</v>
      </c>
      <c r="B73" s="71" t="str">
        <f>IFERROR(__xludf.DUMMYFUNCTION("""COMPUTED_VALUE"""),"Brynn Hornig")</f>
        <v>Brynn Hornig</v>
      </c>
      <c r="C73" s="71" t="b">
        <f>IFERROR(__xludf.DUMMYFUNCTION("""COMPUTED_VALUE"""),FALSE)</f>
        <v>0</v>
      </c>
      <c r="D73" s="132">
        <f>IFERROR(__xludf.DUMMYFUNCTION("""COMPUTED_VALUE"""),0.7916666666642413)</f>
        <v>0.7916666667</v>
      </c>
      <c r="E73" s="78">
        <f>IFERROR(__xludf.DUMMYFUNCTION("""COMPUTED_VALUE"""),0.061111111113859806)</f>
        <v>0.06111111111</v>
      </c>
      <c r="F73" s="132">
        <f>IFERROR(__xludf.DUMMYFUNCTION("""COMPUTED_VALUE"""),0.8527777777781012)</f>
        <v>0.8527777778</v>
      </c>
      <c r="G73" s="78">
        <f>IFERROR(__xludf.DUMMYFUNCTION("""COMPUTED_VALUE"""),0.08194444444961846)</f>
        <v>0.08194444445</v>
      </c>
      <c r="H73" s="71">
        <f>IFERROR(__xludf.DUMMYFUNCTION("""COMPUTED_VALUE"""),140.0)</f>
        <v>140</v>
      </c>
      <c r="I73" s="80">
        <f>IFERROR(__xludf.DUMMYFUNCTION("""COMPUTED_VALUE"""),79.83050846953573)</f>
        <v>79.83050847</v>
      </c>
      <c r="J73" s="71" t="str">
        <f>IFERROR(__xludf.DUMMYFUNCTION("""COMPUTED_VALUE"""),"Dinner")</f>
        <v>Dinner</v>
      </c>
      <c r="K73" s="106">
        <f>IFERROR(__xludf.DUMMYFUNCTION("""COMPUTED_VALUE"""),46064.0)</f>
        <v>46064</v>
      </c>
      <c r="L73" s="71" t="str">
        <f>IFERROR(__xludf.DUMMYFUNCTION("""COMPUTED_VALUE"""),"Wednesday")</f>
        <v>Wednesday</v>
      </c>
      <c r="M73" s="71" t="str">
        <f>IFERROR(__xludf.DUMMYFUNCTION("""COMPUTED_VALUE"""),"MF")</f>
        <v>MF</v>
      </c>
      <c r="N73" s="109">
        <f>IFERROR(__xludf.DUMMYFUNCTION("""COMPUTED_VALUE"""),1.7212388838870265)</f>
        <v>1.721238884</v>
      </c>
      <c r="O73" s="71" t="str">
        <f>IFERROR(__xludf.DUMMYFUNCTION("""COMPUTED_VALUE"""),"")</f>
        <v/>
      </c>
      <c r="P73" s="71" t="str">
        <f>IFERROR(__xludf.DUMMYFUNCTION("""COMPUTED_VALUE"""),"")</f>
        <v/>
      </c>
      <c r="Q73" s="78" t="str">
        <f>IFERROR(__xludf.DUMMYFUNCTION("""COMPUTED_VALUE"""),"")</f>
        <v/>
      </c>
      <c r="R73" s="78" t="str">
        <f>IFERROR(__xludf.DUMMYFUNCTION("""COMPUTED_VALUE"""),"")</f>
        <v/>
      </c>
      <c r="S73" s="80" t="str">
        <f>IFERROR(__xludf.DUMMYFUNCTION("""COMPUTED_VALUE"""),"")</f>
        <v/>
      </c>
      <c r="T73" s="80" t="str">
        <f>IFERROR(__xludf.DUMMYFUNCTION("""COMPUTED_VALUE"""),"")</f>
        <v/>
      </c>
      <c r="U73" s="71" t="str">
        <f>IFERROR(__xludf.DUMMYFUNCTION("""COMPUTED_VALUE"""),"")</f>
        <v/>
      </c>
      <c r="V73" s="78" t="str">
        <f>IFERROR(__xludf.DUMMYFUNCTION("""COMPUTED_VALUE"""),"")</f>
        <v/>
      </c>
      <c r="W73" s="62" t="str">
        <f>IFERROR(__xludf.DUMMYFUNCTION("""COMPUTED_VALUE"""),"")</f>
        <v/>
      </c>
      <c r="X73" s="80" t="str">
        <f>IFERROR(__xludf.DUMMYFUNCTION("""COMPUTED_VALUE"""),"")</f>
        <v/>
      </c>
      <c r="Y73" s="109" t="str">
        <f>IFERROR(__xludf.DUMMYFUNCTION("""COMPUTED_VALUE"""),"")</f>
        <v/>
      </c>
      <c r="Z73" s="71"/>
      <c r="AA73" s="71"/>
      <c r="AB73" s="71"/>
    </row>
    <row r="74">
      <c r="A74" s="105">
        <f>IFERROR(__xludf.DUMMYFUNCTION("""COMPUTED_VALUE"""),46064.87220533565)</f>
        <v>46064.87221</v>
      </c>
      <c r="B74" s="71" t="str">
        <f>IFERROR(__xludf.DUMMYFUNCTION("""COMPUTED_VALUE"""),"Brynn Hornig")</f>
        <v>Brynn Hornig</v>
      </c>
      <c r="C74" s="71" t="b">
        <f>IFERROR(__xludf.DUMMYFUNCTION("""COMPUTED_VALUE"""),TRUE)</f>
        <v>1</v>
      </c>
      <c r="D74" s="132">
        <f>IFERROR(__xludf.DUMMYFUNCTION("""COMPUTED_VALUE"""),0.8541666666642413)</f>
        <v>0.8541666667</v>
      </c>
      <c r="E74" s="78">
        <f>IFERROR(__xludf.DUMMYFUNCTION("""COMPUTED_VALUE"""),0.020833333335758653)</f>
        <v>0.02083333334</v>
      </c>
      <c r="F74" s="132">
        <f>IFERROR(__xludf.DUMMYFUNCTION("""COMPUTED_VALUE"""),0.875)</f>
        <v>0.875</v>
      </c>
      <c r="G74" s="78" t="str">
        <f>IFERROR(__xludf.DUMMYFUNCTION("""COMPUTED_VALUE"""),"")</f>
        <v/>
      </c>
      <c r="H74" s="71">
        <f>IFERROR(__xludf.DUMMYFUNCTION("""COMPUTED_VALUE"""),17.0)</f>
        <v>17</v>
      </c>
      <c r="I74" s="80" t="str">
        <f>IFERROR(__xludf.DUMMYFUNCTION("""COMPUTED_VALUE"""),"")</f>
        <v/>
      </c>
      <c r="J74" s="71" t="str">
        <f>IFERROR(__xludf.DUMMYFUNCTION("""COMPUTED_VALUE"""),"Dinner")</f>
        <v>Dinner</v>
      </c>
      <c r="K74" s="106">
        <f>IFERROR(__xludf.DUMMYFUNCTION("""COMPUTED_VALUE"""),46064.0)</f>
        <v>46064</v>
      </c>
      <c r="L74" s="71" t="str">
        <f>IFERROR(__xludf.DUMMYFUNCTION("""COMPUTED_VALUE"""),"Wednesday")</f>
        <v>Wednesday</v>
      </c>
      <c r="M74" s="71" t="str">
        <f>IFERROR(__xludf.DUMMYFUNCTION("""COMPUTED_VALUE"""),"MF")</f>
        <v>MF</v>
      </c>
      <c r="N74" s="109" t="str">
        <f>IFERROR(__xludf.DUMMYFUNCTION("""COMPUTED_VALUE"""),"")</f>
        <v/>
      </c>
      <c r="O74" s="71">
        <f>IFERROR(__xludf.DUMMYFUNCTION("""COMPUTED_VALUE"""),495.0)</f>
        <v>495</v>
      </c>
      <c r="P74" s="71">
        <f>IFERROR(__xludf.DUMMYFUNCTION("""COMPUTED_VALUE"""),149.0)</f>
        <v>149</v>
      </c>
      <c r="Q74" s="78">
        <f>IFERROR(__xludf.DUMMYFUNCTION("""COMPUTED_VALUE"""),0.2729166666758829)</f>
        <v>0.2729166667</v>
      </c>
      <c r="R74" s="78">
        <f>IFERROR(__xludf.DUMMYFUNCTION("""COMPUTED_VALUE"""),0.16666666666424135)</f>
        <v>0.1666666667</v>
      </c>
      <c r="S74" s="80">
        <f>IFERROR(__xludf.DUMMYFUNCTION("""COMPUTED_VALUE"""),79.79973238085479)</f>
        <v>79.79973238</v>
      </c>
      <c r="T74" s="80">
        <f>IFERROR(__xludf.DUMMYFUNCTION("""COMPUTED_VALUE"""),37.25000000054206)</f>
        <v>37.25</v>
      </c>
      <c r="U74" s="71">
        <f>IFERROR(__xludf.DUMMYFUNCTION("""COMPUTED_VALUE"""),644.0)</f>
        <v>644</v>
      </c>
      <c r="V74" s="78">
        <f>IFERROR(__xludf.DUMMYFUNCTION("""COMPUTED_VALUE"""),0.4395833333401242)</f>
        <v>0.4395833333</v>
      </c>
      <c r="W74" s="62">
        <f>IFERROR(__xludf.DUMMYFUNCTION("""COMPUTED_VALUE"""),61.042654027493)</f>
        <v>61.04265403</v>
      </c>
      <c r="X74" s="80">
        <f>IFERROR(__xludf.DUMMYFUNCTION("""COMPUTED_VALUE"""),71.28978590479225)</f>
        <v>71.2897859</v>
      </c>
      <c r="Y74" s="109">
        <f>IFERROR(__xludf.DUMMYFUNCTION("""COMPUTED_VALUE"""),1.075385749159539)</f>
        <v>1.075385749</v>
      </c>
      <c r="Z74" s="71"/>
      <c r="AA74" s="71"/>
      <c r="AB74" s="71"/>
    </row>
    <row r="75">
      <c r="A75" s="105">
        <f>IFERROR(__xludf.DUMMYFUNCTION("""COMPUTED_VALUE"""),46065.36223013889)</f>
        <v>46065.36223</v>
      </c>
      <c r="B75" s="71" t="str">
        <f>IFERROR(__xludf.DUMMYFUNCTION("""COMPUTED_VALUE"""),"Evan Morgan")</f>
        <v>Evan Morgan</v>
      </c>
      <c r="C75" s="71" t="b">
        <f>IFERROR(__xludf.DUMMYFUNCTION("""COMPUTED_VALUE"""),FALSE)</f>
        <v>0</v>
      </c>
      <c r="D75" s="132">
        <f>IFERROR(__xludf.DUMMYFUNCTION("""COMPUTED_VALUE"""),0.29166666666424135)</f>
        <v>0.2916666667</v>
      </c>
      <c r="E75" s="78">
        <f>IFERROR(__xludf.DUMMYFUNCTION("""COMPUTED_VALUE"""),0.06944444444525288)</f>
        <v>0.06944444445</v>
      </c>
      <c r="F75" s="132">
        <f>IFERROR(__xludf.DUMMYFUNCTION("""COMPUTED_VALUE"""),0.36111111110949423)</f>
        <v>0.3611111111</v>
      </c>
      <c r="G75" s="78">
        <f>IFERROR(__xludf.DUMMYFUNCTION("""COMPUTED_VALUE"""),0.06944444444525288)</f>
        <v>0.06944444445</v>
      </c>
      <c r="H75" s="71">
        <f>IFERROR(__xludf.DUMMYFUNCTION("""COMPUTED_VALUE"""),17.0)</f>
        <v>17</v>
      </c>
      <c r="I75" s="80">
        <f>IFERROR(__xludf.DUMMYFUNCTION("""COMPUTED_VALUE"""),10.199999999881257)</f>
        <v>10.2</v>
      </c>
      <c r="J75" s="71" t="str">
        <f>IFERROR(__xludf.DUMMYFUNCTION("""COMPUTED_VALUE"""),"Breakfast")</f>
        <v>Breakfast</v>
      </c>
      <c r="K75" s="106">
        <f>IFERROR(__xludf.DUMMYFUNCTION("""COMPUTED_VALUE"""),46065.0)</f>
        <v>46065</v>
      </c>
      <c r="L75" s="71" t="str">
        <f>IFERROR(__xludf.DUMMYFUNCTION("""COMPUTED_VALUE"""),"Thursday")</f>
        <v>Thursday</v>
      </c>
      <c r="M75" s="71" t="str">
        <f>IFERROR(__xludf.DUMMYFUNCTION("""COMPUTED_VALUE"""),"BF")</f>
        <v>BF</v>
      </c>
      <c r="N75" s="109">
        <f>IFERROR(__xludf.DUMMYFUNCTION("""COMPUTED_VALUE"""),0.3597801191054236)</f>
        <v>0.3597801191</v>
      </c>
      <c r="O75" s="71" t="str">
        <f>IFERROR(__xludf.DUMMYFUNCTION("""COMPUTED_VALUE"""),"")</f>
        <v/>
      </c>
      <c r="P75" s="71" t="str">
        <f>IFERROR(__xludf.DUMMYFUNCTION("""COMPUTED_VALUE"""),"")</f>
        <v/>
      </c>
      <c r="Q75" s="78" t="str">
        <f>IFERROR(__xludf.DUMMYFUNCTION("""COMPUTED_VALUE"""),"")</f>
        <v/>
      </c>
      <c r="R75" s="78" t="str">
        <f>IFERROR(__xludf.DUMMYFUNCTION("""COMPUTED_VALUE"""),"")</f>
        <v/>
      </c>
      <c r="S75" s="80" t="str">
        <f>IFERROR(__xludf.DUMMYFUNCTION("""COMPUTED_VALUE"""),"")</f>
        <v/>
      </c>
      <c r="T75" s="80" t="str">
        <f>IFERROR(__xludf.DUMMYFUNCTION("""COMPUTED_VALUE"""),"")</f>
        <v/>
      </c>
      <c r="U75" s="71" t="str">
        <f>IFERROR(__xludf.DUMMYFUNCTION("""COMPUTED_VALUE"""),"")</f>
        <v/>
      </c>
      <c r="V75" s="78" t="str">
        <f>IFERROR(__xludf.DUMMYFUNCTION("""COMPUTED_VALUE"""),"")</f>
        <v/>
      </c>
      <c r="W75" s="62" t="str">
        <f>IFERROR(__xludf.DUMMYFUNCTION("""COMPUTED_VALUE"""),"")</f>
        <v/>
      </c>
      <c r="X75" s="80" t="str">
        <f>IFERROR(__xludf.DUMMYFUNCTION("""COMPUTED_VALUE"""),"")</f>
        <v/>
      </c>
      <c r="Y75" s="109" t="str">
        <f>IFERROR(__xludf.DUMMYFUNCTION("""COMPUTED_VALUE"""),"")</f>
        <v/>
      </c>
      <c r="Z75" s="71"/>
      <c r="AA75" s="71"/>
      <c r="AB75" s="71"/>
    </row>
    <row r="76">
      <c r="A76" s="105">
        <f>IFERROR(__xludf.DUMMYFUNCTION("""COMPUTED_VALUE"""),46065.45889394676)</f>
        <v>46065.45889</v>
      </c>
      <c r="B76" s="71" t="str">
        <f>IFERROR(__xludf.DUMMYFUNCTION("""COMPUTED_VALUE"""),"Sophia Kluck")</f>
        <v>Sophia Kluck</v>
      </c>
      <c r="C76" s="71" t="b">
        <f>IFERROR(__xludf.DUMMYFUNCTION("""COMPUTED_VALUE"""),FALSE)</f>
        <v>0</v>
      </c>
      <c r="D76" s="132">
        <f>IFERROR(__xludf.DUMMYFUNCTION("""COMPUTED_VALUE"""),0.36597222222189885)</f>
        <v>0.3659722222</v>
      </c>
      <c r="E76" s="78">
        <f>IFERROR(__xludf.DUMMYFUNCTION("""COMPUTED_VALUE"""),0.08125000000291038)</f>
        <v>0.08125</v>
      </c>
      <c r="F76" s="132">
        <f>IFERROR(__xludf.DUMMYFUNCTION("""COMPUTED_VALUE"""),0.44722222222480923)</f>
        <v>0.4472222222</v>
      </c>
      <c r="G76" s="78">
        <f>IFERROR(__xludf.DUMMYFUNCTION("""COMPUTED_VALUE"""),0.10833333332993789)</f>
        <v>0.1083333333</v>
      </c>
      <c r="H76" s="71">
        <f>IFERROR(__xludf.DUMMYFUNCTION("""COMPUTED_VALUE"""),87.0)</f>
        <v>87</v>
      </c>
      <c r="I76" s="80">
        <f>IFERROR(__xludf.DUMMYFUNCTION("""COMPUTED_VALUE"""),42.69230769364578)</f>
        <v>42.69230769</v>
      </c>
      <c r="J76" s="71" t="str">
        <f>IFERROR(__xludf.DUMMYFUNCTION("""COMPUTED_VALUE"""),"Breakfast")</f>
        <v>Breakfast</v>
      </c>
      <c r="K76" s="106">
        <f>IFERROR(__xludf.DUMMYFUNCTION("""COMPUTED_VALUE"""),46065.0)</f>
        <v>46065</v>
      </c>
      <c r="L76" s="71" t="str">
        <f>IFERROR(__xludf.DUMMYFUNCTION("""COMPUTED_VALUE"""),"Thursday")</f>
        <v>Thursday</v>
      </c>
      <c r="M76" s="71" t="str">
        <f>IFERROR(__xludf.DUMMYFUNCTION("""COMPUTED_VALUE"""),"BF")</f>
        <v>BF</v>
      </c>
      <c r="N76" s="109">
        <f>IFERROR(__xludf.DUMMYFUNCTION("""COMPUTED_VALUE"""),1.5058670144200084)</f>
        <v>1.505867014</v>
      </c>
      <c r="O76" s="71" t="str">
        <f>IFERROR(__xludf.DUMMYFUNCTION("""COMPUTED_VALUE"""),"")</f>
        <v/>
      </c>
      <c r="P76" s="71" t="str">
        <f>IFERROR(__xludf.DUMMYFUNCTION("""COMPUTED_VALUE"""),"")</f>
        <v/>
      </c>
      <c r="Q76" s="78" t="str">
        <f>IFERROR(__xludf.DUMMYFUNCTION("""COMPUTED_VALUE"""),"")</f>
        <v/>
      </c>
      <c r="R76" s="78" t="str">
        <f>IFERROR(__xludf.DUMMYFUNCTION("""COMPUTED_VALUE"""),"")</f>
        <v/>
      </c>
      <c r="S76" s="80" t="str">
        <f>IFERROR(__xludf.DUMMYFUNCTION("""COMPUTED_VALUE"""),"")</f>
        <v/>
      </c>
      <c r="T76" s="80" t="str">
        <f>IFERROR(__xludf.DUMMYFUNCTION("""COMPUTED_VALUE"""),"")</f>
        <v/>
      </c>
      <c r="U76" s="71" t="str">
        <f>IFERROR(__xludf.DUMMYFUNCTION("""COMPUTED_VALUE"""),"")</f>
        <v/>
      </c>
      <c r="V76" s="78" t="str">
        <f>IFERROR(__xludf.DUMMYFUNCTION("""COMPUTED_VALUE"""),"")</f>
        <v/>
      </c>
      <c r="W76" s="62" t="str">
        <f>IFERROR(__xludf.DUMMYFUNCTION("""COMPUTED_VALUE"""),"")</f>
        <v/>
      </c>
      <c r="X76" s="80" t="str">
        <f>IFERROR(__xludf.DUMMYFUNCTION("""COMPUTED_VALUE"""),"")</f>
        <v/>
      </c>
      <c r="Y76" s="109" t="str">
        <f>IFERROR(__xludf.DUMMYFUNCTION("""COMPUTED_VALUE"""),"")</f>
        <v/>
      </c>
      <c r="Z76" s="71"/>
      <c r="AA76" s="71"/>
      <c r="AB76" s="71"/>
    </row>
    <row r="77">
      <c r="A77" s="105">
        <f>IFERROR(__xludf.DUMMYFUNCTION("""COMPUTED_VALUE"""),46065.479420972224)</f>
        <v>46065.47942</v>
      </c>
      <c r="B77" s="71" t="str">
        <f>IFERROR(__xludf.DUMMYFUNCTION("""COMPUTED_VALUE"""),"Sophia Kluck")</f>
        <v>Sophia Kluck</v>
      </c>
      <c r="C77" s="71" t="b">
        <f>IFERROR(__xludf.DUMMYFUNCTION("""COMPUTED_VALUE"""),TRUE)</f>
        <v>1</v>
      </c>
      <c r="D77" s="132">
        <f>IFERROR(__xludf.DUMMYFUNCTION("""COMPUTED_VALUE"""),0.4493055555576575)</f>
        <v>0.4493055556</v>
      </c>
      <c r="E77" s="78">
        <f>IFERROR(__xludf.DUMMYFUNCTION("""COMPUTED_VALUE"""),0.027083333327027503)</f>
        <v>0.02708333333</v>
      </c>
      <c r="F77" s="132">
        <f>IFERROR(__xludf.DUMMYFUNCTION("""COMPUTED_VALUE"""),0.476388888884685)</f>
        <v>0.4763888889</v>
      </c>
      <c r="G77" s="78" t="str">
        <f>IFERROR(__xludf.DUMMYFUNCTION("""COMPUTED_VALUE"""),"")</f>
        <v/>
      </c>
      <c r="H77" s="71">
        <f>IFERROR(__xludf.DUMMYFUNCTION("""COMPUTED_VALUE"""),24.0)</f>
        <v>24</v>
      </c>
      <c r="I77" s="80" t="str">
        <f>IFERROR(__xludf.DUMMYFUNCTION("""COMPUTED_VALUE"""),"")</f>
        <v/>
      </c>
      <c r="J77" s="71" t="str">
        <f>IFERROR(__xludf.DUMMYFUNCTION("""COMPUTED_VALUE"""),"Breakfast/Lunch")</f>
        <v>Breakfast/Lunch</v>
      </c>
      <c r="K77" s="106">
        <f>IFERROR(__xludf.DUMMYFUNCTION("""COMPUTED_VALUE"""),46065.0)</f>
        <v>46065</v>
      </c>
      <c r="L77" s="71" t="str">
        <f>IFERROR(__xludf.DUMMYFUNCTION("""COMPUTED_VALUE"""),"Thursday")</f>
        <v>Thursday</v>
      </c>
      <c r="M77" s="71" t="str">
        <f>IFERROR(__xludf.DUMMYFUNCTION("""COMPUTED_VALUE"""),"BF")</f>
        <v>BF</v>
      </c>
      <c r="N77" s="109" t="str">
        <f>IFERROR(__xludf.DUMMYFUNCTION("""COMPUTED_VALUE"""),"")</f>
        <v/>
      </c>
      <c r="O77" s="71" t="str">
        <f>IFERROR(__xludf.DUMMYFUNCTION("""COMPUTED_VALUE"""),"")</f>
        <v/>
      </c>
      <c r="P77" s="71" t="str">
        <f>IFERROR(__xludf.DUMMYFUNCTION("""COMPUTED_VALUE"""),"")</f>
        <v/>
      </c>
      <c r="Q77" s="78" t="str">
        <f>IFERROR(__xludf.DUMMYFUNCTION("""COMPUTED_VALUE"""),"")</f>
        <v/>
      </c>
      <c r="R77" s="78" t="str">
        <f>IFERROR(__xludf.DUMMYFUNCTION("""COMPUTED_VALUE"""),"")</f>
        <v/>
      </c>
      <c r="S77" s="80" t="str">
        <f>IFERROR(__xludf.DUMMYFUNCTION("""COMPUTED_VALUE"""),"")</f>
        <v/>
      </c>
      <c r="T77" s="80" t="str">
        <f>IFERROR(__xludf.DUMMYFUNCTION("""COMPUTED_VALUE"""),"")</f>
        <v/>
      </c>
      <c r="U77" s="71" t="str">
        <f>IFERROR(__xludf.DUMMYFUNCTION("""COMPUTED_VALUE"""),"")</f>
        <v/>
      </c>
      <c r="V77" s="78" t="str">
        <f>IFERROR(__xludf.DUMMYFUNCTION("""COMPUTED_VALUE"""),"")</f>
        <v/>
      </c>
      <c r="W77" s="62" t="str">
        <f>IFERROR(__xludf.DUMMYFUNCTION("""COMPUTED_VALUE"""),"")</f>
        <v/>
      </c>
      <c r="X77" s="80" t="str">
        <f>IFERROR(__xludf.DUMMYFUNCTION("""COMPUTED_VALUE"""),"")</f>
        <v/>
      </c>
      <c r="Y77" s="109" t="str">
        <f>IFERROR(__xludf.DUMMYFUNCTION("""COMPUTED_VALUE"""),"")</f>
        <v/>
      </c>
      <c r="Z77" s="71"/>
      <c r="AA77" s="71"/>
      <c r="AB77" s="71"/>
    </row>
    <row r="78">
      <c r="A78" s="105">
        <f>IFERROR(__xludf.DUMMYFUNCTION("""COMPUTED_VALUE"""),46065.529068749995)</f>
        <v>46065.52907</v>
      </c>
      <c r="B78" s="71" t="str">
        <f>IFERROR(__xludf.DUMMYFUNCTION("""COMPUTED_VALUE"""),"Emmett Khan")</f>
        <v>Emmett Khan</v>
      </c>
      <c r="C78" s="71" t="b">
        <f>IFERROR(__xludf.DUMMYFUNCTION("""COMPUTED_VALUE"""),FALSE)</f>
        <v>0</v>
      </c>
      <c r="D78" s="132">
        <f>IFERROR(__xludf.DUMMYFUNCTION("""COMPUTED_VALUE"""),0.47916666666424135)</f>
        <v>0.4791666667</v>
      </c>
      <c r="E78" s="78">
        <f>IFERROR(__xludf.DUMMYFUNCTION("""COMPUTED_VALUE"""),0.05208333333575865)</f>
        <v>0.05208333334</v>
      </c>
      <c r="F78" s="132">
        <f>IFERROR(__xludf.DUMMYFUNCTION("""COMPUTED_VALUE"""),0.53125)</f>
        <v>0.53125</v>
      </c>
      <c r="G78" s="78">
        <f>IFERROR(__xludf.DUMMYFUNCTION("""COMPUTED_VALUE"""),0.05208333333575865)</f>
        <v>0.05208333334</v>
      </c>
      <c r="H78" s="71">
        <f>IFERROR(__xludf.DUMMYFUNCTION("""COMPUTED_VALUE"""),69.0)</f>
        <v>69</v>
      </c>
      <c r="I78" s="80">
        <f>IFERROR(__xludf.DUMMYFUNCTION("""COMPUTED_VALUE"""),55.19999999742955)</f>
        <v>55.2</v>
      </c>
      <c r="J78" s="71" t="str">
        <f>IFERROR(__xludf.DUMMYFUNCTION("""COMPUTED_VALUE"""),"Lunch")</f>
        <v>Lunch</v>
      </c>
      <c r="K78" s="106">
        <f>IFERROR(__xludf.DUMMYFUNCTION("""COMPUTED_VALUE"""),46065.0)</f>
        <v>46065</v>
      </c>
      <c r="L78" s="71" t="str">
        <f>IFERROR(__xludf.DUMMYFUNCTION("""COMPUTED_VALUE"""),"Thursday")</f>
        <v>Thursday</v>
      </c>
      <c r="M78" s="71" t="str">
        <f>IFERROR(__xludf.DUMMYFUNCTION("""COMPUTED_VALUE"""),"MF")</f>
        <v>MF</v>
      </c>
      <c r="N78" s="109">
        <f>IFERROR(__xludf.DUMMYFUNCTION("""COMPUTED_VALUE"""),1.0979067415473243)</f>
        <v>1.097906742</v>
      </c>
      <c r="O78" s="71" t="str">
        <f>IFERROR(__xludf.DUMMYFUNCTION("""COMPUTED_VALUE"""),"")</f>
        <v/>
      </c>
      <c r="P78" s="71" t="str">
        <f>IFERROR(__xludf.DUMMYFUNCTION("""COMPUTED_VALUE"""),"")</f>
        <v/>
      </c>
      <c r="Q78" s="78" t="str">
        <f>IFERROR(__xludf.DUMMYFUNCTION("""COMPUTED_VALUE"""),"")</f>
        <v/>
      </c>
      <c r="R78" s="78" t="str">
        <f>IFERROR(__xludf.DUMMYFUNCTION("""COMPUTED_VALUE"""),"")</f>
        <v/>
      </c>
      <c r="S78" s="80" t="str">
        <f>IFERROR(__xludf.DUMMYFUNCTION("""COMPUTED_VALUE"""),"")</f>
        <v/>
      </c>
      <c r="T78" s="80" t="str">
        <f>IFERROR(__xludf.DUMMYFUNCTION("""COMPUTED_VALUE"""),"")</f>
        <v/>
      </c>
      <c r="U78" s="71" t="str">
        <f>IFERROR(__xludf.DUMMYFUNCTION("""COMPUTED_VALUE"""),"")</f>
        <v/>
      </c>
      <c r="V78" s="78" t="str">
        <f>IFERROR(__xludf.DUMMYFUNCTION("""COMPUTED_VALUE"""),"")</f>
        <v/>
      </c>
      <c r="W78" s="62" t="str">
        <f>IFERROR(__xludf.DUMMYFUNCTION("""COMPUTED_VALUE"""),"")</f>
        <v/>
      </c>
      <c r="X78" s="80" t="str">
        <f>IFERROR(__xludf.DUMMYFUNCTION("""COMPUTED_VALUE"""),"")</f>
        <v/>
      </c>
      <c r="Y78" s="109" t="str">
        <f>IFERROR(__xludf.DUMMYFUNCTION("""COMPUTED_VALUE"""),"")</f>
        <v/>
      </c>
      <c r="Z78" s="71"/>
      <c r="AA78" s="71"/>
      <c r="AB78" s="71"/>
    </row>
    <row r="79">
      <c r="A79" s="105">
        <f>IFERROR(__xludf.DUMMYFUNCTION("""COMPUTED_VALUE"""),46065.5833193287)</f>
        <v>46065.58332</v>
      </c>
      <c r="B79" s="71" t="str">
        <f>IFERROR(__xludf.DUMMYFUNCTION("""COMPUTED_VALUE"""),"Kyra Turner")</f>
        <v>Kyra Turner</v>
      </c>
      <c r="C79" s="71" t="b">
        <f>IFERROR(__xludf.DUMMYFUNCTION("""COMPUTED_VALUE"""),FALSE)</f>
        <v>0</v>
      </c>
      <c r="D79" s="132">
        <f>IFERROR(__xludf.DUMMYFUNCTION("""COMPUTED_VALUE"""),0.5027777777795563)</f>
        <v>0.5027777778</v>
      </c>
      <c r="E79" s="78">
        <f>IFERROR(__xludf.DUMMYFUNCTION("""COMPUTED_VALUE"""),0.07986111110949423)</f>
        <v>0.07986111111</v>
      </c>
      <c r="F79" s="132">
        <f>IFERROR(__xludf.DUMMYFUNCTION("""COMPUTED_VALUE"""),0.5826388888890506)</f>
        <v>0.5826388889</v>
      </c>
      <c r="G79" s="78">
        <f>IFERROR(__xludf.DUMMYFUNCTION("""COMPUTED_VALUE"""),0.13749999999708962)</f>
        <v>0.1375</v>
      </c>
      <c r="H79" s="71">
        <f>IFERROR(__xludf.DUMMYFUNCTION("""COMPUTED_VALUE"""),104.0)</f>
        <v>104</v>
      </c>
      <c r="I79" s="80">
        <f>IFERROR(__xludf.DUMMYFUNCTION("""COMPUTED_VALUE"""),50.00000000105832)</f>
        <v>50</v>
      </c>
      <c r="J79" s="71" t="str">
        <f>IFERROR(__xludf.DUMMYFUNCTION("""COMPUTED_VALUE"""),"Lunch")</f>
        <v>Lunch</v>
      </c>
      <c r="K79" s="106">
        <f>IFERROR(__xludf.DUMMYFUNCTION("""COMPUTED_VALUE"""),46065.0)</f>
        <v>46065</v>
      </c>
      <c r="L79" s="71" t="str">
        <f>IFERROR(__xludf.DUMMYFUNCTION("""COMPUTED_VALUE"""),"Thursday")</f>
        <v>Thursday</v>
      </c>
      <c r="M79" s="71" t="str">
        <f>IFERROR(__xludf.DUMMYFUNCTION("""COMPUTED_VALUE"""),"BF")</f>
        <v>BF</v>
      </c>
      <c r="N79" s="109">
        <f>IFERROR(__xludf.DUMMYFUNCTION("""COMPUTED_VALUE"""),1.7636280348883688)</f>
        <v>1.763628035</v>
      </c>
      <c r="O79" s="71" t="str">
        <f>IFERROR(__xludf.DUMMYFUNCTION("""COMPUTED_VALUE"""),"")</f>
        <v/>
      </c>
      <c r="P79" s="71" t="str">
        <f>IFERROR(__xludf.DUMMYFUNCTION("""COMPUTED_VALUE"""),"")</f>
        <v/>
      </c>
      <c r="Q79" s="78" t="str">
        <f>IFERROR(__xludf.DUMMYFUNCTION("""COMPUTED_VALUE"""),"")</f>
        <v/>
      </c>
      <c r="R79" s="78" t="str">
        <f>IFERROR(__xludf.DUMMYFUNCTION("""COMPUTED_VALUE"""),"")</f>
        <v/>
      </c>
      <c r="S79" s="80" t="str">
        <f>IFERROR(__xludf.DUMMYFUNCTION("""COMPUTED_VALUE"""),"")</f>
        <v/>
      </c>
      <c r="T79" s="80" t="str">
        <f>IFERROR(__xludf.DUMMYFUNCTION("""COMPUTED_VALUE"""),"")</f>
        <v/>
      </c>
      <c r="U79" s="71" t="str">
        <f>IFERROR(__xludf.DUMMYFUNCTION("""COMPUTED_VALUE"""),"")</f>
        <v/>
      </c>
      <c r="V79" s="78" t="str">
        <f>IFERROR(__xludf.DUMMYFUNCTION("""COMPUTED_VALUE"""),"")</f>
        <v/>
      </c>
      <c r="W79" s="62" t="str">
        <f>IFERROR(__xludf.DUMMYFUNCTION("""COMPUTED_VALUE"""),"")</f>
        <v/>
      </c>
      <c r="X79" s="80" t="str">
        <f>IFERROR(__xludf.DUMMYFUNCTION("""COMPUTED_VALUE"""),"")</f>
        <v/>
      </c>
      <c r="Y79" s="109" t="str">
        <f>IFERROR(__xludf.DUMMYFUNCTION("""COMPUTED_VALUE"""),"")</f>
        <v/>
      </c>
      <c r="Z79" s="71"/>
      <c r="AA79" s="71"/>
      <c r="AB79" s="71"/>
    </row>
    <row r="80">
      <c r="A80" s="105">
        <f>IFERROR(__xludf.DUMMYFUNCTION("""COMPUTED_VALUE"""),46065.64349488426)</f>
        <v>46065.64349</v>
      </c>
      <c r="B80" s="71" t="str">
        <f>IFERROR(__xludf.DUMMYFUNCTION("""COMPUTED_VALUE"""),"Kyra Turner")</f>
        <v>Kyra Turner</v>
      </c>
      <c r="C80" s="71" t="b">
        <f>IFERROR(__xludf.DUMMYFUNCTION("""COMPUTED_VALUE"""),TRUE)</f>
        <v>1</v>
      </c>
      <c r="D80" s="132">
        <f>IFERROR(__xludf.DUMMYFUNCTION("""COMPUTED_VALUE"""),0.5847222222218988)</f>
        <v>0.5847222222</v>
      </c>
      <c r="E80" s="78">
        <f>IFERROR(__xludf.DUMMYFUNCTION("""COMPUTED_VALUE"""),0.057638888887595385)</f>
        <v>0.05763888889</v>
      </c>
      <c r="F80" s="132">
        <f>IFERROR(__xludf.DUMMYFUNCTION("""COMPUTED_VALUE"""),0.6423611111094942)</f>
        <v>0.6423611111</v>
      </c>
      <c r="G80" s="78" t="str">
        <f>IFERROR(__xludf.DUMMYFUNCTION("""COMPUTED_VALUE"""),"")</f>
        <v/>
      </c>
      <c r="H80" s="71">
        <f>IFERROR(__xludf.DUMMYFUNCTION("""COMPUTED_VALUE"""),61.0)</f>
        <v>61</v>
      </c>
      <c r="I80" s="80" t="str">
        <f>IFERROR(__xludf.DUMMYFUNCTION("""COMPUTED_VALUE"""),"")</f>
        <v/>
      </c>
      <c r="J80" s="71" t="str">
        <f>IFERROR(__xludf.DUMMYFUNCTION("""COMPUTED_VALUE"""),"Lunch")</f>
        <v>Lunch</v>
      </c>
      <c r="K80" s="106">
        <f>IFERROR(__xludf.DUMMYFUNCTION("""COMPUTED_VALUE"""),46065.0)</f>
        <v>46065</v>
      </c>
      <c r="L80" s="71" t="str">
        <f>IFERROR(__xludf.DUMMYFUNCTION("""COMPUTED_VALUE"""),"Thursday")</f>
        <v>Thursday</v>
      </c>
      <c r="M80" s="71" t="str">
        <f>IFERROR(__xludf.DUMMYFUNCTION("""COMPUTED_VALUE"""),"BF")</f>
        <v>BF</v>
      </c>
      <c r="N80" s="109" t="str">
        <f>IFERROR(__xludf.DUMMYFUNCTION("""COMPUTED_VALUE"""),"")</f>
        <v/>
      </c>
      <c r="O80" s="71" t="str">
        <f>IFERROR(__xludf.DUMMYFUNCTION("""COMPUTED_VALUE"""),"")</f>
        <v/>
      </c>
      <c r="P80" s="71" t="str">
        <f>IFERROR(__xludf.DUMMYFUNCTION("""COMPUTED_VALUE"""),"")</f>
        <v/>
      </c>
      <c r="Q80" s="78" t="str">
        <f>IFERROR(__xludf.DUMMYFUNCTION("""COMPUTED_VALUE"""),"")</f>
        <v/>
      </c>
      <c r="R80" s="78" t="str">
        <f>IFERROR(__xludf.DUMMYFUNCTION("""COMPUTED_VALUE"""),"")</f>
        <v/>
      </c>
      <c r="S80" s="80" t="str">
        <f>IFERROR(__xludf.DUMMYFUNCTION("""COMPUTED_VALUE"""),"")</f>
        <v/>
      </c>
      <c r="T80" s="80" t="str">
        <f>IFERROR(__xludf.DUMMYFUNCTION("""COMPUTED_VALUE"""),"")</f>
        <v/>
      </c>
      <c r="U80" s="71" t="str">
        <f>IFERROR(__xludf.DUMMYFUNCTION("""COMPUTED_VALUE"""),"")</f>
        <v/>
      </c>
      <c r="V80" s="78" t="str">
        <f>IFERROR(__xludf.DUMMYFUNCTION("""COMPUTED_VALUE"""),"")</f>
        <v/>
      </c>
      <c r="W80" s="62" t="str">
        <f>IFERROR(__xludf.DUMMYFUNCTION("""COMPUTED_VALUE"""),"")</f>
        <v/>
      </c>
      <c r="X80" s="80" t="str">
        <f>IFERROR(__xludf.DUMMYFUNCTION("""COMPUTED_VALUE"""),"")</f>
        <v/>
      </c>
      <c r="Y80" s="109" t="str">
        <f>IFERROR(__xludf.DUMMYFUNCTION("""COMPUTED_VALUE"""),"")</f>
        <v/>
      </c>
      <c r="Z80" s="71"/>
      <c r="AA80" s="71"/>
      <c r="AB80" s="71"/>
    </row>
    <row r="81">
      <c r="A81" s="105">
        <f>IFERROR(__xludf.DUMMYFUNCTION("""COMPUTED_VALUE"""),46065.777530879626)</f>
        <v>46065.77753</v>
      </c>
      <c r="B81" s="71" t="str">
        <f>IFERROR(__xludf.DUMMYFUNCTION("""COMPUTED_VALUE"""),"Emmett Khan")</f>
        <v>Emmett Khan</v>
      </c>
      <c r="C81" s="71" t="b">
        <f>IFERROR(__xludf.DUMMYFUNCTION("""COMPUTED_VALUE"""),FALSE)</f>
        <v>0</v>
      </c>
      <c r="D81" s="132">
        <f>IFERROR(__xludf.DUMMYFUNCTION("""COMPUTED_VALUE"""),0.7083333333357587)</f>
        <v>0.7083333333</v>
      </c>
      <c r="E81" s="78">
        <f>IFERROR(__xludf.DUMMYFUNCTION("""COMPUTED_VALUE"""),0.07291666666424135)</f>
        <v>0.07291666666</v>
      </c>
      <c r="F81" s="132">
        <f>IFERROR(__xludf.DUMMYFUNCTION("""COMPUTED_VALUE"""),0.78125)</f>
        <v>0.78125</v>
      </c>
      <c r="G81" s="78">
        <f>IFERROR(__xludf.DUMMYFUNCTION("""COMPUTED_VALUE"""),0.07291666666424135)</f>
        <v>0.07291666666</v>
      </c>
      <c r="H81" s="71">
        <f>IFERROR(__xludf.DUMMYFUNCTION("""COMPUTED_VALUE"""),115.0)</f>
        <v>115</v>
      </c>
      <c r="I81" s="80">
        <f>IFERROR(__xludf.DUMMYFUNCTION("""COMPUTED_VALUE"""),65.71428571647147)</f>
        <v>65.71428572</v>
      </c>
      <c r="J81" s="71" t="str">
        <f>IFERROR(__xludf.DUMMYFUNCTION("""COMPUTED_VALUE"""),"Dinner")</f>
        <v>Dinner</v>
      </c>
      <c r="K81" s="106">
        <f>IFERROR(__xludf.DUMMYFUNCTION("""COMPUTED_VALUE"""),46065.0)</f>
        <v>46065</v>
      </c>
      <c r="L81" s="71" t="str">
        <f>IFERROR(__xludf.DUMMYFUNCTION("""COMPUTED_VALUE"""),"Thursday")</f>
        <v>Thursday</v>
      </c>
      <c r="M81" s="71" t="str">
        <f>IFERROR(__xludf.DUMMYFUNCTION("""COMPUTED_VALUE"""),"MF")</f>
        <v>MF</v>
      </c>
      <c r="N81" s="109">
        <f>IFERROR(__xludf.DUMMYFUNCTION("""COMPUTED_VALUE"""),1.416876654934706)</f>
        <v>1.416876655</v>
      </c>
      <c r="O81" s="71" t="str">
        <f>IFERROR(__xludf.DUMMYFUNCTION("""COMPUTED_VALUE"""),"")</f>
        <v/>
      </c>
      <c r="P81" s="71" t="str">
        <f>IFERROR(__xludf.DUMMYFUNCTION("""COMPUTED_VALUE"""),"")</f>
        <v/>
      </c>
      <c r="Q81" s="78" t="str">
        <f>IFERROR(__xludf.DUMMYFUNCTION("""COMPUTED_VALUE"""),"")</f>
        <v/>
      </c>
      <c r="R81" s="78" t="str">
        <f>IFERROR(__xludf.DUMMYFUNCTION("""COMPUTED_VALUE"""),"")</f>
        <v/>
      </c>
      <c r="S81" s="80" t="str">
        <f>IFERROR(__xludf.DUMMYFUNCTION("""COMPUTED_VALUE"""),"")</f>
        <v/>
      </c>
      <c r="T81" s="80" t="str">
        <f>IFERROR(__xludf.DUMMYFUNCTION("""COMPUTED_VALUE"""),"")</f>
        <v/>
      </c>
      <c r="U81" s="71" t="str">
        <f>IFERROR(__xludf.DUMMYFUNCTION("""COMPUTED_VALUE"""),"")</f>
        <v/>
      </c>
      <c r="V81" s="78" t="str">
        <f>IFERROR(__xludf.DUMMYFUNCTION("""COMPUTED_VALUE"""),"")</f>
        <v/>
      </c>
      <c r="W81" s="62" t="str">
        <f>IFERROR(__xludf.DUMMYFUNCTION("""COMPUTED_VALUE"""),"")</f>
        <v/>
      </c>
      <c r="X81" s="80" t="str">
        <f>IFERROR(__xludf.DUMMYFUNCTION("""COMPUTED_VALUE"""),"")</f>
        <v/>
      </c>
      <c r="Y81" s="109" t="str">
        <f>IFERROR(__xludf.DUMMYFUNCTION("""COMPUTED_VALUE"""),"")</f>
        <v/>
      </c>
      <c r="Z81" s="71"/>
      <c r="AA81" s="71"/>
      <c r="AB81" s="71"/>
    </row>
    <row r="82">
      <c r="A82" s="105">
        <f>IFERROR(__xludf.DUMMYFUNCTION("""COMPUTED_VALUE"""),46065.85007502315)</f>
        <v>46065.85008</v>
      </c>
      <c r="B82" s="71" t="str">
        <f>IFERROR(__xludf.DUMMYFUNCTION("""COMPUTED_VALUE"""),"Leah Bucci")</f>
        <v>Leah Bucci</v>
      </c>
      <c r="C82" s="71" t="b">
        <f>IFERROR(__xludf.DUMMYFUNCTION("""COMPUTED_VALUE"""),FALSE)</f>
        <v>0</v>
      </c>
      <c r="D82" s="132">
        <f>IFERROR(__xludf.DUMMYFUNCTION("""COMPUTED_VALUE"""),0.6875)</f>
        <v>0.6875</v>
      </c>
      <c r="E82" s="78">
        <f>IFERROR(__xludf.DUMMYFUNCTION("""COMPUTED_VALUE"""),0.08333333333575865)</f>
        <v>0.08333333334</v>
      </c>
      <c r="F82" s="132">
        <f>IFERROR(__xludf.DUMMYFUNCTION("""COMPUTED_VALUE"""),0.7708333333357587)</f>
        <v>0.7708333333</v>
      </c>
      <c r="G82" s="78">
        <f>IFERROR(__xludf.DUMMYFUNCTION("""COMPUTED_VALUE"""),0.15972222221898846)</f>
        <v>0.1597222222</v>
      </c>
      <c r="H82" s="71">
        <f>IFERROR(__xludf.DUMMYFUNCTION("""COMPUTED_VALUE"""),64.0)</f>
        <v>64</v>
      </c>
      <c r="I82" s="80">
        <f>IFERROR(__xludf.DUMMYFUNCTION("""COMPUTED_VALUE"""),44.34782608785439)</f>
        <v>44.34782609</v>
      </c>
      <c r="J82" s="71" t="str">
        <f>IFERROR(__xludf.DUMMYFUNCTION("""COMPUTED_VALUE"""),"Dinner")</f>
        <v>Dinner</v>
      </c>
      <c r="K82" s="106">
        <f>IFERROR(__xludf.DUMMYFUNCTION("""COMPUTED_VALUE"""),46065.0)</f>
        <v>46065</v>
      </c>
      <c r="L82" s="71" t="str">
        <f>IFERROR(__xludf.DUMMYFUNCTION("""COMPUTED_VALUE"""),"Thursday")</f>
        <v>Thursday</v>
      </c>
      <c r="M82" s="71" t="str">
        <f>IFERROR(__xludf.DUMMYFUNCTION("""COMPUTED_VALUE"""),"BF")</f>
        <v>BF</v>
      </c>
      <c r="N82" s="109">
        <f>IFERROR(__xludf.DUMMYFUNCTION("""COMPUTED_VALUE"""),0.9981096408374415)</f>
        <v>0.9981096408</v>
      </c>
      <c r="O82" s="71" t="str">
        <f>IFERROR(__xludf.DUMMYFUNCTION("""COMPUTED_VALUE"""),"")</f>
        <v/>
      </c>
      <c r="P82" s="71" t="str">
        <f>IFERROR(__xludf.DUMMYFUNCTION("""COMPUTED_VALUE"""),"")</f>
        <v/>
      </c>
      <c r="Q82" s="78" t="str">
        <f>IFERROR(__xludf.DUMMYFUNCTION("""COMPUTED_VALUE"""),"")</f>
        <v/>
      </c>
      <c r="R82" s="78" t="str">
        <f>IFERROR(__xludf.DUMMYFUNCTION("""COMPUTED_VALUE"""),"")</f>
        <v/>
      </c>
      <c r="S82" s="80" t="str">
        <f>IFERROR(__xludf.DUMMYFUNCTION("""COMPUTED_VALUE"""),"")</f>
        <v/>
      </c>
      <c r="T82" s="80" t="str">
        <f>IFERROR(__xludf.DUMMYFUNCTION("""COMPUTED_VALUE"""),"")</f>
        <v/>
      </c>
      <c r="U82" s="71" t="str">
        <f>IFERROR(__xludf.DUMMYFUNCTION("""COMPUTED_VALUE"""),"")</f>
        <v/>
      </c>
      <c r="V82" s="78" t="str">
        <f>IFERROR(__xludf.DUMMYFUNCTION("""COMPUTED_VALUE"""),"")</f>
        <v/>
      </c>
      <c r="W82" s="62" t="str">
        <f>IFERROR(__xludf.DUMMYFUNCTION("""COMPUTED_VALUE"""),"")</f>
        <v/>
      </c>
      <c r="X82" s="80" t="str">
        <f>IFERROR(__xludf.DUMMYFUNCTION("""COMPUTED_VALUE"""),"")</f>
        <v/>
      </c>
      <c r="Y82" s="109" t="str">
        <f>IFERROR(__xludf.DUMMYFUNCTION("""COMPUTED_VALUE"""),"")</f>
        <v/>
      </c>
      <c r="Z82" s="71"/>
      <c r="AA82" s="71"/>
      <c r="AB82" s="71"/>
    </row>
    <row r="83">
      <c r="A83" s="105">
        <f>IFERROR(__xludf.DUMMYFUNCTION("""COMPUTED_VALUE"""),46065.850830462965)</f>
        <v>46065.85083</v>
      </c>
      <c r="B83" s="71" t="str">
        <f>IFERROR(__xludf.DUMMYFUNCTION("""COMPUTED_VALUE"""),"Leah Bucci")</f>
        <v>Leah Bucci</v>
      </c>
      <c r="C83" s="71" t="b">
        <f>IFERROR(__xludf.DUMMYFUNCTION("""COMPUTED_VALUE"""),TRUE)</f>
        <v>1</v>
      </c>
      <c r="D83" s="132">
        <f>IFERROR(__xludf.DUMMYFUNCTION("""COMPUTED_VALUE"""),0.7708333333357587)</f>
        <v>0.7708333333</v>
      </c>
      <c r="E83" s="78">
        <f>IFERROR(__xludf.DUMMYFUNCTION("""COMPUTED_VALUE"""),0.07638888888322981)</f>
        <v>0.07638888888</v>
      </c>
      <c r="F83" s="132">
        <f>IFERROR(__xludf.DUMMYFUNCTION("""COMPUTED_VALUE"""),0.8472222222189885)</f>
        <v>0.8472222222</v>
      </c>
      <c r="G83" s="78" t="str">
        <f>IFERROR(__xludf.DUMMYFUNCTION("""COMPUTED_VALUE"""),"")</f>
        <v/>
      </c>
      <c r="H83" s="71">
        <f>IFERROR(__xludf.DUMMYFUNCTION("""COMPUTED_VALUE"""),106.0)</f>
        <v>106</v>
      </c>
      <c r="I83" s="80" t="str">
        <f>IFERROR(__xludf.DUMMYFUNCTION("""COMPUTED_VALUE"""),"")</f>
        <v/>
      </c>
      <c r="J83" s="71" t="str">
        <f>IFERROR(__xludf.DUMMYFUNCTION("""COMPUTED_VALUE"""),"Dinner")</f>
        <v>Dinner</v>
      </c>
      <c r="K83" s="106">
        <f>IFERROR(__xludf.DUMMYFUNCTION("""COMPUTED_VALUE"""),46065.0)</f>
        <v>46065</v>
      </c>
      <c r="L83" s="71" t="str">
        <f>IFERROR(__xludf.DUMMYFUNCTION("""COMPUTED_VALUE"""),"Thursday")</f>
        <v>Thursday</v>
      </c>
      <c r="M83" s="71" t="str">
        <f>IFERROR(__xludf.DUMMYFUNCTION("""COMPUTED_VALUE"""),"BF")</f>
        <v>BF</v>
      </c>
      <c r="N83" s="109" t="str">
        <f>IFERROR(__xludf.DUMMYFUNCTION("""COMPUTED_VALUE"""),"")</f>
        <v/>
      </c>
      <c r="O83" s="71">
        <f>IFERROR(__xludf.DUMMYFUNCTION("""COMPUTED_VALUE"""),184.0)</f>
        <v>184</v>
      </c>
      <c r="P83" s="71">
        <f>IFERROR(__xludf.DUMMYFUNCTION("""COMPUTED_VALUE"""),463.0)</f>
        <v>463</v>
      </c>
      <c r="Q83" s="78">
        <f>IFERROR(__xludf.DUMMYFUNCTION("""COMPUTED_VALUE"""),0.125)</f>
        <v>0.125</v>
      </c>
      <c r="R83" s="78">
        <f>IFERROR(__xludf.DUMMYFUNCTION("""COMPUTED_VALUE"""),0.47499999999126885)</f>
        <v>0.475</v>
      </c>
      <c r="S83" s="80">
        <f>IFERROR(__xludf.DUMMYFUNCTION("""COMPUTED_VALUE"""),60.45714285695051)</f>
        <v>60.45714286</v>
      </c>
      <c r="T83" s="80">
        <f>IFERROR(__xludf.DUMMYFUNCTION("""COMPUTED_VALUE"""),36.81003344560994)</f>
        <v>36.81003345</v>
      </c>
      <c r="U83" s="71">
        <f>IFERROR(__xludf.DUMMYFUNCTION("""COMPUTED_VALUE"""),647.0)</f>
        <v>647</v>
      </c>
      <c r="V83" s="78">
        <f>IFERROR(__xludf.DUMMYFUNCTION("""COMPUTED_VALUE"""),0.5999999999912689)</f>
        <v>0.6</v>
      </c>
      <c r="W83" s="62">
        <f>IFERROR(__xludf.DUMMYFUNCTION("""COMPUTED_VALUE"""),44.930555556209384)</f>
        <v>44.93055556</v>
      </c>
      <c r="X83" s="80">
        <f>IFERROR(__xludf.DUMMYFUNCTION("""COMPUTED_VALUE"""),44.69240324939013)</f>
        <v>44.69240325</v>
      </c>
      <c r="Y83" s="109">
        <f>IFERROR(__xludf.DUMMYFUNCTION("""COMPUTED_VALUE"""),0.6233154073772895)</f>
        <v>0.6233154074</v>
      </c>
      <c r="Z83" s="71"/>
      <c r="AA83" s="71"/>
      <c r="AB83" s="71"/>
    </row>
    <row r="84">
      <c r="A84" s="105">
        <f>IFERROR(__xludf.DUMMYFUNCTION("""COMPUTED_VALUE"""),46066.580171932874)</f>
        <v>46066.58017</v>
      </c>
      <c r="B84" s="71" t="str">
        <f>IFERROR(__xludf.DUMMYFUNCTION("""COMPUTED_VALUE"""),"Brynn Hornig")</f>
        <v>Brynn Hornig</v>
      </c>
      <c r="C84" s="71" t="b">
        <f>IFERROR(__xludf.DUMMYFUNCTION("""COMPUTED_VALUE"""),FALSE)</f>
        <v>0</v>
      </c>
      <c r="D84" s="132">
        <f>IFERROR(__xludf.DUMMYFUNCTION("""COMPUTED_VALUE"""),0.5208333333357587)</f>
        <v>0.5208333333</v>
      </c>
      <c r="E84" s="78">
        <f>IFERROR(__xludf.DUMMYFUNCTION("""COMPUTED_VALUE"""),0.0625)</f>
        <v>0.0625</v>
      </c>
      <c r="F84" s="132">
        <f>IFERROR(__xludf.DUMMYFUNCTION("""COMPUTED_VALUE"""),0.5833333333357587)</f>
        <v>0.5833333333</v>
      </c>
      <c r="G84" s="78">
        <f>IFERROR(__xludf.DUMMYFUNCTION("""COMPUTED_VALUE"""),0.0625)</f>
        <v>0.0625</v>
      </c>
      <c r="H84" s="71">
        <f>IFERROR(__xludf.DUMMYFUNCTION("""COMPUTED_VALUE"""),30.0)</f>
        <v>30</v>
      </c>
      <c r="I84" s="80">
        <f>IFERROR(__xludf.DUMMYFUNCTION("""COMPUTED_VALUE"""),20.0)</f>
        <v>20</v>
      </c>
      <c r="J84" s="71" t="str">
        <f>IFERROR(__xludf.DUMMYFUNCTION("""COMPUTED_VALUE"""),"Lunch")</f>
        <v>Lunch</v>
      </c>
      <c r="K84" s="106">
        <f>IFERROR(__xludf.DUMMYFUNCTION("""COMPUTED_VALUE"""),46066.0)</f>
        <v>46066</v>
      </c>
      <c r="L84" s="71" t="str">
        <f>IFERROR(__xludf.DUMMYFUNCTION("""COMPUTED_VALUE"""),"Friday")</f>
        <v>Friday</v>
      </c>
      <c r="M84" s="71" t="str">
        <f>IFERROR(__xludf.DUMMYFUNCTION("""COMPUTED_VALUE"""),"BF")</f>
        <v>BF</v>
      </c>
      <c r="N84" s="109">
        <f>IFERROR(__xludf.DUMMYFUNCTION("""COMPUTED_VALUE"""),0.7054512139404158)</f>
        <v>0.7054512139</v>
      </c>
      <c r="O84" s="71" t="str">
        <f>IFERROR(__xludf.DUMMYFUNCTION("""COMPUTED_VALUE"""),"")</f>
        <v/>
      </c>
      <c r="P84" s="71" t="str">
        <f>IFERROR(__xludf.DUMMYFUNCTION("""COMPUTED_VALUE"""),"")</f>
        <v/>
      </c>
      <c r="Q84" s="78" t="str">
        <f>IFERROR(__xludf.DUMMYFUNCTION("""COMPUTED_VALUE"""),"")</f>
        <v/>
      </c>
      <c r="R84" s="78" t="str">
        <f>IFERROR(__xludf.DUMMYFUNCTION("""COMPUTED_VALUE"""),"")</f>
        <v/>
      </c>
      <c r="S84" s="80" t="str">
        <f>IFERROR(__xludf.DUMMYFUNCTION("""COMPUTED_VALUE"""),"")</f>
        <v/>
      </c>
      <c r="T84" s="80" t="str">
        <f>IFERROR(__xludf.DUMMYFUNCTION("""COMPUTED_VALUE"""),"")</f>
        <v/>
      </c>
      <c r="U84" s="71" t="str">
        <f>IFERROR(__xludf.DUMMYFUNCTION("""COMPUTED_VALUE"""),"")</f>
        <v/>
      </c>
      <c r="V84" s="78" t="str">
        <f>IFERROR(__xludf.DUMMYFUNCTION("""COMPUTED_VALUE"""),"")</f>
        <v/>
      </c>
      <c r="W84" s="62" t="str">
        <f>IFERROR(__xludf.DUMMYFUNCTION("""COMPUTED_VALUE"""),"")</f>
        <v/>
      </c>
      <c r="X84" s="80" t="str">
        <f>IFERROR(__xludf.DUMMYFUNCTION("""COMPUTED_VALUE"""),"")</f>
        <v/>
      </c>
      <c r="Y84" s="109" t="str">
        <f>IFERROR(__xludf.DUMMYFUNCTION("""COMPUTED_VALUE"""),"")</f>
        <v/>
      </c>
      <c r="Z84" s="71"/>
      <c r="AA84" s="71"/>
      <c r="AB84" s="71"/>
    </row>
    <row r="85">
      <c r="A85" s="105">
        <f>IFERROR(__xludf.DUMMYFUNCTION("""COMPUTED_VALUE"""),46066.75173322917)</f>
        <v>46066.75173</v>
      </c>
      <c r="B85" s="71" t="str">
        <f>IFERROR(__xludf.DUMMYFUNCTION("""COMPUTED_VALUE"""),"Leah Bucci")</f>
        <v>Leah Bucci</v>
      </c>
      <c r="C85" s="71" t="b">
        <f>IFERROR(__xludf.DUMMYFUNCTION("""COMPUTED_VALUE"""),FALSE)</f>
        <v>0</v>
      </c>
      <c r="D85" s="132">
        <f>IFERROR(__xludf.DUMMYFUNCTION("""COMPUTED_VALUE"""),0.6666666666642413)</f>
        <v>0.6666666667</v>
      </c>
      <c r="E85" s="78">
        <f>IFERROR(__xludf.DUMMYFUNCTION("""COMPUTED_VALUE"""),0.08333333333575865)</f>
        <v>0.08333333334</v>
      </c>
      <c r="F85" s="132">
        <f>IFERROR(__xludf.DUMMYFUNCTION("""COMPUTED_VALUE"""),0.75)</f>
        <v>0.75</v>
      </c>
      <c r="G85" s="78">
        <f>IFERROR(__xludf.DUMMYFUNCTION("""COMPUTED_VALUE"""),0.08333333333575865)</f>
        <v>0.08333333334</v>
      </c>
      <c r="H85" s="71">
        <f>IFERROR(__xludf.DUMMYFUNCTION("""COMPUTED_VALUE"""),89.0)</f>
        <v>89</v>
      </c>
      <c r="I85" s="80">
        <f>IFERROR(__xludf.DUMMYFUNCTION("""COMPUTED_VALUE"""),44.49999999870488)</f>
        <v>44.5</v>
      </c>
      <c r="J85" s="71" t="str">
        <f>IFERROR(__xludf.DUMMYFUNCTION("""COMPUTED_VALUE"""),"Dinner")</f>
        <v>Dinner</v>
      </c>
      <c r="K85" s="106">
        <f>IFERROR(__xludf.DUMMYFUNCTION("""COMPUTED_VALUE"""),46066.0)</f>
        <v>46066</v>
      </c>
      <c r="L85" s="71" t="str">
        <f>IFERROR(__xludf.DUMMYFUNCTION("""COMPUTED_VALUE"""),"Friday")</f>
        <v>Friday</v>
      </c>
      <c r="M85" s="71" t="str">
        <f>IFERROR(__xludf.DUMMYFUNCTION("""COMPUTED_VALUE"""),"MF")</f>
        <v>MF</v>
      </c>
      <c r="N85" s="109">
        <f>IFERROR(__xludf.DUMMYFUNCTION("""COMPUTED_VALUE"""),0.9594719086622513)</f>
        <v>0.9594719087</v>
      </c>
      <c r="O85" s="71">
        <f>IFERROR(__xludf.DUMMYFUNCTION("""COMPUTED_VALUE"""),89.0)</f>
        <v>89</v>
      </c>
      <c r="P85" s="71">
        <f>IFERROR(__xludf.DUMMYFUNCTION("""COMPUTED_VALUE"""),30.0)</f>
        <v>30</v>
      </c>
      <c r="Q85" s="78">
        <f>IFERROR(__xludf.DUMMYFUNCTION("""COMPUTED_VALUE"""),0.08333333333575865)</f>
        <v>0.08333333334</v>
      </c>
      <c r="R85" s="78">
        <f>IFERROR(__xludf.DUMMYFUNCTION("""COMPUTED_VALUE"""),0.0625)</f>
        <v>0.0625</v>
      </c>
      <c r="S85" s="80">
        <f>IFERROR(__xludf.DUMMYFUNCTION("""COMPUTED_VALUE"""),44.49999999870488)</f>
        <v>44.5</v>
      </c>
      <c r="T85" s="80">
        <f>IFERROR(__xludf.DUMMYFUNCTION("""COMPUTED_VALUE"""),20.0)</f>
        <v>20</v>
      </c>
      <c r="U85" s="71">
        <f>IFERROR(__xludf.DUMMYFUNCTION("""COMPUTED_VALUE"""),119.0)</f>
        <v>119</v>
      </c>
      <c r="V85" s="78">
        <f>IFERROR(__xludf.DUMMYFUNCTION("""COMPUTED_VALUE"""),0.14583333333575865)</f>
        <v>0.1458333333</v>
      </c>
      <c r="W85" s="62">
        <f>IFERROR(__xludf.DUMMYFUNCTION("""COMPUTED_VALUE"""),33.99999999943456)</f>
        <v>34</v>
      </c>
      <c r="X85" s="80">
        <f>IFERROR(__xludf.DUMMYFUNCTION("""COMPUTED_VALUE"""),32.24999999935244)</f>
        <v>32.25</v>
      </c>
      <c r="Y85" s="109">
        <f>IFERROR(__xludf.DUMMYFUNCTION("""COMPUTED_VALUE"""),0.5917322780440655)</f>
        <v>0.591732278</v>
      </c>
      <c r="Z85" s="71"/>
      <c r="AA85" s="71"/>
      <c r="AB85" s="71"/>
    </row>
    <row r="86">
      <c r="A86" s="105">
        <f>IFERROR(__xludf.DUMMYFUNCTION("""COMPUTED_VALUE"""),46070.55385986112)</f>
        <v>46070.55386</v>
      </c>
      <c r="B86" s="71" t="str">
        <f>IFERROR(__xludf.DUMMYFUNCTION("""COMPUTED_VALUE"""),"Kaylie Forgue")</f>
        <v>Kaylie Forgue</v>
      </c>
      <c r="C86" s="71" t="b">
        <f>IFERROR(__xludf.DUMMYFUNCTION("""COMPUTED_VALUE"""),FALSE)</f>
        <v>0</v>
      </c>
      <c r="D86" s="132">
        <f>IFERROR(__xludf.DUMMYFUNCTION("""COMPUTED_VALUE"""),0.44722222222480923)</f>
        <v>0.4472222222</v>
      </c>
      <c r="E86" s="78">
        <f>IFERROR(__xludf.DUMMYFUNCTION("""COMPUTED_VALUE"""),0.07222222221753327)</f>
        <v>0.07222222222</v>
      </c>
      <c r="F86" s="132">
        <f>IFERROR(__xludf.DUMMYFUNCTION("""COMPUTED_VALUE"""),0.5194444444423425)</f>
        <v>0.5194444444</v>
      </c>
      <c r="G86" s="78">
        <f>IFERROR(__xludf.DUMMYFUNCTION("""COMPUTED_VALUE"""),0.07222222221753327)</f>
        <v>0.07222222222</v>
      </c>
      <c r="H86" s="71">
        <f>IFERROR(__xludf.DUMMYFUNCTION("""COMPUTED_VALUE"""),146.0)</f>
        <v>146</v>
      </c>
      <c r="I86" s="80">
        <f>IFERROR(__xludf.DUMMYFUNCTION("""COMPUTED_VALUE"""),84.23076923623782)</f>
        <v>84.23076924</v>
      </c>
      <c r="J86" s="71" t="str">
        <f>IFERROR(__xludf.DUMMYFUNCTION("""COMPUTED_VALUE"""),"Breakfast/Lunch")</f>
        <v>Breakfast/Lunch</v>
      </c>
      <c r="K86" s="106">
        <f>IFERROR(__xludf.DUMMYFUNCTION("""COMPUTED_VALUE"""),46070.0)</f>
        <v>46070</v>
      </c>
      <c r="L86" s="71" t="str">
        <f>IFERROR(__xludf.DUMMYFUNCTION("""COMPUTED_VALUE"""),"Tuesday")</f>
        <v>Tuesday</v>
      </c>
      <c r="M86" s="71" t="str">
        <f>IFERROR(__xludf.DUMMYFUNCTION("""COMPUTED_VALUE"""),"BF")</f>
        <v>BF</v>
      </c>
      <c r="N86" s="109">
        <f>IFERROR(__xludf.DUMMYFUNCTION("""COMPUTED_VALUE"""),2.727685732296327)</f>
        <v>2.727685732</v>
      </c>
      <c r="O86" s="71" t="str">
        <f>IFERROR(__xludf.DUMMYFUNCTION("""COMPUTED_VALUE"""),"")</f>
        <v/>
      </c>
      <c r="P86" s="71" t="str">
        <f>IFERROR(__xludf.DUMMYFUNCTION("""COMPUTED_VALUE"""),"")</f>
        <v/>
      </c>
      <c r="Q86" s="78" t="str">
        <f>IFERROR(__xludf.DUMMYFUNCTION("""COMPUTED_VALUE"""),"")</f>
        <v/>
      </c>
      <c r="R86" s="78" t="str">
        <f>IFERROR(__xludf.DUMMYFUNCTION("""COMPUTED_VALUE"""),"")</f>
        <v/>
      </c>
      <c r="S86" s="80" t="str">
        <f>IFERROR(__xludf.DUMMYFUNCTION("""COMPUTED_VALUE"""),"")</f>
        <v/>
      </c>
      <c r="T86" s="80" t="str">
        <f>IFERROR(__xludf.DUMMYFUNCTION("""COMPUTED_VALUE"""),"")</f>
        <v/>
      </c>
      <c r="U86" s="71" t="str">
        <f>IFERROR(__xludf.DUMMYFUNCTION("""COMPUTED_VALUE"""),"")</f>
        <v/>
      </c>
      <c r="V86" s="78" t="str">
        <f>IFERROR(__xludf.DUMMYFUNCTION("""COMPUTED_VALUE"""),"")</f>
        <v/>
      </c>
      <c r="W86" s="62" t="str">
        <f>IFERROR(__xludf.DUMMYFUNCTION("""COMPUTED_VALUE"""),"")</f>
        <v/>
      </c>
      <c r="X86" s="80" t="str">
        <f>IFERROR(__xludf.DUMMYFUNCTION("""COMPUTED_VALUE"""),"")</f>
        <v/>
      </c>
      <c r="Y86" s="109" t="str">
        <f>IFERROR(__xludf.DUMMYFUNCTION("""COMPUTED_VALUE"""),"")</f>
        <v/>
      </c>
      <c r="Z86" s="71"/>
      <c r="AA86" s="71"/>
      <c r="AB86" s="71"/>
    </row>
    <row r="87">
      <c r="A87" s="105">
        <f>IFERROR(__xludf.DUMMYFUNCTION("""COMPUTED_VALUE"""),46070.55487229167)</f>
        <v>46070.55487</v>
      </c>
      <c r="B87" s="71" t="str">
        <f>IFERROR(__xludf.DUMMYFUNCTION("""COMPUTED_VALUE"""),"Kyra Turner")</f>
        <v>Kyra Turner</v>
      </c>
      <c r="C87" s="71" t="b">
        <f>IFERROR(__xludf.DUMMYFUNCTION("""COMPUTED_VALUE"""),FALSE)</f>
        <v>0</v>
      </c>
      <c r="D87" s="132">
        <f>IFERROR(__xludf.DUMMYFUNCTION("""COMPUTED_VALUE"""),0.48333333333721384)</f>
        <v>0.4833333333</v>
      </c>
      <c r="E87" s="78">
        <f>IFERROR(__xludf.DUMMYFUNCTION("""COMPUTED_VALUE"""),0.06944444443797693)</f>
        <v>0.06944444444</v>
      </c>
      <c r="F87" s="132">
        <f>IFERROR(__xludf.DUMMYFUNCTION("""COMPUTED_VALUE"""),0.5527777777751908)</f>
        <v>0.5527777778</v>
      </c>
      <c r="G87" s="78">
        <f>IFERROR(__xludf.DUMMYFUNCTION("""COMPUTED_VALUE"""),0.10347222221025731)</f>
        <v>0.1034722222</v>
      </c>
      <c r="H87" s="71">
        <f>IFERROR(__xludf.DUMMYFUNCTION("""COMPUTED_VALUE"""),146.0)</f>
        <v>146</v>
      </c>
      <c r="I87" s="80">
        <f>IFERROR(__xludf.DUMMYFUNCTION("""COMPUTED_VALUE"""),84.5637583990402)</f>
        <v>84.5637584</v>
      </c>
      <c r="J87" s="71" t="str">
        <f>IFERROR(__xludf.DUMMYFUNCTION("""COMPUTED_VALUE"""),"Lunch")</f>
        <v>Lunch</v>
      </c>
      <c r="K87" s="106">
        <f>IFERROR(__xludf.DUMMYFUNCTION("""COMPUTED_VALUE"""),46070.0)</f>
        <v>46070</v>
      </c>
      <c r="L87" s="71" t="str">
        <f>IFERROR(__xludf.DUMMYFUNCTION("""COMPUTED_VALUE"""),"Tuesday")</f>
        <v>Tuesday</v>
      </c>
      <c r="M87" s="71" t="str">
        <f>IFERROR(__xludf.DUMMYFUNCTION("""COMPUTED_VALUE"""),"MF")</f>
        <v>MF</v>
      </c>
      <c r="N87" s="109">
        <f>IFERROR(__xludf.DUMMYFUNCTION("""COMPUTED_VALUE"""),1.6819405877030569)</f>
        <v>1.681940588</v>
      </c>
      <c r="O87" s="71" t="str">
        <f>IFERROR(__xludf.DUMMYFUNCTION("""COMPUTED_VALUE"""),"")</f>
        <v/>
      </c>
      <c r="P87" s="71" t="str">
        <f>IFERROR(__xludf.DUMMYFUNCTION("""COMPUTED_VALUE"""),"")</f>
        <v/>
      </c>
      <c r="Q87" s="78" t="str">
        <f>IFERROR(__xludf.DUMMYFUNCTION("""COMPUTED_VALUE"""),"")</f>
        <v/>
      </c>
      <c r="R87" s="78" t="str">
        <f>IFERROR(__xludf.DUMMYFUNCTION("""COMPUTED_VALUE"""),"")</f>
        <v/>
      </c>
      <c r="S87" s="80" t="str">
        <f>IFERROR(__xludf.DUMMYFUNCTION("""COMPUTED_VALUE"""),"")</f>
        <v/>
      </c>
      <c r="T87" s="80" t="str">
        <f>IFERROR(__xludf.DUMMYFUNCTION("""COMPUTED_VALUE"""),"")</f>
        <v/>
      </c>
      <c r="U87" s="71" t="str">
        <f>IFERROR(__xludf.DUMMYFUNCTION("""COMPUTED_VALUE"""),"")</f>
        <v/>
      </c>
      <c r="V87" s="78" t="str">
        <f>IFERROR(__xludf.DUMMYFUNCTION("""COMPUTED_VALUE"""),"")</f>
        <v/>
      </c>
      <c r="W87" s="62" t="str">
        <f>IFERROR(__xludf.DUMMYFUNCTION("""COMPUTED_VALUE"""),"")</f>
        <v/>
      </c>
      <c r="X87" s="80" t="str">
        <f>IFERROR(__xludf.DUMMYFUNCTION("""COMPUTED_VALUE"""),"")</f>
        <v/>
      </c>
      <c r="Y87" s="109" t="str">
        <f>IFERROR(__xludf.DUMMYFUNCTION("""COMPUTED_VALUE"""),"")</f>
        <v/>
      </c>
      <c r="Z87" s="71"/>
      <c r="AA87" s="71"/>
      <c r="AB87" s="71"/>
    </row>
    <row r="88">
      <c r="A88" s="105">
        <f>IFERROR(__xludf.DUMMYFUNCTION("""COMPUTED_VALUE"""),46070.59340195602)</f>
        <v>46070.5934</v>
      </c>
      <c r="B88" s="71" t="str">
        <f>IFERROR(__xludf.DUMMYFUNCTION("""COMPUTED_VALUE"""),"Kyra Turner")</f>
        <v>Kyra Turner</v>
      </c>
      <c r="C88" s="71" t="b">
        <f>IFERROR(__xludf.DUMMYFUNCTION("""COMPUTED_VALUE"""),TRUE)</f>
        <v>1</v>
      </c>
      <c r="D88" s="132">
        <f>IFERROR(__xludf.DUMMYFUNCTION("""COMPUTED_VALUE"""),0.5590277777810115)</f>
        <v>0.5590277778</v>
      </c>
      <c r="E88" s="78">
        <f>IFERROR(__xludf.DUMMYFUNCTION("""COMPUTED_VALUE"""),0.03402777777228039)</f>
        <v>0.03402777777</v>
      </c>
      <c r="F88" s="132">
        <f>IFERROR(__xludf.DUMMYFUNCTION("""COMPUTED_VALUE"""),0.5930555555532919)</f>
        <v>0.5930555556</v>
      </c>
      <c r="G88" s="78" t="str">
        <f>IFERROR(__xludf.DUMMYFUNCTION("""COMPUTED_VALUE"""),"")</f>
        <v/>
      </c>
      <c r="H88" s="71">
        <f>IFERROR(__xludf.DUMMYFUNCTION("""COMPUTED_VALUE"""),64.0)</f>
        <v>64</v>
      </c>
      <c r="I88" s="80" t="str">
        <f>IFERROR(__xludf.DUMMYFUNCTION("""COMPUTED_VALUE"""),"")</f>
        <v/>
      </c>
      <c r="J88" s="71" t="str">
        <f>IFERROR(__xludf.DUMMYFUNCTION("""COMPUTED_VALUE"""),"Lunch")</f>
        <v>Lunch</v>
      </c>
      <c r="K88" s="106">
        <f>IFERROR(__xludf.DUMMYFUNCTION("""COMPUTED_VALUE"""),46070.0)</f>
        <v>46070</v>
      </c>
      <c r="L88" s="71" t="str">
        <f>IFERROR(__xludf.DUMMYFUNCTION("""COMPUTED_VALUE"""),"Tuesday")</f>
        <v>Tuesday</v>
      </c>
      <c r="M88" s="71" t="str">
        <f>IFERROR(__xludf.DUMMYFUNCTION("""COMPUTED_VALUE"""),"MF")</f>
        <v>MF</v>
      </c>
      <c r="N88" s="109" t="str">
        <f>IFERROR(__xludf.DUMMYFUNCTION("""COMPUTED_VALUE"""),"")</f>
        <v/>
      </c>
      <c r="O88" s="71" t="str">
        <f>IFERROR(__xludf.DUMMYFUNCTION("""COMPUTED_VALUE"""),"")</f>
        <v/>
      </c>
      <c r="P88" s="71" t="str">
        <f>IFERROR(__xludf.DUMMYFUNCTION("""COMPUTED_VALUE"""),"")</f>
        <v/>
      </c>
      <c r="Q88" s="78" t="str">
        <f>IFERROR(__xludf.DUMMYFUNCTION("""COMPUTED_VALUE"""),"")</f>
        <v/>
      </c>
      <c r="R88" s="78" t="str">
        <f>IFERROR(__xludf.DUMMYFUNCTION("""COMPUTED_VALUE"""),"")</f>
        <v/>
      </c>
      <c r="S88" s="80" t="str">
        <f>IFERROR(__xludf.DUMMYFUNCTION("""COMPUTED_VALUE"""),"")</f>
        <v/>
      </c>
      <c r="T88" s="80" t="str">
        <f>IFERROR(__xludf.DUMMYFUNCTION("""COMPUTED_VALUE"""),"")</f>
        <v/>
      </c>
      <c r="U88" s="71" t="str">
        <f>IFERROR(__xludf.DUMMYFUNCTION("""COMPUTED_VALUE"""),"")</f>
        <v/>
      </c>
      <c r="V88" s="78" t="str">
        <f>IFERROR(__xludf.DUMMYFUNCTION("""COMPUTED_VALUE"""),"")</f>
        <v/>
      </c>
      <c r="W88" s="62" t="str">
        <f>IFERROR(__xludf.DUMMYFUNCTION("""COMPUTED_VALUE"""),"")</f>
        <v/>
      </c>
      <c r="X88" s="80" t="str">
        <f>IFERROR(__xludf.DUMMYFUNCTION("""COMPUTED_VALUE"""),"")</f>
        <v/>
      </c>
      <c r="Y88" s="109" t="str">
        <f>IFERROR(__xludf.DUMMYFUNCTION("""COMPUTED_VALUE"""),"")</f>
        <v/>
      </c>
      <c r="Z88" s="71"/>
      <c r="AA88" s="71"/>
      <c r="AB88" s="71"/>
    </row>
    <row r="89">
      <c r="A89" s="105">
        <f>IFERROR(__xludf.DUMMYFUNCTION("""COMPUTED_VALUE"""),46070.82210877315)</f>
        <v>46070.82211</v>
      </c>
      <c r="B89" s="71" t="str">
        <f>IFERROR(__xludf.DUMMYFUNCTION("""COMPUTED_VALUE"""),"Leah Bucci")</f>
        <v>Leah Bucci</v>
      </c>
      <c r="C89" s="71" t="b">
        <f>IFERROR(__xludf.DUMMYFUNCTION("""COMPUTED_VALUE"""),FALSE)</f>
        <v>0</v>
      </c>
      <c r="D89" s="132">
        <f>IFERROR(__xludf.DUMMYFUNCTION("""COMPUTED_VALUE"""),0.6875)</f>
        <v>0.6875</v>
      </c>
      <c r="E89" s="78">
        <f>IFERROR(__xludf.DUMMYFUNCTION("""COMPUTED_VALUE"""),0.07291666666424135)</f>
        <v>0.07291666666</v>
      </c>
      <c r="F89" s="132">
        <f>IFERROR(__xludf.DUMMYFUNCTION("""COMPUTED_VALUE"""),0.7604166666642413)</f>
        <v>0.7604166667</v>
      </c>
      <c r="G89" s="78">
        <f>IFERROR(__xludf.DUMMYFUNCTION("""COMPUTED_VALUE"""),0.15624999999272404)</f>
        <v>0.15625</v>
      </c>
      <c r="H89" s="71">
        <f>IFERROR(__xludf.DUMMYFUNCTION("""COMPUTED_VALUE"""),188.0)</f>
        <v>188</v>
      </c>
      <c r="I89" s="80">
        <f>IFERROR(__xludf.DUMMYFUNCTION("""COMPUTED_VALUE"""),84.00000000391155)</f>
        <v>84</v>
      </c>
      <c r="J89" s="71" t="str">
        <f>IFERROR(__xludf.DUMMYFUNCTION("""COMPUTED_VALUE"""),"Dinner")</f>
        <v>Dinner</v>
      </c>
      <c r="K89" s="106">
        <f>IFERROR(__xludf.DUMMYFUNCTION("""COMPUTED_VALUE"""),46070.0)</f>
        <v>46070</v>
      </c>
      <c r="L89" s="71" t="str">
        <f>IFERROR(__xludf.DUMMYFUNCTION("""COMPUTED_VALUE"""),"Tuesday")</f>
        <v>Tuesday</v>
      </c>
      <c r="M89" s="71" t="str">
        <f>IFERROR(__xludf.DUMMYFUNCTION("""COMPUTED_VALUE"""),"BF")</f>
        <v>BF</v>
      </c>
      <c r="N89" s="109">
        <f>IFERROR(__xludf.DUMMYFUNCTION("""COMPUTED_VALUE"""),1.8905370844595009)</f>
        <v>1.890537084</v>
      </c>
      <c r="O89" s="71" t="str">
        <f>IFERROR(__xludf.DUMMYFUNCTION("""COMPUTED_VALUE"""),"")</f>
        <v/>
      </c>
      <c r="P89" s="71" t="str">
        <f>IFERROR(__xludf.DUMMYFUNCTION("""COMPUTED_VALUE"""),"")</f>
        <v/>
      </c>
      <c r="Q89" s="78" t="str">
        <f>IFERROR(__xludf.DUMMYFUNCTION("""COMPUTED_VALUE"""),"")</f>
        <v/>
      </c>
      <c r="R89" s="78" t="str">
        <f>IFERROR(__xludf.DUMMYFUNCTION("""COMPUTED_VALUE"""),"")</f>
        <v/>
      </c>
      <c r="S89" s="80" t="str">
        <f>IFERROR(__xludf.DUMMYFUNCTION("""COMPUTED_VALUE"""),"")</f>
        <v/>
      </c>
      <c r="T89" s="80" t="str">
        <f>IFERROR(__xludf.DUMMYFUNCTION("""COMPUTED_VALUE"""),"")</f>
        <v/>
      </c>
      <c r="U89" s="71" t="str">
        <f>IFERROR(__xludf.DUMMYFUNCTION("""COMPUTED_VALUE"""),"")</f>
        <v/>
      </c>
      <c r="V89" s="78" t="str">
        <f>IFERROR(__xludf.DUMMYFUNCTION("""COMPUTED_VALUE"""),"")</f>
        <v/>
      </c>
      <c r="W89" s="62" t="str">
        <f>IFERROR(__xludf.DUMMYFUNCTION("""COMPUTED_VALUE"""),"")</f>
        <v/>
      </c>
      <c r="X89" s="80" t="str">
        <f>IFERROR(__xludf.DUMMYFUNCTION("""COMPUTED_VALUE"""),"")</f>
        <v/>
      </c>
      <c r="Y89" s="109" t="str">
        <f>IFERROR(__xludf.DUMMYFUNCTION("""COMPUTED_VALUE"""),"")</f>
        <v/>
      </c>
      <c r="Z89" s="71"/>
      <c r="AA89" s="71"/>
      <c r="AB89" s="71"/>
    </row>
    <row r="90">
      <c r="A90" s="105">
        <f>IFERROR(__xludf.DUMMYFUNCTION("""COMPUTED_VALUE"""),46070.85394734953)</f>
        <v>46070.85395</v>
      </c>
      <c r="B90" s="71" t="str">
        <f>IFERROR(__xludf.DUMMYFUNCTION("""COMPUTED_VALUE"""),"Leah Bucci")</f>
        <v>Leah Bucci</v>
      </c>
      <c r="C90" s="71" t="b">
        <f>IFERROR(__xludf.DUMMYFUNCTION("""COMPUTED_VALUE"""),TRUE)</f>
        <v>1</v>
      </c>
      <c r="D90" s="132">
        <f>IFERROR(__xludf.DUMMYFUNCTION("""COMPUTED_VALUE"""),0.7708333333357587)</f>
        <v>0.7708333333</v>
      </c>
      <c r="E90" s="78">
        <f>IFERROR(__xludf.DUMMYFUNCTION("""COMPUTED_VALUE"""),0.0833333333284827)</f>
        <v>0.08333333333</v>
      </c>
      <c r="F90" s="132">
        <f>IFERROR(__xludf.DUMMYFUNCTION("""COMPUTED_VALUE"""),0.8541666666642413)</f>
        <v>0.8541666667</v>
      </c>
      <c r="G90" s="78" t="str">
        <f>IFERROR(__xludf.DUMMYFUNCTION("""COMPUTED_VALUE"""),"")</f>
        <v/>
      </c>
      <c r="H90" s="71">
        <f>IFERROR(__xludf.DUMMYFUNCTION("""COMPUTED_VALUE"""),127.0)</f>
        <v>127</v>
      </c>
      <c r="I90" s="80" t="str">
        <f>IFERROR(__xludf.DUMMYFUNCTION("""COMPUTED_VALUE"""),"")</f>
        <v/>
      </c>
      <c r="J90" s="71" t="str">
        <f>IFERROR(__xludf.DUMMYFUNCTION("""COMPUTED_VALUE"""),"Dinner")</f>
        <v>Dinner</v>
      </c>
      <c r="K90" s="106">
        <f>IFERROR(__xludf.DUMMYFUNCTION("""COMPUTED_VALUE"""),46070.0)</f>
        <v>46070</v>
      </c>
      <c r="L90" s="71" t="str">
        <f>IFERROR(__xludf.DUMMYFUNCTION("""COMPUTED_VALUE"""),"Tuesday")</f>
        <v>Tuesday</v>
      </c>
      <c r="M90" s="71" t="str">
        <f>IFERROR(__xludf.DUMMYFUNCTION("""COMPUTED_VALUE"""),"BF")</f>
        <v>BF</v>
      </c>
      <c r="N90" s="109" t="str">
        <f>IFERROR(__xludf.DUMMYFUNCTION("""COMPUTED_VALUE"""),"")</f>
        <v/>
      </c>
      <c r="O90" s="71" t="str">
        <f>IFERROR(__xludf.DUMMYFUNCTION("""COMPUTED_VALUE"""),"")</f>
        <v/>
      </c>
      <c r="P90" s="71" t="str">
        <f>IFERROR(__xludf.DUMMYFUNCTION("""COMPUTED_VALUE"""),"")</f>
        <v/>
      </c>
      <c r="Q90" s="78" t="str">
        <f>IFERROR(__xludf.DUMMYFUNCTION("""COMPUTED_VALUE"""),"")</f>
        <v/>
      </c>
      <c r="R90" s="78" t="str">
        <f>IFERROR(__xludf.DUMMYFUNCTION("""COMPUTED_VALUE"""),"")</f>
        <v/>
      </c>
      <c r="S90" s="80" t="str">
        <f>IFERROR(__xludf.DUMMYFUNCTION("""COMPUTED_VALUE"""),"")</f>
        <v/>
      </c>
      <c r="T90" s="80" t="str">
        <f>IFERROR(__xludf.DUMMYFUNCTION("""COMPUTED_VALUE"""),"")</f>
        <v/>
      </c>
      <c r="U90" s="71" t="str">
        <f>IFERROR(__xludf.DUMMYFUNCTION("""COMPUTED_VALUE"""),"")</f>
        <v/>
      </c>
      <c r="V90" s="78" t="str">
        <f>IFERROR(__xludf.DUMMYFUNCTION("""COMPUTED_VALUE"""),"")</f>
        <v/>
      </c>
      <c r="W90" s="62" t="str">
        <f>IFERROR(__xludf.DUMMYFUNCTION("""COMPUTED_VALUE"""),"")</f>
        <v/>
      </c>
      <c r="X90" s="80" t="str">
        <f>IFERROR(__xludf.DUMMYFUNCTION("""COMPUTED_VALUE"""),"")</f>
        <v/>
      </c>
      <c r="Y90" s="109" t="str">
        <f>IFERROR(__xludf.DUMMYFUNCTION("""COMPUTED_VALUE"""),"")</f>
        <v/>
      </c>
      <c r="Z90" s="71"/>
      <c r="AA90" s="71"/>
      <c r="AB90" s="71"/>
    </row>
    <row r="91">
      <c r="A91" s="105">
        <f>IFERROR(__xludf.DUMMYFUNCTION("""COMPUTED_VALUE"""),46070.86607668981)</f>
        <v>46070.86608</v>
      </c>
      <c r="B91" s="71" t="str">
        <f>IFERROR(__xludf.DUMMYFUNCTION("""COMPUTED_VALUE"""),"Sophia Kluck")</f>
        <v>Sophia Kluck</v>
      </c>
      <c r="C91" s="71" t="b">
        <f>IFERROR(__xludf.DUMMYFUNCTION("""COMPUTED_VALUE"""),FALSE)</f>
        <v>0</v>
      </c>
      <c r="D91" s="132">
        <f>IFERROR(__xludf.DUMMYFUNCTION("""COMPUTED_VALUE"""),0.7513888888934162)</f>
        <v>0.7513888889</v>
      </c>
      <c r="E91" s="78">
        <f>IFERROR(__xludf.DUMMYFUNCTION("""COMPUTED_VALUE"""),0.1131944444423425)</f>
        <v>0.1131944444</v>
      </c>
      <c r="F91" s="132">
        <f>IFERROR(__xludf.DUMMYFUNCTION("""COMPUTED_VALUE"""),0.8645833333357587)</f>
        <v>0.8645833333</v>
      </c>
      <c r="G91" s="78">
        <f>IFERROR(__xludf.DUMMYFUNCTION("""COMPUTED_VALUE"""),0.1131944444423425)</f>
        <v>0.1131944444</v>
      </c>
      <c r="H91" s="71">
        <f>IFERROR(__xludf.DUMMYFUNCTION("""COMPUTED_VALUE"""),117.0)</f>
        <v>117</v>
      </c>
      <c r="I91" s="80">
        <f>IFERROR(__xludf.DUMMYFUNCTION("""COMPUTED_VALUE"""),43.06748466337642)</f>
        <v>43.06748466</v>
      </c>
      <c r="J91" s="71" t="str">
        <f>IFERROR(__xludf.DUMMYFUNCTION("""COMPUTED_VALUE"""),"Dinner")</f>
        <v>Dinner</v>
      </c>
      <c r="K91" s="106">
        <f>IFERROR(__xludf.DUMMYFUNCTION("""COMPUTED_VALUE"""),46070.0)</f>
        <v>46070</v>
      </c>
      <c r="L91" s="71" t="str">
        <f>IFERROR(__xludf.DUMMYFUNCTION("""COMPUTED_VALUE"""),"Tuesday")</f>
        <v>Tuesday</v>
      </c>
      <c r="M91" s="71" t="str">
        <f>IFERROR(__xludf.DUMMYFUNCTION("""COMPUTED_VALUE"""),"MF")</f>
        <v>MF</v>
      </c>
      <c r="N91" s="109">
        <f>IFERROR(__xludf.DUMMYFUNCTION("""COMPUTED_VALUE"""),0.9285852070214525)</f>
        <v>0.928585207</v>
      </c>
      <c r="O91" s="71">
        <f>IFERROR(__xludf.DUMMYFUNCTION("""COMPUTED_VALUE"""),327.0)</f>
        <v>327</v>
      </c>
      <c r="P91" s="71">
        <f>IFERROR(__xludf.DUMMYFUNCTION("""COMPUTED_VALUE"""),461.0)</f>
        <v>461</v>
      </c>
      <c r="Q91" s="78">
        <f>IFERROR(__xludf.DUMMYFUNCTION("""COMPUTED_VALUE"""),0.21666666665259982)</f>
        <v>0.2166666667</v>
      </c>
      <c r="R91" s="78">
        <f>IFERROR(__xludf.DUMMYFUNCTION("""COMPUTED_VALUE"""),0.22847222221025731)</f>
        <v>0.2284722222</v>
      </c>
      <c r="S91" s="80">
        <f>IFERROR(__xludf.DUMMYFUNCTION("""COMPUTED_VALUE"""),63.81562153120831)</f>
        <v>63.81562153</v>
      </c>
      <c r="T91" s="80">
        <f>IFERROR(__xludf.DUMMYFUNCTION("""COMPUTED_VALUE"""),84.11538462007468)</f>
        <v>84.11538462</v>
      </c>
      <c r="U91" s="71">
        <f>IFERROR(__xludf.DUMMYFUNCTION("""COMPUTED_VALUE"""),788.0)</f>
        <v>788</v>
      </c>
      <c r="V91" s="78">
        <f>IFERROR(__xludf.DUMMYFUNCTION("""COMPUTED_VALUE"""),0.44513888886285713)</f>
        <v>0.4451388889</v>
      </c>
      <c r="W91" s="62">
        <f>IFERROR(__xludf.DUMMYFUNCTION("""COMPUTED_VALUE"""),73.75975039432907)</f>
        <v>73.75975039</v>
      </c>
      <c r="X91" s="80">
        <f>IFERROR(__xludf.DUMMYFUNCTION("""COMPUTED_VALUE"""),73.96550307564151)</f>
        <v>73.96550308</v>
      </c>
      <c r="Y91" s="109">
        <f>IFERROR(__xludf.DUMMYFUNCTION("""COMPUTED_VALUE"""),0.8882338149717085)</f>
        <v>0.888233815</v>
      </c>
      <c r="Z91" s="71"/>
      <c r="AA91" s="71"/>
      <c r="AB91" s="71"/>
    </row>
    <row r="92">
      <c r="A92" s="105">
        <f>IFERROR(__xludf.DUMMYFUNCTION("""COMPUTED_VALUE"""),46071.41592960648)</f>
        <v>46071.41593</v>
      </c>
      <c r="B92" s="71" t="str">
        <f>IFERROR(__xludf.DUMMYFUNCTION("""COMPUTED_VALUE"""),"Kaylie Forgue")</f>
        <v>Kaylie Forgue</v>
      </c>
      <c r="C92" s="71" t="b">
        <f>IFERROR(__xludf.DUMMYFUNCTION("""COMPUTED_VALUE"""),FALSE)</f>
        <v>0</v>
      </c>
      <c r="D92" s="132">
        <f>IFERROR(__xludf.DUMMYFUNCTION("""COMPUTED_VALUE"""),0.3125)</f>
        <v>0.3125</v>
      </c>
      <c r="E92" s="78">
        <f>IFERROR(__xludf.DUMMYFUNCTION("""COMPUTED_VALUE"""),0.09027777778101154)</f>
        <v>0.09027777778</v>
      </c>
      <c r="F92" s="132">
        <f>IFERROR(__xludf.DUMMYFUNCTION("""COMPUTED_VALUE"""),0.40277777778101154)</f>
        <v>0.4027777778</v>
      </c>
      <c r="G92" s="78">
        <f>IFERROR(__xludf.DUMMYFUNCTION("""COMPUTED_VALUE"""),0.09027777778101154)</f>
        <v>0.09027777778</v>
      </c>
      <c r="H92" s="71">
        <f>IFERROR(__xludf.DUMMYFUNCTION("""COMPUTED_VALUE"""),47.0)</f>
        <v>47</v>
      </c>
      <c r="I92" s="80">
        <f>IFERROR(__xludf.DUMMYFUNCTION("""COMPUTED_VALUE"""),21.692307691530672)</f>
        <v>21.69230769</v>
      </c>
      <c r="J92" s="71" t="str">
        <f>IFERROR(__xludf.DUMMYFUNCTION("""COMPUTED_VALUE"""),"Breakfast")</f>
        <v>Breakfast</v>
      </c>
      <c r="K92" s="106">
        <f>IFERROR(__xludf.DUMMYFUNCTION("""COMPUTED_VALUE"""),46071.0)</f>
        <v>46071</v>
      </c>
      <c r="L92" s="71" t="str">
        <f>IFERROR(__xludf.DUMMYFUNCTION("""COMPUTED_VALUE"""),"Wednesday")</f>
        <v>Wednesday</v>
      </c>
      <c r="M92" s="71" t="str">
        <f>IFERROR(__xludf.DUMMYFUNCTION("""COMPUTED_VALUE"""),"BF")</f>
        <v>BF</v>
      </c>
      <c r="N92" s="109">
        <f>IFERROR(__xludf.DUMMYFUNCTION("""COMPUTED_VALUE"""),0.7651432397079665)</f>
        <v>0.7651432397</v>
      </c>
      <c r="O92" s="71" t="str">
        <f>IFERROR(__xludf.DUMMYFUNCTION("""COMPUTED_VALUE"""),"")</f>
        <v/>
      </c>
      <c r="P92" s="71" t="str">
        <f>IFERROR(__xludf.DUMMYFUNCTION("""COMPUTED_VALUE"""),"")</f>
        <v/>
      </c>
      <c r="Q92" s="78" t="str">
        <f>IFERROR(__xludf.DUMMYFUNCTION("""COMPUTED_VALUE"""),"")</f>
        <v/>
      </c>
      <c r="R92" s="78" t="str">
        <f>IFERROR(__xludf.DUMMYFUNCTION("""COMPUTED_VALUE"""),"")</f>
        <v/>
      </c>
      <c r="S92" s="80" t="str">
        <f>IFERROR(__xludf.DUMMYFUNCTION("""COMPUTED_VALUE"""),"")</f>
        <v/>
      </c>
      <c r="T92" s="80" t="str">
        <f>IFERROR(__xludf.DUMMYFUNCTION("""COMPUTED_VALUE"""),"")</f>
        <v/>
      </c>
      <c r="U92" s="71" t="str">
        <f>IFERROR(__xludf.DUMMYFUNCTION("""COMPUTED_VALUE"""),"")</f>
        <v/>
      </c>
      <c r="V92" s="78" t="str">
        <f>IFERROR(__xludf.DUMMYFUNCTION("""COMPUTED_VALUE"""),"")</f>
        <v/>
      </c>
      <c r="W92" s="62" t="str">
        <f>IFERROR(__xludf.DUMMYFUNCTION("""COMPUTED_VALUE"""),"")</f>
        <v/>
      </c>
      <c r="X92" s="80" t="str">
        <f>IFERROR(__xludf.DUMMYFUNCTION("""COMPUTED_VALUE"""),"")</f>
        <v/>
      </c>
      <c r="Y92" s="109" t="str">
        <f>IFERROR(__xludf.DUMMYFUNCTION("""COMPUTED_VALUE"""),"")</f>
        <v/>
      </c>
      <c r="Z92" s="71"/>
      <c r="AA92" s="71"/>
      <c r="AB92" s="71"/>
    </row>
    <row r="93">
      <c r="A93" s="105">
        <f>IFERROR(__xludf.DUMMYFUNCTION("""COMPUTED_VALUE"""),46071.57600097222)</f>
        <v>46071.576</v>
      </c>
      <c r="B93" s="71" t="str">
        <f>IFERROR(__xludf.DUMMYFUNCTION("""COMPUTED_VALUE"""),"Oluwatimilehin Shodipe")</f>
        <v>Oluwatimilehin Shodipe</v>
      </c>
      <c r="C93" s="71" t="b">
        <f>IFERROR(__xludf.DUMMYFUNCTION("""COMPUTED_VALUE"""),FALSE)</f>
        <v>0</v>
      </c>
      <c r="D93" s="132">
        <f>IFERROR(__xludf.DUMMYFUNCTION("""COMPUTED_VALUE"""),0.5)</f>
        <v>0.5</v>
      </c>
      <c r="E93" s="78">
        <f>IFERROR(__xludf.DUMMYFUNCTION("""COMPUTED_VALUE"""),0.07638888889050577)</f>
        <v>0.07638888889</v>
      </c>
      <c r="F93" s="132">
        <f>IFERROR(__xludf.DUMMYFUNCTION("""COMPUTED_VALUE"""),0.5763888888905058)</f>
        <v>0.5763888889</v>
      </c>
      <c r="G93" s="78">
        <f>IFERROR(__xludf.DUMMYFUNCTION("""COMPUTED_VALUE"""),0.07638888889050577)</f>
        <v>0.07638888889</v>
      </c>
      <c r="H93" s="71">
        <f>IFERROR(__xludf.DUMMYFUNCTION("""COMPUTED_VALUE"""),94.0)</f>
        <v>94</v>
      </c>
      <c r="I93" s="80">
        <f>IFERROR(__xludf.DUMMYFUNCTION("""COMPUTED_VALUE"""),51.27272727164201)</f>
        <v>51.27272727</v>
      </c>
      <c r="J93" s="71" t="str">
        <f>IFERROR(__xludf.DUMMYFUNCTION("""COMPUTED_VALUE"""),"Lunch")</f>
        <v>Lunch</v>
      </c>
      <c r="K93" s="106">
        <f>IFERROR(__xludf.DUMMYFUNCTION("""COMPUTED_VALUE"""),46071.0)</f>
        <v>46071</v>
      </c>
      <c r="L93" s="71" t="str">
        <f>IFERROR(__xludf.DUMMYFUNCTION("""COMPUTED_VALUE"""),"Wednesday")</f>
        <v>Wednesday</v>
      </c>
      <c r="M93" s="71" t="str">
        <f>IFERROR(__xludf.DUMMYFUNCTION("""COMPUTED_VALUE"""),"BF")</f>
        <v>BF</v>
      </c>
      <c r="N93" s="109">
        <f>IFERROR(__xludf.DUMMYFUNCTION("""COMPUTED_VALUE"""),1.8085203847907858)</f>
        <v>1.808520385</v>
      </c>
      <c r="O93" s="71" t="str">
        <f>IFERROR(__xludf.DUMMYFUNCTION("""COMPUTED_VALUE"""),"")</f>
        <v/>
      </c>
      <c r="P93" s="71" t="str">
        <f>IFERROR(__xludf.DUMMYFUNCTION("""COMPUTED_VALUE"""),"")</f>
        <v/>
      </c>
      <c r="Q93" s="78" t="str">
        <f>IFERROR(__xludf.DUMMYFUNCTION("""COMPUTED_VALUE"""),"")</f>
        <v/>
      </c>
      <c r="R93" s="78" t="str">
        <f>IFERROR(__xludf.DUMMYFUNCTION("""COMPUTED_VALUE"""),"")</f>
        <v/>
      </c>
      <c r="S93" s="80" t="str">
        <f>IFERROR(__xludf.DUMMYFUNCTION("""COMPUTED_VALUE"""),"")</f>
        <v/>
      </c>
      <c r="T93" s="80" t="str">
        <f>IFERROR(__xludf.DUMMYFUNCTION("""COMPUTED_VALUE"""),"")</f>
        <v/>
      </c>
      <c r="U93" s="71" t="str">
        <f>IFERROR(__xludf.DUMMYFUNCTION("""COMPUTED_VALUE"""),"")</f>
        <v/>
      </c>
      <c r="V93" s="78" t="str">
        <f>IFERROR(__xludf.DUMMYFUNCTION("""COMPUTED_VALUE"""),"")</f>
        <v/>
      </c>
      <c r="W93" s="62" t="str">
        <f>IFERROR(__xludf.DUMMYFUNCTION("""COMPUTED_VALUE"""),"")</f>
        <v/>
      </c>
      <c r="X93" s="80" t="str">
        <f>IFERROR(__xludf.DUMMYFUNCTION("""COMPUTED_VALUE"""),"")</f>
        <v/>
      </c>
      <c r="Y93" s="109" t="str">
        <f>IFERROR(__xludf.DUMMYFUNCTION("""COMPUTED_VALUE"""),"")</f>
        <v/>
      </c>
      <c r="Z93" s="71"/>
      <c r="AA93" s="71"/>
      <c r="AB93" s="71"/>
    </row>
    <row r="94">
      <c r="A94" s="105">
        <f>IFERROR(__xludf.DUMMYFUNCTION("""COMPUTED_VALUE"""),46071.62035236111)</f>
        <v>46071.62035</v>
      </c>
      <c r="B94" s="71" t="str">
        <f>IFERROR(__xludf.DUMMYFUNCTION("""COMPUTED_VALUE"""),"Evan Morgan")</f>
        <v>Evan Morgan</v>
      </c>
      <c r="C94" s="71" t="b">
        <f>IFERROR(__xludf.DUMMYFUNCTION("""COMPUTED_VALUE"""),FALSE)</f>
        <v>0</v>
      </c>
      <c r="D94" s="132">
        <f>IFERROR(__xludf.DUMMYFUNCTION("""COMPUTED_VALUE"""),0.5416666666642413)</f>
        <v>0.5416666667</v>
      </c>
      <c r="E94" s="78">
        <f>IFERROR(__xludf.DUMMYFUNCTION("""COMPUTED_VALUE"""),0.07638888889050577)</f>
        <v>0.07638888889</v>
      </c>
      <c r="F94" s="132">
        <f>IFERROR(__xludf.DUMMYFUNCTION("""COMPUTED_VALUE"""),0.6180555555547471)</f>
        <v>0.6180555556</v>
      </c>
      <c r="G94" s="78">
        <f>IFERROR(__xludf.DUMMYFUNCTION("""COMPUTED_VALUE"""),0.07638888889050577)</f>
        <v>0.07638888889</v>
      </c>
      <c r="H94" s="71">
        <f>IFERROR(__xludf.DUMMYFUNCTION("""COMPUTED_VALUE"""),99.0)</f>
        <v>99</v>
      </c>
      <c r="I94" s="80">
        <f>IFERROR(__xludf.DUMMYFUNCTION("""COMPUTED_VALUE"""),53.999999998857014)</f>
        <v>54</v>
      </c>
      <c r="J94" s="71" t="str">
        <f>IFERROR(__xludf.DUMMYFUNCTION("""COMPUTED_VALUE"""),"Lunch")</f>
        <v>Lunch</v>
      </c>
      <c r="K94" s="106">
        <f>IFERROR(__xludf.DUMMYFUNCTION("""COMPUTED_VALUE"""),46071.0)</f>
        <v>46071</v>
      </c>
      <c r="L94" s="71" t="str">
        <f>IFERROR(__xludf.DUMMYFUNCTION("""COMPUTED_VALUE"""),"Wednesday")</f>
        <v>Wednesday</v>
      </c>
      <c r="M94" s="71" t="str">
        <f>IFERROR(__xludf.DUMMYFUNCTION("""COMPUTED_VALUE"""),"MF")</f>
        <v>MF</v>
      </c>
      <c r="N94" s="109">
        <f>IFERROR(__xludf.DUMMYFUNCTION("""COMPUTED_VALUE"""),1.07403920371488)</f>
        <v>1.074039204</v>
      </c>
      <c r="O94" s="71" t="str">
        <f>IFERROR(__xludf.DUMMYFUNCTION("""COMPUTED_VALUE"""),"")</f>
        <v/>
      </c>
      <c r="P94" s="71" t="str">
        <f>IFERROR(__xludf.DUMMYFUNCTION("""COMPUTED_VALUE"""),"")</f>
        <v/>
      </c>
      <c r="Q94" s="78" t="str">
        <f>IFERROR(__xludf.DUMMYFUNCTION("""COMPUTED_VALUE"""),"")</f>
        <v/>
      </c>
      <c r="R94" s="78" t="str">
        <f>IFERROR(__xludf.DUMMYFUNCTION("""COMPUTED_VALUE"""),"")</f>
        <v/>
      </c>
      <c r="S94" s="80" t="str">
        <f>IFERROR(__xludf.DUMMYFUNCTION("""COMPUTED_VALUE"""),"")</f>
        <v/>
      </c>
      <c r="T94" s="80" t="str">
        <f>IFERROR(__xludf.DUMMYFUNCTION("""COMPUTED_VALUE"""),"")</f>
        <v/>
      </c>
      <c r="U94" s="71" t="str">
        <f>IFERROR(__xludf.DUMMYFUNCTION("""COMPUTED_VALUE"""),"")</f>
        <v/>
      </c>
      <c r="V94" s="78" t="str">
        <f>IFERROR(__xludf.DUMMYFUNCTION("""COMPUTED_VALUE"""),"")</f>
        <v/>
      </c>
      <c r="W94" s="62" t="str">
        <f>IFERROR(__xludf.DUMMYFUNCTION("""COMPUTED_VALUE"""),"")</f>
        <v/>
      </c>
      <c r="X94" s="80" t="str">
        <f>IFERROR(__xludf.DUMMYFUNCTION("""COMPUTED_VALUE"""),"")</f>
        <v/>
      </c>
      <c r="Y94" s="109" t="str">
        <f>IFERROR(__xludf.DUMMYFUNCTION("""COMPUTED_VALUE"""),"")</f>
        <v/>
      </c>
      <c r="Z94" s="71"/>
      <c r="AA94" s="71"/>
      <c r="AB94" s="71"/>
    </row>
    <row r="95">
      <c r="A95" s="105">
        <f>IFERROR(__xludf.DUMMYFUNCTION("""COMPUTED_VALUE"""),46071.69685313657)</f>
        <v>46071.69685</v>
      </c>
      <c r="B95" s="71" t="str">
        <f>IFERROR(__xludf.DUMMYFUNCTION("""COMPUTED_VALUE"""),"Evan Morgan")</f>
        <v>Evan Morgan</v>
      </c>
      <c r="C95" s="71" t="b">
        <f>IFERROR(__xludf.DUMMYFUNCTION("""COMPUTED_VALUE"""),FALSE)</f>
        <v>0</v>
      </c>
      <c r="D95" s="132">
        <f>IFERROR(__xludf.DUMMYFUNCTION("""COMPUTED_VALUE"""),0.6666666666642413)</f>
        <v>0.6666666667</v>
      </c>
      <c r="E95" s="78">
        <f>IFERROR(__xludf.DUMMYFUNCTION("""COMPUTED_VALUE"""),0.027777777781011537)</f>
        <v>0.02777777778</v>
      </c>
      <c r="F95" s="132">
        <f>IFERROR(__xludf.DUMMYFUNCTION("""COMPUTED_VALUE"""),0.6944444444452529)</f>
        <v>0.6944444444</v>
      </c>
      <c r="G95" s="78">
        <f>IFERROR(__xludf.DUMMYFUNCTION("""COMPUTED_VALUE"""),0.027777777781011537)</f>
        <v>0.02777777778</v>
      </c>
      <c r="H95" s="71">
        <f>IFERROR(__xludf.DUMMYFUNCTION("""COMPUTED_VALUE"""),35.0)</f>
        <v>35</v>
      </c>
      <c r="I95" s="80">
        <f>IFERROR(__xludf.DUMMYFUNCTION("""COMPUTED_VALUE"""),52.499999993888196)</f>
        <v>52.49999999</v>
      </c>
      <c r="J95" s="71" t="str">
        <f>IFERROR(__xludf.DUMMYFUNCTION("""COMPUTED_VALUE"""),"Dinner")</f>
        <v>Dinner</v>
      </c>
      <c r="K95" s="106">
        <f>IFERROR(__xludf.DUMMYFUNCTION("""COMPUTED_VALUE"""),46071.0)</f>
        <v>46071</v>
      </c>
      <c r="L95" s="71" t="str">
        <f>IFERROR(__xludf.DUMMYFUNCTION("""COMPUTED_VALUE"""),"Wednesday")</f>
        <v>Wednesday</v>
      </c>
      <c r="M95" s="71" t="str">
        <f>IFERROR(__xludf.DUMMYFUNCTION("""COMPUTED_VALUE"""),"MF")</f>
        <v>MF</v>
      </c>
      <c r="N95" s="109">
        <f>IFERROR(__xludf.DUMMYFUNCTION("""COMPUTED_VALUE"""),1.1319612404577555)</f>
        <v>1.13196124</v>
      </c>
      <c r="O95" s="71" t="str">
        <f>IFERROR(__xludf.DUMMYFUNCTION("""COMPUTED_VALUE"""),"")</f>
        <v/>
      </c>
      <c r="P95" s="71" t="str">
        <f>IFERROR(__xludf.DUMMYFUNCTION("""COMPUTED_VALUE"""),"")</f>
        <v/>
      </c>
      <c r="Q95" s="78" t="str">
        <f>IFERROR(__xludf.DUMMYFUNCTION("""COMPUTED_VALUE"""),"")</f>
        <v/>
      </c>
      <c r="R95" s="78" t="str">
        <f>IFERROR(__xludf.DUMMYFUNCTION("""COMPUTED_VALUE"""),"")</f>
        <v/>
      </c>
      <c r="S95" s="80" t="str">
        <f>IFERROR(__xludf.DUMMYFUNCTION("""COMPUTED_VALUE"""),"")</f>
        <v/>
      </c>
      <c r="T95" s="80" t="str">
        <f>IFERROR(__xludf.DUMMYFUNCTION("""COMPUTED_VALUE"""),"")</f>
        <v/>
      </c>
      <c r="U95" s="71" t="str">
        <f>IFERROR(__xludf.DUMMYFUNCTION("""COMPUTED_VALUE"""),"")</f>
        <v/>
      </c>
      <c r="V95" s="78" t="str">
        <f>IFERROR(__xludf.DUMMYFUNCTION("""COMPUTED_VALUE"""),"")</f>
        <v/>
      </c>
      <c r="W95" s="62" t="str">
        <f>IFERROR(__xludf.DUMMYFUNCTION("""COMPUTED_VALUE"""),"")</f>
        <v/>
      </c>
      <c r="X95" s="80" t="str">
        <f>IFERROR(__xludf.DUMMYFUNCTION("""COMPUTED_VALUE"""),"")</f>
        <v/>
      </c>
      <c r="Y95" s="109" t="str">
        <f>IFERROR(__xludf.DUMMYFUNCTION("""COMPUTED_VALUE"""),"")</f>
        <v/>
      </c>
      <c r="Z95" s="71"/>
      <c r="AA95" s="71"/>
      <c r="AB95" s="71"/>
    </row>
    <row r="96">
      <c r="A96" s="105">
        <f>IFERROR(__xludf.DUMMYFUNCTION("""COMPUTED_VALUE"""),46071.84832153935)</f>
        <v>46071.84832</v>
      </c>
      <c r="B96" s="71" t="str">
        <f>IFERROR(__xludf.DUMMYFUNCTION("""COMPUTED_VALUE"""),"Maureen Surgot")</f>
        <v>Maureen Surgot</v>
      </c>
      <c r="C96" s="71" t="b">
        <f>IFERROR(__xludf.DUMMYFUNCTION("""COMPUTED_VALUE"""),FALSE)</f>
        <v>0</v>
      </c>
      <c r="D96" s="132">
        <f>IFERROR(__xludf.DUMMYFUNCTION("""COMPUTED_VALUE"""),0.6875)</f>
        <v>0.6875</v>
      </c>
      <c r="E96" s="78">
        <f>IFERROR(__xludf.DUMMYFUNCTION("""COMPUTED_VALUE"""),0.16666666666424135)</f>
        <v>0.1666666667</v>
      </c>
      <c r="F96" s="132">
        <f>IFERROR(__xludf.DUMMYFUNCTION("""COMPUTED_VALUE"""),0.8541666666642413)</f>
        <v>0.8541666667</v>
      </c>
      <c r="G96" s="78">
        <f>IFERROR(__xludf.DUMMYFUNCTION("""COMPUTED_VALUE"""),0.16666666666424135)</f>
        <v>0.1666666667</v>
      </c>
      <c r="H96" s="71">
        <f>IFERROR(__xludf.DUMMYFUNCTION("""COMPUTED_VALUE"""),109.0)</f>
        <v>109</v>
      </c>
      <c r="I96" s="80">
        <f>IFERROR(__xludf.DUMMYFUNCTION("""COMPUTED_VALUE"""),27.25000000039654)</f>
        <v>27.25</v>
      </c>
      <c r="J96" s="71" t="str">
        <f>IFERROR(__xludf.DUMMYFUNCTION("""COMPUTED_VALUE"""),"Dinner")</f>
        <v>Dinner</v>
      </c>
      <c r="K96" s="106">
        <f>IFERROR(__xludf.DUMMYFUNCTION("""COMPUTED_VALUE"""),46071.0)</f>
        <v>46071</v>
      </c>
      <c r="L96" s="71" t="str">
        <f>IFERROR(__xludf.DUMMYFUNCTION("""COMPUTED_VALUE"""),"Wednesday")</f>
        <v>Wednesday</v>
      </c>
      <c r="M96" s="71" t="str">
        <f>IFERROR(__xludf.DUMMYFUNCTION("""COMPUTED_VALUE"""),"BF")</f>
        <v>BF</v>
      </c>
      <c r="N96" s="109">
        <f>IFERROR(__xludf.DUMMYFUNCTION("""COMPUTED_VALUE"""),0.6132992327365728)</f>
        <v>0.6132992327</v>
      </c>
      <c r="O96" s="71" t="str">
        <f>IFERROR(__xludf.DUMMYFUNCTION("""COMPUTED_VALUE"""),"")</f>
        <v/>
      </c>
      <c r="P96" s="71" t="str">
        <f>IFERROR(__xludf.DUMMYFUNCTION("""COMPUTED_VALUE"""),"")</f>
        <v/>
      </c>
      <c r="Q96" s="78" t="str">
        <f>IFERROR(__xludf.DUMMYFUNCTION("""COMPUTED_VALUE"""),"")</f>
        <v/>
      </c>
      <c r="R96" s="78" t="str">
        <f>IFERROR(__xludf.DUMMYFUNCTION("""COMPUTED_VALUE"""),"")</f>
        <v/>
      </c>
      <c r="S96" s="80" t="str">
        <f>IFERROR(__xludf.DUMMYFUNCTION("""COMPUTED_VALUE"""),"")</f>
        <v/>
      </c>
      <c r="T96" s="80" t="str">
        <f>IFERROR(__xludf.DUMMYFUNCTION("""COMPUTED_VALUE"""),"")</f>
        <v/>
      </c>
      <c r="U96" s="71" t="str">
        <f>IFERROR(__xludf.DUMMYFUNCTION("""COMPUTED_VALUE"""),"")</f>
        <v/>
      </c>
      <c r="V96" s="78" t="str">
        <f>IFERROR(__xludf.DUMMYFUNCTION("""COMPUTED_VALUE"""),"")</f>
        <v/>
      </c>
      <c r="W96" s="62" t="str">
        <f>IFERROR(__xludf.DUMMYFUNCTION("""COMPUTED_VALUE"""),"")</f>
        <v/>
      </c>
      <c r="X96" s="80" t="str">
        <f>IFERROR(__xludf.DUMMYFUNCTION("""COMPUTED_VALUE"""),"")</f>
        <v/>
      </c>
      <c r="Y96" s="109" t="str">
        <f>IFERROR(__xludf.DUMMYFUNCTION("""COMPUTED_VALUE"""),"")</f>
        <v/>
      </c>
      <c r="Z96" s="71"/>
      <c r="AA96" s="71"/>
      <c r="AB96" s="71"/>
    </row>
    <row r="97">
      <c r="A97" s="105">
        <f>IFERROR(__xludf.DUMMYFUNCTION("""COMPUTED_VALUE"""),46071.86939287037)</f>
        <v>46071.86939</v>
      </c>
      <c r="B97" s="71" t="str">
        <f>IFERROR(__xludf.DUMMYFUNCTION("""COMPUTED_VALUE"""),"Brynn Hornig")</f>
        <v>Brynn Hornig</v>
      </c>
      <c r="C97" s="71" t="b">
        <f>IFERROR(__xludf.DUMMYFUNCTION("""COMPUTED_VALUE"""),FALSE)</f>
        <v>0</v>
      </c>
      <c r="D97" s="132">
        <f>IFERROR(__xludf.DUMMYFUNCTION("""COMPUTED_VALUE"""),0.75)</f>
        <v>0.75</v>
      </c>
      <c r="E97" s="78">
        <f>IFERROR(__xludf.DUMMYFUNCTION("""COMPUTED_VALUE"""),0.125)</f>
        <v>0.125</v>
      </c>
      <c r="F97" s="132">
        <f>IFERROR(__xludf.DUMMYFUNCTION("""COMPUTED_VALUE"""),0.875)</f>
        <v>0.875</v>
      </c>
      <c r="G97" s="78">
        <f>IFERROR(__xludf.DUMMYFUNCTION("""COMPUTED_VALUE"""),0.125)</f>
        <v>0.125</v>
      </c>
      <c r="H97" s="71">
        <f>IFERROR(__xludf.DUMMYFUNCTION("""COMPUTED_VALUE"""),209.0)</f>
        <v>209</v>
      </c>
      <c r="I97" s="80">
        <f>IFERROR(__xludf.DUMMYFUNCTION("""COMPUTED_VALUE"""),69.66666666666667)</f>
        <v>69.66666667</v>
      </c>
      <c r="J97" s="71" t="str">
        <f>IFERROR(__xludf.DUMMYFUNCTION("""COMPUTED_VALUE"""),"Dinner")</f>
        <v>Dinner</v>
      </c>
      <c r="K97" s="106">
        <f>IFERROR(__xludf.DUMMYFUNCTION("""COMPUTED_VALUE"""),46071.0)</f>
        <v>46071</v>
      </c>
      <c r="L97" s="71" t="str">
        <f>IFERROR(__xludf.DUMMYFUNCTION("""COMPUTED_VALUE"""),"Wednesday")</f>
        <v>Wednesday</v>
      </c>
      <c r="M97" s="71" t="str">
        <f>IFERROR(__xludf.DUMMYFUNCTION("""COMPUTED_VALUE"""),"MF")</f>
        <v>MF</v>
      </c>
      <c r="N97" s="109">
        <f>IFERROR(__xludf.DUMMYFUNCTION("""COMPUTED_VALUE"""),1.502094598623571)</f>
        <v>1.502094599</v>
      </c>
      <c r="O97" s="71">
        <f>IFERROR(__xludf.DUMMYFUNCTION("""COMPUTED_VALUE"""),343.0)</f>
        <v>343</v>
      </c>
      <c r="P97" s="71">
        <f>IFERROR(__xludf.DUMMYFUNCTION("""COMPUTED_VALUE"""),250.0)</f>
        <v>250</v>
      </c>
      <c r="Q97" s="78">
        <f>IFERROR(__xludf.DUMMYFUNCTION("""COMPUTED_VALUE"""),0.2291666666715173)</f>
        <v>0.2291666667</v>
      </c>
      <c r="R97" s="78">
        <f>IFERROR(__xludf.DUMMYFUNCTION("""COMPUTED_VALUE"""),0.33333333333575865)</f>
        <v>0.3333333333</v>
      </c>
      <c r="S97" s="80">
        <f>IFERROR(__xludf.DUMMYFUNCTION("""COMPUTED_VALUE"""),58.72222221980396)</f>
        <v>58.72222222</v>
      </c>
      <c r="T97" s="80">
        <f>IFERROR(__xludf.DUMMYFUNCTION("""COMPUTED_VALUE"""),33.40501165452307)</f>
        <v>33.40501165</v>
      </c>
      <c r="U97" s="71">
        <f>IFERROR(__xludf.DUMMYFUNCTION("""COMPUTED_VALUE"""),593.0)</f>
        <v>593</v>
      </c>
      <c r="V97" s="78">
        <f>IFERROR(__xludf.DUMMYFUNCTION("""COMPUTED_VALUE"""),0.562500000007276)</f>
        <v>0.5625</v>
      </c>
      <c r="W97" s="62">
        <f>IFERROR(__xludf.DUMMYFUNCTION("""COMPUTED_VALUE"""),43.925925925357745)</f>
        <v>43.92592593</v>
      </c>
      <c r="X97" s="80">
        <f>IFERROR(__xludf.DUMMYFUNCTION("""COMPUTED_VALUE"""),46.063616937163516)</f>
        <v>46.06361694</v>
      </c>
      <c r="Y97" s="109">
        <f>IFERROR(__xludf.DUMMYFUNCTION("""COMPUTED_VALUE"""),0.8956454471790001)</f>
        <v>0.8956454472</v>
      </c>
      <c r="Z97" s="71"/>
      <c r="AA97" s="71"/>
      <c r="AB97" s="71"/>
    </row>
    <row r="98">
      <c r="A98" s="105">
        <f>IFERROR(__xludf.DUMMYFUNCTION("""COMPUTED_VALUE"""),46072.362981122686)</f>
        <v>46072.36298</v>
      </c>
      <c r="B98" s="71" t="str">
        <f>IFERROR(__xludf.DUMMYFUNCTION("""COMPUTED_VALUE"""),"Evan Morgan")</f>
        <v>Evan Morgan</v>
      </c>
      <c r="C98" s="71" t="b">
        <f>IFERROR(__xludf.DUMMYFUNCTION("""COMPUTED_VALUE"""),FALSE)</f>
        <v>0</v>
      </c>
      <c r="D98" s="132">
        <f>IFERROR(__xludf.DUMMYFUNCTION("""COMPUTED_VALUE"""),0.29166666666424135)</f>
        <v>0.2916666667</v>
      </c>
      <c r="E98" s="78">
        <f>IFERROR(__xludf.DUMMYFUNCTION("""COMPUTED_VALUE"""),0.0729166666715173)</f>
        <v>0.07291666667</v>
      </c>
      <c r="F98" s="132">
        <f>IFERROR(__xludf.DUMMYFUNCTION("""COMPUTED_VALUE"""),0.36458333333575865)</f>
        <v>0.3645833333</v>
      </c>
      <c r="G98" s="78">
        <f>IFERROR(__xludf.DUMMYFUNCTION("""COMPUTED_VALUE"""),0.0729166666715173)</f>
        <v>0.07291666667</v>
      </c>
      <c r="H98" s="71">
        <f>IFERROR(__xludf.DUMMYFUNCTION("""COMPUTED_VALUE"""),16.0)</f>
        <v>16</v>
      </c>
      <c r="I98" s="80">
        <f>IFERROR(__xludf.DUMMYFUNCTION("""COMPUTED_VALUE"""),9.142857142248932)</f>
        <v>9.142857142</v>
      </c>
      <c r="J98" s="71" t="str">
        <f>IFERROR(__xludf.DUMMYFUNCTION("""COMPUTED_VALUE"""),"Breakfast")</f>
        <v>Breakfast</v>
      </c>
      <c r="K98" s="106">
        <f>IFERROR(__xludf.DUMMYFUNCTION("""COMPUTED_VALUE"""),46072.0)</f>
        <v>46072</v>
      </c>
      <c r="L98" s="71" t="str">
        <f>IFERROR(__xludf.DUMMYFUNCTION("""COMPUTED_VALUE"""),"Thursday")</f>
        <v>Thursday</v>
      </c>
      <c r="M98" s="71" t="str">
        <f>IFERROR(__xludf.DUMMYFUNCTION("""COMPUTED_VALUE"""),"BF")</f>
        <v>BF</v>
      </c>
      <c r="N98" s="109">
        <f>IFERROR(__xludf.DUMMYFUNCTION("""COMPUTED_VALUE"""),0.32249198349416547)</f>
        <v>0.3224919835</v>
      </c>
      <c r="O98" s="71" t="str">
        <f>IFERROR(__xludf.DUMMYFUNCTION("""COMPUTED_VALUE"""),"")</f>
        <v/>
      </c>
      <c r="P98" s="71" t="str">
        <f>IFERROR(__xludf.DUMMYFUNCTION("""COMPUTED_VALUE"""),"")</f>
        <v/>
      </c>
      <c r="Q98" s="78" t="str">
        <f>IFERROR(__xludf.DUMMYFUNCTION("""COMPUTED_VALUE"""),"")</f>
        <v/>
      </c>
      <c r="R98" s="78" t="str">
        <f>IFERROR(__xludf.DUMMYFUNCTION("""COMPUTED_VALUE"""),"")</f>
        <v/>
      </c>
      <c r="S98" s="80" t="str">
        <f>IFERROR(__xludf.DUMMYFUNCTION("""COMPUTED_VALUE"""),"")</f>
        <v/>
      </c>
      <c r="T98" s="80" t="str">
        <f>IFERROR(__xludf.DUMMYFUNCTION("""COMPUTED_VALUE"""),"")</f>
        <v/>
      </c>
      <c r="U98" s="71" t="str">
        <f>IFERROR(__xludf.DUMMYFUNCTION("""COMPUTED_VALUE"""),"")</f>
        <v/>
      </c>
      <c r="V98" s="78" t="str">
        <f>IFERROR(__xludf.DUMMYFUNCTION("""COMPUTED_VALUE"""),"")</f>
        <v/>
      </c>
      <c r="W98" s="62" t="str">
        <f>IFERROR(__xludf.DUMMYFUNCTION("""COMPUTED_VALUE"""),"")</f>
        <v/>
      </c>
      <c r="X98" s="80" t="str">
        <f>IFERROR(__xludf.DUMMYFUNCTION("""COMPUTED_VALUE"""),"")</f>
        <v/>
      </c>
      <c r="Y98" s="109" t="str">
        <f>IFERROR(__xludf.DUMMYFUNCTION("""COMPUTED_VALUE"""),"")</f>
        <v/>
      </c>
      <c r="Z98" s="71"/>
      <c r="AA98" s="71"/>
      <c r="AB98" s="71"/>
    </row>
    <row r="99">
      <c r="A99" s="105">
        <f>IFERROR(__xludf.DUMMYFUNCTION("""COMPUTED_VALUE"""),46072.4230256713)</f>
        <v>46072.42303</v>
      </c>
      <c r="B99" s="71" t="str">
        <f>IFERROR(__xludf.DUMMYFUNCTION("""COMPUTED_VALUE"""),"Sophia Kluck")</f>
        <v>Sophia Kluck</v>
      </c>
      <c r="C99" s="71" t="b">
        <f>IFERROR(__xludf.DUMMYFUNCTION("""COMPUTED_VALUE"""),FALSE)</f>
        <v>0</v>
      </c>
      <c r="D99" s="132">
        <f>IFERROR(__xludf.DUMMYFUNCTION("""COMPUTED_VALUE"""),0.36458333333575865)</f>
        <v>0.3645833333</v>
      </c>
      <c r="E99" s="78">
        <f>IFERROR(__xludf.DUMMYFUNCTION("""COMPUTED_VALUE"""),0.05277777777519077)</f>
        <v>0.05277777778</v>
      </c>
      <c r="F99" s="132">
        <f>IFERROR(__xludf.DUMMYFUNCTION("""COMPUTED_VALUE"""),0.4173611111109494)</f>
        <v>0.4173611111</v>
      </c>
      <c r="G99" s="78">
        <f>IFERROR(__xludf.DUMMYFUNCTION("""COMPUTED_VALUE"""),0.10763888888322981)</f>
        <v>0.1076388889</v>
      </c>
      <c r="H99" s="71">
        <f>IFERROR(__xludf.DUMMYFUNCTION("""COMPUTED_VALUE"""),64.0)</f>
        <v>64</v>
      </c>
      <c r="I99" s="80">
        <f>IFERROR(__xludf.DUMMYFUNCTION("""COMPUTED_VALUE"""),45.29032258302628)</f>
        <v>45.29032258</v>
      </c>
      <c r="J99" s="71" t="str">
        <f>IFERROR(__xludf.DUMMYFUNCTION("""COMPUTED_VALUE"""),"Breakfast")</f>
        <v>Breakfast</v>
      </c>
      <c r="K99" s="106">
        <f>IFERROR(__xludf.DUMMYFUNCTION("""COMPUTED_VALUE"""),46072.0)</f>
        <v>46072</v>
      </c>
      <c r="L99" s="71" t="str">
        <f>IFERROR(__xludf.DUMMYFUNCTION("""COMPUTED_VALUE"""),"Thursday")</f>
        <v>Thursday</v>
      </c>
      <c r="M99" s="71" t="str">
        <f>IFERROR(__xludf.DUMMYFUNCTION("""COMPUTED_VALUE"""),"BF")</f>
        <v>BF</v>
      </c>
      <c r="N99" s="109">
        <f>IFERROR(__xludf.DUMMYFUNCTION("""COMPUTED_VALUE"""),1.5975056522974458)</f>
        <v>1.597505652</v>
      </c>
      <c r="O99" s="71" t="str">
        <f>IFERROR(__xludf.DUMMYFUNCTION("""COMPUTED_VALUE"""),"")</f>
        <v/>
      </c>
      <c r="P99" s="71" t="str">
        <f>IFERROR(__xludf.DUMMYFUNCTION("""COMPUTED_VALUE"""),"")</f>
        <v/>
      </c>
      <c r="Q99" s="78" t="str">
        <f>IFERROR(__xludf.DUMMYFUNCTION("""COMPUTED_VALUE"""),"")</f>
        <v/>
      </c>
      <c r="R99" s="78" t="str">
        <f>IFERROR(__xludf.DUMMYFUNCTION("""COMPUTED_VALUE"""),"")</f>
        <v/>
      </c>
      <c r="S99" s="80" t="str">
        <f>IFERROR(__xludf.DUMMYFUNCTION("""COMPUTED_VALUE"""),"")</f>
        <v/>
      </c>
      <c r="T99" s="80" t="str">
        <f>IFERROR(__xludf.DUMMYFUNCTION("""COMPUTED_VALUE"""),"")</f>
        <v/>
      </c>
      <c r="U99" s="71" t="str">
        <f>IFERROR(__xludf.DUMMYFUNCTION("""COMPUTED_VALUE"""),"")</f>
        <v/>
      </c>
      <c r="V99" s="78" t="str">
        <f>IFERROR(__xludf.DUMMYFUNCTION("""COMPUTED_VALUE"""),"")</f>
        <v/>
      </c>
      <c r="W99" s="62" t="str">
        <f>IFERROR(__xludf.DUMMYFUNCTION("""COMPUTED_VALUE"""),"")</f>
        <v/>
      </c>
      <c r="X99" s="80" t="str">
        <f>IFERROR(__xludf.DUMMYFUNCTION("""COMPUTED_VALUE"""),"")</f>
        <v/>
      </c>
      <c r="Y99" s="109" t="str">
        <f>IFERROR(__xludf.DUMMYFUNCTION("""COMPUTED_VALUE"""),"")</f>
        <v/>
      </c>
      <c r="Z99" s="71"/>
      <c r="AA99" s="71"/>
      <c r="AB99" s="71"/>
    </row>
    <row r="100">
      <c r="A100" s="105">
        <f>IFERROR(__xludf.DUMMYFUNCTION("""COMPUTED_VALUE"""),46072.48012951389)</f>
        <v>46072.48013</v>
      </c>
      <c r="B100" s="71" t="str">
        <f>IFERROR(__xludf.DUMMYFUNCTION("""COMPUTED_VALUE"""),"Sophia Kluck")</f>
        <v>Sophia Kluck</v>
      </c>
      <c r="C100" s="71" t="b">
        <f>IFERROR(__xludf.DUMMYFUNCTION("""COMPUTED_VALUE"""),TRUE)</f>
        <v>1</v>
      </c>
      <c r="D100" s="132">
        <f>IFERROR(__xludf.DUMMYFUNCTION("""COMPUTED_VALUE"""),0.42013888889050577)</f>
        <v>0.4201388889</v>
      </c>
      <c r="E100" s="78">
        <f>IFERROR(__xludf.DUMMYFUNCTION("""COMPUTED_VALUE"""),0.05486111110803904)</f>
        <v>0.05486111111</v>
      </c>
      <c r="F100" s="132">
        <f>IFERROR(__xludf.DUMMYFUNCTION("""COMPUTED_VALUE"""),0.4749999999985448)</f>
        <v>0.475</v>
      </c>
      <c r="G100" s="78" t="str">
        <f>IFERROR(__xludf.DUMMYFUNCTION("""COMPUTED_VALUE"""),"")</f>
        <v/>
      </c>
      <c r="H100" s="71">
        <f>IFERROR(__xludf.DUMMYFUNCTION("""COMPUTED_VALUE"""),53.0)</f>
        <v>53</v>
      </c>
      <c r="I100" s="80" t="str">
        <f>IFERROR(__xludf.DUMMYFUNCTION("""COMPUTED_VALUE"""),"")</f>
        <v/>
      </c>
      <c r="J100" s="71" t="str">
        <f>IFERROR(__xludf.DUMMYFUNCTION("""COMPUTED_VALUE"""),"Breakfast/Lunch")</f>
        <v>Breakfast/Lunch</v>
      </c>
      <c r="K100" s="106">
        <f>IFERROR(__xludf.DUMMYFUNCTION("""COMPUTED_VALUE"""),46072.0)</f>
        <v>46072</v>
      </c>
      <c r="L100" s="71" t="str">
        <f>IFERROR(__xludf.DUMMYFUNCTION("""COMPUTED_VALUE"""),"Thursday")</f>
        <v>Thursday</v>
      </c>
      <c r="M100" s="71" t="str">
        <f>IFERROR(__xludf.DUMMYFUNCTION("""COMPUTED_VALUE"""),"BF")</f>
        <v>BF</v>
      </c>
      <c r="N100" s="109" t="str">
        <f>IFERROR(__xludf.DUMMYFUNCTION("""COMPUTED_VALUE"""),"")</f>
        <v/>
      </c>
      <c r="O100" s="71" t="str">
        <f>IFERROR(__xludf.DUMMYFUNCTION("""COMPUTED_VALUE"""),"")</f>
        <v/>
      </c>
      <c r="P100" s="71" t="str">
        <f>IFERROR(__xludf.DUMMYFUNCTION("""COMPUTED_VALUE"""),"")</f>
        <v/>
      </c>
      <c r="Q100" s="78" t="str">
        <f>IFERROR(__xludf.DUMMYFUNCTION("""COMPUTED_VALUE"""),"")</f>
        <v/>
      </c>
      <c r="R100" s="78" t="str">
        <f>IFERROR(__xludf.DUMMYFUNCTION("""COMPUTED_VALUE"""),"")</f>
        <v/>
      </c>
      <c r="S100" s="80" t="str">
        <f>IFERROR(__xludf.DUMMYFUNCTION("""COMPUTED_VALUE"""),"")</f>
        <v/>
      </c>
      <c r="T100" s="80" t="str">
        <f>IFERROR(__xludf.DUMMYFUNCTION("""COMPUTED_VALUE"""),"")</f>
        <v/>
      </c>
      <c r="U100" s="71" t="str">
        <f>IFERROR(__xludf.DUMMYFUNCTION("""COMPUTED_VALUE"""),"")</f>
        <v/>
      </c>
      <c r="V100" s="78" t="str">
        <f>IFERROR(__xludf.DUMMYFUNCTION("""COMPUTED_VALUE"""),"")</f>
        <v/>
      </c>
      <c r="W100" s="62" t="str">
        <f>IFERROR(__xludf.DUMMYFUNCTION("""COMPUTED_VALUE"""),"")</f>
        <v/>
      </c>
      <c r="X100" s="80" t="str">
        <f>IFERROR(__xludf.DUMMYFUNCTION("""COMPUTED_VALUE"""),"")</f>
        <v/>
      </c>
      <c r="Y100" s="109" t="str">
        <f>IFERROR(__xludf.DUMMYFUNCTION("""COMPUTED_VALUE"""),"")</f>
        <v/>
      </c>
      <c r="Z100" s="71"/>
      <c r="AA100" s="71"/>
      <c r="AB100" s="71"/>
    </row>
    <row r="101">
      <c r="A101" s="105">
        <f>IFERROR(__xludf.DUMMYFUNCTION("""COMPUTED_VALUE"""),46072.52297233796)</f>
        <v>46072.52297</v>
      </c>
      <c r="B101" s="71" t="str">
        <f>IFERROR(__xludf.DUMMYFUNCTION("""COMPUTED_VALUE"""),"Emmett Khan")</f>
        <v>Emmett Khan</v>
      </c>
      <c r="C101" s="71" t="b">
        <f>IFERROR(__xludf.DUMMYFUNCTION("""COMPUTED_VALUE"""),FALSE)</f>
        <v>0</v>
      </c>
      <c r="D101" s="132">
        <f>IFERROR(__xludf.DUMMYFUNCTION("""COMPUTED_VALUE"""),0.47916666666424135)</f>
        <v>0.4791666667</v>
      </c>
      <c r="E101" s="78">
        <f>IFERROR(__xludf.DUMMYFUNCTION("""COMPUTED_VALUE"""),0.05208333333575865)</f>
        <v>0.05208333334</v>
      </c>
      <c r="F101" s="132">
        <f>IFERROR(__xludf.DUMMYFUNCTION("""COMPUTED_VALUE"""),0.53125)</f>
        <v>0.53125</v>
      </c>
      <c r="G101" s="78">
        <f>IFERROR(__xludf.DUMMYFUNCTION("""COMPUTED_VALUE"""),0.05208333333575865)</f>
        <v>0.05208333334</v>
      </c>
      <c r="H101" s="71">
        <f>IFERROR(__xludf.DUMMYFUNCTION("""COMPUTED_VALUE"""),36.0)</f>
        <v>36</v>
      </c>
      <c r="I101" s="80">
        <f>IFERROR(__xludf.DUMMYFUNCTION("""COMPUTED_VALUE"""),28.799999998658894)</f>
        <v>28.8</v>
      </c>
      <c r="J101" s="71" t="str">
        <f>IFERROR(__xludf.DUMMYFUNCTION("""COMPUTED_VALUE"""),"Lunch")</f>
        <v>Lunch</v>
      </c>
      <c r="K101" s="106">
        <f>IFERROR(__xludf.DUMMYFUNCTION("""COMPUTED_VALUE"""),46072.0)</f>
        <v>46072</v>
      </c>
      <c r="L101" s="71" t="str">
        <f>IFERROR(__xludf.DUMMYFUNCTION("""COMPUTED_VALUE"""),"Thursday")</f>
        <v>Thursday</v>
      </c>
      <c r="M101" s="71" t="str">
        <f>IFERROR(__xludf.DUMMYFUNCTION("""COMPUTED_VALUE"""),"MF")</f>
        <v>MF</v>
      </c>
      <c r="N101" s="109">
        <f>IFERROR(__xludf.DUMMYFUNCTION("""COMPUTED_VALUE"""),0.5728209086333865)</f>
        <v>0.5728209086</v>
      </c>
      <c r="O101" s="71" t="str">
        <f>IFERROR(__xludf.DUMMYFUNCTION("""COMPUTED_VALUE"""),"")</f>
        <v/>
      </c>
      <c r="P101" s="71" t="str">
        <f>IFERROR(__xludf.DUMMYFUNCTION("""COMPUTED_VALUE"""),"")</f>
        <v/>
      </c>
      <c r="Q101" s="78" t="str">
        <f>IFERROR(__xludf.DUMMYFUNCTION("""COMPUTED_VALUE"""),"")</f>
        <v/>
      </c>
      <c r="R101" s="78" t="str">
        <f>IFERROR(__xludf.DUMMYFUNCTION("""COMPUTED_VALUE"""),"")</f>
        <v/>
      </c>
      <c r="S101" s="80" t="str">
        <f>IFERROR(__xludf.DUMMYFUNCTION("""COMPUTED_VALUE"""),"")</f>
        <v/>
      </c>
      <c r="T101" s="80" t="str">
        <f>IFERROR(__xludf.DUMMYFUNCTION("""COMPUTED_VALUE"""),"")</f>
        <v/>
      </c>
      <c r="U101" s="71" t="str">
        <f>IFERROR(__xludf.DUMMYFUNCTION("""COMPUTED_VALUE"""),"")</f>
        <v/>
      </c>
      <c r="V101" s="78" t="str">
        <f>IFERROR(__xludf.DUMMYFUNCTION("""COMPUTED_VALUE"""),"")</f>
        <v/>
      </c>
      <c r="W101" s="62" t="str">
        <f>IFERROR(__xludf.DUMMYFUNCTION("""COMPUTED_VALUE"""),"")</f>
        <v/>
      </c>
      <c r="X101" s="80" t="str">
        <f>IFERROR(__xludf.DUMMYFUNCTION("""COMPUTED_VALUE"""),"")</f>
        <v/>
      </c>
      <c r="Y101" s="109" t="str">
        <f>IFERROR(__xludf.DUMMYFUNCTION("""COMPUTED_VALUE"""),"")</f>
        <v/>
      </c>
      <c r="Z101" s="71"/>
      <c r="AA101" s="71"/>
      <c r="AB101" s="71"/>
    </row>
    <row r="102">
      <c r="A102" s="105">
        <f>IFERROR(__xludf.DUMMYFUNCTION("""COMPUTED_VALUE"""),46072.54057175926)</f>
        <v>46072.54057</v>
      </c>
      <c r="B102" s="71" t="str">
        <f>IFERROR(__xludf.DUMMYFUNCTION("""COMPUTED_VALUE"""),"Kyra Turner")</f>
        <v>Kyra Turner</v>
      </c>
      <c r="C102" s="71" t="b">
        <f>IFERROR(__xludf.DUMMYFUNCTION("""COMPUTED_VALUE"""),FALSE)</f>
        <v>0</v>
      </c>
      <c r="D102" s="132">
        <f>IFERROR(__xludf.DUMMYFUNCTION("""COMPUTED_VALUE"""),0.5034722222189885)</f>
        <v>0.5034722222</v>
      </c>
      <c r="E102" s="78">
        <f>IFERROR(__xludf.DUMMYFUNCTION("""COMPUTED_VALUE"""),0.03333333334012423)</f>
        <v>0.03333333334</v>
      </c>
      <c r="F102" s="132">
        <f>IFERROR(__xludf.DUMMYFUNCTION("""COMPUTED_VALUE"""),0.5368055555591127)</f>
        <v>0.5368055556</v>
      </c>
      <c r="G102" s="78">
        <f>IFERROR(__xludf.DUMMYFUNCTION("""COMPUTED_VALUE"""),0.1263888889006921)</f>
        <v>0.1263888889</v>
      </c>
      <c r="H102" s="71">
        <f>IFERROR(__xludf.DUMMYFUNCTION("""COMPUTED_VALUE"""),42.0)</f>
        <v>42</v>
      </c>
      <c r="I102" s="80">
        <f>IFERROR(__xludf.DUMMYFUNCTION("""COMPUTED_VALUE"""),41.2087912049428)</f>
        <v>41.2087912</v>
      </c>
      <c r="J102" s="71" t="str">
        <f>IFERROR(__xludf.DUMMYFUNCTION("""COMPUTED_VALUE"""),"Lunch")</f>
        <v>Lunch</v>
      </c>
      <c r="K102" s="106">
        <f>IFERROR(__xludf.DUMMYFUNCTION("""COMPUTED_VALUE"""),46072.0)</f>
        <v>46072</v>
      </c>
      <c r="L102" s="71" t="str">
        <f>IFERROR(__xludf.DUMMYFUNCTION("""COMPUTED_VALUE"""),"Thursday")</f>
        <v>Thursday</v>
      </c>
      <c r="M102" s="71" t="str">
        <f>IFERROR(__xludf.DUMMYFUNCTION("""COMPUTED_VALUE"""),"BF")</f>
        <v>BF</v>
      </c>
      <c r="N102" s="109">
        <f>IFERROR(__xludf.DUMMYFUNCTION("""COMPUTED_VALUE"""),1.4535395890272012)</f>
        <v>1.453539589</v>
      </c>
      <c r="O102" s="71" t="str">
        <f>IFERROR(__xludf.DUMMYFUNCTION("""COMPUTED_VALUE"""),"")</f>
        <v/>
      </c>
      <c r="P102" s="71" t="str">
        <f>IFERROR(__xludf.DUMMYFUNCTION("""COMPUTED_VALUE"""),"")</f>
        <v/>
      </c>
      <c r="Q102" s="78" t="str">
        <f>IFERROR(__xludf.DUMMYFUNCTION("""COMPUTED_VALUE"""),"")</f>
        <v/>
      </c>
      <c r="R102" s="78" t="str">
        <f>IFERROR(__xludf.DUMMYFUNCTION("""COMPUTED_VALUE"""),"")</f>
        <v/>
      </c>
      <c r="S102" s="80" t="str">
        <f>IFERROR(__xludf.DUMMYFUNCTION("""COMPUTED_VALUE"""),"")</f>
        <v/>
      </c>
      <c r="T102" s="80" t="str">
        <f>IFERROR(__xludf.DUMMYFUNCTION("""COMPUTED_VALUE"""),"")</f>
        <v/>
      </c>
      <c r="U102" s="71" t="str">
        <f>IFERROR(__xludf.DUMMYFUNCTION("""COMPUTED_VALUE"""),"")</f>
        <v/>
      </c>
      <c r="V102" s="78" t="str">
        <f>IFERROR(__xludf.DUMMYFUNCTION("""COMPUTED_VALUE"""),"")</f>
        <v/>
      </c>
      <c r="W102" s="62" t="str">
        <f>IFERROR(__xludf.DUMMYFUNCTION("""COMPUTED_VALUE"""),"")</f>
        <v/>
      </c>
      <c r="X102" s="80" t="str">
        <f>IFERROR(__xludf.DUMMYFUNCTION("""COMPUTED_VALUE"""),"")</f>
        <v/>
      </c>
      <c r="Y102" s="109" t="str">
        <f>IFERROR(__xludf.DUMMYFUNCTION("""COMPUTED_VALUE"""),"")</f>
        <v/>
      </c>
      <c r="Z102" s="71"/>
      <c r="AA102" s="71"/>
      <c r="AB102" s="71"/>
    </row>
    <row r="103">
      <c r="A103" s="105">
        <f>IFERROR(__xludf.DUMMYFUNCTION("""COMPUTED_VALUE"""),46072.57008070602)</f>
        <v>46072.57008</v>
      </c>
      <c r="B103" s="71" t="str">
        <f>IFERROR(__xludf.DUMMYFUNCTION("""COMPUTED_VALUE"""),"Kyra Turner")</f>
        <v>Kyra Turner</v>
      </c>
      <c r="C103" s="71" t="b">
        <f>IFERROR(__xludf.DUMMYFUNCTION("""COMPUTED_VALUE"""),TRUE)</f>
        <v>1</v>
      </c>
      <c r="D103" s="132">
        <f>IFERROR(__xludf.DUMMYFUNCTION("""COMPUTED_VALUE"""),0.538888888884685)</f>
        <v>0.5388888889</v>
      </c>
      <c r="E103" s="78">
        <f>IFERROR(__xludf.DUMMYFUNCTION("""COMPUTED_VALUE"""),0.030555555560567882)</f>
        <v>0.03055555556</v>
      </c>
      <c r="F103" s="132">
        <f>IFERROR(__xludf.DUMMYFUNCTION("""COMPUTED_VALUE"""),0.5694444444452529)</f>
        <v>0.5694444444</v>
      </c>
      <c r="G103" s="78" t="str">
        <f>IFERROR(__xludf.DUMMYFUNCTION("""COMPUTED_VALUE"""),"")</f>
        <v/>
      </c>
      <c r="H103" s="71">
        <f>IFERROR(__xludf.DUMMYFUNCTION("""COMPUTED_VALUE"""),37.0)</f>
        <v>37</v>
      </c>
      <c r="I103" s="80" t="str">
        <f>IFERROR(__xludf.DUMMYFUNCTION("""COMPUTED_VALUE"""),"")</f>
        <v/>
      </c>
      <c r="J103" s="71" t="str">
        <f>IFERROR(__xludf.DUMMYFUNCTION("""COMPUTED_VALUE"""),"Lunch")</f>
        <v>Lunch</v>
      </c>
      <c r="K103" s="106">
        <f>IFERROR(__xludf.DUMMYFUNCTION("""COMPUTED_VALUE"""),46072.0)</f>
        <v>46072</v>
      </c>
      <c r="L103" s="71" t="str">
        <f>IFERROR(__xludf.DUMMYFUNCTION("""COMPUTED_VALUE"""),"Thursday")</f>
        <v>Thursday</v>
      </c>
      <c r="M103" s="71" t="str">
        <f>IFERROR(__xludf.DUMMYFUNCTION("""COMPUTED_VALUE"""),"BF")</f>
        <v>BF</v>
      </c>
      <c r="N103" s="109" t="str">
        <f>IFERROR(__xludf.DUMMYFUNCTION("""COMPUTED_VALUE"""),"")</f>
        <v/>
      </c>
      <c r="O103" s="71" t="str">
        <f>IFERROR(__xludf.DUMMYFUNCTION("""COMPUTED_VALUE"""),"")</f>
        <v/>
      </c>
      <c r="P103" s="71" t="str">
        <f>IFERROR(__xludf.DUMMYFUNCTION("""COMPUTED_VALUE"""),"")</f>
        <v/>
      </c>
      <c r="Q103" s="78" t="str">
        <f>IFERROR(__xludf.DUMMYFUNCTION("""COMPUTED_VALUE"""),"")</f>
        <v/>
      </c>
      <c r="R103" s="78" t="str">
        <f>IFERROR(__xludf.DUMMYFUNCTION("""COMPUTED_VALUE"""),"")</f>
        <v/>
      </c>
      <c r="S103" s="80" t="str">
        <f>IFERROR(__xludf.DUMMYFUNCTION("""COMPUTED_VALUE"""),"")</f>
        <v/>
      </c>
      <c r="T103" s="80" t="str">
        <f>IFERROR(__xludf.DUMMYFUNCTION("""COMPUTED_VALUE"""),"")</f>
        <v/>
      </c>
      <c r="U103" s="71" t="str">
        <f>IFERROR(__xludf.DUMMYFUNCTION("""COMPUTED_VALUE"""),"")</f>
        <v/>
      </c>
      <c r="V103" s="78" t="str">
        <f>IFERROR(__xludf.DUMMYFUNCTION("""COMPUTED_VALUE"""),"")</f>
        <v/>
      </c>
      <c r="W103" s="62" t="str">
        <f>IFERROR(__xludf.DUMMYFUNCTION("""COMPUTED_VALUE"""),"")</f>
        <v/>
      </c>
      <c r="X103" s="80" t="str">
        <f>IFERROR(__xludf.DUMMYFUNCTION("""COMPUTED_VALUE"""),"")</f>
        <v/>
      </c>
      <c r="Y103" s="109" t="str">
        <f>IFERROR(__xludf.DUMMYFUNCTION("""COMPUTED_VALUE"""),"")</f>
        <v/>
      </c>
      <c r="Z103" s="71"/>
      <c r="AA103" s="71"/>
      <c r="AB103" s="71"/>
    </row>
    <row r="104">
      <c r="A104" s="105">
        <f>IFERROR(__xludf.DUMMYFUNCTION("""COMPUTED_VALUE"""),46072.64471570602)</f>
        <v>46072.64472</v>
      </c>
      <c r="B104" s="71" t="str">
        <f>IFERROR(__xludf.DUMMYFUNCTION("""COMPUTED_VALUE"""),"Kyra Turner")</f>
        <v>Kyra Turner</v>
      </c>
      <c r="C104" s="71" t="b">
        <f>IFERROR(__xludf.DUMMYFUNCTION("""COMPUTED_VALUE"""),TRUE)</f>
        <v>1</v>
      </c>
      <c r="D104" s="132">
        <f>IFERROR(__xludf.DUMMYFUNCTION("""COMPUTED_VALUE"""),0.5819444444423425)</f>
        <v>0.5819444444</v>
      </c>
      <c r="E104" s="78">
        <f>IFERROR(__xludf.DUMMYFUNCTION("""COMPUTED_VALUE"""),0.0625)</f>
        <v>0.0625</v>
      </c>
      <c r="F104" s="132">
        <f>IFERROR(__xludf.DUMMYFUNCTION("""COMPUTED_VALUE"""),0.6444444444423425)</f>
        <v>0.6444444444</v>
      </c>
      <c r="G104" s="78" t="str">
        <f>IFERROR(__xludf.DUMMYFUNCTION("""COMPUTED_VALUE"""),"")</f>
        <v/>
      </c>
      <c r="H104" s="71">
        <f>IFERROR(__xludf.DUMMYFUNCTION("""COMPUTED_VALUE"""),46.0)</f>
        <v>46</v>
      </c>
      <c r="I104" s="80" t="str">
        <f>IFERROR(__xludf.DUMMYFUNCTION("""COMPUTED_VALUE"""),"")</f>
        <v/>
      </c>
      <c r="J104" s="71" t="str">
        <f>IFERROR(__xludf.DUMMYFUNCTION("""COMPUTED_VALUE"""),"Lunch")</f>
        <v>Lunch</v>
      </c>
      <c r="K104" s="106">
        <f>IFERROR(__xludf.DUMMYFUNCTION("""COMPUTED_VALUE"""),46072.0)</f>
        <v>46072</v>
      </c>
      <c r="L104" s="71" t="str">
        <f>IFERROR(__xludf.DUMMYFUNCTION("""COMPUTED_VALUE"""),"Thursday")</f>
        <v>Thursday</v>
      </c>
      <c r="M104" s="71" t="str">
        <f>IFERROR(__xludf.DUMMYFUNCTION("""COMPUTED_VALUE"""),"BF")</f>
        <v>BF</v>
      </c>
      <c r="N104" s="109" t="str">
        <f>IFERROR(__xludf.DUMMYFUNCTION("""COMPUTED_VALUE"""),"")</f>
        <v/>
      </c>
      <c r="O104" s="71" t="str">
        <f>IFERROR(__xludf.DUMMYFUNCTION("""COMPUTED_VALUE"""),"")</f>
        <v/>
      </c>
      <c r="P104" s="71" t="str">
        <f>IFERROR(__xludf.DUMMYFUNCTION("""COMPUTED_VALUE"""),"")</f>
        <v/>
      </c>
      <c r="Q104" s="78" t="str">
        <f>IFERROR(__xludf.DUMMYFUNCTION("""COMPUTED_VALUE"""),"")</f>
        <v/>
      </c>
      <c r="R104" s="78" t="str">
        <f>IFERROR(__xludf.DUMMYFUNCTION("""COMPUTED_VALUE"""),"")</f>
        <v/>
      </c>
      <c r="S104" s="80" t="str">
        <f>IFERROR(__xludf.DUMMYFUNCTION("""COMPUTED_VALUE"""),"")</f>
        <v/>
      </c>
      <c r="T104" s="80" t="str">
        <f>IFERROR(__xludf.DUMMYFUNCTION("""COMPUTED_VALUE"""),"")</f>
        <v/>
      </c>
      <c r="U104" s="71" t="str">
        <f>IFERROR(__xludf.DUMMYFUNCTION("""COMPUTED_VALUE"""),"")</f>
        <v/>
      </c>
      <c r="V104" s="78" t="str">
        <f>IFERROR(__xludf.DUMMYFUNCTION("""COMPUTED_VALUE"""),"")</f>
        <v/>
      </c>
      <c r="W104" s="62" t="str">
        <f>IFERROR(__xludf.DUMMYFUNCTION("""COMPUTED_VALUE"""),"")</f>
        <v/>
      </c>
      <c r="X104" s="80" t="str">
        <f>IFERROR(__xludf.DUMMYFUNCTION("""COMPUTED_VALUE"""),"")</f>
        <v/>
      </c>
      <c r="Y104" s="109" t="str">
        <f>IFERROR(__xludf.DUMMYFUNCTION("""COMPUTED_VALUE"""),"")</f>
        <v/>
      </c>
      <c r="Z104" s="71"/>
      <c r="AA104" s="71"/>
      <c r="AB104" s="71"/>
    </row>
    <row r="105">
      <c r="A105" s="105">
        <f>IFERROR(__xludf.DUMMYFUNCTION("""COMPUTED_VALUE"""),46072.79366790509)</f>
        <v>46072.79367</v>
      </c>
      <c r="B105" s="71" t="str">
        <f>IFERROR(__xludf.DUMMYFUNCTION("""COMPUTED_VALUE"""),"Emmett Khan")</f>
        <v>Emmett Khan</v>
      </c>
      <c r="C105" s="71" t="b">
        <f>IFERROR(__xludf.DUMMYFUNCTION("""COMPUTED_VALUE"""),FALSE)</f>
        <v>0</v>
      </c>
      <c r="D105" s="132">
        <f>IFERROR(__xludf.DUMMYFUNCTION("""COMPUTED_VALUE"""),0.7083333333357587)</f>
        <v>0.7083333333</v>
      </c>
      <c r="E105" s="78">
        <f>IFERROR(__xludf.DUMMYFUNCTION("""COMPUTED_VALUE"""),0.0625)</f>
        <v>0.0625</v>
      </c>
      <c r="F105" s="132">
        <f>IFERROR(__xludf.DUMMYFUNCTION("""COMPUTED_VALUE"""),0.7708333333357587)</f>
        <v>0.7708333333</v>
      </c>
      <c r="G105" s="78">
        <f>IFERROR(__xludf.DUMMYFUNCTION("""COMPUTED_VALUE"""),0.09027777778101154)</f>
        <v>0.09027777778</v>
      </c>
      <c r="H105" s="71">
        <f>IFERROR(__xludf.DUMMYFUNCTION("""COMPUTED_VALUE"""),306.0)</f>
        <v>306</v>
      </c>
      <c r="I105" s="80">
        <f>IFERROR(__xludf.DUMMYFUNCTION("""COMPUTED_VALUE"""),178.15384614746466)</f>
        <v>178.1538461</v>
      </c>
      <c r="J105" s="71" t="str">
        <f>IFERROR(__xludf.DUMMYFUNCTION("""COMPUTED_VALUE"""),"Dinner")</f>
        <v>Dinner</v>
      </c>
      <c r="K105" s="106">
        <f>IFERROR(__xludf.DUMMYFUNCTION("""COMPUTED_VALUE"""),46072.0)</f>
        <v>46072</v>
      </c>
      <c r="L105" s="71" t="str">
        <f>IFERROR(__xludf.DUMMYFUNCTION("""COMPUTED_VALUE"""),"Thursday")</f>
        <v>Thursday</v>
      </c>
      <c r="M105" s="71" t="str">
        <f>IFERROR(__xludf.DUMMYFUNCTION("""COMPUTED_VALUE"""),"MF")</f>
        <v>MF</v>
      </c>
      <c r="N105" s="109">
        <f>IFERROR(__xludf.DUMMYFUNCTION("""COMPUTED_VALUE"""),3.8412047371596363)</f>
        <v>3.841204737</v>
      </c>
      <c r="O105" s="71" t="str">
        <f>IFERROR(__xludf.DUMMYFUNCTION("""COMPUTED_VALUE"""),"")</f>
        <v/>
      </c>
      <c r="P105" s="71" t="str">
        <f>IFERROR(__xludf.DUMMYFUNCTION("""COMPUTED_VALUE"""),"")</f>
        <v/>
      </c>
      <c r="Q105" s="78" t="str">
        <f>IFERROR(__xludf.DUMMYFUNCTION("""COMPUTED_VALUE"""),"")</f>
        <v/>
      </c>
      <c r="R105" s="78" t="str">
        <f>IFERROR(__xludf.DUMMYFUNCTION("""COMPUTED_VALUE"""),"")</f>
        <v/>
      </c>
      <c r="S105" s="80" t="str">
        <f>IFERROR(__xludf.DUMMYFUNCTION("""COMPUTED_VALUE"""),"")</f>
        <v/>
      </c>
      <c r="T105" s="80" t="str">
        <f>IFERROR(__xludf.DUMMYFUNCTION("""COMPUTED_VALUE"""),"")</f>
        <v/>
      </c>
      <c r="U105" s="71" t="str">
        <f>IFERROR(__xludf.DUMMYFUNCTION("""COMPUTED_VALUE"""),"")</f>
        <v/>
      </c>
      <c r="V105" s="78" t="str">
        <f>IFERROR(__xludf.DUMMYFUNCTION("""COMPUTED_VALUE"""),"")</f>
        <v/>
      </c>
      <c r="W105" s="62" t="str">
        <f>IFERROR(__xludf.DUMMYFUNCTION("""COMPUTED_VALUE"""),"")</f>
        <v/>
      </c>
      <c r="X105" s="80" t="str">
        <f>IFERROR(__xludf.DUMMYFUNCTION("""COMPUTED_VALUE"""),"")</f>
        <v/>
      </c>
      <c r="Y105" s="109" t="str">
        <f>IFERROR(__xludf.DUMMYFUNCTION("""COMPUTED_VALUE"""),"")</f>
        <v/>
      </c>
      <c r="Z105" s="71"/>
      <c r="AA105" s="71"/>
      <c r="AB105" s="71"/>
    </row>
    <row r="106">
      <c r="A106" s="105">
        <f>IFERROR(__xludf.DUMMYFUNCTION("""COMPUTED_VALUE"""),46072.794255659726)</f>
        <v>46072.79426</v>
      </c>
      <c r="B106" s="71" t="str">
        <f>IFERROR(__xludf.DUMMYFUNCTION("""COMPUTED_VALUE"""),"Emmett Khan")</f>
        <v>Emmett Khan</v>
      </c>
      <c r="C106" s="71" t="b">
        <f>IFERROR(__xludf.DUMMYFUNCTION("""COMPUTED_VALUE"""),TRUE)</f>
        <v>1</v>
      </c>
      <c r="D106" s="132">
        <f>IFERROR(__xludf.DUMMYFUNCTION("""COMPUTED_VALUE"""),0.7604166666642413)</f>
        <v>0.7604166667</v>
      </c>
      <c r="E106" s="78">
        <f>IFERROR(__xludf.DUMMYFUNCTION("""COMPUTED_VALUE"""),0.027777777781011537)</f>
        <v>0.02777777778</v>
      </c>
      <c r="F106" s="132">
        <f>IFERROR(__xludf.DUMMYFUNCTION("""COMPUTED_VALUE"""),0.7881944444452529)</f>
        <v>0.7881944444</v>
      </c>
      <c r="G106" s="78" t="str">
        <f>IFERROR(__xludf.DUMMYFUNCTION("""COMPUTED_VALUE"""),"")</f>
        <v/>
      </c>
      <c r="H106" s="71">
        <f>IFERROR(__xludf.DUMMYFUNCTION("""COMPUTED_VALUE"""),80.0)</f>
        <v>80</v>
      </c>
      <c r="I106" s="80" t="str">
        <f>IFERROR(__xludf.DUMMYFUNCTION("""COMPUTED_VALUE"""),"")</f>
        <v/>
      </c>
      <c r="J106" s="71" t="str">
        <f>IFERROR(__xludf.DUMMYFUNCTION("""COMPUTED_VALUE"""),"Dinner")</f>
        <v>Dinner</v>
      </c>
      <c r="K106" s="106">
        <f>IFERROR(__xludf.DUMMYFUNCTION("""COMPUTED_VALUE"""),46072.0)</f>
        <v>46072</v>
      </c>
      <c r="L106" s="71" t="str">
        <f>IFERROR(__xludf.DUMMYFUNCTION("""COMPUTED_VALUE"""),"Thursday")</f>
        <v>Thursday</v>
      </c>
      <c r="M106" s="71" t="str">
        <f>IFERROR(__xludf.DUMMYFUNCTION("""COMPUTED_VALUE"""),"MF")</f>
        <v>MF</v>
      </c>
      <c r="N106" s="109" t="str">
        <f>IFERROR(__xludf.DUMMYFUNCTION("""COMPUTED_VALUE"""),"")</f>
        <v/>
      </c>
      <c r="O106" s="71">
        <f>IFERROR(__xludf.DUMMYFUNCTION("""COMPUTED_VALUE"""),422.0)</f>
        <v>422</v>
      </c>
      <c r="P106" s="71">
        <f>IFERROR(__xludf.DUMMYFUNCTION("""COMPUTED_VALUE"""),258.0)</f>
        <v>258</v>
      </c>
      <c r="Q106" s="78">
        <f>IFERROR(__xludf.DUMMYFUNCTION("""COMPUTED_VALUE"""),0.1423611111167702)</f>
        <v>0.1423611111</v>
      </c>
      <c r="R106" s="78">
        <f>IFERROR(__xludf.DUMMYFUNCTION("""COMPUTED_VALUE"""),0.3069444444554392)</f>
        <v>0.3069444445</v>
      </c>
      <c r="S106" s="80">
        <f>IFERROR(__xludf.DUMMYFUNCTION("""COMPUTED_VALUE"""),103.47692307306178)</f>
        <v>103.4769231</v>
      </c>
      <c r="T106" s="80">
        <f>IFERROR(__xludf.DUMMYFUNCTION("""COMPUTED_VALUE"""),31.880656976739335)</f>
        <v>31.88065698</v>
      </c>
      <c r="U106" s="71">
        <f>IFERROR(__xludf.DUMMYFUNCTION("""COMPUTED_VALUE"""),680.0)</f>
        <v>680</v>
      </c>
      <c r="V106" s="78">
        <f>IFERROR(__xludf.DUMMYFUNCTION("""COMPUTED_VALUE"""),0.4493055555722094)</f>
        <v>0.4493055556</v>
      </c>
      <c r="W106" s="62">
        <f>IFERROR(__xludf.DUMMYFUNCTION("""COMPUTED_VALUE"""),63.06027820477236)</f>
        <v>63.0602782</v>
      </c>
      <c r="X106" s="80">
        <f>IFERROR(__xludf.DUMMYFUNCTION("""COMPUTED_VALUE"""),60.519163415268316)</f>
        <v>60.51916342</v>
      </c>
      <c r="Y106" s="109">
        <f>IFERROR(__xludf.DUMMYFUNCTION("""COMPUTED_VALUE"""),0.6859981835631996)</f>
        <v>0.6859981836</v>
      </c>
      <c r="Z106" s="71"/>
      <c r="AA106" s="71"/>
      <c r="AB106" s="71"/>
    </row>
    <row r="107">
      <c r="A107" s="105">
        <f>IFERROR(__xludf.DUMMYFUNCTION("""COMPUTED_VALUE"""),46073.580546921294)</f>
        <v>46073.58055</v>
      </c>
      <c r="B107" s="71" t="str">
        <f>IFERROR(__xludf.DUMMYFUNCTION("""COMPUTED_VALUE"""),"Brynn Hornig")</f>
        <v>Brynn Hornig</v>
      </c>
      <c r="C107" s="71" t="b">
        <f>IFERROR(__xludf.DUMMYFUNCTION("""COMPUTED_VALUE"""),FALSE)</f>
        <v>0</v>
      </c>
      <c r="D107" s="132">
        <f>IFERROR(__xludf.DUMMYFUNCTION("""COMPUTED_VALUE"""),0.4618055555555556)</f>
        <v>0.4618055556</v>
      </c>
      <c r="E107" s="78">
        <f>IFERROR(__xludf.DUMMYFUNCTION("""COMPUTED_VALUE"""),0.12152777778020307)</f>
        <v>0.1215277778</v>
      </c>
      <c r="F107" s="132">
        <f>IFERROR(__xludf.DUMMYFUNCTION("""COMPUTED_VALUE"""),0.5833333333357587)</f>
        <v>0.5833333333</v>
      </c>
      <c r="G107" s="78">
        <f>IFERROR(__xludf.DUMMYFUNCTION("""COMPUTED_VALUE"""),0.12152777778020307)</f>
        <v>0.1215277778</v>
      </c>
      <c r="H107" s="71">
        <f>IFERROR(__xludf.DUMMYFUNCTION("""COMPUTED_VALUE"""),82.0)</f>
        <v>82</v>
      </c>
      <c r="I107" s="80">
        <f>IFERROR(__xludf.DUMMYFUNCTION("""COMPUTED_VALUE"""),28.114285713724644)</f>
        <v>28.11428571</v>
      </c>
      <c r="J107" s="71" t="str">
        <f>IFERROR(__xludf.DUMMYFUNCTION("""COMPUTED_VALUE"""),"Lunch")</f>
        <v>Lunch</v>
      </c>
      <c r="K107" s="106">
        <f>IFERROR(__xludf.DUMMYFUNCTION("""COMPUTED_VALUE"""),46073.0)</f>
        <v>46073</v>
      </c>
      <c r="L107" s="71" t="str">
        <f>IFERROR(__xludf.DUMMYFUNCTION("""COMPUTED_VALUE"""),"Friday")</f>
        <v>Friday</v>
      </c>
      <c r="M107" s="71" t="str">
        <f>IFERROR(__xludf.DUMMYFUNCTION("""COMPUTED_VALUE"""),"BF")</f>
        <v>BF</v>
      </c>
      <c r="N107" s="109">
        <f>IFERROR(__xludf.DUMMYFUNCTION("""COMPUTED_VALUE"""),0.9916628492907369)</f>
        <v>0.9916628493</v>
      </c>
      <c r="O107" s="71" t="str">
        <f>IFERROR(__xludf.DUMMYFUNCTION("""COMPUTED_VALUE"""),"")</f>
        <v/>
      </c>
      <c r="P107" s="71" t="str">
        <f>IFERROR(__xludf.DUMMYFUNCTION("""COMPUTED_VALUE"""),"")</f>
        <v/>
      </c>
      <c r="Q107" s="78" t="str">
        <f>IFERROR(__xludf.DUMMYFUNCTION("""COMPUTED_VALUE"""),"")</f>
        <v/>
      </c>
      <c r="R107" s="78" t="str">
        <f>IFERROR(__xludf.DUMMYFUNCTION("""COMPUTED_VALUE"""),"")</f>
        <v/>
      </c>
      <c r="S107" s="80" t="str">
        <f>IFERROR(__xludf.DUMMYFUNCTION("""COMPUTED_VALUE"""),"")</f>
        <v/>
      </c>
      <c r="T107" s="80" t="str">
        <f>IFERROR(__xludf.DUMMYFUNCTION("""COMPUTED_VALUE"""),"")</f>
        <v/>
      </c>
      <c r="U107" s="71" t="str">
        <f>IFERROR(__xludf.DUMMYFUNCTION("""COMPUTED_VALUE"""),"")</f>
        <v/>
      </c>
      <c r="V107" s="78" t="str">
        <f>IFERROR(__xludf.DUMMYFUNCTION("""COMPUTED_VALUE"""),"")</f>
        <v/>
      </c>
      <c r="W107" s="62" t="str">
        <f>IFERROR(__xludf.DUMMYFUNCTION("""COMPUTED_VALUE"""),"")</f>
        <v/>
      </c>
      <c r="X107" s="80" t="str">
        <f>IFERROR(__xludf.DUMMYFUNCTION("""COMPUTED_VALUE"""),"")</f>
        <v/>
      </c>
      <c r="Y107" s="109" t="str">
        <f>IFERROR(__xludf.DUMMYFUNCTION("""COMPUTED_VALUE"""),"")</f>
        <v/>
      </c>
      <c r="Z107" s="71"/>
      <c r="AA107" s="71"/>
      <c r="AB107" s="71"/>
    </row>
    <row r="108">
      <c r="A108" s="105">
        <f>IFERROR(__xludf.DUMMYFUNCTION("""COMPUTED_VALUE"""),46073.620064710645)</f>
        <v>46073.62006</v>
      </c>
      <c r="B108" s="71" t="str">
        <f>IFERROR(__xludf.DUMMYFUNCTION("""COMPUTED_VALUE"""),"Oluwatimilehin Shodipe")</f>
        <v>Oluwatimilehin Shodipe</v>
      </c>
      <c r="C108" s="71" t="b">
        <f>IFERROR(__xludf.DUMMYFUNCTION("""COMPUTED_VALUE"""),FALSE)</f>
        <v>0</v>
      </c>
      <c r="D108" s="132">
        <f>IFERROR(__xludf.DUMMYFUNCTION("""COMPUTED_VALUE"""),0.48263888889050577)</f>
        <v>0.4826388889</v>
      </c>
      <c r="E108" s="78">
        <f>IFERROR(__xludf.DUMMYFUNCTION("""COMPUTED_VALUE"""),0.14236111110949423)</f>
        <v>0.1423611111</v>
      </c>
      <c r="F108" s="132">
        <f>IFERROR(__xludf.DUMMYFUNCTION("""COMPUTED_VALUE"""),0.625)</f>
        <v>0.625</v>
      </c>
      <c r="G108" s="78">
        <f>IFERROR(__xludf.DUMMYFUNCTION("""COMPUTED_VALUE"""),0.14236111110949423)</f>
        <v>0.1423611111</v>
      </c>
      <c r="H108" s="71">
        <f>IFERROR(__xludf.DUMMYFUNCTION("""COMPUTED_VALUE"""),173.0)</f>
        <v>173</v>
      </c>
      <c r="I108" s="80">
        <f>IFERROR(__xludf.DUMMYFUNCTION("""COMPUTED_VALUE"""),50.6341463420385)</f>
        <v>50.63414634</v>
      </c>
      <c r="J108" s="71" t="str">
        <f>IFERROR(__xludf.DUMMYFUNCTION("""COMPUTED_VALUE"""),"Lunch")</f>
        <v>Lunch</v>
      </c>
      <c r="K108" s="106">
        <f>IFERROR(__xludf.DUMMYFUNCTION("""COMPUTED_VALUE"""),46073.0)</f>
        <v>46073</v>
      </c>
      <c r="L108" s="71" t="str">
        <f>IFERROR(__xludf.DUMMYFUNCTION("""COMPUTED_VALUE"""),"Friday")</f>
        <v>Friday</v>
      </c>
      <c r="M108" s="71" t="str">
        <f>IFERROR(__xludf.DUMMYFUNCTION("""COMPUTED_VALUE"""),"MF")</f>
        <v>MF</v>
      </c>
      <c r="N108" s="109">
        <f>IFERROR(__xludf.DUMMYFUNCTION("""COMPUTED_VALUE"""),1.0070936707247562)</f>
        <v>1.007093671</v>
      </c>
      <c r="O108" s="71" t="str">
        <f>IFERROR(__xludf.DUMMYFUNCTION("""COMPUTED_VALUE"""),"")</f>
        <v/>
      </c>
      <c r="P108" s="71" t="str">
        <f>IFERROR(__xludf.DUMMYFUNCTION("""COMPUTED_VALUE"""),"")</f>
        <v/>
      </c>
      <c r="Q108" s="78" t="str">
        <f>IFERROR(__xludf.DUMMYFUNCTION("""COMPUTED_VALUE"""),"")</f>
        <v/>
      </c>
      <c r="R108" s="78" t="str">
        <f>IFERROR(__xludf.DUMMYFUNCTION("""COMPUTED_VALUE"""),"")</f>
        <v/>
      </c>
      <c r="S108" s="80" t="str">
        <f>IFERROR(__xludf.DUMMYFUNCTION("""COMPUTED_VALUE"""),"")</f>
        <v/>
      </c>
      <c r="T108" s="80" t="str">
        <f>IFERROR(__xludf.DUMMYFUNCTION("""COMPUTED_VALUE"""),"")</f>
        <v/>
      </c>
      <c r="U108" s="71" t="str">
        <f>IFERROR(__xludf.DUMMYFUNCTION("""COMPUTED_VALUE"""),"")</f>
        <v/>
      </c>
      <c r="V108" s="78" t="str">
        <f>IFERROR(__xludf.DUMMYFUNCTION("""COMPUTED_VALUE"""),"")</f>
        <v/>
      </c>
      <c r="W108" s="62" t="str">
        <f>IFERROR(__xludf.DUMMYFUNCTION("""COMPUTED_VALUE"""),"")</f>
        <v/>
      </c>
      <c r="X108" s="80" t="str">
        <f>IFERROR(__xludf.DUMMYFUNCTION("""COMPUTED_VALUE"""),"")</f>
        <v/>
      </c>
      <c r="Y108" s="109" t="str">
        <f>IFERROR(__xludf.DUMMYFUNCTION("""COMPUTED_VALUE"""),"")</f>
        <v/>
      </c>
      <c r="Z108" s="71"/>
      <c r="AA108" s="71"/>
      <c r="AB108" s="71"/>
    </row>
    <row r="109">
      <c r="A109" s="105">
        <f>IFERROR(__xludf.DUMMYFUNCTION("""COMPUTED_VALUE"""),46073.75015707176)</f>
        <v>46073.75016</v>
      </c>
      <c r="B109" s="71" t="str">
        <f>IFERROR(__xludf.DUMMYFUNCTION("""COMPUTED_VALUE"""),"Leah Bucci")</f>
        <v>Leah Bucci</v>
      </c>
      <c r="C109" s="71" t="b">
        <f>IFERROR(__xludf.DUMMYFUNCTION("""COMPUTED_VALUE"""),FALSE)</f>
        <v>0</v>
      </c>
      <c r="D109" s="132">
        <f>IFERROR(__xludf.DUMMYFUNCTION("""COMPUTED_VALUE"""),0.6666666666642413)</f>
        <v>0.6666666667</v>
      </c>
      <c r="E109" s="78">
        <f>IFERROR(__xludf.DUMMYFUNCTION("""COMPUTED_VALUE"""),0.08333333333575865)</f>
        <v>0.08333333334</v>
      </c>
      <c r="F109" s="132">
        <f>IFERROR(__xludf.DUMMYFUNCTION("""COMPUTED_VALUE"""),0.75)</f>
        <v>0.75</v>
      </c>
      <c r="G109" s="78">
        <f>IFERROR(__xludf.DUMMYFUNCTION("""COMPUTED_VALUE"""),0.08333333333575865)</f>
        <v>0.08333333334</v>
      </c>
      <c r="H109" s="71">
        <f>IFERROR(__xludf.DUMMYFUNCTION("""COMPUTED_VALUE"""),146.0)</f>
        <v>146</v>
      </c>
      <c r="I109" s="80">
        <f>IFERROR(__xludf.DUMMYFUNCTION("""COMPUTED_VALUE"""),72.99999999787542)</f>
        <v>73</v>
      </c>
      <c r="J109" s="71" t="str">
        <f>IFERROR(__xludf.DUMMYFUNCTION("""COMPUTED_VALUE"""),"Dinner")</f>
        <v>Dinner</v>
      </c>
      <c r="K109" s="106">
        <f>IFERROR(__xludf.DUMMYFUNCTION("""COMPUTED_VALUE"""),46073.0)</f>
        <v>46073</v>
      </c>
      <c r="L109" s="71" t="str">
        <f>IFERROR(__xludf.DUMMYFUNCTION("""COMPUTED_VALUE"""),"Friday")</f>
        <v>Friday</v>
      </c>
      <c r="M109" s="71" t="str">
        <f>IFERROR(__xludf.DUMMYFUNCTION("""COMPUTED_VALUE"""),"MF")</f>
        <v>MF</v>
      </c>
      <c r="N109" s="109">
        <f>IFERROR(__xludf.DUMMYFUNCTION("""COMPUTED_VALUE"""),1.573965153535828)</f>
        <v>1.573965154</v>
      </c>
      <c r="O109" s="71" t="str">
        <f>IFERROR(__xludf.DUMMYFUNCTION("""COMPUTED_VALUE"""),"")</f>
        <v/>
      </c>
      <c r="P109" s="71" t="str">
        <f>IFERROR(__xludf.DUMMYFUNCTION("""COMPUTED_VALUE"""),"")</f>
        <v/>
      </c>
      <c r="Q109" s="78" t="str">
        <f>IFERROR(__xludf.DUMMYFUNCTION("""COMPUTED_VALUE"""),"")</f>
        <v/>
      </c>
      <c r="R109" s="78" t="str">
        <f>IFERROR(__xludf.DUMMYFUNCTION("""COMPUTED_VALUE"""),"")</f>
        <v/>
      </c>
      <c r="S109" s="80" t="str">
        <f>IFERROR(__xludf.DUMMYFUNCTION("""COMPUTED_VALUE"""),"")</f>
        <v/>
      </c>
      <c r="T109" s="80" t="str">
        <f>IFERROR(__xludf.DUMMYFUNCTION("""COMPUTED_VALUE"""),"")</f>
        <v/>
      </c>
      <c r="U109" s="71" t="str">
        <f>IFERROR(__xludf.DUMMYFUNCTION("""COMPUTED_VALUE"""),"")</f>
        <v/>
      </c>
      <c r="V109" s="78" t="str">
        <f>IFERROR(__xludf.DUMMYFUNCTION("""COMPUTED_VALUE"""),"")</f>
        <v/>
      </c>
      <c r="W109" s="62" t="str">
        <f>IFERROR(__xludf.DUMMYFUNCTION("""COMPUTED_VALUE"""),"")</f>
        <v/>
      </c>
      <c r="X109" s="80" t="str">
        <f>IFERROR(__xludf.DUMMYFUNCTION("""COMPUTED_VALUE"""),"")</f>
        <v/>
      </c>
      <c r="Y109" s="109" t="str">
        <f>IFERROR(__xludf.DUMMYFUNCTION("""COMPUTED_VALUE"""),"")</f>
        <v/>
      </c>
      <c r="Z109" s="71"/>
      <c r="AA109" s="71"/>
      <c r="AB109" s="71"/>
    </row>
    <row r="110">
      <c r="A110" s="105">
        <f>IFERROR(__xludf.DUMMYFUNCTION("""COMPUTED_VALUE"""),46073.807364884255)</f>
        <v>46073.80736</v>
      </c>
      <c r="B110" s="71" t="str">
        <f>IFERROR(__xludf.DUMMYFUNCTION("""COMPUTED_VALUE"""),"Orpheus Wilson")</f>
        <v>Orpheus Wilson</v>
      </c>
      <c r="C110" s="71" t="b">
        <f>IFERROR(__xludf.DUMMYFUNCTION("""COMPUTED_VALUE"""),FALSE)</f>
        <v>0</v>
      </c>
      <c r="D110" s="132">
        <f>IFERROR(__xludf.DUMMYFUNCTION("""COMPUTED_VALUE"""),0.7562499999985448)</f>
        <v>0.75625</v>
      </c>
      <c r="E110" s="78">
        <f>IFERROR(__xludf.DUMMYFUNCTION("""COMPUTED_VALUE"""),0.04513888889050577)</f>
        <v>0.04513888889</v>
      </c>
      <c r="F110" s="132">
        <f>IFERROR(__xludf.DUMMYFUNCTION("""COMPUTED_VALUE"""),0.8013888888890506)</f>
        <v>0.8013888889</v>
      </c>
      <c r="G110" s="78">
        <f>IFERROR(__xludf.DUMMYFUNCTION("""COMPUTED_VALUE"""),0.06458333334012423)</f>
        <v>0.06458333334</v>
      </c>
      <c r="H110" s="71">
        <f>IFERROR(__xludf.DUMMYFUNCTION("""COMPUTED_VALUE"""),151.0)</f>
        <v>151</v>
      </c>
      <c r="I110" s="80">
        <f>IFERROR(__xludf.DUMMYFUNCTION("""COMPUTED_VALUE"""),135.4838709534959)</f>
        <v>135.483871</v>
      </c>
      <c r="J110" s="71" t="str">
        <f>IFERROR(__xludf.DUMMYFUNCTION("""COMPUTED_VALUE"""),"Dinner")</f>
        <v>Dinner</v>
      </c>
      <c r="K110" s="106">
        <f>IFERROR(__xludf.DUMMYFUNCTION("""COMPUTED_VALUE"""),46073.0)</f>
        <v>46073</v>
      </c>
      <c r="L110" s="71" t="str">
        <f>IFERROR(__xludf.DUMMYFUNCTION("""COMPUTED_VALUE"""),"Friday")</f>
        <v>Friday</v>
      </c>
      <c r="M110" s="71" t="str">
        <f>IFERROR(__xludf.DUMMYFUNCTION("""COMPUTED_VALUE"""),"MF")</f>
        <v>MF</v>
      </c>
      <c r="N110" s="109">
        <f>IFERROR(__xludf.DUMMYFUNCTION("""COMPUTED_VALUE"""),2.9211902979884083)</f>
        <v>2.921190298</v>
      </c>
      <c r="O110" s="71" t="str">
        <f>IFERROR(__xludf.DUMMYFUNCTION("""COMPUTED_VALUE"""),"")</f>
        <v/>
      </c>
      <c r="P110" s="71" t="str">
        <f>IFERROR(__xludf.DUMMYFUNCTION("""COMPUTED_VALUE"""),"")</f>
        <v/>
      </c>
      <c r="Q110" s="78" t="str">
        <f>IFERROR(__xludf.DUMMYFUNCTION("""COMPUTED_VALUE"""),"")</f>
        <v/>
      </c>
      <c r="R110" s="78" t="str">
        <f>IFERROR(__xludf.DUMMYFUNCTION("""COMPUTED_VALUE"""),"")</f>
        <v/>
      </c>
      <c r="S110" s="80" t="str">
        <f>IFERROR(__xludf.DUMMYFUNCTION("""COMPUTED_VALUE"""),"")</f>
        <v/>
      </c>
      <c r="T110" s="80" t="str">
        <f>IFERROR(__xludf.DUMMYFUNCTION("""COMPUTED_VALUE"""),"")</f>
        <v/>
      </c>
      <c r="U110" s="71" t="str">
        <f>IFERROR(__xludf.DUMMYFUNCTION("""COMPUTED_VALUE"""),"")</f>
        <v/>
      </c>
      <c r="V110" s="78" t="str">
        <f>IFERROR(__xludf.DUMMYFUNCTION("""COMPUTED_VALUE"""),"")</f>
        <v/>
      </c>
      <c r="W110" s="62" t="str">
        <f>IFERROR(__xludf.DUMMYFUNCTION("""COMPUTED_VALUE"""),"")</f>
        <v/>
      </c>
      <c r="X110" s="80" t="str">
        <f>IFERROR(__xludf.DUMMYFUNCTION("""COMPUTED_VALUE"""),"")</f>
        <v/>
      </c>
      <c r="Y110" s="109" t="str">
        <f>IFERROR(__xludf.DUMMYFUNCTION("""COMPUTED_VALUE"""),"")</f>
        <v/>
      </c>
      <c r="Z110" s="71"/>
      <c r="AA110" s="71"/>
      <c r="AB110" s="71"/>
    </row>
    <row r="111">
      <c r="A111" s="105">
        <f>IFERROR(__xludf.DUMMYFUNCTION("""COMPUTED_VALUE"""),46073.8303446412)</f>
        <v>46073.83034</v>
      </c>
      <c r="B111" s="71" t="str">
        <f>IFERROR(__xludf.DUMMYFUNCTION("""COMPUTED_VALUE"""),"Orpheus Wilson")</f>
        <v>Orpheus Wilson</v>
      </c>
      <c r="C111" s="71" t="b">
        <f>IFERROR(__xludf.DUMMYFUNCTION("""COMPUTED_VALUE"""),TRUE)</f>
        <v>1</v>
      </c>
      <c r="D111" s="132">
        <f>IFERROR(__xludf.DUMMYFUNCTION("""COMPUTED_VALUE"""),0.8076388888875954)</f>
        <v>0.8076388889</v>
      </c>
      <c r="E111" s="78">
        <f>IFERROR(__xludf.DUMMYFUNCTION("""COMPUTED_VALUE"""),0.01944444444961846)</f>
        <v>0.01944444445</v>
      </c>
      <c r="F111" s="132">
        <f>IFERROR(__xludf.DUMMYFUNCTION("""COMPUTED_VALUE"""),0.8270833333372138)</f>
        <v>0.8270833333</v>
      </c>
      <c r="G111" s="78" t="str">
        <f>IFERROR(__xludf.DUMMYFUNCTION("""COMPUTED_VALUE"""),"")</f>
        <v/>
      </c>
      <c r="H111" s="71">
        <f>IFERROR(__xludf.DUMMYFUNCTION("""COMPUTED_VALUE"""),59.0)</f>
        <v>59</v>
      </c>
      <c r="I111" s="80" t="str">
        <f>IFERROR(__xludf.DUMMYFUNCTION("""COMPUTED_VALUE"""),"")</f>
        <v/>
      </c>
      <c r="J111" s="71" t="str">
        <f>IFERROR(__xludf.DUMMYFUNCTION("""COMPUTED_VALUE"""),"Dinner")</f>
        <v>Dinner</v>
      </c>
      <c r="K111" s="106">
        <f>IFERROR(__xludf.DUMMYFUNCTION("""COMPUTED_VALUE"""),46073.0)</f>
        <v>46073</v>
      </c>
      <c r="L111" s="71" t="str">
        <f>IFERROR(__xludf.DUMMYFUNCTION("""COMPUTED_VALUE"""),"Friday")</f>
        <v>Friday</v>
      </c>
      <c r="M111" s="71" t="str">
        <f>IFERROR(__xludf.DUMMYFUNCTION("""COMPUTED_VALUE"""),"MF")</f>
        <v>MF</v>
      </c>
      <c r="N111" s="109" t="str">
        <f>IFERROR(__xludf.DUMMYFUNCTION("""COMPUTED_VALUE"""),"")</f>
        <v/>
      </c>
      <c r="O111" s="71">
        <f>IFERROR(__xludf.DUMMYFUNCTION("""COMPUTED_VALUE"""),529.0)</f>
        <v>529</v>
      </c>
      <c r="P111" s="71">
        <f>IFERROR(__xludf.DUMMYFUNCTION("""COMPUTED_VALUE"""),82.0)</f>
        <v>82</v>
      </c>
      <c r="Q111" s="78">
        <f>IFERROR(__xludf.DUMMYFUNCTION("""COMPUTED_VALUE"""),0.2902777777853771)</f>
        <v>0.2902777778</v>
      </c>
      <c r="R111" s="78">
        <f>IFERROR(__xludf.DUMMYFUNCTION("""COMPUTED_VALUE"""),0.12152777778020307)</f>
        <v>0.1215277778</v>
      </c>
      <c r="S111" s="80">
        <f>IFERROR(__xludf.DUMMYFUNCTION("""COMPUTED_VALUE"""),86.3726724311366)</f>
        <v>86.37267243</v>
      </c>
      <c r="T111" s="80">
        <f>IFERROR(__xludf.DUMMYFUNCTION("""COMPUTED_VALUE"""),28.114285713724644)</f>
        <v>28.11428571</v>
      </c>
      <c r="U111" s="71">
        <f>IFERROR(__xludf.DUMMYFUNCTION("""COMPUTED_VALUE"""),611.0)</f>
        <v>611</v>
      </c>
      <c r="V111" s="78">
        <f>IFERROR(__xludf.DUMMYFUNCTION("""COMPUTED_VALUE"""),0.4118055555655802)</f>
        <v>0.4118055556</v>
      </c>
      <c r="W111" s="62">
        <f>IFERROR(__xludf.DUMMYFUNCTION("""COMPUTED_VALUE"""),61.821247890569275)</f>
        <v>61.82124789</v>
      </c>
      <c r="X111" s="80">
        <f>IFERROR(__xludf.DUMMYFUNCTION("""COMPUTED_VALUE"""),71.80807575178362)</f>
        <v>71.80807575</v>
      </c>
      <c r="Y111" s="109">
        <f>IFERROR(__xludf.DUMMYFUNCTION("""COMPUTED_VALUE"""),1.050145799416556)</f>
        <v>1.050145799</v>
      </c>
      <c r="Z111" s="71"/>
      <c r="AA111" s="71"/>
      <c r="AB111" s="71"/>
    </row>
    <row r="112">
      <c r="A112" s="105">
        <f>IFERROR(__xludf.DUMMYFUNCTION("""COMPUTED_VALUE"""),46079.52288072917)</f>
        <v>46079.52288</v>
      </c>
      <c r="B112" s="71" t="str">
        <f>IFERROR(__xludf.DUMMYFUNCTION("""COMPUTED_VALUE"""),"Emmett Khan")</f>
        <v>Emmett Khan</v>
      </c>
      <c r="C112" s="71" t="b">
        <f>IFERROR(__xludf.DUMMYFUNCTION("""COMPUTED_VALUE"""),FALSE)</f>
        <v>0</v>
      </c>
      <c r="D112" s="132">
        <f>IFERROR(__xludf.DUMMYFUNCTION("""COMPUTED_VALUE"""),0.4791666666666667)</f>
        <v>0.4791666667</v>
      </c>
      <c r="E112" s="78">
        <f>IFERROR(__xludf.DUMMYFUNCTION("""COMPUTED_VALUE"""),0.052083333333333315)</f>
        <v>0.05208333333</v>
      </c>
      <c r="F112" s="132">
        <f>IFERROR(__xludf.DUMMYFUNCTION("""COMPUTED_VALUE"""),0.53125)</f>
        <v>0.53125</v>
      </c>
      <c r="G112" s="78">
        <f>IFERROR(__xludf.DUMMYFUNCTION("""COMPUTED_VALUE"""),0.052083333333333315)</f>
        <v>0.05208333333</v>
      </c>
      <c r="H112" s="71">
        <f>IFERROR(__xludf.DUMMYFUNCTION("""COMPUTED_VALUE"""),29.0)</f>
        <v>29</v>
      </c>
      <c r="I112" s="80">
        <f>IFERROR(__xludf.DUMMYFUNCTION("""COMPUTED_VALUE"""),23.20000000000001)</f>
        <v>23.2</v>
      </c>
      <c r="J112" s="71" t="str">
        <f>IFERROR(__xludf.DUMMYFUNCTION("""COMPUTED_VALUE"""),"Lunch")</f>
        <v>Lunch</v>
      </c>
      <c r="K112" s="106">
        <f>IFERROR(__xludf.DUMMYFUNCTION("""COMPUTED_VALUE"""),46079.0)</f>
        <v>46079</v>
      </c>
      <c r="L112" s="71" t="str">
        <f>IFERROR(__xludf.DUMMYFUNCTION("""COMPUTED_VALUE"""),"Thursday")</f>
        <v>Thursday</v>
      </c>
      <c r="M112" s="71" t="str">
        <f>IFERROR(__xludf.DUMMYFUNCTION("""COMPUTED_VALUE"""),"MF")</f>
        <v>MF</v>
      </c>
      <c r="N112" s="109">
        <f>IFERROR(__xludf.DUMMYFUNCTION("""COMPUTED_VALUE"""),0.46143906530949347)</f>
        <v>0.4614390653</v>
      </c>
      <c r="O112" s="71" t="str">
        <f>IFERROR(__xludf.DUMMYFUNCTION("""COMPUTED_VALUE"""),"")</f>
        <v/>
      </c>
      <c r="P112" s="71" t="str">
        <f>IFERROR(__xludf.DUMMYFUNCTION("""COMPUTED_VALUE"""),"")</f>
        <v/>
      </c>
      <c r="Q112" s="78" t="str">
        <f>IFERROR(__xludf.DUMMYFUNCTION("""COMPUTED_VALUE"""),"")</f>
        <v/>
      </c>
      <c r="R112" s="78" t="str">
        <f>IFERROR(__xludf.DUMMYFUNCTION("""COMPUTED_VALUE"""),"")</f>
        <v/>
      </c>
      <c r="S112" s="80" t="str">
        <f>IFERROR(__xludf.DUMMYFUNCTION("""COMPUTED_VALUE"""),"")</f>
        <v/>
      </c>
      <c r="T112" s="80" t="str">
        <f>IFERROR(__xludf.DUMMYFUNCTION("""COMPUTED_VALUE"""),"")</f>
        <v/>
      </c>
      <c r="U112" s="71" t="str">
        <f>IFERROR(__xludf.DUMMYFUNCTION("""COMPUTED_VALUE"""),"")</f>
        <v/>
      </c>
      <c r="V112" s="78" t="str">
        <f>IFERROR(__xludf.DUMMYFUNCTION("""COMPUTED_VALUE"""),"")</f>
        <v/>
      </c>
      <c r="W112" s="62" t="str">
        <f>IFERROR(__xludf.DUMMYFUNCTION("""COMPUTED_VALUE"""),"")</f>
        <v/>
      </c>
      <c r="X112" s="80" t="str">
        <f>IFERROR(__xludf.DUMMYFUNCTION("""COMPUTED_VALUE"""),"")</f>
        <v/>
      </c>
      <c r="Y112" s="109" t="str">
        <f>IFERROR(__xludf.DUMMYFUNCTION("""COMPUTED_VALUE"""),"")</f>
        <v/>
      </c>
      <c r="Z112" s="71"/>
      <c r="AA112" s="71"/>
      <c r="AB112" s="71"/>
    </row>
    <row r="113">
      <c r="A113" s="105">
        <f>IFERROR(__xludf.DUMMYFUNCTION("""COMPUTED_VALUE"""),46080.52350431713)</f>
        <v>46080.5235</v>
      </c>
      <c r="B113" s="71" t="str">
        <f>IFERROR(__xludf.DUMMYFUNCTION("""COMPUTED_VALUE"""),"Brynn Hornig")</f>
        <v>Brynn Hornig</v>
      </c>
      <c r="C113" s="71" t="b">
        <f>IFERROR(__xludf.DUMMYFUNCTION("""COMPUTED_VALUE"""),FALSE)</f>
        <v>0</v>
      </c>
      <c r="D113" s="132">
        <f>IFERROR(__xludf.DUMMYFUNCTION("""COMPUTED_VALUE"""),0.7083333333357587)</f>
        <v>0.7083333333</v>
      </c>
      <c r="E113" s="78">
        <f>IFERROR(__xludf.DUMMYFUNCTION("""COMPUTED_VALUE"""),0.0833333333284827)</f>
        <v>0.08333333333</v>
      </c>
      <c r="F113" s="132">
        <f>IFERROR(__xludf.DUMMYFUNCTION("""COMPUTED_VALUE"""),0.7916666666642413)</f>
        <v>0.7916666667</v>
      </c>
      <c r="G113" s="78">
        <f>IFERROR(__xludf.DUMMYFUNCTION("""COMPUTED_VALUE"""),0.0833333333284827)</f>
        <v>0.08333333333</v>
      </c>
      <c r="H113" s="71">
        <f>IFERROR(__xludf.DUMMYFUNCTION("""COMPUTED_VALUE"""),74.0)</f>
        <v>74</v>
      </c>
      <c r="I113" s="80">
        <f>IFERROR(__xludf.DUMMYFUNCTION("""COMPUTED_VALUE"""),37.00000000215368)</f>
        <v>37</v>
      </c>
      <c r="J113" s="71" t="str">
        <f>IFERROR(__xludf.DUMMYFUNCTION("""COMPUTED_VALUE"""),"Dinner")</f>
        <v>Dinner</v>
      </c>
      <c r="K113" s="106">
        <f>IFERROR(__xludf.DUMMYFUNCTION("""COMPUTED_VALUE"""),46079.0)</f>
        <v>46079</v>
      </c>
      <c r="L113" s="71" t="str">
        <f>IFERROR(__xludf.DUMMYFUNCTION("""COMPUTED_VALUE"""),"Thursday")</f>
        <v>Thursday</v>
      </c>
      <c r="M113" s="71" t="str">
        <f>IFERROR(__xludf.DUMMYFUNCTION("""COMPUTED_VALUE"""),"MF")</f>
        <v>MF</v>
      </c>
      <c r="N113" s="109">
        <f>IFERROR(__xludf.DUMMYFUNCTION("""COMPUTED_VALUE"""),0.7977631600809639)</f>
        <v>0.7977631601</v>
      </c>
      <c r="O113" s="71" t="str">
        <f>IFERROR(__xludf.DUMMYFUNCTION("""COMPUTED_VALUE"""),"")</f>
        <v/>
      </c>
      <c r="P113" s="71" t="str">
        <f>IFERROR(__xludf.DUMMYFUNCTION("""COMPUTED_VALUE"""),"")</f>
        <v/>
      </c>
      <c r="Q113" s="78" t="str">
        <f>IFERROR(__xludf.DUMMYFUNCTION("""COMPUTED_VALUE"""),"")</f>
        <v/>
      </c>
      <c r="R113" s="78" t="str">
        <f>IFERROR(__xludf.DUMMYFUNCTION("""COMPUTED_VALUE"""),"")</f>
        <v/>
      </c>
      <c r="S113" s="80" t="str">
        <f>IFERROR(__xludf.DUMMYFUNCTION("""COMPUTED_VALUE"""),"")</f>
        <v/>
      </c>
      <c r="T113" s="80" t="str">
        <f>IFERROR(__xludf.DUMMYFUNCTION("""COMPUTED_VALUE"""),"")</f>
        <v/>
      </c>
      <c r="U113" s="71" t="str">
        <f>IFERROR(__xludf.DUMMYFUNCTION("""COMPUTED_VALUE"""),"")</f>
        <v/>
      </c>
      <c r="V113" s="78" t="str">
        <f>IFERROR(__xludf.DUMMYFUNCTION("""COMPUTED_VALUE"""),"")</f>
        <v/>
      </c>
      <c r="W113" s="62" t="str">
        <f>IFERROR(__xludf.DUMMYFUNCTION("""COMPUTED_VALUE"""),"")</f>
        <v/>
      </c>
      <c r="X113" s="80" t="str">
        <f>IFERROR(__xludf.DUMMYFUNCTION("""COMPUTED_VALUE"""),"")</f>
        <v/>
      </c>
      <c r="Y113" s="109" t="str">
        <f>IFERROR(__xludf.DUMMYFUNCTION("""COMPUTED_VALUE"""),"")</f>
        <v/>
      </c>
      <c r="Z113" s="71"/>
      <c r="AA113" s="71"/>
      <c r="AB113" s="71"/>
    </row>
    <row r="114">
      <c r="A114" s="105">
        <f>IFERROR(__xludf.DUMMYFUNCTION("""COMPUTED_VALUE"""),46079.86478696759)</f>
        <v>46079.86479</v>
      </c>
      <c r="B114" s="71" t="str">
        <f>IFERROR(__xludf.DUMMYFUNCTION("""COMPUTED_VALUE"""),"Arjya Aich")</f>
        <v>Arjya Aich</v>
      </c>
      <c r="C114" s="71" t="b">
        <f>IFERROR(__xludf.DUMMYFUNCTION("""COMPUTED_VALUE"""),FALSE)</f>
        <v>0</v>
      </c>
      <c r="D114" s="132">
        <f>IFERROR(__xludf.DUMMYFUNCTION("""COMPUTED_VALUE"""),0.7916666666642413)</f>
        <v>0.7916666667</v>
      </c>
      <c r="E114" s="78">
        <f>IFERROR(__xludf.DUMMYFUNCTION("""COMPUTED_VALUE"""),0.08333333333575865)</f>
        <v>0.08333333334</v>
      </c>
      <c r="F114" s="132">
        <f>IFERROR(__xludf.DUMMYFUNCTION("""COMPUTED_VALUE"""),0.875)</f>
        <v>0.875</v>
      </c>
      <c r="G114" s="78">
        <f>IFERROR(__xludf.DUMMYFUNCTION("""COMPUTED_VALUE"""),0.08333333333575865)</f>
        <v>0.08333333334</v>
      </c>
      <c r="H114" s="71">
        <f>IFERROR(__xludf.DUMMYFUNCTION("""COMPUTED_VALUE"""),41.0)</f>
        <v>41</v>
      </c>
      <c r="I114" s="80">
        <f>IFERROR(__xludf.DUMMYFUNCTION("""COMPUTED_VALUE"""),20.49999999940337)</f>
        <v>20.5</v>
      </c>
      <c r="J114" s="71" t="str">
        <f>IFERROR(__xludf.DUMMYFUNCTION("""COMPUTED_VALUE"""),"Dinner")</f>
        <v>Dinner</v>
      </c>
      <c r="K114" s="106">
        <f>IFERROR(__xludf.DUMMYFUNCTION("""COMPUTED_VALUE"""),46079.0)</f>
        <v>46079</v>
      </c>
      <c r="L114" s="71" t="str">
        <f>IFERROR(__xludf.DUMMYFUNCTION("""COMPUTED_VALUE"""),"Thursday")</f>
        <v>Thursday</v>
      </c>
      <c r="M114" s="71" t="str">
        <f>IFERROR(__xludf.DUMMYFUNCTION("""COMPUTED_VALUE"""),"MF")</f>
        <v>MF</v>
      </c>
      <c r="N114" s="109">
        <f>IFERROR(__xludf.DUMMYFUNCTION("""COMPUTED_VALUE"""),0.44200391297923936)</f>
        <v>0.442003913</v>
      </c>
      <c r="O114" s="71">
        <f>IFERROR(__xludf.DUMMYFUNCTION("""COMPUTED_VALUE"""),144.0)</f>
        <v>144</v>
      </c>
      <c r="P114" s="71" t="str">
        <f>IFERROR(__xludf.DUMMYFUNCTION("""COMPUTED_VALUE"""),"")</f>
        <v/>
      </c>
      <c r="Q114" s="78">
        <f>IFERROR(__xludf.DUMMYFUNCTION("""COMPUTED_VALUE"""),0.21874999999757466)</f>
        <v>0.21875</v>
      </c>
      <c r="R114" s="78" t="str">
        <f>IFERROR(__xludf.DUMMYFUNCTION("""COMPUTED_VALUE"""),"")</f>
        <v/>
      </c>
      <c r="S114" s="80">
        <f>IFERROR(__xludf.DUMMYFUNCTION("""COMPUTED_VALUE"""),26.900000000519025)</f>
        <v>26.9</v>
      </c>
      <c r="T114" s="80" t="str">
        <f>IFERROR(__xludf.DUMMYFUNCTION("""COMPUTED_VALUE"""),"")</f>
        <v/>
      </c>
      <c r="U114" s="71">
        <f>IFERROR(__xludf.DUMMYFUNCTION("""COMPUTED_VALUE"""),144.0)</f>
        <v>144</v>
      </c>
      <c r="V114" s="78">
        <f>IFERROR(__xludf.DUMMYFUNCTION("""COMPUTED_VALUE"""),0.21874999999757466)</f>
        <v>0.21875</v>
      </c>
      <c r="W114" s="62">
        <f>IFERROR(__xludf.DUMMYFUNCTION("""COMPUTED_VALUE"""),27.428571428875532)</f>
        <v>27.42857143</v>
      </c>
      <c r="X114" s="80">
        <f>IFERROR(__xludf.DUMMYFUNCTION("""COMPUTED_VALUE"""),26.900000000519025)</f>
        <v>26.9</v>
      </c>
      <c r="Y114" s="109">
        <f>IFERROR(__xludf.DUMMYFUNCTION("""COMPUTED_VALUE"""),0.49242058348974543)</f>
        <v>0.4924205835</v>
      </c>
      <c r="Z114" s="71"/>
      <c r="AA114" s="71"/>
      <c r="AB114" s="71"/>
    </row>
    <row r="115">
      <c r="A115" s="105">
        <f>IFERROR(__xludf.DUMMYFUNCTION("""COMPUTED_VALUE"""),46080.44051408565)</f>
        <v>46080.44051</v>
      </c>
      <c r="B115" s="71" t="str">
        <f>IFERROR(__xludf.DUMMYFUNCTION("""COMPUTED_VALUE"""),"Kaylie Forgue")</f>
        <v>Kaylie Forgue</v>
      </c>
      <c r="C115" s="71" t="b">
        <f>IFERROR(__xludf.DUMMYFUNCTION("""COMPUTED_VALUE"""),FALSE)</f>
        <v>0</v>
      </c>
      <c r="D115" s="132">
        <f>IFERROR(__xludf.DUMMYFUNCTION("""COMPUTED_VALUE"""),0.3743055555532919)</f>
        <v>0.3743055556</v>
      </c>
      <c r="E115" s="78">
        <f>IFERROR(__xludf.DUMMYFUNCTION("""COMPUTED_VALUE"""),0.06041666666715173)</f>
        <v>0.06041666667</v>
      </c>
      <c r="F115" s="132">
        <f>IFERROR(__xludf.DUMMYFUNCTION("""COMPUTED_VALUE"""),0.43472222222044365)</f>
        <v>0.4347222222</v>
      </c>
      <c r="G115" s="78">
        <f>IFERROR(__xludf.DUMMYFUNCTION("""COMPUTED_VALUE"""),0.06041666666715173)</f>
        <v>0.06041666667</v>
      </c>
      <c r="H115" s="71">
        <f>IFERROR(__xludf.DUMMYFUNCTION("""COMPUTED_VALUE"""),110.0)</f>
        <v>110</v>
      </c>
      <c r="I115" s="80">
        <f>IFERROR(__xludf.DUMMYFUNCTION("""COMPUTED_VALUE"""),75.86206896490818)</f>
        <v>75.86206896</v>
      </c>
      <c r="J115" s="71" t="str">
        <f>IFERROR(__xludf.DUMMYFUNCTION("""COMPUTED_VALUE"""),"Breakfast")</f>
        <v>Breakfast</v>
      </c>
      <c r="K115" s="106">
        <f>IFERROR(__xludf.DUMMYFUNCTION("""COMPUTED_VALUE"""),46080.0)</f>
        <v>46080</v>
      </c>
      <c r="L115" s="71" t="str">
        <f>IFERROR(__xludf.DUMMYFUNCTION("""COMPUTED_VALUE"""),"Friday")</f>
        <v>Friday</v>
      </c>
      <c r="M115" s="71" t="str">
        <f>IFERROR(__xludf.DUMMYFUNCTION("""COMPUTED_VALUE"""),"BF")</f>
        <v>BF</v>
      </c>
      <c r="N115" s="109">
        <f>IFERROR(__xludf.DUMMYFUNCTION("""COMPUTED_VALUE"""),2.6758494321663004)</f>
        <v>2.675849432</v>
      </c>
      <c r="O115" s="71" t="str">
        <f>IFERROR(__xludf.DUMMYFUNCTION("""COMPUTED_VALUE"""),"")</f>
        <v/>
      </c>
      <c r="P115" s="71" t="str">
        <f>IFERROR(__xludf.DUMMYFUNCTION("""COMPUTED_VALUE"""),"")</f>
        <v/>
      </c>
      <c r="Q115" s="78" t="str">
        <f>IFERROR(__xludf.DUMMYFUNCTION("""COMPUTED_VALUE"""),"")</f>
        <v/>
      </c>
      <c r="R115" s="78" t="str">
        <f>IFERROR(__xludf.DUMMYFUNCTION("""COMPUTED_VALUE"""),"")</f>
        <v/>
      </c>
      <c r="S115" s="80" t="str">
        <f>IFERROR(__xludf.DUMMYFUNCTION("""COMPUTED_VALUE"""),"")</f>
        <v/>
      </c>
      <c r="T115" s="80" t="str">
        <f>IFERROR(__xludf.DUMMYFUNCTION("""COMPUTED_VALUE"""),"")</f>
        <v/>
      </c>
      <c r="U115" s="71" t="str">
        <f>IFERROR(__xludf.DUMMYFUNCTION("""COMPUTED_VALUE"""),"")</f>
        <v/>
      </c>
      <c r="V115" s="78" t="str">
        <f>IFERROR(__xludf.DUMMYFUNCTION("""COMPUTED_VALUE"""),"")</f>
        <v/>
      </c>
      <c r="W115" s="62" t="str">
        <f>IFERROR(__xludf.DUMMYFUNCTION("""COMPUTED_VALUE"""),"")</f>
        <v/>
      </c>
      <c r="X115" s="80" t="str">
        <f>IFERROR(__xludf.DUMMYFUNCTION("""COMPUTED_VALUE"""),"")</f>
        <v/>
      </c>
      <c r="Y115" s="109" t="str">
        <f>IFERROR(__xludf.DUMMYFUNCTION("""COMPUTED_VALUE"""),"")</f>
        <v/>
      </c>
      <c r="Z115" s="71"/>
      <c r="AA115" s="71"/>
      <c r="AB115" s="71"/>
    </row>
    <row r="116">
      <c r="A116" s="105">
        <f>IFERROR(__xludf.DUMMYFUNCTION("""COMPUTED_VALUE"""),46080.58051659723)</f>
        <v>46080.58052</v>
      </c>
      <c r="B116" s="71" t="str">
        <f>IFERROR(__xludf.DUMMYFUNCTION("""COMPUTED_VALUE"""),"Brynn Hornig")</f>
        <v>Brynn Hornig</v>
      </c>
      <c r="C116" s="71" t="b">
        <f>IFERROR(__xludf.DUMMYFUNCTION("""COMPUTED_VALUE"""),FALSE)</f>
        <v>0</v>
      </c>
      <c r="D116" s="132">
        <f>IFERROR(__xludf.DUMMYFUNCTION("""COMPUTED_VALUE"""),0.45833333333575865)</f>
        <v>0.4583333333</v>
      </c>
      <c r="E116" s="78">
        <f>IFERROR(__xludf.DUMMYFUNCTION("""COMPUTED_VALUE"""),0.125)</f>
        <v>0.125</v>
      </c>
      <c r="F116" s="132">
        <f>IFERROR(__xludf.DUMMYFUNCTION("""COMPUTED_VALUE"""),0.5833333333357587)</f>
        <v>0.5833333333</v>
      </c>
      <c r="G116" s="78">
        <f>IFERROR(__xludf.DUMMYFUNCTION("""COMPUTED_VALUE"""),0.125)</f>
        <v>0.125</v>
      </c>
      <c r="H116" s="71">
        <f>IFERROR(__xludf.DUMMYFUNCTION("""COMPUTED_VALUE"""),96.0)</f>
        <v>96</v>
      </c>
      <c r="I116" s="80">
        <f>IFERROR(__xludf.DUMMYFUNCTION("""COMPUTED_VALUE"""),32.0)</f>
        <v>32</v>
      </c>
      <c r="J116" s="71" t="str">
        <f>IFERROR(__xludf.DUMMYFUNCTION("""COMPUTED_VALUE"""),"Lunch")</f>
        <v>Lunch</v>
      </c>
      <c r="K116" s="106">
        <f>IFERROR(__xludf.DUMMYFUNCTION("""COMPUTED_VALUE"""),46080.0)</f>
        <v>46080</v>
      </c>
      <c r="L116" s="71" t="str">
        <f>IFERROR(__xludf.DUMMYFUNCTION("""COMPUTED_VALUE"""),"Friday")</f>
        <v>Friday</v>
      </c>
      <c r="M116" s="71" t="str">
        <f>IFERROR(__xludf.DUMMYFUNCTION("""COMPUTED_VALUE"""),"BF")</f>
        <v>BF</v>
      </c>
      <c r="N116" s="109">
        <f>IFERROR(__xludf.DUMMYFUNCTION("""COMPUTED_VALUE"""),1.1287219423046653)</f>
        <v>1.128721942</v>
      </c>
      <c r="O116" s="71" t="str">
        <f>IFERROR(__xludf.DUMMYFUNCTION("""COMPUTED_VALUE"""),"")</f>
        <v/>
      </c>
      <c r="P116" s="71" t="str">
        <f>IFERROR(__xludf.DUMMYFUNCTION("""COMPUTED_VALUE"""),"")</f>
        <v/>
      </c>
      <c r="Q116" s="78" t="str">
        <f>IFERROR(__xludf.DUMMYFUNCTION("""COMPUTED_VALUE"""),"")</f>
        <v/>
      </c>
      <c r="R116" s="78" t="str">
        <f>IFERROR(__xludf.DUMMYFUNCTION("""COMPUTED_VALUE"""),"")</f>
        <v/>
      </c>
      <c r="S116" s="80" t="str">
        <f>IFERROR(__xludf.DUMMYFUNCTION("""COMPUTED_VALUE"""),"")</f>
        <v/>
      </c>
      <c r="T116" s="80" t="str">
        <f>IFERROR(__xludf.DUMMYFUNCTION("""COMPUTED_VALUE"""),"")</f>
        <v/>
      </c>
      <c r="U116" s="71" t="str">
        <f>IFERROR(__xludf.DUMMYFUNCTION("""COMPUTED_VALUE"""),"")</f>
        <v/>
      </c>
      <c r="V116" s="78" t="str">
        <f>IFERROR(__xludf.DUMMYFUNCTION("""COMPUTED_VALUE"""),"")</f>
        <v/>
      </c>
      <c r="W116" s="62" t="str">
        <f>IFERROR(__xludf.DUMMYFUNCTION("""COMPUTED_VALUE"""),"")</f>
        <v/>
      </c>
      <c r="X116" s="80" t="str">
        <f>IFERROR(__xludf.DUMMYFUNCTION("""COMPUTED_VALUE"""),"")</f>
        <v/>
      </c>
      <c r="Y116" s="109" t="str">
        <f>IFERROR(__xludf.DUMMYFUNCTION("""COMPUTED_VALUE"""),"")</f>
        <v/>
      </c>
      <c r="Z116" s="71"/>
      <c r="AA116" s="71"/>
      <c r="AB116" s="71"/>
    </row>
    <row r="117">
      <c r="A117" s="105">
        <f>IFERROR(__xludf.DUMMYFUNCTION("""COMPUTED_VALUE"""),46080.617279178245)</f>
        <v>46080.61728</v>
      </c>
      <c r="B117" s="71" t="str">
        <f>IFERROR(__xludf.DUMMYFUNCTION("""COMPUTED_VALUE"""),"Oluwatimilehin Shodipe")</f>
        <v>Oluwatimilehin Shodipe</v>
      </c>
      <c r="C117" s="71" t="b">
        <f>IFERROR(__xludf.DUMMYFUNCTION("""COMPUTED_VALUE"""),FALSE)</f>
        <v>0</v>
      </c>
      <c r="D117" s="132">
        <f>IFERROR(__xludf.DUMMYFUNCTION("""COMPUTED_VALUE"""),0.48263888889050577)</f>
        <v>0.4826388889</v>
      </c>
      <c r="E117" s="78">
        <f>IFERROR(__xludf.DUMMYFUNCTION("""COMPUTED_VALUE"""),0.14861111110803904)</f>
        <v>0.1486111111</v>
      </c>
      <c r="F117" s="132">
        <f>IFERROR(__xludf.DUMMYFUNCTION("""COMPUTED_VALUE"""),0.6312499999985448)</f>
        <v>0.63125</v>
      </c>
      <c r="G117" s="78">
        <f>IFERROR(__xludf.DUMMYFUNCTION("""COMPUTED_VALUE"""),0.14861111110803904)</f>
        <v>0.1486111111</v>
      </c>
      <c r="H117" s="71">
        <f>IFERROR(__xludf.DUMMYFUNCTION("""COMPUTED_VALUE"""),145.0)</f>
        <v>145</v>
      </c>
      <c r="I117" s="80">
        <f>IFERROR(__xludf.DUMMYFUNCTION("""COMPUTED_VALUE"""),40.654205608317035)</f>
        <v>40.65420561</v>
      </c>
      <c r="J117" s="71" t="str">
        <f>IFERROR(__xludf.DUMMYFUNCTION("""COMPUTED_VALUE"""),"Lunch")</f>
        <v>Lunch</v>
      </c>
      <c r="K117" s="106">
        <f>IFERROR(__xludf.DUMMYFUNCTION("""COMPUTED_VALUE"""),46080.0)</f>
        <v>46080</v>
      </c>
      <c r="L117" s="71" t="str">
        <f>IFERROR(__xludf.DUMMYFUNCTION("""COMPUTED_VALUE"""),"Friday")</f>
        <v>Friday</v>
      </c>
      <c r="M117" s="71" t="str">
        <f>IFERROR(__xludf.DUMMYFUNCTION("""COMPUTED_VALUE"""),"MF")</f>
        <v>MF</v>
      </c>
      <c r="N117" s="109">
        <f>IFERROR(__xludf.DUMMYFUNCTION("""COMPUTED_VALUE"""),0.8085964929655935)</f>
        <v>0.808596493</v>
      </c>
      <c r="O117" s="71" t="str">
        <f>IFERROR(__xludf.DUMMYFUNCTION("""COMPUTED_VALUE"""),"")</f>
        <v/>
      </c>
      <c r="P117" s="71" t="str">
        <f>IFERROR(__xludf.DUMMYFUNCTION("""COMPUTED_VALUE"""),"")</f>
        <v/>
      </c>
      <c r="Q117" s="78" t="str">
        <f>IFERROR(__xludf.DUMMYFUNCTION("""COMPUTED_VALUE"""),"")</f>
        <v/>
      </c>
      <c r="R117" s="78" t="str">
        <f>IFERROR(__xludf.DUMMYFUNCTION("""COMPUTED_VALUE"""),"")</f>
        <v/>
      </c>
      <c r="S117" s="80" t="str">
        <f>IFERROR(__xludf.DUMMYFUNCTION("""COMPUTED_VALUE"""),"")</f>
        <v/>
      </c>
      <c r="T117" s="80" t="str">
        <f>IFERROR(__xludf.DUMMYFUNCTION("""COMPUTED_VALUE"""),"")</f>
        <v/>
      </c>
      <c r="U117" s="71" t="str">
        <f>IFERROR(__xludf.DUMMYFUNCTION("""COMPUTED_VALUE"""),"")</f>
        <v/>
      </c>
      <c r="V117" s="78" t="str">
        <f>IFERROR(__xludf.DUMMYFUNCTION("""COMPUTED_VALUE"""),"")</f>
        <v/>
      </c>
      <c r="W117" s="62" t="str">
        <f>IFERROR(__xludf.DUMMYFUNCTION("""COMPUTED_VALUE"""),"")</f>
        <v/>
      </c>
      <c r="X117" s="80" t="str">
        <f>IFERROR(__xludf.DUMMYFUNCTION("""COMPUTED_VALUE"""),"")</f>
        <v/>
      </c>
      <c r="Y117" s="109" t="str">
        <f>IFERROR(__xludf.DUMMYFUNCTION("""COMPUTED_VALUE"""),"")</f>
        <v/>
      </c>
      <c r="Z117" s="71"/>
      <c r="AA117" s="71"/>
      <c r="AB117" s="71"/>
    </row>
    <row r="118">
      <c r="A118" s="105">
        <f>IFERROR(__xludf.DUMMYFUNCTION("""COMPUTED_VALUE"""),46080.78070474537)</f>
        <v>46080.7807</v>
      </c>
      <c r="B118" s="71" t="str">
        <f>IFERROR(__xludf.DUMMYFUNCTION("""COMPUTED_VALUE"""),"Leah Bucci")</f>
        <v>Leah Bucci</v>
      </c>
      <c r="C118" s="71" t="b">
        <f>IFERROR(__xludf.DUMMYFUNCTION("""COMPUTED_VALUE"""),FALSE)</f>
        <v>0</v>
      </c>
      <c r="D118" s="132">
        <f>IFERROR(__xludf.DUMMYFUNCTION("""COMPUTED_VALUE"""),0.6666666666642413)</f>
        <v>0.6666666667</v>
      </c>
      <c r="E118" s="78">
        <f>IFERROR(__xludf.DUMMYFUNCTION("""COMPUTED_VALUE"""),0.07638888889050577)</f>
        <v>0.07638888889</v>
      </c>
      <c r="F118" s="132">
        <f>IFERROR(__xludf.DUMMYFUNCTION("""COMPUTED_VALUE"""),0.7430555555547471)</f>
        <v>0.7430555556</v>
      </c>
      <c r="G118" s="78">
        <f>IFERROR(__xludf.DUMMYFUNCTION("""COMPUTED_VALUE"""),0.07638888889050577)</f>
        <v>0.07638888889</v>
      </c>
      <c r="H118" s="71">
        <f>IFERROR(__xludf.DUMMYFUNCTION("""COMPUTED_VALUE"""),121.0)</f>
        <v>121</v>
      </c>
      <c r="I118" s="80">
        <f>IFERROR(__xludf.DUMMYFUNCTION("""COMPUTED_VALUE"""),65.99999999860302)</f>
        <v>66</v>
      </c>
      <c r="J118" s="71" t="str">
        <f>IFERROR(__xludf.DUMMYFUNCTION("""COMPUTED_VALUE"""),"Dinner")</f>
        <v>Dinner</v>
      </c>
      <c r="K118" s="106">
        <f>IFERROR(__xludf.DUMMYFUNCTION("""COMPUTED_VALUE"""),46080.0)</f>
        <v>46080</v>
      </c>
      <c r="L118" s="71" t="str">
        <f>IFERROR(__xludf.DUMMYFUNCTION("""COMPUTED_VALUE"""),"Friday")</f>
        <v>Friday</v>
      </c>
      <c r="M118" s="71" t="str">
        <f>IFERROR(__xludf.DUMMYFUNCTION("""COMPUTED_VALUE"""),"MF")</f>
        <v>MF</v>
      </c>
      <c r="N118" s="109">
        <f>IFERROR(__xludf.DUMMYFUNCTION("""COMPUTED_VALUE"""),1.4230369881395781)</f>
        <v>1.423036988</v>
      </c>
      <c r="O118" s="71">
        <f>IFERROR(__xludf.DUMMYFUNCTION("""COMPUTED_VALUE"""),266.0)</f>
        <v>266</v>
      </c>
      <c r="P118" s="71">
        <f>IFERROR(__xludf.DUMMYFUNCTION("""COMPUTED_VALUE"""),206.0)</f>
        <v>206</v>
      </c>
      <c r="Q118" s="78">
        <f>IFERROR(__xludf.DUMMYFUNCTION("""COMPUTED_VALUE"""),0.2249999999985448)</f>
        <v>0.225</v>
      </c>
      <c r="R118" s="78">
        <f>IFERROR(__xludf.DUMMYFUNCTION("""COMPUTED_VALUE"""),0.18541666666715173)</f>
        <v>0.1854166667</v>
      </c>
      <c r="S118" s="80">
        <f>IFERROR(__xludf.DUMMYFUNCTION("""COMPUTED_VALUE"""),53.32710280346002)</f>
        <v>53.3271028</v>
      </c>
      <c r="T118" s="80">
        <f>IFERROR(__xludf.DUMMYFUNCTION("""COMPUTED_VALUE"""),53.93103448245409)</f>
        <v>53.93103448</v>
      </c>
      <c r="U118" s="71">
        <f>IFERROR(__xludf.DUMMYFUNCTION("""COMPUTED_VALUE"""),472.0)</f>
        <v>472</v>
      </c>
      <c r="V118" s="78">
        <f>IFERROR(__xludf.DUMMYFUNCTION("""COMPUTED_VALUE"""),0.41041666666569654)</f>
        <v>0.4104166667</v>
      </c>
      <c r="W118" s="62">
        <f>IFERROR(__xludf.DUMMYFUNCTION("""COMPUTED_VALUE"""),47.91878172600159)</f>
        <v>47.91878173</v>
      </c>
      <c r="X118" s="80">
        <f>IFERROR(__xludf.DUMMYFUNCTION("""COMPUTED_VALUE"""),53.62906864295706)</f>
        <v>53.62906864</v>
      </c>
      <c r="Y118" s="109">
        <f>IFERROR(__xludf.DUMMYFUNCTION("""COMPUTED_VALUE"""),1.2192524828645899)</f>
        <v>1.219252483</v>
      </c>
      <c r="Z118" s="71"/>
      <c r="AA118" s="71"/>
      <c r="AB118" s="71"/>
    </row>
    <row r="119">
      <c r="A119" s="105">
        <f>IFERROR(__xludf.DUMMYFUNCTION("""COMPUTED_VALUE"""),46083.437874247684)</f>
        <v>46083.43787</v>
      </c>
      <c r="B119" s="71" t="str">
        <f>IFERROR(__xludf.DUMMYFUNCTION("""COMPUTED_VALUE"""),"Sophia Kluck")</f>
        <v>Sophia Kluck</v>
      </c>
      <c r="C119" s="71" t="b">
        <f>IFERROR(__xludf.DUMMYFUNCTION("""COMPUTED_VALUE"""),FALSE)</f>
        <v>0</v>
      </c>
      <c r="D119" s="132">
        <f>IFERROR(__xludf.DUMMYFUNCTION("""COMPUTED_VALUE"""),0.37083333333430346)</f>
        <v>0.3708333333</v>
      </c>
      <c r="E119" s="78">
        <f>IFERROR(__xludf.DUMMYFUNCTION("""COMPUTED_VALUE"""),0.0625)</f>
        <v>0.0625</v>
      </c>
      <c r="F119" s="132">
        <f>IFERROR(__xludf.DUMMYFUNCTION("""COMPUTED_VALUE"""),0.43333333333430346)</f>
        <v>0.4333333333</v>
      </c>
      <c r="G119" s="78">
        <f>IFERROR(__xludf.DUMMYFUNCTION("""COMPUTED_VALUE"""),0.0625)</f>
        <v>0.0625</v>
      </c>
      <c r="H119" s="71">
        <f>IFERROR(__xludf.DUMMYFUNCTION("""COMPUTED_VALUE"""),39.0)</f>
        <v>39</v>
      </c>
      <c r="I119" s="80">
        <f>IFERROR(__xludf.DUMMYFUNCTION("""COMPUTED_VALUE"""),26.0)</f>
        <v>26</v>
      </c>
      <c r="J119" s="71" t="str">
        <f>IFERROR(__xludf.DUMMYFUNCTION("""COMPUTED_VALUE"""),"Breakfast")</f>
        <v>Breakfast</v>
      </c>
      <c r="K119" s="106">
        <f>IFERROR(__xludf.DUMMYFUNCTION("""COMPUTED_VALUE"""),46083.0)</f>
        <v>46083</v>
      </c>
      <c r="L119" s="71" t="str">
        <f>IFERROR(__xludf.DUMMYFUNCTION("""COMPUTED_VALUE"""),"Monday")</f>
        <v>Monday</v>
      </c>
      <c r="M119" s="71" t="str">
        <f>IFERROR(__xludf.DUMMYFUNCTION("""COMPUTED_VALUE"""),"BF")</f>
        <v>BF</v>
      </c>
      <c r="N119" s="109">
        <f>IFERROR(__xludf.DUMMYFUNCTION("""COMPUTED_VALUE"""),0.9170865781225405)</f>
        <v>0.9170865781</v>
      </c>
      <c r="O119" s="71" t="str">
        <f>IFERROR(__xludf.DUMMYFUNCTION("""COMPUTED_VALUE"""),"")</f>
        <v/>
      </c>
      <c r="P119" s="71" t="str">
        <f>IFERROR(__xludf.DUMMYFUNCTION("""COMPUTED_VALUE"""),"")</f>
        <v/>
      </c>
      <c r="Q119" s="78" t="str">
        <f>IFERROR(__xludf.DUMMYFUNCTION("""COMPUTED_VALUE"""),"")</f>
        <v/>
      </c>
      <c r="R119" s="78" t="str">
        <f>IFERROR(__xludf.DUMMYFUNCTION("""COMPUTED_VALUE"""),"")</f>
        <v/>
      </c>
      <c r="S119" s="80" t="str">
        <f>IFERROR(__xludf.DUMMYFUNCTION("""COMPUTED_VALUE"""),"")</f>
        <v/>
      </c>
      <c r="T119" s="80" t="str">
        <f>IFERROR(__xludf.DUMMYFUNCTION("""COMPUTED_VALUE"""),"")</f>
        <v/>
      </c>
      <c r="U119" s="71" t="str">
        <f>IFERROR(__xludf.DUMMYFUNCTION("""COMPUTED_VALUE"""),"")</f>
        <v/>
      </c>
      <c r="V119" s="78" t="str">
        <f>IFERROR(__xludf.DUMMYFUNCTION("""COMPUTED_VALUE"""),"")</f>
        <v/>
      </c>
      <c r="W119" s="62" t="str">
        <f>IFERROR(__xludf.DUMMYFUNCTION("""COMPUTED_VALUE"""),"")</f>
        <v/>
      </c>
      <c r="X119" s="80" t="str">
        <f>IFERROR(__xludf.DUMMYFUNCTION("""COMPUTED_VALUE"""),"")</f>
        <v/>
      </c>
      <c r="Y119" s="109" t="str">
        <f>IFERROR(__xludf.DUMMYFUNCTION("""COMPUTED_VALUE"""),"")</f>
        <v/>
      </c>
      <c r="Z119" s="71"/>
      <c r="AA119" s="71"/>
      <c r="AB119" s="71"/>
    </row>
    <row r="120">
      <c r="A120" s="105">
        <f>IFERROR(__xludf.DUMMYFUNCTION("""COMPUTED_VALUE"""),46083.641478425925)</f>
        <v>46083.64148</v>
      </c>
      <c r="B120" s="71" t="str">
        <f>IFERROR(__xludf.DUMMYFUNCTION("""COMPUTED_VALUE"""),"Brynn Hornig")</f>
        <v>Brynn Hornig</v>
      </c>
      <c r="C120" s="71" t="b">
        <f>IFERROR(__xludf.DUMMYFUNCTION("""COMPUTED_VALUE"""),FALSE)</f>
        <v>0</v>
      </c>
      <c r="D120" s="132">
        <f>IFERROR(__xludf.DUMMYFUNCTION("""COMPUTED_VALUE"""),0.5208333333357587)</f>
        <v>0.5208333333</v>
      </c>
      <c r="E120" s="78">
        <f>IFERROR(__xludf.DUMMYFUNCTION("""COMPUTED_VALUE"""),0.125)</f>
        <v>0.125</v>
      </c>
      <c r="F120" s="132">
        <f>IFERROR(__xludf.DUMMYFUNCTION("""COMPUTED_VALUE"""),0.6458333333357587)</f>
        <v>0.6458333333</v>
      </c>
      <c r="G120" s="78">
        <f>IFERROR(__xludf.DUMMYFUNCTION("""COMPUTED_VALUE"""),0.125)</f>
        <v>0.125</v>
      </c>
      <c r="H120" s="71">
        <f>IFERROR(__xludf.DUMMYFUNCTION("""COMPUTED_VALUE"""),90.0)</f>
        <v>90</v>
      </c>
      <c r="I120" s="80">
        <f>IFERROR(__xludf.DUMMYFUNCTION("""COMPUTED_VALUE"""),30.0)</f>
        <v>30</v>
      </c>
      <c r="J120" s="71" t="str">
        <f>IFERROR(__xludf.DUMMYFUNCTION("""COMPUTED_VALUE"""),"Lunch")</f>
        <v>Lunch</v>
      </c>
      <c r="K120" s="106">
        <f>IFERROR(__xludf.DUMMYFUNCTION("""COMPUTED_VALUE"""),46083.0)</f>
        <v>46083</v>
      </c>
      <c r="L120" s="71" t="str">
        <f>IFERROR(__xludf.DUMMYFUNCTION("""COMPUTED_VALUE"""),"Monday")</f>
        <v>Monday</v>
      </c>
      <c r="M120" s="71" t="str">
        <f>IFERROR(__xludf.DUMMYFUNCTION("""COMPUTED_VALUE"""),"BF")</f>
        <v>BF</v>
      </c>
      <c r="N120" s="109">
        <f>IFERROR(__xludf.DUMMYFUNCTION("""COMPUTED_VALUE"""),1.0581768209106235)</f>
        <v>1.058176821</v>
      </c>
      <c r="O120" s="71" t="str">
        <f>IFERROR(__xludf.DUMMYFUNCTION("""COMPUTED_VALUE"""),"")</f>
        <v/>
      </c>
      <c r="P120" s="71" t="str">
        <f>IFERROR(__xludf.DUMMYFUNCTION("""COMPUTED_VALUE"""),"")</f>
        <v/>
      </c>
      <c r="Q120" s="78" t="str">
        <f>IFERROR(__xludf.DUMMYFUNCTION("""COMPUTED_VALUE"""),"")</f>
        <v/>
      </c>
      <c r="R120" s="78" t="str">
        <f>IFERROR(__xludf.DUMMYFUNCTION("""COMPUTED_VALUE"""),"")</f>
        <v/>
      </c>
      <c r="S120" s="80" t="str">
        <f>IFERROR(__xludf.DUMMYFUNCTION("""COMPUTED_VALUE"""),"")</f>
        <v/>
      </c>
      <c r="T120" s="80" t="str">
        <f>IFERROR(__xludf.DUMMYFUNCTION("""COMPUTED_VALUE"""),"")</f>
        <v/>
      </c>
      <c r="U120" s="71" t="str">
        <f>IFERROR(__xludf.DUMMYFUNCTION("""COMPUTED_VALUE"""),"")</f>
        <v/>
      </c>
      <c r="V120" s="78" t="str">
        <f>IFERROR(__xludf.DUMMYFUNCTION("""COMPUTED_VALUE"""),"")</f>
        <v/>
      </c>
      <c r="W120" s="62" t="str">
        <f>IFERROR(__xludf.DUMMYFUNCTION("""COMPUTED_VALUE"""),"")</f>
        <v/>
      </c>
      <c r="X120" s="80" t="str">
        <f>IFERROR(__xludf.DUMMYFUNCTION("""COMPUTED_VALUE"""),"")</f>
        <v/>
      </c>
      <c r="Y120" s="109" t="str">
        <f>IFERROR(__xludf.DUMMYFUNCTION("""COMPUTED_VALUE"""),"")</f>
        <v/>
      </c>
      <c r="Z120" s="71"/>
      <c r="AA120" s="71"/>
      <c r="AB120" s="71"/>
    </row>
    <row r="121">
      <c r="A121" s="105">
        <f>IFERROR(__xludf.DUMMYFUNCTION("""COMPUTED_VALUE"""),46083.748098449076)</f>
        <v>46083.7481</v>
      </c>
      <c r="B121" s="71" t="str">
        <f>IFERROR(__xludf.DUMMYFUNCTION("""COMPUTED_VALUE"""),"Orpheus Wilson")</f>
        <v>Orpheus Wilson</v>
      </c>
      <c r="C121" s="71" t="b">
        <f>IFERROR(__xludf.DUMMYFUNCTION("""COMPUTED_VALUE"""),FALSE)</f>
        <v>0</v>
      </c>
      <c r="D121" s="132">
        <f>IFERROR(__xludf.DUMMYFUNCTION("""COMPUTED_VALUE"""),0.6708333333372138)</f>
        <v>0.6708333333</v>
      </c>
      <c r="E121" s="78">
        <f>IFERROR(__xludf.DUMMYFUNCTION("""COMPUTED_VALUE"""),0.07569444444379769)</f>
        <v>0.07569444444</v>
      </c>
      <c r="F121" s="132">
        <f>IFERROR(__xludf.DUMMYFUNCTION("""COMPUTED_VALUE"""),0.7465277777810115)</f>
        <v>0.7465277778</v>
      </c>
      <c r="G121" s="78">
        <f>IFERROR(__xludf.DUMMYFUNCTION("""COMPUTED_VALUE"""),0.07569444444379769)</f>
        <v>0.07569444444</v>
      </c>
      <c r="H121" s="71">
        <f>IFERROR(__xludf.DUMMYFUNCTION("""COMPUTED_VALUE"""),95.0)</f>
        <v>95</v>
      </c>
      <c r="I121" s="80">
        <f>IFERROR(__xludf.DUMMYFUNCTION("""COMPUTED_VALUE"""),52.293577982098185)</f>
        <v>52.29357798</v>
      </c>
      <c r="J121" s="71" t="str">
        <f>IFERROR(__xludf.DUMMYFUNCTION("""COMPUTED_VALUE"""),"Dinner")</f>
        <v>Dinner</v>
      </c>
      <c r="K121" s="106">
        <f>IFERROR(__xludf.DUMMYFUNCTION("""COMPUTED_VALUE"""),46083.0)</f>
        <v>46083</v>
      </c>
      <c r="L121" s="71" t="str">
        <f>IFERROR(__xludf.DUMMYFUNCTION("""COMPUTED_VALUE"""),"Monday")</f>
        <v>Monday</v>
      </c>
      <c r="M121" s="71" t="str">
        <f>IFERROR(__xludf.DUMMYFUNCTION("""COMPUTED_VALUE"""),"MF")</f>
        <v>MF</v>
      </c>
      <c r="N121" s="109">
        <f>IFERROR(__xludf.DUMMYFUNCTION("""COMPUTED_VALUE"""),1.127510541094883)</f>
        <v>1.127510541</v>
      </c>
      <c r="O121" s="71" t="str">
        <f>IFERROR(__xludf.DUMMYFUNCTION("""COMPUTED_VALUE"""),"")</f>
        <v/>
      </c>
      <c r="P121" s="71" t="str">
        <f>IFERROR(__xludf.DUMMYFUNCTION("""COMPUTED_VALUE"""),"")</f>
        <v/>
      </c>
      <c r="Q121" s="78" t="str">
        <f>IFERROR(__xludf.DUMMYFUNCTION("""COMPUTED_VALUE"""),"")</f>
        <v/>
      </c>
      <c r="R121" s="78" t="str">
        <f>IFERROR(__xludf.DUMMYFUNCTION("""COMPUTED_VALUE"""),"")</f>
        <v/>
      </c>
      <c r="S121" s="80" t="str">
        <f>IFERROR(__xludf.DUMMYFUNCTION("""COMPUTED_VALUE"""),"")</f>
        <v/>
      </c>
      <c r="T121" s="80" t="str">
        <f>IFERROR(__xludf.DUMMYFUNCTION("""COMPUTED_VALUE"""),"")</f>
        <v/>
      </c>
      <c r="U121" s="71" t="str">
        <f>IFERROR(__xludf.DUMMYFUNCTION("""COMPUTED_VALUE"""),"")</f>
        <v/>
      </c>
      <c r="V121" s="78" t="str">
        <f>IFERROR(__xludf.DUMMYFUNCTION("""COMPUTED_VALUE"""),"")</f>
        <v/>
      </c>
      <c r="W121" s="62" t="str">
        <f>IFERROR(__xludf.DUMMYFUNCTION("""COMPUTED_VALUE"""),"")</f>
        <v/>
      </c>
      <c r="X121" s="80" t="str">
        <f>IFERROR(__xludf.DUMMYFUNCTION("""COMPUTED_VALUE"""),"")</f>
        <v/>
      </c>
      <c r="Y121" s="109" t="str">
        <f>IFERROR(__xludf.DUMMYFUNCTION("""COMPUTED_VALUE"""),"")</f>
        <v/>
      </c>
      <c r="Z121" s="71"/>
      <c r="AA121" s="71"/>
      <c r="AB121" s="71"/>
    </row>
    <row r="122">
      <c r="A122" s="105">
        <f>IFERROR(__xludf.DUMMYFUNCTION("""COMPUTED_VALUE"""),46083.843096770834)</f>
        <v>46083.8431</v>
      </c>
      <c r="B122" s="71" t="str">
        <f>IFERROR(__xludf.DUMMYFUNCTION("""COMPUTED_VALUE"""),"Maureen Surgot")</f>
        <v>Maureen Surgot</v>
      </c>
      <c r="C122" s="71" t="b">
        <f>IFERROR(__xludf.DUMMYFUNCTION("""COMPUTED_VALUE"""),FALSE)</f>
        <v>0</v>
      </c>
      <c r="D122" s="132">
        <f>IFERROR(__xludf.DUMMYFUNCTION("""COMPUTED_VALUE"""),0.75)</f>
        <v>0.75</v>
      </c>
      <c r="E122" s="78">
        <f>IFERROR(__xludf.DUMMYFUNCTION("""COMPUTED_VALUE"""),0.09027777778101154)</f>
        <v>0.09027777778</v>
      </c>
      <c r="F122" s="132">
        <f>IFERROR(__xludf.DUMMYFUNCTION("""COMPUTED_VALUE"""),0.8402777777810115)</f>
        <v>0.8402777778</v>
      </c>
      <c r="G122" s="78">
        <f>IFERROR(__xludf.DUMMYFUNCTION("""COMPUTED_VALUE"""),0.09027777778101154)</f>
        <v>0.09027777778</v>
      </c>
      <c r="H122" s="71">
        <f>IFERROR(__xludf.DUMMYFUNCTION("""COMPUTED_VALUE"""),140.0)</f>
        <v>140</v>
      </c>
      <c r="I122" s="80">
        <f>IFERROR(__xludf.DUMMYFUNCTION("""COMPUTED_VALUE"""),64.61538461307009)</f>
        <v>64.61538461</v>
      </c>
      <c r="J122" s="71" t="str">
        <f>IFERROR(__xludf.DUMMYFUNCTION("""COMPUTED_VALUE"""),"Dinner")</f>
        <v>Dinner</v>
      </c>
      <c r="K122" s="106">
        <f>IFERROR(__xludf.DUMMYFUNCTION("""COMPUTED_VALUE"""),46083.0)</f>
        <v>46083</v>
      </c>
      <c r="L122" s="71" t="str">
        <f>IFERROR(__xludf.DUMMYFUNCTION("""COMPUTED_VALUE"""),"Monday")</f>
        <v>Monday</v>
      </c>
      <c r="M122" s="71" t="str">
        <f>IFERROR(__xludf.DUMMYFUNCTION("""COMPUTED_VALUE"""),"MF")</f>
        <v>MF</v>
      </c>
      <c r="N122" s="109">
        <f>IFERROR(__xludf.DUMMYFUNCTION("""COMPUTED_VALUE"""),1.39318306529106)</f>
        <v>1.393183065</v>
      </c>
      <c r="O122" s="71" t="str">
        <f>IFERROR(__xludf.DUMMYFUNCTION("""COMPUTED_VALUE"""),"")</f>
        <v/>
      </c>
      <c r="P122" s="71" t="str">
        <f>IFERROR(__xludf.DUMMYFUNCTION("""COMPUTED_VALUE"""),"")</f>
        <v/>
      </c>
      <c r="Q122" s="78" t="str">
        <f>IFERROR(__xludf.DUMMYFUNCTION("""COMPUTED_VALUE"""),"")</f>
        <v/>
      </c>
      <c r="R122" s="78" t="str">
        <f>IFERROR(__xludf.DUMMYFUNCTION("""COMPUTED_VALUE"""),"")</f>
        <v/>
      </c>
      <c r="S122" s="80" t="str">
        <f>IFERROR(__xludf.DUMMYFUNCTION("""COMPUTED_VALUE"""),"")</f>
        <v/>
      </c>
      <c r="T122" s="80" t="str">
        <f>IFERROR(__xludf.DUMMYFUNCTION("""COMPUTED_VALUE"""),"")</f>
        <v/>
      </c>
      <c r="U122" s="71" t="str">
        <f>IFERROR(__xludf.DUMMYFUNCTION("""COMPUTED_VALUE"""),"")</f>
        <v/>
      </c>
      <c r="V122" s="78" t="str">
        <f>IFERROR(__xludf.DUMMYFUNCTION("""COMPUTED_VALUE"""),"")</f>
        <v/>
      </c>
      <c r="W122" s="62" t="str">
        <f>IFERROR(__xludf.DUMMYFUNCTION("""COMPUTED_VALUE"""),"")</f>
        <v/>
      </c>
      <c r="X122" s="80" t="str">
        <f>IFERROR(__xludf.DUMMYFUNCTION("""COMPUTED_VALUE"""),"")</f>
        <v/>
      </c>
      <c r="Y122" s="109" t="str">
        <f>IFERROR(__xludf.DUMMYFUNCTION("""COMPUTED_VALUE"""),"")</f>
        <v/>
      </c>
      <c r="Z122" s="71"/>
      <c r="AA122" s="71"/>
      <c r="AB122" s="71"/>
    </row>
    <row r="123">
      <c r="A123" s="105">
        <f>IFERROR(__xludf.DUMMYFUNCTION("""COMPUTED_VALUE"""),46083.95738878472)</f>
        <v>46083.95739</v>
      </c>
      <c r="B123" s="71" t="str">
        <f>IFERROR(__xludf.DUMMYFUNCTION("""COMPUTED_VALUE"""),"Denise Romanszysn")</f>
        <v>Denise Romanszysn</v>
      </c>
      <c r="C123" s="71" t="b">
        <f>IFERROR(__xludf.DUMMYFUNCTION("""COMPUTED_VALUE"""),FALSE)</f>
        <v>0</v>
      </c>
      <c r="D123" s="132">
        <f>IFERROR(__xludf.DUMMYFUNCTION("""COMPUTED_VALUE"""),0.44097222221898846)</f>
        <v>0.4409722222</v>
      </c>
      <c r="E123" s="78">
        <f>IFERROR(__xludf.DUMMYFUNCTION("""COMPUTED_VALUE"""),0.045833333337213844)</f>
        <v>0.04583333334</v>
      </c>
      <c r="F123" s="132">
        <f>IFERROR(__xludf.DUMMYFUNCTION("""COMPUTED_VALUE"""),0.4868055555562023)</f>
        <v>0.4868055556</v>
      </c>
      <c r="G123" s="78">
        <f>IFERROR(__xludf.DUMMYFUNCTION("""COMPUTED_VALUE"""),0.045833333337213844)</f>
        <v>0.04583333334</v>
      </c>
      <c r="H123" s="71">
        <f>IFERROR(__xludf.DUMMYFUNCTION("""COMPUTED_VALUE"""),61.0)</f>
        <v>61</v>
      </c>
      <c r="I123" s="80">
        <f>IFERROR(__xludf.DUMMYFUNCTION("""COMPUTED_VALUE"""),55.45454544985036)</f>
        <v>55.45454545</v>
      </c>
      <c r="J123" s="71" t="str">
        <f>IFERROR(__xludf.DUMMYFUNCTION("""COMPUTED_VALUE"""),"Breakfast/Lunch")</f>
        <v>Breakfast/Lunch</v>
      </c>
      <c r="K123" s="106">
        <f>IFERROR(__xludf.DUMMYFUNCTION("""COMPUTED_VALUE"""),46083.0)</f>
        <v>46083</v>
      </c>
      <c r="L123" s="71" t="str">
        <f>IFERROR(__xludf.DUMMYFUNCTION("""COMPUTED_VALUE"""),"Monday")</f>
        <v>Monday</v>
      </c>
      <c r="M123" s="71" t="str">
        <f>IFERROR(__xludf.DUMMYFUNCTION("""COMPUTED_VALUE"""),"BF")</f>
        <v>BF</v>
      </c>
      <c r="N123" s="109">
        <f>IFERROR(__xludf.DUMMYFUNCTION("""COMPUTED_VALUE"""),1.6037491356123734)</f>
        <v>1.603749136</v>
      </c>
      <c r="O123" s="71" t="str">
        <f>IFERROR(__xludf.DUMMYFUNCTION("""COMPUTED_VALUE"""),"")</f>
        <v/>
      </c>
      <c r="P123" s="71" t="str">
        <f>IFERROR(__xludf.DUMMYFUNCTION("""COMPUTED_VALUE"""),"")</f>
        <v/>
      </c>
      <c r="Q123" s="78" t="str">
        <f>IFERROR(__xludf.DUMMYFUNCTION("""COMPUTED_VALUE"""),"")</f>
        <v/>
      </c>
      <c r="R123" s="78" t="str">
        <f>IFERROR(__xludf.DUMMYFUNCTION("""COMPUTED_VALUE"""),"")</f>
        <v/>
      </c>
      <c r="S123" s="80" t="str">
        <f>IFERROR(__xludf.DUMMYFUNCTION("""COMPUTED_VALUE"""),"")</f>
        <v/>
      </c>
      <c r="T123" s="80" t="str">
        <f>IFERROR(__xludf.DUMMYFUNCTION("""COMPUTED_VALUE"""),"")</f>
        <v/>
      </c>
      <c r="U123" s="71" t="str">
        <f>IFERROR(__xludf.DUMMYFUNCTION("""COMPUTED_VALUE"""),"")</f>
        <v/>
      </c>
      <c r="V123" s="78" t="str">
        <f>IFERROR(__xludf.DUMMYFUNCTION("""COMPUTED_VALUE"""),"")</f>
        <v/>
      </c>
      <c r="W123" s="62" t="str">
        <f>IFERROR(__xludf.DUMMYFUNCTION("""COMPUTED_VALUE"""),"")</f>
        <v/>
      </c>
      <c r="X123" s="80" t="str">
        <f>IFERROR(__xludf.DUMMYFUNCTION("""COMPUTED_VALUE"""),"")</f>
        <v/>
      </c>
      <c r="Y123" s="109" t="str">
        <f>IFERROR(__xludf.DUMMYFUNCTION("""COMPUTED_VALUE"""),"")</f>
        <v/>
      </c>
      <c r="Z123" s="71"/>
      <c r="AA123" s="71"/>
      <c r="AB123" s="71"/>
    </row>
    <row r="124">
      <c r="A124" s="105">
        <f>IFERROR(__xludf.DUMMYFUNCTION("""COMPUTED_VALUE"""),46083.958136064815)</f>
        <v>46083.95814</v>
      </c>
      <c r="B124" s="71" t="str">
        <f>IFERROR(__xludf.DUMMYFUNCTION("""COMPUTED_VALUE"""),"Denise Romanszysn")</f>
        <v>Denise Romanszysn</v>
      </c>
      <c r="C124" s="71" t="b">
        <f>IFERROR(__xludf.DUMMYFUNCTION("""COMPUTED_VALUE"""),FALSE)</f>
        <v>0</v>
      </c>
      <c r="D124" s="132">
        <f>IFERROR(__xludf.DUMMYFUNCTION("""COMPUTED_VALUE"""),0.5451388888905058)</f>
        <v>0.5451388889</v>
      </c>
      <c r="E124" s="78">
        <f>IFERROR(__xludf.DUMMYFUNCTION("""COMPUTED_VALUE"""),0.07638888889050577)</f>
        <v>0.07638888889</v>
      </c>
      <c r="F124" s="132">
        <f>IFERROR(__xludf.DUMMYFUNCTION("""COMPUTED_VALUE"""),0.6215277777810115)</f>
        <v>0.6215277778</v>
      </c>
      <c r="G124" s="78">
        <f>IFERROR(__xludf.DUMMYFUNCTION("""COMPUTED_VALUE"""),0.07638888889050577)</f>
        <v>0.07638888889</v>
      </c>
      <c r="H124" s="71">
        <f>IFERROR(__xludf.DUMMYFUNCTION("""COMPUTED_VALUE"""),103.0)</f>
        <v>103</v>
      </c>
      <c r="I124" s="80">
        <f>IFERROR(__xludf.DUMMYFUNCTION("""COMPUTED_VALUE"""),56.181818180629016)</f>
        <v>56.18181818</v>
      </c>
      <c r="J124" s="71" t="str">
        <f>IFERROR(__xludf.DUMMYFUNCTION("""COMPUTED_VALUE"""),"Lunch")</f>
        <v>Lunch</v>
      </c>
      <c r="K124" s="106">
        <f>IFERROR(__xludf.DUMMYFUNCTION("""COMPUTED_VALUE"""),46083.0)</f>
        <v>46083</v>
      </c>
      <c r="L124" s="71" t="str">
        <f>IFERROR(__xludf.DUMMYFUNCTION("""COMPUTED_VALUE"""),"Monday")</f>
        <v>Monday</v>
      </c>
      <c r="M124" s="71" t="str">
        <f>IFERROR(__xludf.DUMMYFUNCTION("""COMPUTED_VALUE"""),"MF")</f>
        <v>MF</v>
      </c>
      <c r="N124" s="109">
        <f>IFERROR(__xludf.DUMMYFUNCTION("""COMPUTED_VALUE"""),1.1174347270972995)</f>
        <v>1.117434727</v>
      </c>
      <c r="O124" s="71">
        <f>IFERROR(__xludf.DUMMYFUNCTION("""COMPUTED_VALUE"""),338.0)</f>
        <v>338</v>
      </c>
      <c r="P124" s="71">
        <f>IFERROR(__xludf.DUMMYFUNCTION("""COMPUTED_VALUE"""),190.0)</f>
        <v>190</v>
      </c>
      <c r="Q124" s="78">
        <f>IFERROR(__xludf.DUMMYFUNCTION("""COMPUTED_VALUE"""),0.242361111115315)</f>
        <v>0.2423611111</v>
      </c>
      <c r="R124" s="78">
        <f>IFERROR(__xludf.DUMMYFUNCTION("""COMPUTED_VALUE"""),0.23333333333721384)</f>
        <v>0.2333333333</v>
      </c>
      <c r="S124" s="80">
        <f>IFERROR(__xludf.DUMMYFUNCTION("""COMPUTED_VALUE"""),57.696926925265764)</f>
        <v>57.69692693</v>
      </c>
      <c r="T124" s="80">
        <f>IFERROR(__xludf.DUMMYFUNCTION("""COMPUTED_VALUE"""),37.15151514995012)</f>
        <v>37.15151515</v>
      </c>
      <c r="U124" s="71">
        <f>IFERROR(__xludf.DUMMYFUNCTION("""COMPUTED_VALUE"""),528.0)</f>
        <v>528</v>
      </c>
      <c r="V124" s="78">
        <f>IFERROR(__xludf.DUMMYFUNCTION("""COMPUTED_VALUE"""),0.47569444445252884)</f>
        <v>0.4756944445</v>
      </c>
      <c r="W124" s="62">
        <f>IFERROR(__xludf.DUMMYFUNCTION("""COMPUTED_VALUE"""),46.248175181695764)</f>
        <v>46.24817518</v>
      </c>
      <c r="X124" s="80">
        <f>IFERROR(__xludf.DUMMYFUNCTION("""COMPUTED_VALUE"""),47.42422103760794)</f>
        <v>47.42422104</v>
      </c>
      <c r="Y124" s="109">
        <f>IFERROR(__xludf.DUMMYFUNCTION("""COMPUTED_VALUE"""),0.9132042214928676)</f>
        <v>0.9132042215</v>
      </c>
      <c r="Z124" s="71"/>
      <c r="AA124" s="71"/>
      <c r="AB124" s="71"/>
    </row>
    <row r="125">
      <c r="A125" s="105">
        <f>IFERROR(__xludf.DUMMYFUNCTION("""COMPUTED_VALUE"""),46084.52628614583)</f>
        <v>46084.52629</v>
      </c>
      <c r="B125" s="71" t="str">
        <f>IFERROR(__xludf.DUMMYFUNCTION("""COMPUTED_VALUE"""),"Kaylie Forgue")</f>
        <v>Kaylie Forgue</v>
      </c>
      <c r="C125" s="71" t="b">
        <f>IFERROR(__xludf.DUMMYFUNCTION("""COMPUTED_VALUE"""),FALSE)</f>
        <v>0</v>
      </c>
      <c r="D125" s="132">
        <f>IFERROR(__xludf.DUMMYFUNCTION("""COMPUTED_VALUE"""),0.44652777777810115)</f>
        <v>0.4465277778</v>
      </c>
      <c r="E125" s="78">
        <f>IFERROR(__xludf.DUMMYFUNCTION("""COMPUTED_VALUE"""),0.07291666666424135)</f>
        <v>0.07291666666</v>
      </c>
      <c r="F125" s="132">
        <f>IFERROR(__xludf.DUMMYFUNCTION("""COMPUTED_VALUE"""),0.5194444444423425)</f>
        <v>0.5194444444</v>
      </c>
      <c r="G125" s="78">
        <f>IFERROR(__xludf.DUMMYFUNCTION("""COMPUTED_VALUE"""),0.07291666666424135)</f>
        <v>0.07291666666</v>
      </c>
      <c r="H125" s="71">
        <f>IFERROR(__xludf.DUMMYFUNCTION("""COMPUTED_VALUE"""),60.0)</f>
        <v>60</v>
      </c>
      <c r="I125" s="80">
        <f>IFERROR(__xludf.DUMMYFUNCTION("""COMPUTED_VALUE"""),34.28571428685468)</f>
        <v>34.28571429</v>
      </c>
      <c r="J125" s="71" t="str">
        <f>IFERROR(__xludf.DUMMYFUNCTION("""COMPUTED_VALUE"""),"Breakfast/Lunch")</f>
        <v>Breakfast/Lunch</v>
      </c>
      <c r="K125" s="106">
        <f>IFERROR(__xludf.DUMMYFUNCTION("""COMPUTED_VALUE"""),46084.0)</f>
        <v>46084</v>
      </c>
      <c r="L125" s="71" t="str">
        <f>IFERROR(__xludf.DUMMYFUNCTION("""COMPUTED_VALUE"""),"Tuesday")</f>
        <v>Tuesday</v>
      </c>
      <c r="M125" s="71" t="str">
        <f>IFERROR(__xludf.DUMMYFUNCTION("""COMPUTED_VALUE"""),"BF")</f>
        <v>BF</v>
      </c>
      <c r="N125" s="109">
        <f>IFERROR(__xludf.DUMMYFUNCTION("""COMPUTED_VALUE"""),1.1055476484636906)</f>
        <v>1.105547648</v>
      </c>
      <c r="O125" s="71" t="str">
        <f>IFERROR(__xludf.DUMMYFUNCTION("""COMPUTED_VALUE"""),"")</f>
        <v/>
      </c>
      <c r="P125" s="71" t="str">
        <f>IFERROR(__xludf.DUMMYFUNCTION("""COMPUTED_VALUE"""),"")</f>
        <v/>
      </c>
      <c r="Q125" s="78" t="str">
        <f>IFERROR(__xludf.DUMMYFUNCTION("""COMPUTED_VALUE"""),"")</f>
        <v/>
      </c>
      <c r="R125" s="78" t="str">
        <f>IFERROR(__xludf.DUMMYFUNCTION("""COMPUTED_VALUE"""),"")</f>
        <v/>
      </c>
      <c r="S125" s="80" t="str">
        <f>IFERROR(__xludf.DUMMYFUNCTION("""COMPUTED_VALUE"""),"")</f>
        <v/>
      </c>
      <c r="T125" s="80" t="str">
        <f>IFERROR(__xludf.DUMMYFUNCTION("""COMPUTED_VALUE"""),"")</f>
        <v/>
      </c>
      <c r="U125" s="71" t="str">
        <f>IFERROR(__xludf.DUMMYFUNCTION("""COMPUTED_VALUE"""),"")</f>
        <v/>
      </c>
      <c r="V125" s="78" t="str">
        <f>IFERROR(__xludf.DUMMYFUNCTION("""COMPUTED_VALUE"""),"")</f>
        <v/>
      </c>
      <c r="W125" s="62" t="str">
        <f>IFERROR(__xludf.DUMMYFUNCTION("""COMPUTED_VALUE"""),"")</f>
        <v/>
      </c>
      <c r="X125" s="80" t="str">
        <f>IFERROR(__xludf.DUMMYFUNCTION("""COMPUTED_VALUE"""),"")</f>
        <v/>
      </c>
      <c r="Y125" s="109" t="str">
        <f>IFERROR(__xludf.DUMMYFUNCTION("""COMPUTED_VALUE"""),"")</f>
        <v/>
      </c>
      <c r="Z125" s="71"/>
      <c r="AA125" s="71"/>
      <c r="AB125" s="71"/>
    </row>
    <row r="126">
      <c r="A126" s="105">
        <f>IFERROR(__xludf.DUMMYFUNCTION("""COMPUTED_VALUE"""),46084.54326319444)</f>
        <v>46084.54326</v>
      </c>
      <c r="B126" s="71" t="str">
        <f>IFERROR(__xludf.DUMMYFUNCTION("""COMPUTED_VALUE"""),"Kyra Turner")</f>
        <v>Kyra Turner</v>
      </c>
      <c r="C126" s="71" t="b">
        <f>IFERROR(__xludf.DUMMYFUNCTION("""COMPUTED_VALUE"""),FALSE)</f>
        <v>0</v>
      </c>
      <c r="D126" s="132">
        <f>IFERROR(__xludf.DUMMYFUNCTION("""COMPUTED_VALUE"""),0.4812499999970896)</f>
        <v>0.48125</v>
      </c>
      <c r="E126" s="78">
        <f>IFERROR(__xludf.DUMMYFUNCTION("""COMPUTED_VALUE"""),0.05972222222771961)</f>
        <v>0.05972222223</v>
      </c>
      <c r="F126" s="132">
        <f>IFERROR(__xludf.DUMMYFUNCTION("""COMPUTED_VALUE"""),0.5409722222248092)</f>
        <v>0.5409722222</v>
      </c>
      <c r="G126" s="78">
        <f>IFERROR(__xludf.DUMMYFUNCTION("""COMPUTED_VALUE"""),0.13263888889196096)</f>
        <v>0.1326388889</v>
      </c>
      <c r="H126" s="71">
        <f>IFERROR(__xludf.DUMMYFUNCTION("""COMPUTED_VALUE"""),109.0)</f>
        <v>109</v>
      </c>
      <c r="I126" s="80">
        <f>IFERROR(__xludf.DUMMYFUNCTION("""COMPUTED_VALUE"""),77.5916230348521)</f>
        <v>77.59162303</v>
      </c>
      <c r="J126" s="71" t="str">
        <f>IFERROR(__xludf.DUMMYFUNCTION("""COMPUTED_VALUE"""),"Lunch")</f>
        <v>Lunch</v>
      </c>
      <c r="K126" s="106">
        <f>IFERROR(__xludf.DUMMYFUNCTION("""COMPUTED_VALUE"""),46084.0)</f>
        <v>46084</v>
      </c>
      <c r="L126" s="71" t="str">
        <f>IFERROR(__xludf.DUMMYFUNCTION("""COMPUTED_VALUE"""),"Tuesday")</f>
        <v>Tuesday</v>
      </c>
      <c r="M126" s="71" t="str">
        <f>IFERROR(__xludf.DUMMYFUNCTION("""COMPUTED_VALUE"""),"MF")</f>
        <v>MF</v>
      </c>
      <c r="N126" s="109">
        <f>IFERROR(__xludf.DUMMYFUNCTION("""COMPUTED_VALUE"""),1.5432675003900302)</f>
        <v>1.5432675</v>
      </c>
      <c r="O126" s="71" t="str">
        <f>IFERROR(__xludf.DUMMYFUNCTION("""COMPUTED_VALUE"""),"")</f>
        <v/>
      </c>
      <c r="P126" s="71" t="str">
        <f>IFERROR(__xludf.DUMMYFUNCTION("""COMPUTED_VALUE"""),"")</f>
        <v/>
      </c>
      <c r="Q126" s="78" t="str">
        <f>IFERROR(__xludf.DUMMYFUNCTION("""COMPUTED_VALUE"""),"")</f>
        <v/>
      </c>
      <c r="R126" s="78" t="str">
        <f>IFERROR(__xludf.DUMMYFUNCTION("""COMPUTED_VALUE"""),"")</f>
        <v/>
      </c>
      <c r="S126" s="80" t="str">
        <f>IFERROR(__xludf.DUMMYFUNCTION("""COMPUTED_VALUE"""),"")</f>
        <v/>
      </c>
      <c r="T126" s="80" t="str">
        <f>IFERROR(__xludf.DUMMYFUNCTION("""COMPUTED_VALUE"""),"")</f>
        <v/>
      </c>
      <c r="U126" s="71" t="str">
        <f>IFERROR(__xludf.DUMMYFUNCTION("""COMPUTED_VALUE"""),"")</f>
        <v/>
      </c>
      <c r="V126" s="78" t="str">
        <f>IFERROR(__xludf.DUMMYFUNCTION("""COMPUTED_VALUE"""),"")</f>
        <v/>
      </c>
      <c r="W126" s="62" t="str">
        <f>IFERROR(__xludf.DUMMYFUNCTION("""COMPUTED_VALUE"""),"")</f>
        <v/>
      </c>
      <c r="X126" s="80" t="str">
        <f>IFERROR(__xludf.DUMMYFUNCTION("""COMPUTED_VALUE"""),"")</f>
        <v/>
      </c>
      <c r="Y126" s="109" t="str">
        <f>IFERROR(__xludf.DUMMYFUNCTION("""COMPUTED_VALUE"""),"")</f>
        <v/>
      </c>
      <c r="Z126" s="71"/>
      <c r="AA126" s="71"/>
      <c r="AB126" s="71"/>
    </row>
    <row r="127">
      <c r="A127" s="105">
        <f>IFERROR(__xludf.DUMMYFUNCTION("""COMPUTED_VALUE"""),46084.620962835645)</f>
        <v>46084.62096</v>
      </c>
      <c r="B127" s="71" t="str">
        <f>IFERROR(__xludf.DUMMYFUNCTION("""COMPUTED_VALUE"""),"Kyra Turner")</f>
        <v>Kyra Turner</v>
      </c>
      <c r="C127" s="71" t="b">
        <f>IFERROR(__xludf.DUMMYFUNCTION("""COMPUTED_VALUE"""),TRUE)</f>
        <v>1</v>
      </c>
      <c r="D127" s="132">
        <f>IFERROR(__xludf.DUMMYFUNCTION("""COMPUTED_VALUE"""),0.546527777776646)</f>
        <v>0.5465277778</v>
      </c>
      <c r="E127" s="78">
        <f>IFERROR(__xludf.DUMMYFUNCTION("""COMPUTED_VALUE"""),0.07291666666424135)</f>
        <v>0.07291666666</v>
      </c>
      <c r="F127" s="132">
        <f>IFERROR(__xludf.DUMMYFUNCTION("""COMPUTED_VALUE"""),0.6194444444408873)</f>
        <v>0.6194444444</v>
      </c>
      <c r="G127" s="78" t="str">
        <f>IFERROR(__xludf.DUMMYFUNCTION("""COMPUTED_VALUE"""),"")</f>
        <v/>
      </c>
      <c r="H127" s="71">
        <f>IFERROR(__xludf.DUMMYFUNCTION("""COMPUTED_VALUE"""),138.0)</f>
        <v>138</v>
      </c>
      <c r="I127" s="80" t="str">
        <f>IFERROR(__xludf.DUMMYFUNCTION("""COMPUTED_VALUE"""),"")</f>
        <v/>
      </c>
      <c r="J127" s="71" t="str">
        <f>IFERROR(__xludf.DUMMYFUNCTION("""COMPUTED_VALUE"""),"Lunch")</f>
        <v>Lunch</v>
      </c>
      <c r="K127" s="106">
        <f>IFERROR(__xludf.DUMMYFUNCTION("""COMPUTED_VALUE"""),46084.0)</f>
        <v>46084</v>
      </c>
      <c r="L127" s="71" t="str">
        <f>IFERROR(__xludf.DUMMYFUNCTION("""COMPUTED_VALUE"""),"Tuesday")</f>
        <v>Tuesday</v>
      </c>
      <c r="M127" s="71" t="str">
        <f>IFERROR(__xludf.DUMMYFUNCTION("""COMPUTED_VALUE"""),"MF")</f>
        <v>MF</v>
      </c>
      <c r="N127" s="109" t="str">
        <f>IFERROR(__xludf.DUMMYFUNCTION("""COMPUTED_VALUE"""),"")</f>
        <v/>
      </c>
      <c r="O127" s="71" t="str">
        <f>IFERROR(__xludf.DUMMYFUNCTION("""COMPUTED_VALUE"""),"")</f>
        <v/>
      </c>
      <c r="P127" s="71" t="str">
        <f>IFERROR(__xludf.DUMMYFUNCTION("""COMPUTED_VALUE"""),"")</f>
        <v/>
      </c>
      <c r="Q127" s="78" t="str">
        <f>IFERROR(__xludf.DUMMYFUNCTION("""COMPUTED_VALUE"""),"")</f>
        <v/>
      </c>
      <c r="R127" s="78" t="str">
        <f>IFERROR(__xludf.DUMMYFUNCTION("""COMPUTED_VALUE"""),"")</f>
        <v/>
      </c>
      <c r="S127" s="80" t="str">
        <f>IFERROR(__xludf.DUMMYFUNCTION("""COMPUTED_VALUE"""),"")</f>
        <v/>
      </c>
      <c r="T127" s="80" t="str">
        <f>IFERROR(__xludf.DUMMYFUNCTION("""COMPUTED_VALUE"""),"")</f>
        <v/>
      </c>
      <c r="U127" s="71" t="str">
        <f>IFERROR(__xludf.DUMMYFUNCTION("""COMPUTED_VALUE"""),"")</f>
        <v/>
      </c>
      <c r="V127" s="78" t="str">
        <f>IFERROR(__xludf.DUMMYFUNCTION("""COMPUTED_VALUE"""),"")</f>
        <v/>
      </c>
      <c r="W127" s="62" t="str">
        <f>IFERROR(__xludf.DUMMYFUNCTION("""COMPUTED_VALUE"""),"")</f>
        <v/>
      </c>
      <c r="X127" s="80" t="str">
        <f>IFERROR(__xludf.DUMMYFUNCTION("""COMPUTED_VALUE"""),"")</f>
        <v/>
      </c>
      <c r="Y127" s="109" t="str">
        <f>IFERROR(__xludf.DUMMYFUNCTION("""COMPUTED_VALUE"""),"")</f>
        <v/>
      </c>
      <c r="Z127" s="71"/>
      <c r="AA127" s="71"/>
      <c r="AB127" s="71"/>
    </row>
    <row r="128">
      <c r="A128" s="105">
        <f>IFERROR(__xludf.DUMMYFUNCTION("""COMPUTED_VALUE"""),46084.93031916667)</f>
        <v>46084.93032</v>
      </c>
      <c r="B128" s="71" t="str">
        <f>IFERROR(__xludf.DUMMYFUNCTION("""COMPUTED_VALUE"""),"Laila Maisuria")</f>
        <v>Laila Maisuria</v>
      </c>
      <c r="C128" s="71" t="b">
        <f>IFERROR(__xludf.DUMMYFUNCTION("""COMPUTED_VALUE"""),FALSE)</f>
        <v>0</v>
      </c>
      <c r="D128" s="132">
        <f>IFERROR(__xludf.DUMMYFUNCTION("""COMPUTED_VALUE"""),0.7527777777795563)</f>
        <v>0.7527777778</v>
      </c>
      <c r="E128" s="78">
        <f>IFERROR(__xludf.DUMMYFUNCTION("""COMPUTED_VALUE"""),0.11944444444088731)</f>
        <v>0.1194444444</v>
      </c>
      <c r="F128" s="132">
        <f>IFERROR(__xludf.DUMMYFUNCTION("""COMPUTED_VALUE"""),0.8722222222204437)</f>
        <v>0.8722222222</v>
      </c>
      <c r="G128" s="78">
        <f>IFERROR(__xludf.DUMMYFUNCTION("""COMPUTED_VALUE"""),0.11944444444088731)</f>
        <v>0.1194444444</v>
      </c>
      <c r="H128" s="71">
        <f>IFERROR(__xludf.DUMMYFUNCTION("""COMPUTED_VALUE"""),124.0)</f>
        <v>124</v>
      </c>
      <c r="I128" s="80">
        <f>IFERROR(__xludf.DUMMYFUNCTION("""COMPUTED_VALUE"""),43.255813954776556)</f>
        <v>43.25581395</v>
      </c>
      <c r="J128" s="71" t="str">
        <f>IFERROR(__xludf.DUMMYFUNCTION("""COMPUTED_VALUE"""),"Dinner")</f>
        <v>Dinner</v>
      </c>
      <c r="K128" s="106">
        <f>IFERROR(__xludf.DUMMYFUNCTION("""COMPUTED_VALUE"""),46084.0)</f>
        <v>46084</v>
      </c>
      <c r="L128" s="71" t="str">
        <f>IFERROR(__xludf.DUMMYFUNCTION("""COMPUTED_VALUE"""),"Tuesday")</f>
        <v>Tuesday</v>
      </c>
      <c r="M128" s="71" t="str">
        <f>IFERROR(__xludf.DUMMYFUNCTION("""COMPUTED_VALUE"""),"MF")</f>
        <v>MF</v>
      </c>
      <c r="N128" s="109">
        <f>IFERROR(__xludf.DUMMYFUNCTION("""COMPUTED_VALUE"""),0.9326458062277887)</f>
        <v>0.9326458062</v>
      </c>
      <c r="O128" s="71">
        <f>IFERROR(__xludf.DUMMYFUNCTION("""COMPUTED_VALUE"""),371.0)</f>
        <v>371</v>
      </c>
      <c r="P128" s="71">
        <f>IFERROR(__xludf.DUMMYFUNCTION("""COMPUTED_VALUE"""),60.0)</f>
        <v>60</v>
      </c>
      <c r="Q128" s="78">
        <f>IFERROR(__xludf.DUMMYFUNCTION("""COMPUTED_VALUE"""),0.25208333333284827)</f>
        <v>0.2520833333</v>
      </c>
      <c r="R128" s="78">
        <f>IFERROR(__xludf.DUMMYFUNCTION("""COMPUTED_VALUE"""),0.07291666666424135)</f>
        <v>0.07291666666</v>
      </c>
      <c r="S128" s="80">
        <f>IFERROR(__xludf.DUMMYFUNCTION("""COMPUTED_VALUE"""),60.42371849481433)</f>
        <v>60.42371849</v>
      </c>
      <c r="T128" s="80">
        <f>IFERROR(__xludf.DUMMYFUNCTION("""COMPUTED_VALUE"""),34.28571428685468)</f>
        <v>34.28571429</v>
      </c>
      <c r="U128" s="71">
        <f>IFERROR(__xludf.DUMMYFUNCTION("""COMPUTED_VALUE"""),431.0)</f>
        <v>431</v>
      </c>
      <c r="V128" s="78">
        <f>IFERROR(__xludf.DUMMYFUNCTION("""COMPUTED_VALUE"""),0.3249999999970896)</f>
        <v>0.325</v>
      </c>
      <c r="W128" s="62">
        <f>IFERROR(__xludf.DUMMYFUNCTION("""COMPUTED_VALUE"""),55.25641025690508)</f>
        <v>55.25641026</v>
      </c>
      <c r="X128" s="80">
        <f>IFERROR(__xludf.DUMMYFUNCTION("""COMPUTED_VALUE"""),51.71105042549445)</f>
        <v>51.71105043</v>
      </c>
      <c r="Y128" s="109">
        <f>IFERROR(__xludf.DUMMYFUNCTION("""COMPUTED_VALUE"""),0.716825953527529)</f>
        <v>0.7168259535</v>
      </c>
      <c r="Z128" s="71"/>
      <c r="AA128" s="71"/>
      <c r="AB128" s="71"/>
    </row>
    <row r="129">
      <c r="A129" s="105">
        <f>IFERROR(__xludf.DUMMYFUNCTION("""COMPUTED_VALUE"""),46085.41310872685)</f>
        <v>46085.41311</v>
      </c>
      <c r="B129" s="71" t="str">
        <f>IFERROR(__xludf.DUMMYFUNCTION("""COMPUTED_VALUE"""),"Kaylie Forgue")</f>
        <v>Kaylie Forgue</v>
      </c>
      <c r="C129" s="71" t="b">
        <f>IFERROR(__xludf.DUMMYFUNCTION("""COMPUTED_VALUE"""),FALSE)</f>
        <v>0</v>
      </c>
      <c r="D129" s="132">
        <f>IFERROR(__xludf.DUMMYFUNCTION("""COMPUTED_VALUE"""),0.3118055555532919)</f>
        <v>0.3118055556</v>
      </c>
      <c r="E129" s="78">
        <f>IFERROR(__xludf.DUMMYFUNCTION("""COMPUTED_VALUE"""),0.09791666666569654)</f>
        <v>0.09791666667</v>
      </c>
      <c r="F129" s="132">
        <f>IFERROR(__xludf.DUMMYFUNCTION("""COMPUTED_VALUE"""),0.40972222221898846)</f>
        <v>0.4097222222</v>
      </c>
      <c r="G129" s="78">
        <f>IFERROR(__xludf.DUMMYFUNCTION("""COMPUTED_VALUE"""),0.09791666666569654)</f>
        <v>0.09791666667</v>
      </c>
      <c r="H129" s="71">
        <f>IFERROR(__xludf.DUMMYFUNCTION("""COMPUTED_VALUE"""),71.0)</f>
        <v>71</v>
      </c>
      <c r="I129" s="80">
        <f>IFERROR(__xludf.DUMMYFUNCTION("""COMPUTED_VALUE"""),30.212765957746146)</f>
        <v>30.21276596</v>
      </c>
      <c r="J129" s="71" t="str">
        <f>IFERROR(__xludf.DUMMYFUNCTION("""COMPUTED_VALUE"""),"Breakfast")</f>
        <v>Breakfast</v>
      </c>
      <c r="K129" s="106">
        <f>IFERROR(__xludf.DUMMYFUNCTION("""COMPUTED_VALUE"""),46085.0)</f>
        <v>46085</v>
      </c>
      <c r="L129" s="71" t="str">
        <f>IFERROR(__xludf.DUMMYFUNCTION("""COMPUTED_VALUE"""),"Wednesday")</f>
        <v>Wednesday</v>
      </c>
      <c r="M129" s="71" t="str">
        <f>IFERROR(__xludf.DUMMYFUNCTION("""COMPUTED_VALUE"""),"BF")</f>
        <v>BF</v>
      </c>
      <c r="N129" s="109">
        <f>IFERROR(__xludf.DUMMYFUNCTION("""COMPUTED_VALUE"""),1.0656816210694844)</f>
        <v>1.065681621</v>
      </c>
      <c r="O129" s="71" t="str">
        <f>IFERROR(__xludf.DUMMYFUNCTION("""COMPUTED_VALUE"""),"")</f>
        <v/>
      </c>
      <c r="P129" s="71" t="str">
        <f>IFERROR(__xludf.DUMMYFUNCTION("""COMPUTED_VALUE"""),"")</f>
        <v/>
      </c>
      <c r="Q129" s="78" t="str">
        <f>IFERROR(__xludf.DUMMYFUNCTION("""COMPUTED_VALUE"""),"")</f>
        <v/>
      </c>
      <c r="R129" s="78" t="str">
        <f>IFERROR(__xludf.DUMMYFUNCTION("""COMPUTED_VALUE"""),"")</f>
        <v/>
      </c>
      <c r="S129" s="80" t="str">
        <f>IFERROR(__xludf.DUMMYFUNCTION("""COMPUTED_VALUE"""),"")</f>
        <v/>
      </c>
      <c r="T129" s="80" t="str">
        <f>IFERROR(__xludf.DUMMYFUNCTION("""COMPUTED_VALUE"""),"")</f>
        <v/>
      </c>
      <c r="U129" s="71" t="str">
        <f>IFERROR(__xludf.DUMMYFUNCTION("""COMPUTED_VALUE"""),"")</f>
        <v/>
      </c>
      <c r="V129" s="78" t="str">
        <f>IFERROR(__xludf.DUMMYFUNCTION("""COMPUTED_VALUE"""),"")</f>
        <v/>
      </c>
      <c r="W129" s="62" t="str">
        <f>IFERROR(__xludf.DUMMYFUNCTION("""COMPUTED_VALUE"""),"")</f>
        <v/>
      </c>
      <c r="X129" s="80" t="str">
        <f>IFERROR(__xludf.DUMMYFUNCTION("""COMPUTED_VALUE"""),"")</f>
        <v/>
      </c>
      <c r="Y129" s="109" t="str">
        <f>IFERROR(__xludf.DUMMYFUNCTION("""COMPUTED_VALUE"""),"")</f>
        <v/>
      </c>
      <c r="Z129" s="71"/>
      <c r="AA129" s="71"/>
      <c r="AB129" s="71"/>
    </row>
    <row r="130">
      <c r="A130" s="105">
        <f>IFERROR(__xludf.DUMMYFUNCTION("""COMPUTED_VALUE"""),46085.473465393516)</f>
        <v>46085.47347</v>
      </c>
      <c r="B130" s="71" t="str">
        <f>IFERROR(__xludf.DUMMYFUNCTION("""COMPUTED_VALUE"""),"Oluwatimilehin Shodipe")</f>
        <v>Oluwatimilehin Shodipe</v>
      </c>
      <c r="C130" s="71" t="b">
        <f>IFERROR(__xludf.DUMMYFUNCTION("""COMPUTED_VALUE"""),FALSE)</f>
        <v>0</v>
      </c>
      <c r="D130" s="132">
        <f>IFERROR(__xludf.DUMMYFUNCTION("""COMPUTED_VALUE"""),0.42708333333575865)</f>
        <v>0.4270833333</v>
      </c>
      <c r="E130" s="78">
        <f>IFERROR(__xludf.DUMMYFUNCTION("""COMPUTED_VALUE"""),0.052083333328482695)</f>
        <v>0.05208333333</v>
      </c>
      <c r="F130" s="132">
        <f>IFERROR(__xludf.DUMMYFUNCTION("""COMPUTED_VALUE"""),0.47916666666424135)</f>
        <v>0.4791666667</v>
      </c>
      <c r="G130" s="78">
        <f>IFERROR(__xludf.DUMMYFUNCTION("""COMPUTED_VALUE"""),0.052083333328482695)</f>
        <v>0.05208333333</v>
      </c>
      <c r="H130" s="71">
        <f>IFERROR(__xludf.DUMMYFUNCTION("""COMPUTED_VALUE"""),46.0)</f>
        <v>46</v>
      </c>
      <c r="I130" s="80">
        <f>IFERROR(__xludf.DUMMYFUNCTION("""COMPUTED_VALUE"""),36.800000003427265)</f>
        <v>36.8</v>
      </c>
      <c r="J130" s="71" t="str">
        <f>IFERROR(__xludf.DUMMYFUNCTION("""COMPUTED_VALUE"""),"Breakfast/Lunch")</f>
        <v>Breakfast/Lunch</v>
      </c>
      <c r="K130" s="106">
        <f>IFERROR(__xludf.DUMMYFUNCTION("""COMPUTED_VALUE"""),46085.0)</f>
        <v>46085</v>
      </c>
      <c r="L130" s="71" t="str">
        <f>IFERROR(__xludf.DUMMYFUNCTION("""COMPUTED_VALUE"""),"Wednesday")</f>
        <v>Wednesday</v>
      </c>
      <c r="M130" s="71" t="str">
        <f>IFERROR(__xludf.DUMMYFUNCTION("""COMPUTED_VALUE"""),"BF")</f>
        <v>BF</v>
      </c>
      <c r="N130" s="109">
        <f>IFERROR(__xludf.DUMMYFUNCTION("""COMPUTED_VALUE"""),0.9629756965799802)</f>
        <v>0.9629756966</v>
      </c>
      <c r="O130" s="71" t="str">
        <f>IFERROR(__xludf.DUMMYFUNCTION("""COMPUTED_VALUE"""),"")</f>
        <v/>
      </c>
      <c r="P130" s="71" t="str">
        <f>IFERROR(__xludf.DUMMYFUNCTION("""COMPUTED_VALUE"""),"")</f>
        <v/>
      </c>
      <c r="Q130" s="78" t="str">
        <f>IFERROR(__xludf.DUMMYFUNCTION("""COMPUTED_VALUE"""),"")</f>
        <v/>
      </c>
      <c r="R130" s="78" t="str">
        <f>IFERROR(__xludf.DUMMYFUNCTION("""COMPUTED_VALUE"""),"")</f>
        <v/>
      </c>
      <c r="S130" s="80" t="str">
        <f>IFERROR(__xludf.DUMMYFUNCTION("""COMPUTED_VALUE"""),"")</f>
        <v/>
      </c>
      <c r="T130" s="80" t="str">
        <f>IFERROR(__xludf.DUMMYFUNCTION("""COMPUTED_VALUE"""),"")</f>
        <v/>
      </c>
      <c r="U130" s="71" t="str">
        <f>IFERROR(__xludf.DUMMYFUNCTION("""COMPUTED_VALUE"""),"")</f>
        <v/>
      </c>
      <c r="V130" s="78" t="str">
        <f>IFERROR(__xludf.DUMMYFUNCTION("""COMPUTED_VALUE"""),"")</f>
        <v/>
      </c>
      <c r="W130" s="62" t="str">
        <f>IFERROR(__xludf.DUMMYFUNCTION("""COMPUTED_VALUE"""),"")</f>
        <v/>
      </c>
      <c r="X130" s="80" t="str">
        <f>IFERROR(__xludf.DUMMYFUNCTION("""COMPUTED_VALUE"""),"")</f>
        <v/>
      </c>
      <c r="Y130" s="109" t="str">
        <f>IFERROR(__xludf.DUMMYFUNCTION("""COMPUTED_VALUE"""),"")</f>
        <v/>
      </c>
      <c r="Z130" s="71"/>
      <c r="AA130" s="71"/>
      <c r="AB130" s="71"/>
    </row>
    <row r="131">
      <c r="A131" s="105">
        <f>IFERROR(__xludf.DUMMYFUNCTION("""COMPUTED_VALUE"""),46085.51341814815)</f>
        <v>46085.51342</v>
      </c>
      <c r="B131" s="71" t="str">
        <f>IFERROR(__xludf.DUMMYFUNCTION("""COMPUTED_VALUE"""),"Oluwatimilehin Shodipe")</f>
        <v>Oluwatimilehin Shodipe</v>
      </c>
      <c r="C131" s="71" t="b">
        <f>IFERROR(__xludf.DUMMYFUNCTION("""COMPUTED_VALUE"""),FALSE)</f>
        <v>0</v>
      </c>
      <c r="D131" s="132">
        <f>IFERROR(__xludf.DUMMYFUNCTION("""COMPUTED_VALUE"""),0.48611111110949423)</f>
        <v>0.4861111111</v>
      </c>
      <c r="E131" s="78">
        <f>IFERROR(__xludf.DUMMYFUNCTION("""COMPUTED_VALUE"""),0.024305555554747116)</f>
        <v>0.02430555555</v>
      </c>
      <c r="F131" s="132">
        <f>IFERROR(__xludf.DUMMYFUNCTION("""COMPUTED_VALUE"""),0.5104166666642413)</f>
        <v>0.5104166667</v>
      </c>
      <c r="G131" s="78">
        <f>IFERROR(__xludf.DUMMYFUNCTION("""COMPUTED_VALUE"""),0.024305555554747116)</f>
        <v>0.02430555555</v>
      </c>
      <c r="H131" s="71">
        <f>IFERROR(__xludf.DUMMYFUNCTION("""COMPUTED_VALUE"""),29.0)</f>
        <v>29</v>
      </c>
      <c r="I131" s="80">
        <f>IFERROR(__xludf.DUMMYFUNCTION("""COMPUTED_VALUE"""),49.71428571593929)</f>
        <v>49.71428572</v>
      </c>
      <c r="J131" s="71" t="str">
        <f>IFERROR(__xludf.DUMMYFUNCTION("""COMPUTED_VALUE"""),"Lunch")</f>
        <v>Lunch</v>
      </c>
      <c r="K131" s="106">
        <f>IFERROR(__xludf.DUMMYFUNCTION("""COMPUTED_VALUE"""),46085.0)</f>
        <v>46085</v>
      </c>
      <c r="L131" s="71" t="str">
        <f>IFERROR(__xludf.DUMMYFUNCTION("""COMPUTED_VALUE"""),"Wednesday")</f>
        <v>Wednesday</v>
      </c>
      <c r="M131" s="71" t="str">
        <f>IFERROR(__xludf.DUMMYFUNCTION("""COMPUTED_VALUE"""),"MF")</f>
        <v>MF</v>
      </c>
      <c r="N131" s="109">
        <f>IFERROR(__xludf.DUMMYFUNCTION("""COMPUTED_VALUE"""),0.9887979971246602)</f>
        <v>0.9887979971</v>
      </c>
      <c r="O131" s="71" t="str">
        <f>IFERROR(__xludf.DUMMYFUNCTION("""COMPUTED_VALUE"""),"")</f>
        <v/>
      </c>
      <c r="P131" s="71" t="str">
        <f>IFERROR(__xludf.DUMMYFUNCTION("""COMPUTED_VALUE"""),"")</f>
        <v/>
      </c>
      <c r="Q131" s="78" t="str">
        <f>IFERROR(__xludf.DUMMYFUNCTION("""COMPUTED_VALUE"""),"")</f>
        <v/>
      </c>
      <c r="R131" s="78" t="str">
        <f>IFERROR(__xludf.DUMMYFUNCTION("""COMPUTED_VALUE"""),"")</f>
        <v/>
      </c>
      <c r="S131" s="80" t="str">
        <f>IFERROR(__xludf.DUMMYFUNCTION("""COMPUTED_VALUE"""),"")</f>
        <v/>
      </c>
      <c r="T131" s="80" t="str">
        <f>IFERROR(__xludf.DUMMYFUNCTION("""COMPUTED_VALUE"""),"")</f>
        <v/>
      </c>
      <c r="U131" s="71" t="str">
        <f>IFERROR(__xludf.DUMMYFUNCTION("""COMPUTED_VALUE"""),"")</f>
        <v/>
      </c>
      <c r="V131" s="78" t="str">
        <f>IFERROR(__xludf.DUMMYFUNCTION("""COMPUTED_VALUE"""),"")</f>
        <v/>
      </c>
      <c r="W131" s="62" t="str">
        <f>IFERROR(__xludf.DUMMYFUNCTION("""COMPUTED_VALUE"""),"")</f>
        <v/>
      </c>
      <c r="X131" s="80" t="str">
        <f>IFERROR(__xludf.DUMMYFUNCTION("""COMPUTED_VALUE"""),"")</f>
        <v/>
      </c>
      <c r="Y131" s="109" t="str">
        <f>IFERROR(__xludf.DUMMYFUNCTION("""COMPUTED_VALUE"""),"")</f>
        <v/>
      </c>
      <c r="Z131" s="71"/>
      <c r="AA131" s="71"/>
      <c r="AB131" s="71"/>
    </row>
    <row r="132">
      <c r="A132" s="105">
        <f>IFERROR(__xludf.DUMMYFUNCTION("""COMPUTED_VALUE"""),46085.621953553244)</f>
        <v>46085.62195</v>
      </c>
      <c r="B132" s="71" t="str">
        <f>IFERROR(__xludf.DUMMYFUNCTION("""COMPUTED_VALUE"""),"Evan Morgan")</f>
        <v>Evan Morgan</v>
      </c>
      <c r="C132" s="71" t="b">
        <f>IFERROR(__xludf.DUMMYFUNCTION("""COMPUTED_VALUE"""),FALSE)</f>
        <v>0</v>
      </c>
      <c r="D132" s="132">
        <f>IFERROR(__xludf.DUMMYFUNCTION("""COMPUTED_VALUE"""),0.5416666666642413)</f>
        <v>0.5416666667</v>
      </c>
      <c r="E132" s="78">
        <f>IFERROR(__xludf.DUMMYFUNCTION("""COMPUTED_VALUE"""),0.07847222222335404)</f>
        <v>0.07847222222</v>
      </c>
      <c r="F132" s="132">
        <f>IFERROR(__xludf.DUMMYFUNCTION("""COMPUTED_VALUE"""),0.6201388888875954)</f>
        <v>0.6201388889</v>
      </c>
      <c r="G132" s="78">
        <f>IFERROR(__xludf.DUMMYFUNCTION("""COMPUTED_VALUE"""),0.07847222222335404)</f>
        <v>0.07847222222</v>
      </c>
      <c r="H132" s="71">
        <f>IFERROR(__xludf.DUMMYFUNCTION("""COMPUTED_VALUE"""),134.0)</f>
        <v>134</v>
      </c>
      <c r="I132" s="80">
        <f>IFERROR(__xludf.DUMMYFUNCTION("""COMPUTED_VALUE"""),71.15044247684989)</f>
        <v>71.15044248</v>
      </c>
      <c r="J132" s="71" t="str">
        <f>IFERROR(__xludf.DUMMYFUNCTION("""COMPUTED_VALUE"""),"Lunch")</f>
        <v>Lunch</v>
      </c>
      <c r="K132" s="106">
        <f>IFERROR(__xludf.DUMMYFUNCTION("""COMPUTED_VALUE"""),46085.0)</f>
        <v>46085</v>
      </c>
      <c r="L132" s="71" t="str">
        <f>IFERROR(__xludf.DUMMYFUNCTION("""COMPUTED_VALUE"""),"Wednesday")</f>
        <v>Wednesday</v>
      </c>
      <c r="M132" s="71" t="str">
        <f>IFERROR(__xludf.DUMMYFUNCTION("""COMPUTED_VALUE"""),"MF")</f>
        <v>MF</v>
      </c>
      <c r="N132" s="109">
        <f>IFERROR(__xludf.DUMMYFUNCTION("""COMPUTED_VALUE"""),1.4151548996928656)</f>
        <v>1.4151549</v>
      </c>
      <c r="O132" s="71" t="str">
        <f>IFERROR(__xludf.DUMMYFUNCTION("""COMPUTED_VALUE"""),"")</f>
        <v/>
      </c>
      <c r="P132" s="71" t="str">
        <f>IFERROR(__xludf.DUMMYFUNCTION("""COMPUTED_VALUE"""),"")</f>
        <v/>
      </c>
      <c r="Q132" s="78" t="str">
        <f>IFERROR(__xludf.DUMMYFUNCTION("""COMPUTED_VALUE"""),"")</f>
        <v/>
      </c>
      <c r="R132" s="78" t="str">
        <f>IFERROR(__xludf.DUMMYFUNCTION("""COMPUTED_VALUE"""),"")</f>
        <v/>
      </c>
      <c r="S132" s="80" t="str">
        <f>IFERROR(__xludf.DUMMYFUNCTION("""COMPUTED_VALUE"""),"")</f>
        <v/>
      </c>
      <c r="T132" s="80" t="str">
        <f>IFERROR(__xludf.DUMMYFUNCTION("""COMPUTED_VALUE"""),"")</f>
        <v/>
      </c>
      <c r="U132" s="71" t="str">
        <f>IFERROR(__xludf.DUMMYFUNCTION("""COMPUTED_VALUE"""),"")</f>
        <v/>
      </c>
      <c r="V132" s="78" t="str">
        <f>IFERROR(__xludf.DUMMYFUNCTION("""COMPUTED_VALUE"""),"")</f>
        <v/>
      </c>
      <c r="W132" s="62" t="str">
        <f>IFERROR(__xludf.DUMMYFUNCTION("""COMPUTED_VALUE"""),"")</f>
        <v/>
      </c>
      <c r="X132" s="80" t="str">
        <f>IFERROR(__xludf.DUMMYFUNCTION("""COMPUTED_VALUE"""),"")</f>
        <v/>
      </c>
      <c r="Y132" s="109" t="str">
        <f>IFERROR(__xludf.DUMMYFUNCTION("""COMPUTED_VALUE"""),"")</f>
        <v/>
      </c>
      <c r="Z132" s="71"/>
      <c r="AA132" s="71"/>
      <c r="AB132" s="71"/>
    </row>
    <row r="133">
      <c r="A133" s="105">
        <f>IFERROR(__xludf.DUMMYFUNCTION("""COMPUTED_VALUE"""),46085.733698298616)</f>
        <v>46085.7337</v>
      </c>
      <c r="B133" s="71" t="str">
        <f>IFERROR(__xludf.DUMMYFUNCTION("""COMPUTED_VALUE"""),"Evan Morgan")</f>
        <v>Evan Morgan</v>
      </c>
      <c r="C133" s="71" t="b">
        <f>IFERROR(__xludf.DUMMYFUNCTION("""COMPUTED_VALUE"""),FALSE)</f>
        <v>0</v>
      </c>
      <c r="D133" s="132">
        <f>IFERROR(__xludf.DUMMYFUNCTION("""COMPUTED_VALUE"""),0.6666666666642413)</f>
        <v>0.6666666667</v>
      </c>
      <c r="E133" s="78">
        <f>IFERROR(__xludf.DUMMYFUNCTION("""COMPUTED_VALUE"""),0.0666666666729725)</f>
        <v>0.06666666667</v>
      </c>
      <c r="F133" s="132">
        <f>IFERROR(__xludf.DUMMYFUNCTION("""COMPUTED_VALUE"""),0.7333333333372138)</f>
        <v>0.7333333333</v>
      </c>
      <c r="G133" s="78">
        <f>IFERROR(__xludf.DUMMYFUNCTION("""COMPUTED_VALUE"""),0.0666666666729725)</f>
        <v>0.06666666667</v>
      </c>
      <c r="H133" s="71">
        <f>IFERROR(__xludf.DUMMYFUNCTION("""COMPUTED_VALUE"""),48.0)</f>
        <v>48</v>
      </c>
      <c r="I133" s="80">
        <f>IFERROR(__xludf.DUMMYFUNCTION("""COMPUTED_VALUE"""),29.999999997162377)</f>
        <v>30</v>
      </c>
      <c r="J133" s="71" t="str">
        <f>IFERROR(__xludf.DUMMYFUNCTION("""COMPUTED_VALUE"""),"Dinner")</f>
        <v>Dinner</v>
      </c>
      <c r="K133" s="106">
        <f>IFERROR(__xludf.DUMMYFUNCTION("""COMPUTED_VALUE"""),46085.0)</f>
        <v>46085</v>
      </c>
      <c r="L133" s="71" t="str">
        <f>IFERROR(__xludf.DUMMYFUNCTION("""COMPUTED_VALUE"""),"Wednesday")</f>
        <v>Wednesday</v>
      </c>
      <c r="M133" s="71" t="str">
        <f>IFERROR(__xludf.DUMMYFUNCTION("""COMPUTED_VALUE"""),"MF")</f>
        <v>MF</v>
      </c>
      <c r="N133" s="109">
        <f>IFERROR(__xludf.DUMMYFUNCTION("""COMPUTED_VALUE"""),0.6468349945614078)</f>
        <v>0.6468349946</v>
      </c>
      <c r="O133" s="71" t="str">
        <f>IFERROR(__xludf.DUMMYFUNCTION("""COMPUTED_VALUE"""),"")</f>
        <v/>
      </c>
      <c r="P133" s="71" t="str">
        <f>IFERROR(__xludf.DUMMYFUNCTION("""COMPUTED_VALUE"""),"")</f>
        <v/>
      </c>
      <c r="Q133" s="78" t="str">
        <f>IFERROR(__xludf.DUMMYFUNCTION("""COMPUTED_VALUE"""),"")</f>
        <v/>
      </c>
      <c r="R133" s="78" t="str">
        <f>IFERROR(__xludf.DUMMYFUNCTION("""COMPUTED_VALUE"""),"")</f>
        <v/>
      </c>
      <c r="S133" s="80" t="str">
        <f>IFERROR(__xludf.DUMMYFUNCTION("""COMPUTED_VALUE"""),"")</f>
        <v/>
      </c>
      <c r="T133" s="80" t="str">
        <f>IFERROR(__xludf.DUMMYFUNCTION("""COMPUTED_VALUE"""),"")</f>
        <v/>
      </c>
      <c r="U133" s="71" t="str">
        <f>IFERROR(__xludf.DUMMYFUNCTION("""COMPUTED_VALUE"""),"")</f>
        <v/>
      </c>
      <c r="V133" s="78" t="str">
        <f>IFERROR(__xludf.DUMMYFUNCTION("""COMPUTED_VALUE"""),"")</f>
        <v/>
      </c>
      <c r="W133" s="62" t="str">
        <f>IFERROR(__xludf.DUMMYFUNCTION("""COMPUTED_VALUE"""),"")</f>
        <v/>
      </c>
      <c r="X133" s="80" t="str">
        <f>IFERROR(__xludf.DUMMYFUNCTION("""COMPUTED_VALUE"""),"")</f>
        <v/>
      </c>
      <c r="Y133" s="109" t="str">
        <f>IFERROR(__xludf.DUMMYFUNCTION("""COMPUTED_VALUE"""),"")</f>
        <v/>
      </c>
      <c r="Z133" s="71"/>
      <c r="AA133" s="71"/>
      <c r="AB133" s="71"/>
    </row>
    <row r="134">
      <c r="A134" s="105">
        <f>IFERROR(__xludf.DUMMYFUNCTION("""COMPUTED_VALUE"""),46085.84603962963)</f>
        <v>46085.84604</v>
      </c>
      <c r="B134" s="71" t="str">
        <f>IFERROR(__xludf.DUMMYFUNCTION("""COMPUTED_VALUE"""),"Maureen Surgot")</f>
        <v>Maureen Surgot</v>
      </c>
      <c r="C134" s="71" t="b">
        <f>IFERROR(__xludf.DUMMYFUNCTION("""COMPUTED_VALUE"""),FALSE)</f>
        <v>0</v>
      </c>
      <c r="D134" s="132">
        <f>IFERROR(__xludf.DUMMYFUNCTION("""COMPUTED_VALUE"""),0.6875)</f>
        <v>0.6875</v>
      </c>
      <c r="E134" s="78">
        <f>IFERROR(__xludf.DUMMYFUNCTION("""COMPUTED_VALUE"""),0.16666666666424135)</f>
        <v>0.1666666667</v>
      </c>
      <c r="F134" s="132">
        <f>IFERROR(__xludf.DUMMYFUNCTION("""COMPUTED_VALUE"""),0.8541666666642413)</f>
        <v>0.8541666667</v>
      </c>
      <c r="G134" s="78">
        <f>IFERROR(__xludf.DUMMYFUNCTION("""COMPUTED_VALUE"""),0.16666666666424135)</f>
        <v>0.1666666667</v>
      </c>
      <c r="H134" s="71">
        <f>IFERROR(__xludf.DUMMYFUNCTION("""COMPUTED_VALUE"""),258.0)</f>
        <v>258</v>
      </c>
      <c r="I134" s="80">
        <f>IFERROR(__xludf.DUMMYFUNCTION("""COMPUTED_VALUE"""),64.5000000009386)</f>
        <v>64.5</v>
      </c>
      <c r="J134" s="71" t="str">
        <f>IFERROR(__xludf.DUMMYFUNCTION("""COMPUTED_VALUE"""),"Dinner")</f>
        <v>Dinner</v>
      </c>
      <c r="K134" s="106">
        <f>IFERROR(__xludf.DUMMYFUNCTION("""COMPUTED_VALUE"""),46085.0)</f>
        <v>46085</v>
      </c>
      <c r="L134" s="71" t="str">
        <f>IFERROR(__xludf.DUMMYFUNCTION("""COMPUTED_VALUE"""),"Wednesday")</f>
        <v>Wednesday</v>
      </c>
      <c r="M134" s="71" t="str">
        <f>IFERROR(__xludf.DUMMYFUNCTION("""COMPUTED_VALUE"""),"BF")</f>
        <v>BF</v>
      </c>
      <c r="N134" s="109">
        <f>IFERROR(__xludf.DUMMYFUNCTION("""COMPUTED_VALUE"""),1.4516624040920716)</f>
        <v>1.451662404</v>
      </c>
      <c r="O134" s="71" t="str">
        <f>IFERROR(__xludf.DUMMYFUNCTION("""COMPUTED_VALUE"""),"")</f>
        <v/>
      </c>
      <c r="P134" s="71" t="str">
        <f>IFERROR(__xludf.DUMMYFUNCTION("""COMPUTED_VALUE"""),"")</f>
        <v/>
      </c>
      <c r="Q134" s="78" t="str">
        <f>IFERROR(__xludf.DUMMYFUNCTION("""COMPUTED_VALUE"""),"")</f>
        <v/>
      </c>
      <c r="R134" s="78" t="str">
        <f>IFERROR(__xludf.DUMMYFUNCTION("""COMPUTED_VALUE"""),"")</f>
        <v/>
      </c>
      <c r="S134" s="80" t="str">
        <f>IFERROR(__xludf.DUMMYFUNCTION("""COMPUTED_VALUE"""),"")</f>
        <v/>
      </c>
      <c r="T134" s="80" t="str">
        <f>IFERROR(__xludf.DUMMYFUNCTION("""COMPUTED_VALUE"""),"")</f>
        <v/>
      </c>
      <c r="U134" s="71" t="str">
        <f>IFERROR(__xludf.DUMMYFUNCTION("""COMPUTED_VALUE"""),"")</f>
        <v/>
      </c>
      <c r="V134" s="78" t="str">
        <f>IFERROR(__xludf.DUMMYFUNCTION("""COMPUTED_VALUE"""),"")</f>
        <v/>
      </c>
      <c r="W134" s="62" t="str">
        <f>IFERROR(__xludf.DUMMYFUNCTION("""COMPUTED_VALUE"""),"")</f>
        <v/>
      </c>
      <c r="X134" s="80" t="str">
        <f>IFERROR(__xludf.DUMMYFUNCTION("""COMPUTED_VALUE"""),"")</f>
        <v/>
      </c>
      <c r="Y134" s="109" t="str">
        <f>IFERROR(__xludf.DUMMYFUNCTION("""COMPUTED_VALUE"""),"")</f>
        <v/>
      </c>
      <c r="Z134" s="71"/>
      <c r="AA134" s="71"/>
      <c r="AB134" s="71"/>
    </row>
    <row r="135">
      <c r="A135" s="105">
        <f>IFERROR(__xludf.DUMMYFUNCTION("""COMPUTED_VALUE"""),46085.86977341435)</f>
        <v>46085.86977</v>
      </c>
      <c r="B135" s="71" t="str">
        <f>IFERROR(__xludf.DUMMYFUNCTION("""COMPUTED_VALUE"""),"Brynn Hornig")</f>
        <v>Brynn Hornig</v>
      </c>
      <c r="C135" s="71" t="b">
        <f>IFERROR(__xludf.DUMMYFUNCTION("""COMPUTED_VALUE"""),FALSE)</f>
        <v>0</v>
      </c>
      <c r="D135" s="132">
        <f>IFERROR(__xludf.DUMMYFUNCTION("""COMPUTED_VALUE"""),0.75)</f>
        <v>0.75</v>
      </c>
      <c r="E135" s="78">
        <f>IFERROR(__xludf.DUMMYFUNCTION("""COMPUTED_VALUE"""),0.125)</f>
        <v>0.125</v>
      </c>
      <c r="F135" s="132">
        <f>IFERROR(__xludf.DUMMYFUNCTION("""COMPUTED_VALUE"""),0.875)</f>
        <v>0.875</v>
      </c>
      <c r="G135" s="78">
        <f>IFERROR(__xludf.DUMMYFUNCTION("""COMPUTED_VALUE"""),0.125)</f>
        <v>0.125</v>
      </c>
      <c r="H135" s="71">
        <f>IFERROR(__xludf.DUMMYFUNCTION("""COMPUTED_VALUE"""),112.0)</f>
        <v>112</v>
      </c>
      <c r="I135" s="80">
        <f>IFERROR(__xludf.DUMMYFUNCTION("""COMPUTED_VALUE"""),37.333333333333336)</f>
        <v>37.33333333</v>
      </c>
      <c r="J135" s="71" t="str">
        <f>IFERROR(__xludf.DUMMYFUNCTION("""COMPUTED_VALUE"""),"Dinner")</f>
        <v>Dinner</v>
      </c>
      <c r="K135" s="106">
        <f>IFERROR(__xludf.DUMMYFUNCTION("""COMPUTED_VALUE"""),46085.0)</f>
        <v>46085</v>
      </c>
      <c r="L135" s="71" t="str">
        <f>IFERROR(__xludf.DUMMYFUNCTION("""COMPUTED_VALUE"""),"Wednesday")</f>
        <v>Wednesday</v>
      </c>
      <c r="M135" s="71" t="str">
        <f>IFERROR(__xludf.DUMMYFUNCTION("""COMPUTED_VALUE"""),"MF")</f>
        <v>MF</v>
      </c>
      <c r="N135" s="109">
        <f>IFERROR(__xludf.DUMMYFUNCTION("""COMPUTED_VALUE"""),0.8049502155303346)</f>
        <v>0.8049502155</v>
      </c>
      <c r="O135" s="71">
        <f>IFERROR(__xludf.DUMMYFUNCTION("""COMPUTED_VALUE"""),323.0)</f>
        <v>323</v>
      </c>
      <c r="P135" s="71">
        <f>IFERROR(__xludf.DUMMYFUNCTION("""COMPUTED_VALUE"""),375.0)</f>
        <v>375</v>
      </c>
      <c r="Q135" s="78">
        <f>IFERROR(__xludf.DUMMYFUNCTION("""COMPUTED_VALUE"""),0.29444444445107365)</f>
        <v>0.2944444445</v>
      </c>
      <c r="R135" s="78">
        <f>IFERROR(__xludf.DUMMYFUNCTION("""COMPUTED_VALUE"""),0.3166666666584206)</f>
        <v>0.3166666667</v>
      </c>
      <c r="S135" s="80">
        <f>IFERROR(__xludf.DUMMYFUNCTION("""COMPUTED_VALUE"""),47.04951538082123)</f>
        <v>47.04951538</v>
      </c>
      <c r="T135" s="80">
        <f>IFERROR(__xludf.DUMMYFUNCTION("""COMPUTED_VALUE"""),43.83758865403734)</f>
        <v>43.83758865</v>
      </c>
      <c r="U135" s="71">
        <f>IFERROR(__xludf.DUMMYFUNCTION("""COMPUTED_VALUE"""),698.0)</f>
        <v>698</v>
      </c>
      <c r="V135" s="78">
        <f>IFERROR(__xludf.DUMMYFUNCTION("""COMPUTED_VALUE"""),0.6111111111094942)</f>
        <v>0.6111111111</v>
      </c>
      <c r="W135" s="62">
        <f>IFERROR(__xludf.DUMMYFUNCTION("""COMPUTED_VALUE"""),47.59090909103501)</f>
        <v>47.59090909</v>
      </c>
      <c r="X135" s="80">
        <f>IFERROR(__xludf.DUMMYFUNCTION("""COMPUTED_VALUE"""),45.6729753550567)</f>
        <v>45.67297536</v>
      </c>
      <c r="Y135" s="109">
        <f>IFERROR(__xludf.DUMMYFUNCTION("""COMPUTED_VALUE"""),0.8914216808016262)</f>
        <v>0.8914216808</v>
      </c>
      <c r="Z135" s="71"/>
      <c r="AA135" s="71"/>
      <c r="AB135" s="71"/>
    </row>
    <row r="136">
      <c r="A136" s="105">
        <f>IFERROR(__xludf.DUMMYFUNCTION("""COMPUTED_VALUE"""),46086.362480104166)</f>
        <v>46086.36248</v>
      </c>
      <c r="B136" s="71" t="str">
        <f>IFERROR(__xludf.DUMMYFUNCTION("""COMPUTED_VALUE"""),"Evan Morgan")</f>
        <v>Evan Morgan</v>
      </c>
      <c r="C136" s="71" t="b">
        <f>IFERROR(__xludf.DUMMYFUNCTION("""COMPUTED_VALUE"""),FALSE)</f>
        <v>0</v>
      </c>
      <c r="D136" s="132">
        <f>IFERROR(__xludf.DUMMYFUNCTION("""COMPUTED_VALUE"""),0.29166666666424135)</f>
        <v>0.2916666667</v>
      </c>
      <c r="E136" s="78">
        <f>IFERROR(__xludf.DUMMYFUNCTION("""COMPUTED_VALUE"""),0.07013888889196096)</f>
        <v>0.07013888889</v>
      </c>
      <c r="F136" s="132">
        <f>IFERROR(__xludf.DUMMYFUNCTION("""COMPUTED_VALUE"""),0.3618055555562023)</f>
        <v>0.3618055556</v>
      </c>
      <c r="G136" s="78">
        <f>IFERROR(__xludf.DUMMYFUNCTION("""COMPUTED_VALUE"""),0.07013888889196096)</f>
        <v>0.07013888889</v>
      </c>
      <c r="H136" s="71">
        <f>IFERROR(__xludf.DUMMYFUNCTION("""COMPUTED_VALUE"""),18.0)</f>
        <v>18</v>
      </c>
      <c r="I136" s="80">
        <f>IFERROR(__xludf.DUMMYFUNCTION("""COMPUTED_VALUE"""),10.693069306462338)</f>
        <v>10.69306931</v>
      </c>
      <c r="J136" s="71" t="str">
        <f>IFERROR(__xludf.DUMMYFUNCTION("""COMPUTED_VALUE"""),"Breakfast")</f>
        <v>Breakfast</v>
      </c>
      <c r="K136" s="106">
        <f>IFERROR(__xludf.DUMMYFUNCTION("""COMPUTED_VALUE"""),46086.0)</f>
        <v>46086</v>
      </c>
      <c r="L136" s="71" t="str">
        <f>IFERROR(__xludf.DUMMYFUNCTION("""COMPUTED_VALUE"""),"Thursday")</f>
        <v>Thursday</v>
      </c>
      <c r="M136" s="71" t="str">
        <f>IFERROR(__xludf.DUMMYFUNCTION("""COMPUTED_VALUE"""),"MF")</f>
        <v>MF</v>
      </c>
      <c r="N136" s="109">
        <f>IFERROR(__xludf.DUMMYFUNCTION("""COMPUTED_VALUE"""),0.23873236873649836)</f>
        <v>0.2387323687</v>
      </c>
      <c r="O136" s="71" t="str">
        <f>IFERROR(__xludf.DUMMYFUNCTION("""COMPUTED_VALUE"""),"")</f>
        <v/>
      </c>
      <c r="P136" s="71" t="str">
        <f>IFERROR(__xludf.DUMMYFUNCTION("""COMPUTED_VALUE"""),"")</f>
        <v/>
      </c>
      <c r="Q136" s="78" t="str">
        <f>IFERROR(__xludf.DUMMYFUNCTION("""COMPUTED_VALUE"""),"")</f>
        <v/>
      </c>
      <c r="R136" s="78" t="str">
        <f>IFERROR(__xludf.DUMMYFUNCTION("""COMPUTED_VALUE"""),"")</f>
        <v/>
      </c>
      <c r="S136" s="80" t="str">
        <f>IFERROR(__xludf.DUMMYFUNCTION("""COMPUTED_VALUE"""),"")</f>
        <v/>
      </c>
      <c r="T136" s="80" t="str">
        <f>IFERROR(__xludf.DUMMYFUNCTION("""COMPUTED_VALUE"""),"")</f>
        <v/>
      </c>
      <c r="U136" s="71" t="str">
        <f>IFERROR(__xludf.DUMMYFUNCTION("""COMPUTED_VALUE"""),"")</f>
        <v/>
      </c>
      <c r="V136" s="78" t="str">
        <f>IFERROR(__xludf.DUMMYFUNCTION("""COMPUTED_VALUE"""),"")</f>
        <v/>
      </c>
      <c r="W136" s="62" t="str">
        <f>IFERROR(__xludf.DUMMYFUNCTION("""COMPUTED_VALUE"""),"")</f>
        <v/>
      </c>
      <c r="X136" s="80" t="str">
        <f>IFERROR(__xludf.DUMMYFUNCTION("""COMPUTED_VALUE"""),"")</f>
        <v/>
      </c>
      <c r="Y136" s="109" t="str">
        <f>IFERROR(__xludf.DUMMYFUNCTION("""COMPUTED_VALUE"""),"")</f>
        <v/>
      </c>
      <c r="Z136" s="71"/>
      <c r="AA136" s="71"/>
      <c r="AB136" s="71"/>
    </row>
    <row r="137">
      <c r="A137" s="105">
        <f>IFERROR(__xludf.DUMMYFUNCTION("""COMPUTED_VALUE"""),46086.47893978009)</f>
        <v>46086.47894</v>
      </c>
      <c r="B137" s="71" t="str">
        <f>IFERROR(__xludf.DUMMYFUNCTION("""COMPUTED_VALUE"""),"Sophia Kluck")</f>
        <v>Sophia Kluck</v>
      </c>
      <c r="C137" s="71" t="b">
        <f>IFERROR(__xludf.DUMMYFUNCTION("""COMPUTED_VALUE"""),FALSE)</f>
        <v>0</v>
      </c>
      <c r="D137" s="132">
        <f>IFERROR(__xludf.DUMMYFUNCTION("""COMPUTED_VALUE"""),0.367361111115315)</f>
        <v>0.3673611111</v>
      </c>
      <c r="E137" s="78">
        <f>IFERROR(__xludf.DUMMYFUNCTION("""COMPUTED_VALUE"""),0.10763888888322981)</f>
        <v>0.1076388889</v>
      </c>
      <c r="F137" s="132">
        <f>IFERROR(__xludf.DUMMYFUNCTION("""COMPUTED_VALUE"""),0.4749999999985448)</f>
        <v>0.475</v>
      </c>
      <c r="G137" s="78">
        <f>IFERROR(__xludf.DUMMYFUNCTION("""COMPUTED_VALUE"""),0.10763888888322981)</f>
        <v>0.1076388889</v>
      </c>
      <c r="H137" s="71">
        <f>IFERROR(__xludf.DUMMYFUNCTION("""COMPUTED_VALUE"""),92.0)</f>
        <v>92</v>
      </c>
      <c r="I137" s="80">
        <f>IFERROR(__xludf.DUMMYFUNCTION("""COMPUTED_VALUE"""),35.612903227678785)</f>
        <v>35.61290323</v>
      </c>
      <c r="J137" s="71" t="str">
        <f>IFERROR(__xludf.DUMMYFUNCTION("""COMPUTED_VALUE"""),"Breakfast/Lunch")</f>
        <v>Breakfast/Lunch</v>
      </c>
      <c r="K137" s="106">
        <f>IFERROR(__xludf.DUMMYFUNCTION("""COMPUTED_VALUE"""),46086.0)</f>
        <v>46086</v>
      </c>
      <c r="L137" s="71" t="str">
        <f>IFERROR(__xludf.DUMMYFUNCTION("""COMPUTED_VALUE"""),"Thursday")</f>
        <v>Thursday</v>
      </c>
      <c r="M137" s="71" t="str">
        <f>IFERROR(__xludf.DUMMYFUNCTION("""COMPUTED_VALUE"""),"BF")</f>
        <v>BF</v>
      </c>
      <c r="N137" s="109">
        <f>IFERROR(__xludf.DUMMYFUNCTION("""COMPUTED_VALUE"""),0.8430002384677543)</f>
        <v>0.8430002385</v>
      </c>
      <c r="O137" s="71" t="str">
        <f>IFERROR(__xludf.DUMMYFUNCTION("""COMPUTED_VALUE"""),"")</f>
        <v/>
      </c>
      <c r="P137" s="71" t="str">
        <f>IFERROR(__xludf.DUMMYFUNCTION("""COMPUTED_VALUE"""),"")</f>
        <v/>
      </c>
      <c r="Q137" s="78" t="str">
        <f>IFERROR(__xludf.DUMMYFUNCTION("""COMPUTED_VALUE"""),"")</f>
        <v/>
      </c>
      <c r="R137" s="78" t="str">
        <f>IFERROR(__xludf.DUMMYFUNCTION("""COMPUTED_VALUE"""),"")</f>
        <v/>
      </c>
      <c r="S137" s="80" t="str">
        <f>IFERROR(__xludf.DUMMYFUNCTION("""COMPUTED_VALUE"""),"")</f>
        <v/>
      </c>
      <c r="T137" s="80" t="str">
        <f>IFERROR(__xludf.DUMMYFUNCTION("""COMPUTED_VALUE"""),"")</f>
        <v/>
      </c>
      <c r="U137" s="71" t="str">
        <f>IFERROR(__xludf.DUMMYFUNCTION("""COMPUTED_VALUE"""),"")</f>
        <v/>
      </c>
      <c r="V137" s="78" t="str">
        <f>IFERROR(__xludf.DUMMYFUNCTION("""COMPUTED_VALUE"""),"")</f>
        <v/>
      </c>
      <c r="W137" s="62" t="str">
        <f>IFERROR(__xludf.DUMMYFUNCTION("""COMPUTED_VALUE"""),"")</f>
        <v/>
      </c>
      <c r="X137" s="80" t="str">
        <f>IFERROR(__xludf.DUMMYFUNCTION("""COMPUTED_VALUE"""),"")</f>
        <v/>
      </c>
      <c r="Y137" s="109" t="str">
        <f>IFERROR(__xludf.DUMMYFUNCTION("""COMPUTED_VALUE"""),"")</f>
        <v/>
      </c>
      <c r="Z137" s="71"/>
      <c r="AA137" s="71"/>
      <c r="AB137" s="71"/>
    </row>
    <row r="138">
      <c r="A138" s="105">
        <f>IFERROR(__xludf.DUMMYFUNCTION("""COMPUTED_VALUE"""),46086.527243159726)</f>
        <v>46086.52724</v>
      </c>
      <c r="B138" s="71" t="str">
        <f>IFERROR(__xludf.DUMMYFUNCTION("""COMPUTED_VALUE"""),"Emmett Khan")</f>
        <v>Emmett Khan</v>
      </c>
      <c r="C138" s="71" t="b">
        <f>IFERROR(__xludf.DUMMYFUNCTION("""COMPUTED_VALUE"""),FALSE)</f>
        <v>0</v>
      </c>
      <c r="D138" s="132">
        <f>IFERROR(__xludf.DUMMYFUNCTION("""COMPUTED_VALUE"""),0.47916666666424135)</f>
        <v>0.4791666667</v>
      </c>
      <c r="E138" s="78">
        <f>IFERROR(__xludf.DUMMYFUNCTION("""COMPUTED_VALUE"""),0.05208333333575865)</f>
        <v>0.05208333334</v>
      </c>
      <c r="F138" s="132">
        <f>IFERROR(__xludf.DUMMYFUNCTION("""COMPUTED_VALUE"""),0.53125)</f>
        <v>0.53125</v>
      </c>
      <c r="G138" s="78">
        <f>IFERROR(__xludf.DUMMYFUNCTION("""COMPUTED_VALUE"""),0.05208333333575865)</f>
        <v>0.05208333334</v>
      </c>
      <c r="H138" s="71">
        <f>IFERROR(__xludf.DUMMYFUNCTION("""COMPUTED_VALUE"""),72.0)</f>
        <v>72</v>
      </c>
      <c r="I138" s="80">
        <f>IFERROR(__xludf.DUMMYFUNCTION("""COMPUTED_VALUE"""),57.59999999731779)</f>
        <v>57.6</v>
      </c>
      <c r="J138" s="71" t="str">
        <f>IFERROR(__xludf.DUMMYFUNCTION("""COMPUTED_VALUE"""),"Lunch")</f>
        <v>Lunch</v>
      </c>
      <c r="K138" s="106">
        <f>IFERROR(__xludf.DUMMYFUNCTION("""COMPUTED_VALUE"""),46086.0)</f>
        <v>46086</v>
      </c>
      <c r="L138" s="71" t="str">
        <f>IFERROR(__xludf.DUMMYFUNCTION("""COMPUTED_VALUE"""),"Thursday")</f>
        <v>Thursday</v>
      </c>
      <c r="M138" s="71" t="str">
        <f>IFERROR(__xludf.DUMMYFUNCTION("""COMPUTED_VALUE"""),"MF")</f>
        <v>MF</v>
      </c>
      <c r="N138" s="109">
        <f>IFERROR(__xludf.DUMMYFUNCTION("""COMPUTED_VALUE"""),1.145641817266773)</f>
        <v>1.145641817</v>
      </c>
      <c r="O138" s="71" t="str">
        <f>IFERROR(__xludf.DUMMYFUNCTION("""COMPUTED_VALUE"""),"")</f>
        <v/>
      </c>
      <c r="P138" s="71" t="str">
        <f>IFERROR(__xludf.DUMMYFUNCTION("""COMPUTED_VALUE"""),"")</f>
        <v/>
      </c>
      <c r="Q138" s="78" t="str">
        <f>IFERROR(__xludf.DUMMYFUNCTION("""COMPUTED_VALUE"""),"")</f>
        <v/>
      </c>
      <c r="R138" s="78" t="str">
        <f>IFERROR(__xludf.DUMMYFUNCTION("""COMPUTED_VALUE"""),"")</f>
        <v/>
      </c>
      <c r="S138" s="80" t="str">
        <f>IFERROR(__xludf.DUMMYFUNCTION("""COMPUTED_VALUE"""),"")</f>
        <v/>
      </c>
      <c r="T138" s="80" t="str">
        <f>IFERROR(__xludf.DUMMYFUNCTION("""COMPUTED_VALUE"""),"")</f>
        <v/>
      </c>
      <c r="U138" s="71" t="str">
        <f>IFERROR(__xludf.DUMMYFUNCTION("""COMPUTED_VALUE"""),"")</f>
        <v/>
      </c>
      <c r="V138" s="78" t="str">
        <f>IFERROR(__xludf.DUMMYFUNCTION("""COMPUTED_VALUE"""),"")</f>
        <v/>
      </c>
      <c r="W138" s="62" t="str">
        <f>IFERROR(__xludf.DUMMYFUNCTION("""COMPUTED_VALUE"""),"")</f>
        <v/>
      </c>
      <c r="X138" s="80" t="str">
        <f>IFERROR(__xludf.DUMMYFUNCTION("""COMPUTED_VALUE"""),"")</f>
        <v/>
      </c>
      <c r="Y138" s="109" t="str">
        <f>IFERROR(__xludf.DUMMYFUNCTION("""COMPUTED_VALUE"""),"")</f>
        <v/>
      </c>
      <c r="Z138" s="71"/>
      <c r="AA138" s="71"/>
      <c r="AB138" s="71"/>
    </row>
    <row r="139">
      <c r="A139" s="105">
        <f>IFERROR(__xludf.DUMMYFUNCTION("""COMPUTED_VALUE"""),46086.64518774305)</f>
        <v>46086.64519</v>
      </c>
      <c r="B139" s="71" t="str">
        <f>IFERROR(__xludf.DUMMYFUNCTION("""COMPUTED_VALUE"""),"Kyra Turner")</f>
        <v>Kyra Turner</v>
      </c>
      <c r="C139" s="71" t="b">
        <f>IFERROR(__xludf.DUMMYFUNCTION("""COMPUTED_VALUE"""),FALSE)</f>
        <v>0</v>
      </c>
      <c r="D139" s="132">
        <f>IFERROR(__xludf.DUMMYFUNCTION("""COMPUTED_VALUE"""),0.5006944444467081)</f>
        <v>0.5006944444</v>
      </c>
      <c r="E139" s="78">
        <f>IFERROR(__xludf.DUMMYFUNCTION("""COMPUTED_VALUE"""),0.1430555555562023)</f>
        <v>0.1430555556</v>
      </c>
      <c r="F139" s="132">
        <f>IFERROR(__xludf.DUMMYFUNCTION("""COMPUTED_VALUE"""),0.6437500000029104)</f>
        <v>0.64375</v>
      </c>
      <c r="G139" s="78">
        <f>IFERROR(__xludf.DUMMYFUNCTION("""COMPUTED_VALUE"""),0.1430555555562023)</f>
        <v>0.1430555556</v>
      </c>
      <c r="H139" s="71">
        <f>IFERROR(__xludf.DUMMYFUNCTION("""COMPUTED_VALUE"""),146.0)</f>
        <v>146</v>
      </c>
      <c r="I139" s="80">
        <f>IFERROR(__xludf.DUMMYFUNCTION("""COMPUTED_VALUE"""),42.52427184446794)</f>
        <v>42.52427184</v>
      </c>
      <c r="J139" s="71" t="str">
        <f>IFERROR(__xludf.DUMMYFUNCTION("""COMPUTED_VALUE"""),"Lunch")</f>
        <v>Lunch</v>
      </c>
      <c r="K139" s="106">
        <f>IFERROR(__xludf.DUMMYFUNCTION("""COMPUTED_VALUE"""),46086.0)</f>
        <v>46086</v>
      </c>
      <c r="L139" s="71" t="str">
        <f>IFERROR(__xludf.DUMMYFUNCTION("""COMPUTED_VALUE"""),"Thursday")</f>
        <v>Thursday</v>
      </c>
      <c r="M139" s="71" t="str">
        <f>IFERROR(__xludf.DUMMYFUNCTION("""COMPUTED_VALUE"""),"BF")</f>
        <v>BF</v>
      </c>
      <c r="N139" s="109">
        <f>IFERROR(__xludf.DUMMYFUNCTION("""COMPUTED_VALUE"""),1.4999399597306076)</f>
        <v>1.49993996</v>
      </c>
      <c r="O139" s="71" t="str">
        <f>IFERROR(__xludf.DUMMYFUNCTION("""COMPUTED_VALUE"""),"")</f>
        <v/>
      </c>
      <c r="P139" s="71" t="str">
        <f>IFERROR(__xludf.DUMMYFUNCTION("""COMPUTED_VALUE"""),"")</f>
        <v/>
      </c>
      <c r="Q139" s="78" t="str">
        <f>IFERROR(__xludf.DUMMYFUNCTION("""COMPUTED_VALUE"""),"")</f>
        <v/>
      </c>
      <c r="R139" s="78" t="str">
        <f>IFERROR(__xludf.DUMMYFUNCTION("""COMPUTED_VALUE"""),"")</f>
        <v/>
      </c>
      <c r="S139" s="80" t="str">
        <f>IFERROR(__xludf.DUMMYFUNCTION("""COMPUTED_VALUE"""),"")</f>
        <v/>
      </c>
      <c r="T139" s="80" t="str">
        <f>IFERROR(__xludf.DUMMYFUNCTION("""COMPUTED_VALUE"""),"")</f>
        <v/>
      </c>
      <c r="U139" s="71" t="str">
        <f>IFERROR(__xludf.DUMMYFUNCTION("""COMPUTED_VALUE"""),"")</f>
        <v/>
      </c>
      <c r="V139" s="78" t="str">
        <f>IFERROR(__xludf.DUMMYFUNCTION("""COMPUTED_VALUE"""),"")</f>
        <v/>
      </c>
      <c r="W139" s="62" t="str">
        <f>IFERROR(__xludf.DUMMYFUNCTION("""COMPUTED_VALUE"""),"")</f>
        <v/>
      </c>
      <c r="X139" s="80" t="str">
        <f>IFERROR(__xludf.DUMMYFUNCTION("""COMPUTED_VALUE"""),"")</f>
        <v/>
      </c>
      <c r="Y139" s="109" t="str">
        <f>IFERROR(__xludf.DUMMYFUNCTION("""COMPUTED_VALUE"""),"")</f>
        <v/>
      </c>
      <c r="Z139" s="71"/>
      <c r="AA139" s="71"/>
      <c r="AB139" s="71"/>
    </row>
    <row r="140">
      <c r="A140" s="105">
        <f>IFERROR(__xludf.DUMMYFUNCTION("""COMPUTED_VALUE"""),46086.77599821759)</f>
        <v>46086.776</v>
      </c>
      <c r="B140" s="71" t="str">
        <f>IFERROR(__xludf.DUMMYFUNCTION("""COMPUTED_VALUE"""),"Emmett Khan")</f>
        <v>Emmett Khan</v>
      </c>
      <c r="C140" s="71" t="b">
        <f>IFERROR(__xludf.DUMMYFUNCTION("""COMPUTED_VALUE"""),FALSE)</f>
        <v>0</v>
      </c>
      <c r="D140" s="132">
        <f>IFERROR(__xludf.DUMMYFUNCTION("""COMPUTED_VALUE"""),0.7083333333357587)</f>
        <v>0.7083333333</v>
      </c>
      <c r="E140" s="78">
        <f>IFERROR(__xludf.DUMMYFUNCTION("""COMPUTED_VALUE"""),0.07291666666424135)</f>
        <v>0.07291666666</v>
      </c>
      <c r="F140" s="132">
        <f>IFERROR(__xludf.DUMMYFUNCTION("""COMPUTED_VALUE"""),0.78125)</f>
        <v>0.78125</v>
      </c>
      <c r="G140" s="78">
        <f>IFERROR(__xludf.DUMMYFUNCTION("""COMPUTED_VALUE"""),0.07291666666424135)</f>
        <v>0.07291666666</v>
      </c>
      <c r="H140" s="71">
        <f>IFERROR(__xludf.DUMMYFUNCTION("""COMPUTED_VALUE"""),111.0)</f>
        <v>111</v>
      </c>
      <c r="I140" s="80">
        <f>IFERROR(__xludf.DUMMYFUNCTION("""COMPUTED_VALUE"""),63.42857143068116)</f>
        <v>63.42857143</v>
      </c>
      <c r="J140" s="71" t="str">
        <f>IFERROR(__xludf.DUMMYFUNCTION("""COMPUTED_VALUE"""),"Dinner")</f>
        <v>Dinner</v>
      </c>
      <c r="K140" s="106">
        <f>IFERROR(__xludf.DUMMYFUNCTION("""COMPUTED_VALUE"""),46086.0)</f>
        <v>46086</v>
      </c>
      <c r="L140" s="71" t="str">
        <f>IFERROR(__xludf.DUMMYFUNCTION("""COMPUTED_VALUE"""),"Thursday")</f>
        <v>Thursday</v>
      </c>
      <c r="M140" s="71" t="str">
        <f>IFERROR(__xludf.DUMMYFUNCTION("""COMPUTED_VALUE"""),"MF")</f>
        <v>MF</v>
      </c>
      <c r="N140" s="109">
        <f>IFERROR(__xludf.DUMMYFUNCTION("""COMPUTED_VALUE"""),1.3675939886761077)</f>
        <v>1.367593989</v>
      </c>
      <c r="O140" s="71" t="str">
        <f>IFERROR(__xludf.DUMMYFUNCTION("""COMPUTED_VALUE"""),"")</f>
        <v/>
      </c>
      <c r="P140" s="71" t="str">
        <f>IFERROR(__xludf.DUMMYFUNCTION("""COMPUTED_VALUE"""),"")</f>
        <v/>
      </c>
      <c r="Q140" s="78" t="str">
        <f>IFERROR(__xludf.DUMMYFUNCTION("""COMPUTED_VALUE"""),"")</f>
        <v/>
      </c>
      <c r="R140" s="78" t="str">
        <f>IFERROR(__xludf.DUMMYFUNCTION("""COMPUTED_VALUE"""),"")</f>
        <v/>
      </c>
      <c r="S140" s="80" t="str">
        <f>IFERROR(__xludf.DUMMYFUNCTION("""COMPUTED_VALUE"""),"")</f>
        <v/>
      </c>
      <c r="T140" s="80" t="str">
        <f>IFERROR(__xludf.DUMMYFUNCTION("""COMPUTED_VALUE"""),"")</f>
        <v/>
      </c>
      <c r="U140" s="71" t="str">
        <f>IFERROR(__xludf.DUMMYFUNCTION("""COMPUTED_VALUE"""),"")</f>
        <v/>
      </c>
      <c r="V140" s="78" t="str">
        <f>IFERROR(__xludf.DUMMYFUNCTION("""COMPUTED_VALUE"""),"")</f>
        <v/>
      </c>
      <c r="W140" s="62" t="str">
        <f>IFERROR(__xludf.DUMMYFUNCTION("""COMPUTED_VALUE"""),"")</f>
        <v/>
      </c>
      <c r="X140" s="80" t="str">
        <f>IFERROR(__xludf.DUMMYFUNCTION("""COMPUTED_VALUE"""),"")</f>
        <v/>
      </c>
      <c r="Y140" s="109" t="str">
        <f>IFERROR(__xludf.DUMMYFUNCTION("""COMPUTED_VALUE"""),"")</f>
        <v/>
      </c>
      <c r="Z140" s="71"/>
      <c r="AA140" s="71"/>
      <c r="AB140" s="71"/>
    </row>
    <row r="141">
      <c r="A141" s="105">
        <f>IFERROR(__xludf.DUMMYFUNCTION("""COMPUTED_VALUE"""),46086.77661519676)</f>
        <v>46086.77662</v>
      </c>
      <c r="B141" s="71" t="str">
        <f>IFERROR(__xludf.DUMMYFUNCTION("""COMPUTED_VALUE"""),"Leah Bucci")</f>
        <v>Leah Bucci</v>
      </c>
      <c r="C141" s="71" t="b">
        <f>IFERROR(__xludf.DUMMYFUNCTION("""COMPUTED_VALUE"""),FALSE)</f>
        <v>0</v>
      </c>
      <c r="D141" s="132">
        <f>IFERROR(__xludf.DUMMYFUNCTION("""COMPUTED_VALUE"""),0.6875)</f>
        <v>0.6875</v>
      </c>
      <c r="E141" s="78">
        <f>IFERROR(__xludf.DUMMYFUNCTION("""COMPUTED_VALUE"""),0.07638888889050577)</f>
        <v>0.07638888889</v>
      </c>
      <c r="F141" s="132">
        <f>IFERROR(__xludf.DUMMYFUNCTION("""COMPUTED_VALUE"""),0.7638888888905058)</f>
        <v>0.7638888889</v>
      </c>
      <c r="G141" s="78">
        <f>IFERROR(__xludf.DUMMYFUNCTION("""COMPUTED_VALUE"""),0.07638888889050577)</f>
        <v>0.07638888889</v>
      </c>
      <c r="H141" s="71">
        <f>IFERROR(__xludf.DUMMYFUNCTION("""COMPUTED_VALUE"""),92.0)</f>
        <v>92</v>
      </c>
      <c r="I141" s="80">
        <f>IFERROR(__xludf.DUMMYFUNCTION("""COMPUTED_VALUE"""),50.18181818075601)</f>
        <v>50.18181818</v>
      </c>
      <c r="J141" s="71" t="str">
        <f>IFERROR(__xludf.DUMMYFUNCTION("""COMPUTED_VALUE"""),"Dinner")</f>
        <v>Dinner</v>
      </c>
      <c r="K141" s="106">
        <f>IFERROR(__xludf.DUMMYFUNCTION("""COMPUTED_VALUE"""),46086.0)</f>
        <v>46086</v>
      </c>
      <c r="L141" s="71" t="str">
        <f>IFERROR(__xludf.DUMMYFUNCTION("""COMPUTED_VALUE"""),"Thursday")</f>
        <v>Thursday</v>
      </c>
      <c r="M141" s="71" t="str">
        <f>IFERROR(__xludf.DUMMYFUNCTION("""COMPUTED_VALUE"""),"BF")</f>
        <v>BF</v>
      </c>
      <c r="N141" s="109">
        <f>IFERROR(__xludf.DUMMYFUNCTION("""COMPUTED_VALUE"""),1.1294117646655415)</f>
        <v>1.129411765</v>
      </c>
      <c r="O141" s="71" t="str">
        <f>IFERROR(__xludf.DUMMYFUNCTION("""COMPUTED_VALUE"""),"")</f>
        <v/>
      </c>
      <c r="P141" s="71" t="str">
        <f>IFERROR(__xludf.DUMMYFUNCTION("""COMPUTED_VALUE"""),"")</f>
        <v/>
      </c>
      <c r="Q141" s="78" t="str">
        <f>IFERROR(__xludf.DUMMYFUNCTION("""COMPUTED_VALUE"""),"")</f>
        <v/>
      </c>
      <c r="R141" s="78" t="str">
        <f>IFERROR(__xludf.DUMMYFUNCTION("""COMPUTED_VALUE"""),"")</f>
        <v/>
      </c>
      <c r="S141" s="80" t="str">
        <f>IFERROR(__xludf.DUMMYFUNCTION("""COMPUTED_VALUE"""),"")</f>
        <v/>
      </c>
      <c r="T141" s="80" t="str">
        <f>IFERROR(__xludf.DUMMYFUNCTION("""COMPUTED_VALUE"""),"")</f>
        <v/>
      </c>
      <c r="U141" s="71" t="str">
        <f>IFERROR(__xludf.DUMMYFUNCTION("""COMPUTED_VALUE"""),"")</f>
        <v/>
      </c>
      <c r="V141" s="78" t="str">
        <f>IFERROR(__xludf.DUMMYFUNCTION("""COMPUTED_VALUE"""),"")</f>
        <v/>
      </c>
      <c r="W141" s="62" t="str">
        <f>IFERROR(__xludf.DUMMYFUNCTION("""COMPUTED_VALUE"""),"")</f>
        <v/>
      </c>
      <c r="X141" s="80" t="str">
        <f>IFERROR(__xludf.DUMMYFUNCTION("""COMPUTED_VALUE"""),"")</f>
        <v/>
      </c>
      <c r="Y141" s="109" t="str">
        <f>IFERROR(__xludf.DUMMYFUNCTION("""COMPUTED_VALUE"""),"")</f>
        <v/>
      </c>
      <c r="Z141" s="71"/>
      <c r="AA141" s="71"/>
      <c r="AB141" s="71"/>
    </row>
    <row r="142">
      <c r="A142" s="105">
        <f>IFERROR(__xludf.DUMMYFUNCTION("""COMPUTED_VALUE"""),46087.60271386574)</f>
        <v>46087.60271</v>
      </c>
      <c r="B142" s="71" t="str">
        <f>IFERROR(__xludf.DUMMYFUNCTION("""COMPUTED_VALUE"""),"Arjya Aich")</f>
        <v>Arjya Aich</v>
      </c>
      <c r="C142" s="71" t="b">
        <f>IFERROR(__xludf.DUMMYFUNCTION("""COMPUTED_VALUE"""),FALSE)</f>
        <v>0</v>
      </c>
      <c r="D142" s="132">
        <f>IFERROR(__xludf.DUMMYFUNCTION("""COMPUTED_VALUE"""),0.7916666666642413)</f>
        <v>0.7916666667</v>
      </c>
      <c r="E142" s="78">
        <f>IFERROR(__xludf.DUMMYFUNCTION("""COMPUTED_VALUE"""),0.08333333333575865)</f>
        <v>0.08333333334</v>
      </c>
      <c r="F142" s="132">
        <f>IFERROR(__xludf.DUMMYFUNCTION("""COMPUTED_VALUE"""),0.875)</f>
        <v>0.875</v>
      </c>
      <c r="G142" s="78">
        <f>IFERROR(__xludf.DUMMYFUNCTION("""COMPUTED_VALUE"""),0.08333333333575865)</f>
        <v>0.08333333334</v>
      </c>
      <c r="H142" s="71">
        <f>IFERROR(__xludf.DUMMYFUNCTION("""COMPUTED_VALUE"""),62.0)</f>
        <v>62</v>
      </c>
      <c r="I142" s="80">
        <f>IFERROR(__xludf.DUMMYFUNCTION("""COMPUTED_VALUE"""),30.99999999909778)</f>
        <v>31</v>
      </c>
      <c r="J142" s="71" t="str">
        <f>IFERROR(__xludf.DUMMYFUNCTION("""COMPUTED_VALUE"""),"Dinner")</f>
        <v>Dinner</v>
      </c>
      <c r="K142" s="106">
        <f>IFERROR(__xludf.DUMMYFUNCTION("""COMPUTED_VALUE"""),46086.0)</f>
        <v>46086</v>
      </c>
      <c r="L142" s="71" t="str">
        <f>IFERROR(__xludf.DUMMYFUNCTION("""COMPUTED_VALUE"""),"Thursday")</f>
        <v>Thursday</v>
      </c>
      <c r="M142" s="71" t="str">
        <f>IFERROR(__xludf.DUMMYFUNCTION("""COMPUTED_VALUE"""),"MF")</f>
        <v>MF</v>
      </c>
      <c r="N142" s="109">
        <f>IFERROR(__xludf.DUMMYFUNCTION("""COMPUTED_VALUE"""),0.6683961610905571)</f>
        <v>0.6683961611</v>
      </c>
      <c r="O142" s="71">
        <f>IFERROR(__xludf.DUMMYFUNCTION("""COMPUTED_VALUE"""),263.0)</f>
        <v>263</v>
      </c>
      <c r="P142" s="71">
        <f>IFERROR(__xludf.DUMMYFUNCTION("""COMPUTED_VALUE"""),330.0)</f>
        <v>330</v>
      </c>
      <c r="Q142" s="78">
        <f>IFERROR(__xludf.DUMMYFUNCTION("""COMPUTED_VALUE"""),0.2784722222277196)</f>
        <v>0.2784722222</v>
      </c>
      <c r="R142" s="78">
        <f>IFERROR(__xludf.DUMMYFUNCTION("""COMPUTED_VALUE"""),0.3270833333299379)</f>
        <v>0.3270833333</v>
      </c>
      <c r="S142" s="80">
        <f>IFERROR(__xludf.DUMMYFUNCTION("""COMPUTED_VALUE"""),40.68041018338977)</f>
        <v>40.68041018</v>
      </c>
      <c r="T142" s="80">
        <f>IFERROR(__xludf.DUMMYFUNCTION("""COMPUTED_VALUE"""),42.77299775096758)</f>
        <v>42.77299775</v>
      </c>
      <c r="U142" s="71">
        <f>IFERROR(__xludf.DUMMYFUNCTION("""COMPUTED_VALUE"""),593.0)</f>
        <v>593</v>
      </c>
      <c r="V142" s="78">
        <f>IFERROR(__xludf.DUMMYFUNCTION("""COMPUTED_VALUE"""),0.6055555555576575)</f>
        <v>0.6055555556</v>
      </c>
      <c r="W142" s="62">
        <f>IFERROR(__xludf.DUMMYFUNCTION("""COMPUTED_VALUE"""),40.80275229343635)</f>
        <v>40.80275229</v>
      </c>
      <c r="X142" s="80">
        <f>IFERROR(__xludf.DUMMYFUNCTION("""COMPUTED_VALUE"""),41.5772334266374)</f>
        <v>41.57723343</v>
      </c>
      <c r="Y142" s="109">
        <f>IFERROR(__xludf.DUMMYFUNCTION("""COMPUTED_VALUE"""),0.7790823548398981)</f>
        <v>0.7790823548</v>
      </c>
      <c r="Z142" s="71"/>
      <c r="AA142" s="71"/>
      <c r="AB142" s="71"/>
    </row>
    <row r="143">
      <c r="A143" s="105">
        <f>IFERROR(__xludf.DUMMYFUNCTION("""COMPUTED_VALUE"""),46087.43973273148)</f>
        <v>46087.43973</v>
      </c>
      <c r="B143" s="71" t="str">
        <f>IFERROR(__xludf.DUMMYFUNCTION("""COMPUTED_VALUE"""),"Kaylie Forgue")</f>
        <v>Kaylie Forgue</v>
      </c>
      <c r="C143" s="71" t="b">
        <f>IFERROR(__xludf.DUMMYFUNCTION("""COMPUTED_VALUE"""),FALSE)</f>
        <v>0</v>
      </c>
      <c r="D143" s="132">
        <f>IFERROR(__xludf.DUMMYFUNCTION("""COMPUTED_VALUE"""),0.3701388888875954)</f>
        <v>0.3701388889</v>
      </c>
      <c r="E143" s="78">
        <f>IFERROR(__xludf.DUMMYFUNCTION("""COMPUTED_VALUE"""),0.06388888889341615)</f>
        <v>0.06388888889</v>
      </c>
      <c r="F143" s="132">
        <f>IFERROR(__xludf.DUMMYFUNCTION("""COMPUTED_VALUE"""),0.43402777778101154)</f>
        <v>0.4340277778</v>
      </c>
      <c r="G143" s="78">
        <f>IFERROR(__xludf.DUMMYFUNCTION("""COMPUTED_VALUE"""),0.06388888889341615)</f>
        <v>0.06388888889</v>
      </c>
      <c r="H143" s="71">
        <f>IFERROR(__xludf.DUMMYFUNCTION("""COMPUTED_VALUE"""),52.0)</f>
        <v>52</v>
      </c>
      <c r="I143" s="80">
        <f>IFERROR(__xludf.DUMMYFUNCTION("""COMPUTED_VALUE"""),33.91304347585774)</f>
        <v>33.91304348</v>
      </c>
      <c r="J143" s="71" t="str">
        <f>IFERROR(__xludf.DUMMYFUNCTION("""COMPUTED_VALUE"""),"Breakfast")</f>
        <v>Breakfast</v>
      </c>
      <c r="K143" s="106">
        <f>IFERROR(__xludf.DUMMYFUNCTION("""COMPUTED_VALUE"""),46087.0)</f>
        <v>46087</v>
      </c>
      <c r="L143" s="71" t="str">
        <f>IFERROR(__xludf.DUMMYFUNCTION("""COMPUTED_VALUE"""),"Friday")</f>
        <v>Friday</v>
      </c>
      <c r="M143" s="71" t="str">
        <f>IFERROR(__xludf.DUMMYFUNCTION("""COMPUTED_VALUE"""),"BF")</f>
        <v>BF</v>
      </c>
      <c r="N143" s="109">
        <f>IFERROR(__xludf.DUMMYFUNCTION("""COMPUTED_VALUE"""),1.196199884422897)</f>
        <v>1.196199884</v>
      </c>
      <c r="O143" s="71" t="str">
        <f>IFERROR(__xludf.DUMMYFUNCTION("""COMPUTED_VALUE"""),"")</f>
        <v/>
      </c>
      <c r="P143" s="71" t="str">
        <f>IFERROR(__xludf.DUMMYFUNCTION("""COMPUTED_VALUE"""),"")</f>
        <v/>
      </c>
      <c r="Q143" s="78" t="str">
        <f>IFERROR(__xludf.DUMMYFUNCTION("""COMPUTED_VALUE"""),"")</f>
        <v/>
      </c>
      <c r="R143" s="78" t="str">
        <f>IFERROR(__xludf.DUMMYFUNCTION("""COMPUTED_VALUE"""),"")</f>
        <v/>
      </c>
      <c r="S143" s="80" t="str">
        <f>IFERROR(__xludf.DUMMYFUNCTION("""COMPUTED_VALUE"""),"")</f>
        <v/>
      </c>
      <c r="T143" s="80" t="str">
        <f>IFERROR(__xludf.DUMMYFUNCTION("""COMPUTED_VALUE"""),"")</f>
        <v/>
      </c>
      <c r="U143" s="71" t="str">
        <f>IFERROR(__xludf.DUMMYFUNCTION("""COMPUTED_VALUE"""),"")</f>
        <v/>
      </c>
      <c r="V143" s="78" t="str">
        <f>IFERROR(__xludf.DUMMYFUNCTION("""COMPUTED_VALUE"""),"")</f>
        <v/>
      </c>
      <c r="W143" s="62" t="str">
        <f>IFERROR(__xludf.DUMMYFUNCTION("""COMPUTED_VALUE"""),"")</f>
        <v/>
      </c>
      <c r="X143" s="80" t="str">
        <f>IFERROR(__xludf.DUMMYFUNCTION("""COMPUTED_VALUE"""),"")</f>
        <v/>
      </c>
      <c r="Y143" s="109" t="str">
        <f>IFERROR(__xludf.DUMMYFUNCTION("""COMPUTED_VALUE"""),"")</f>
        <v/>
      </c>
      <c r="Z143" s="71"/>
      <c r="AA143" s="71"/>
      <c r="AB143" s="71"/>
    </row>
    <row r="144">
      <c r="A144" s="105">
        <f>IFERROR(__xludf.DUMMYFUNCTION("""COMPUTED_VALUE"""),46087.577416608794)</f>
        <v>46087.57742</v>
      </c>
      <c r="B144" s="71" t="str">
        <f>IFERROR(__xludf.DUMMYFUNCTION("""COMPUTED_VALUE"""),"Brynn Hornig")</f>
        <v>Brynn Hornig</v>
      </c>
      <c r="C144" s="71" t="b">
        <f>IFERROR(__xludf.DUMMYFUNCTION("""COMPUTED_VALUE"""),FALSE)</f>
        <v>0</v>
      </c>
      <c r="D144" s="132">
        <f>IFERROR(__xludf.DUMMYFUNCTION("""COMPUTED_VALUE"""),0.4583333333333333)</f>
        <v>0.4583333333</v>
      </c>
      <c r="E144" s="78">
        <f>IFERROR(__xludf.DUMMYFUNCTION("""COMPUTED_VALUE"""),0.12500000000242534)</f>
        <v>0.125</v>
      </c>
      <c r="F144" s="132">
        <f>IFERROR(__xludf.DUMMYFUNCTION("""COMPUTED_VALUE"""),0.5833333333357587)</f>
        <v>0.5833333333</v>
      </c>
      <c r="G144" s="78">
        <f>IFERROR(__xludf.DUMMYFUNCTION("""COMPUTED_VALUE"""),0.12500000000242534)</f>
        <v>0.125</v>
      </c>
      <c r="H144" s="71">
        <f>IFERROR(__xludf.DUMMYFUNCTION("""COMPUTED_VALUE"""),126.0)</f>
        <v>126</v>
      </c>
      <c r="I144" s="80">
        <f>IFERROR(__xludf.DUMMYFUNCTION("""COMPUTED_VALUE"""),41.999999999185086)</f>
        <v>42</v>
      </c>
      <c r="J144" s="71" t="str">
        <f>IFERROR(__xludf.DUMMYFUNCTION("""COMPUTED_VALUE"""),"Lunch")</f>
        <v>Lunch</v>
      </c>
      <c r="K144" s="106">
        <f>IFERROR(__xludf.DUMMYFUNCTION("""COMPUTED_VALUE"""),46087.0)</f>
        <v>46087</v>
      </c>
      <c r="L144" s="71" t="str">
        <f>IFERROR(__xludf.DUMMYFUNCTION("""COMPUTED_VALUE"""),"Friday")</f>
        <v>Friday</v>
      </c>
      <c r="M144" s="71" t="str">
        <f>IFERROR(__xludf.DUMMYFUNCTION("""COMPUTED_VALUE"""),"BF")</f>
        <v>BF</v>
      </c>
      <c r="N144" s="109">
        <f>IFERROR(__xludf.DUMMYFUNCTION("""COMPUTED_VALUE"""),1.481447549246129)</f>
        <v>1.481447549</v>
      </c>
      <c r="O144" s="71" t="str">
        <f>IFERROR(__xludf.DUMMYFUNCTION("""COMPUTED_VALUE"""),"")</f>
        <v/>
      </c>
      <c r="P144" s="71" t="str">
        <f>IFERROR(__xludf.DUMMYFUNCTION("""COMPUTED_VALUE"""),"")</f>
        <v/>
      </c>
      <c r="Q144" s="78" t="str">
        <f>IFERROR(__xludf.DUMMYFUNCTION("""COMPUTED_VALUE"""),"")</f>
        <v/>
      </c>
      <c r="R144" s="78" t="str">
        <f>IFERROR(__xludf.DUMMYFUNCTION("""COMPUTED_VALUE"""),"")</f>
        <v/>
      </c>
      <c r="S144" s="80" t="str">
        <f>IFERROR(__xludf.DUMMYFUNCTION("""COMPUTED_VALUE"""),"")</f>
        <v/>
      </c>
      <c r="T144" s="80" t="str">
        <f>IFERROR(__xludf.DUMMYFUNCTION("""COMPUTED_VALUE"""),"")</f>
        <v/>
      </c>
      <c r="U144" s="71" t="str">
        <f>IFERROR(__xludf.DUMMYFUNCTION("""COMPUTED_VALUE"""),"")</f>
        <v/>
      </c>
      <c r="V144" s="78" t="str">
        <f>IFERROR(__xludf.DUMMYFUNCTION("""COMPUTED_VALUE"""),"")</f>
        <v/>
      </c>
      <c r="W144" s="62" t="str">
        <f>IFERROR(__xludf.DUMMYFUNCTION("""COMPUTED_VALUE"""),"")</f>
        <v/>
      </c>
      <c r="X144" s="80" t="str">
        <f>IFERROR(__xludf.DUMMYFUNCTION("""COMPUTED_VALUE"""),"")</f>
        <v/>
      </c>
      <c r="Y144" s="109" t="str">
        <f>IFERROR(__xludf.DUMMYFUNCTION("""COMPUTED_VALUE"""),"")</f>
        <v/>
      </c>
      <c r="Z144" s="71"/>
      <c r="AA144" s="71"/>
      <c r="AB144" s="71"/>
    </row>
    <row r="145">
      <c r="A145" s="105">
        <f>IFERROR(__xludf.DUMMYFUNCTION("""COMPUTED_VALUE"""),46087.6254491088)</f>
        <v>46087.62545</v>
      </c>
      <c r="B145" s="71" t="str">
        <f>IFERROR(__xludf.DUMMYFUNCTION("""COMPUTED_VALUE"""),"Oluwatimilehin Shodipe")</f>
        <v>Oluwatimilehin Shodipe</v>
      </c>
      <c r="C145" s="71" t="b">
        <f>IFERROR(__xludf.DUMMYFUNCTION("""COMPUTED_VALUE"""),FALSE)</f>
        <v>0</v>
      </c>
      <c r="D145" s="132">
        <f>IFERROR(__xludf.DUMMYFUNCTION("""COMPUTED_VALUE"""),0.48263888889050577)</f>
        <v>0.4826388889</v>
      </c>
      <c r="E145" s="78">
        <f>IFERROR(__xludf.DUMMYFUNCTION("""COMPUTED_VALUE"""),0.14236111110949423)</f>
        <v>0.1423611111</v>
      </c>
      <c r="F145" s="132">
        <f>IFERROR(__xludf.DUMMYFUNCTION("""COMPUTED_VALUE"""),0.625)</f>
        <v>0.625</v>
      </c>
      <c r="G145" s="78">
        <f>IFERROR(__xludf.DUMMYFUNCTION("""COMPUTED_VALUE"""),0.14236111110949423)</f>
        <v>0.1423611111</v>
      </c>
      <c r="H145" s="71">
        <f>IFERROR(__xludf.DUMMYFUNCTION("""COMPUTED_VALUE"""),199.0)</f>
        <v>199</v>
      </c>
      <c r="I145" s="80">
        <f>IFERROR(__xludf.DUMMYFUNCTION("""COMPUTED_VALUE"""),58.243902439685904)</f>
        <v>58.24390244</v>
      </c>
      <c r="J145" s="71" t="str">
        <f>IFERROR(__xludf.DUMMYFUNCTION("""COMPUTED_VALUE"""),"Lunch")</f>
        <v>Lunch</v>
      </c>
      <c r="K145" s="106">
        <f>IFERROR(__xludf.DUMMYFUNCTION("""COMPUTED_VALUE"""),46087.0)</f>
        <v>46087</v>
      </c>
      <c r="L145" s="71" t="str">
        <f>IFERROR(__xludf.DUMMYFUNCTION("""COMPUTED_VALUE"""),"Friday")</f>
        <v>Friday</v>
      </c>
      <c r="M145" s="71" t="str">
        <f>IFERROR(__xludf.DUMMYFUNCTION("""COMPUTED_VALUE"""),"MF")</f>
        <v>MF</v>
      </c>
      <c r="N145" s="109">
        <f>IFERROR(__xludf.DUMMYFUNCTION("""COMPUTED_VALUE"""),1.158448788868361)</f>
        <v>1.158448789</v>
      </c>
      <c r="O145" s="71">
        <f>IFERROR(__xludf.DUMMYFUNCTION("""COMPUTED_VALUE"""),199.0)</f>
        <v>199</v>
      </c>
      <c r="P145" s="71">
        <f>IFERROR(__xludf.DUMMYFUNCTION("""COMPUTED_VALUE"""),178.0)</f>
        <v>178</v>
      </c>
      <c r="Q145" s="78">
        <f>IFERROR(__xludf.DUMMYFUNCTION("""COMPUTED_VALUE"""),0.14236111110949423)</f>
        <v>0.1423611111</v>
      </c>
      <c r="R145" s="78">
        <f>IFERROR(__xludf.DUMMYFUNCTION("""COMPUTED_VALUE"""),0.1888888888958415)</f>
        <v>0.1888888889</v>
      </c>
      <c r="S145" s="80">
        <f>IFERROR(__xludf.DUMMYFUNCTION("""COMPUTED_VALUE"""),58.243902439685904)</f>
        <v>58.24390244</v>
      </c>
      <c r="T145" s="80">
        <f>IFERROR(__xludf.DUMMYFUNCTION("""COMPUTED_VALUE"""),37.95652173752141)</f>
        <v>37.95652174</v>
      </c>
      <c r="U145" s="71">
        <f>IFERROR(__xludf.DUMMYFUNCTION("""COMPUTED_VALUE"""),377.0)</f>
        <v>377</v>
      </c>
      <c r="V145" s="78">
        <f>IFERROR(__xludf.DUMMYFUNCTION("""COMPUTED_VALUE"""),0.3312500000053357)</f>
        <v>0.33125</v>
      </c>
      <c r="W145" s="62">
        <f>IFERROR(__xludf.DUMMYFUNCTION("""COMPUTED_VALUE"""),47.42138364703489)</f>
        <v>47.42138365</v>
      </c>
      <c r="X145" s="80">
        <f>IFERROR(__xludf.DUMMYFUNCTION("""COMPUTED_VALUE"""),44.71898197157625)</f>
        <v>44.71898197</v>
      </c>
      <c r="Y145" s="109">
        <f>IFERROR(__xludf.DUMMYFUNCTION("""COMPUTED_VALUE"""),0.995946102733107)</f>
        <v>0.9959461027</v>
      </c>
      <c r="Z145" s="71"/>
      <c r="AA145" s="71"/>
      <c r="AB145" s="71"/>
    </row>
    <row r="146">
      <c r="A146" s="105">
        <f>IFERROR(__xludf.DUMMYFUNCTION("""COMPUTED_VALUE"""),46096.38285166667)</f>
        <v>46096.38285</v>
      </c>
      <c r="B146" s="71" t="str">
        <f>IFERROR(__xludf.DUMMYFUNCTION("""COMPUTED_VALUE"""),"Denise Romanszysn")</f>
        <v>Denise Romanszysn</v>
      </c>
      <c r="C146" s="71" t="b">
        <f>IFERROR(__xludf.DUMMYFUNCTION("""COMPUTED_VALUE"""),FALSE)</f>
        <v>0</v>
      </c>
      <c r="D146" s="132">
        <f>IFERROR(__xludf.DUMMYFUNCTION("""COMPUTED_VALUE"""),0.546527777776646)</f>
        <v>0.5465277778</v>
      </c>
      <c r="E146" s="78">
        <f>IFERROR(__xludf.DUMMYFUNCTION("""COMPUTED_VALUE"""),0.07500000000436557)</f>
        <v>0.075</v>
      </c>
      <c r="F146" s="132">
        <f>IFERROR(__xludf.DUMMYFUNCTION("""COMPUTED_VALUE"""),0.6215277777810115)</f>
        <v>0.6215277778</v>
      </c>
      <c r="G146" s="78">
        <f>IFERROR(__xludf.DUMMYFUNCTION("""COMPUTED_VALUE"""),0.07500000000436557)</f>
        <v>0.075</v>
      </c>
      <c r="H146" s="71">
        <f>IFERROR(__xludf.DUMMYFUNCTION("""COMPUTED_VALUE"""),127.0)</f>
        <v>127</v>
      </c>
      <c r="I146" s="80">
        <f>IFERROR(__xludf.DUMMYFUNCTION("""COMPUTED_VALUE"""),70.55555555144868)</f>
        <v>70.55555555</v>
      </c>
      <c r="J146" s="71" t="str">
        <f>IFERROR(__xludf.DUMMYFUNCTION("""COMPUTED_VALUE"""),"Lunch")</f>
        <v>Lunch</v>
      </c>
      <c r="K146" s="106">
        <f>IFERROR(__xludf.DUMMYFUNCTION("""COMPUTED_VALUE"""),46090.0)</f>
        <v>46090</v>
      </c>
      <c r="L146" s="71" t="str">
        <f>IFERROR(__xludf.DUMMYFUNCTION("""COMPUTED_VALUE"""),"Monday")</f>
        <v>Monday</v>
      </c>
      <c r="M146" s="71" t="str">
        <f>IFERROR(__xludf.DUMMYFUNCTION("""COMPUTED_VALUE"""),"MF")</f>
        <v>MF</v>
      </c>
      <c r="N146" s="109">
        <f>IFERROR(__xludf.DUMMYFUNCTION("""COMPUTED_VALUE"""),1.4033228278470908)</f>
        <v>1.403322828</v>
      </c>
      <c r="O146" s="71" t="str">
        <f>IFERROR(__xludf.DUMMYFUNCTION("""COMPUTED_VALUE"""),"")</f>
        <v/>
      </c>
      <c r="P146" s="71" t="str">
        <f>IFERROR(__xludf.DUMMYFUNCTION("""COMPUTED_VALUE"""),"")</f>
        <v/>
      </c>
      <c r="Q146" s="78" t="str">
        <f>IFERROR(__xludf.DUMMYFUNCTION("""COMPUTED_VALUE"""),"")</f>
        <v/>
      </c>
      <c r="R146" s="78" t="str">
        <f>IFERROR(__xludf.DUMMYFUNCTION("""COMPUTED_VALUE"""),"")</f>
        <v/>
      </c>
      <c r="S146" s="80" t="str">
        <f>IFERROR(__xludf.DUMMYFUNCTION("""COMPUTED_VALUE"""),"")</f>
        <v/>
      </c>
      <c r="T146" s="80" t="str">
        <f>IFERROR(__xludf.DUMMYFUNCTION("""COMPUTED_VALUE"""),"")</f>
        <v/>
      </c>
      <c r="U146" s="71" t="str">
        <f>IFERROR(__xludf.DUMMYFUNCTION("""COMPUTED_VALUE"""),"")</f>
        <v/>
      </c>
      <c r="V146" s="78" t="str">
        <f>IFERROR(__xludf.DUMMYFUNCTION("""COMPUTED_VALUE"""),"")</f>
        <v/>
      </c>
      <c r="W146" s="62" t="str">
        <f>IFERROR(__xludf.DUMMYFUNCTION("""COMPUTED_VALUE"""),"")</f>
        <v/>
      </c>
      <c r="X146" s="80" t="str">
        <f>IFERROR(__xludf.DUMMYFUNCTION("""COMPUTED_VALUE"""),"")</f>
        <v/>
      </c>
      <c r="Y146" s="109" t="str">
        <f>IFERROR(__xludf.DUMMYFUNCTION("""COMPUTED_VALUE"""),"")</f>
        <v/>
      </c>
      <c r="Z146" s="71"/>
      <c r="AA146" s="71"/>
      <c r="AB146" s="71"/>
    </row>
    <row r="147">
      <c r="A147" s="105">
        <f>IFERROR(__xludf.DUMMYFUNCTION("""COMPUTED_VALUE"""),46090.64105922454)</f>
        <v>46090.64106</v>
      </c>
      <c r="B147" s="71" t="str">
        <f>IFERROR(__xludf.DUMMYFUNCTION("""COMPUTED_VALUE"""),"Brynn Hornig")</f>
        <v>Brynn Hornig</v>
      </c>
      <c r="C147" s="71" t="b">
        <f>IFERROR(__xludf.DUMMYFUNCTION("""COMPUTED_VALUE"""),FALSE)</f>
        <v>0</v>
      </c>
      <c r="D147" s="132">
        <f>IFERROR(__xludf.DUMMYFUNCTION("""COMPUTED_VALUE"""),0.5208333333357587)</f>
        <v>0.5208333333</v>
      </c>
      <c r="E147" s="78">
        <f>IFERROR(__xludf.DUMMYFUNCTION("""COMPUTED_VALUE"""),0.125)</f>
        <v>0.125</v>
      </c>
      <c r="F147" s="132">
        <f>IFERROR(__xludf.DUMMYFUNCTION("""COMPUTED_VALUE"""),0.6458333333357587)</f>
        <v>0.6458333333</v>
      </c>
      <c r="G147" s="78">
        <f>IFERROR(__xludf.DUMMYFUNCTION("""COMPUTED_VALUE"""),0.125)</f>
        <v>0.125</v>
      </c>
      <c r="H147" s="71">
        <f>IFERROR(__xludf.DUMMYFUNCTION("""COMPUTED_VALUE"""),113.0)</f>
        <v>113</v>
      </c>
      <c r="I147" s="80">
        <f>IFERROR(__xludf.DUMMYFUNCTION("""COMPUTED_VALUE"""),37.666666666666664)</f>
        <v>37.66666667</v>
      </c>
      <c r="J147" s="71" t="str">
        <f>IFERROR(__xludf.DUMMYFUNCTION("""COMPUTED_VALUE"""),"Lunch")</f>
        <v>Lunch</v>
      </c>
      <c r="K147" s="106">
        <f>IFERROR(__xludf.DUMMYFUNCTION("""COMPUTED_VALUE"""),46090.0)</f>
        <v>46090</v>
      </c>
      <c r="L147" s="71" t="str">
        <f>IFERROR(__xludf.DUMMYFUNCTION("""COMPUTED_VALUE"""),"Monday")</f>
        <v>Monday</v>
      </c>
      <c r="M147" s="71" t="str">
        <f>IFERROR(__xludf.DUMMYFUNCTION("""COMPUTED_VALUE"""),"BF")</f>
        <v>BF</v>
      </c>
      <c r="N147" s="109">
        <f>IFERROR(__xludf.DUMMYFUNCTION("""COMPUTED_VALUE"""),1.3285997862544496)</f>
        <v>1.328599786</v>
      </c>
      <c r="O147" s="71" t="str">
        <f>IFERROR(__xludf.DUMMYFUNCTION("""COMPUTED_VALUE"""),"")</f>
        <v/>
      </c>
      <c r="P147" s="71" t="str">
        <f>IFERROR(__xludf.DUMMYFUNCTION("""COMPUTED_VALUE"""),"")</f>
        <v/>
      </c>
      <c r="Q147" s="78" t="str">
        <f>IFERROR(__xludf.DUMMYFUNCTION("""COMPUTED_VALUE"""),"")</f>
        <v/>
      </c>
      <c r="R147" s="78" t="str">
        <f>IFERROR(__xludf.DUMMYFUNCTION("""COMPUTED_VALUE"""),"")</f>
        <v/>
      </c>
      <c r="S147" s="80" t="str">
        <f>IFERROR(__xludf.DUMMYFUNCTION("""COMPUTED_VALUE"""),"")</f>
        <v/>
      </c>
      <c r="T147" s="80" t="str">
        <f>IFERROR(__xludf.DUMMYFUNCTION("""COMPUTED_VALUE"""),"")</f>
        <v/>
      </c>
      <c r="U147" s="71" t="str">
        <f>IFERROR(__xludf.DUMMYFUNCTION("""COMPUTED_VALUE"""),"")</f>
        <v/>
      </c>
      <c r="V147" s="78" t="str">
        <f>IFERROR(__xludf.DUMMYFUNCTION("""COMPUTED_VALUE"""),"")</f>
        <v/>
      </c>
      <c r="W147" s="62" t="str">
        <f>IFERROR(__xludf.DUMMYFUNCTION("""COMPUTED_VALUE"""),"")</f>
        <v/>
      </c>
      <c r="X147" s="80" t="str">
        <f>IFERROR(__xludf.DUMMYFUNCTION("""COMPUTED_VALUE"""),"")</f>
        <v/>
      </c>
      <c r="Y147" s="109" t="str">
        <f>IFERROR(__xludf.DUMMYFUNCTION("""COMPUTED_VALUE"""),"")</f>
        <v/>
      </c>
      <c r="Z147" s="71"/>
      <c r="AA147" s="71"/>
      <c r="AB147" s="71"/>
    </row>
    <row r="148">
      <c r="A148" s="105">
        <f>IFERROR(__xludf.DUMMYFUNCTION("""COMPUTED_VALUE"""),46090.74854377315)</f>
        <v>46090.74854</v>
      </c>
      <c r="B148" s="71" t="str">
        <f>IFERROR(__xludf.DUMMYFUNCTION("""COMPUTED_VALUE"""),"Orpheus Wilson")</f>
        <v>Orpheus Wilson</v>
      </c>
      <c r="C148" s="71" t="b">
        <f>IFERROR(__xludf.DUMMYFUNCTION("""COMPUTED_VALUE"""),FALSE)</f>
        <v>0</v>
      </c>
      <c r="D148" s="132">
        <f>IFERROR(__xludf.DUMMYFUNCTION("""COMPUTED_VALUE"""),0.6708333333372138)</f>
        <v>0.6708333333</v>
      </c>
      <c r="E148" s="78">
        <f>IFERROR(__xludf.DUMMYFUNCTION("""COMPUTED_VALUE"""),0.07499999999708962)</f>
        <v>0.075</v>
      </c>
      <c r="F148" s="132">
        <f>IFERROR(__xludf.DUMMYFUNCTION("""COMPUTED_VALUE"""),0.7458333333343035)</f>
        <v>0.7458333333</v>
      </c>
      <c r="G148" s="78">
        <f>IFERROR(__xludf.DUMMYFUNCTION("""COMPUTED_VALUE"""),0.07499999999708962)</f>
        <v>0.075</v>
      </c>
      <c r="H148" s="71">
        <f>IFERROR(__xludf.DUMMYFUNCTION("""COMPUTED_VALUE"""),113.0)</f>
        <v>113</v>
      </c>
      <c r="I148" s="80">
        <f>IFERROR(__xludf.DUMMYFUNCTION("""COMPUTED_VALUE"""),62.777777780213874)</f>
        <v>62.77777778</v>
      </c>
      <c r="J148" s="71" t="str">
        <f>IFERROR(__xludf.DUMMYFUNCTION("""COMPUTED_VALUE"""),"Dinner")</f>
        <v>Dinner</v>
      </c>
      <c r="K148" s="106">
        <f>IFERROR(__xludf.DUMMYFUNCTION("""COMPUTED_VALUE"""),46090.0)</f>
        <v>46090</v>
      </c>
      <c r="L148" s="71" t="str">
        <f>IFERROR(__xludf.DUMMYFUNCTION("""COMPUTED_VALUE"""),"Monday")</f>
        <v>Monday</v>
      </c>
      <c r="M148" s="71" t="str">
        <f>IFERROR(__xludf.DUMMYFUNCTION("""COMPUTED_VALUE"""),"MF")</f>
        <v>MF</v>
      </c>
      <c r="N148" s="109">
        <f>IFERROR(__xludf.DUMMYFUNCTION("""COMPUTED_VALUE"""),1.353562118429427)</f>
        <v>1.353562118</v>
      </c>
      <c r="O148" s="71" t="str">
        <f>IFERROR(__xludf.DUMMYFUNCTION("""COMPUTED_VALUE"""),"")</f>
        <v/>
      </c>
      <c r="P148" s="71" t="str">
        <f>IFERROR(__xludf.DUMMYFUNCTION("""COMPUTED_VALUE"""),"")</f>
        <v/>
      </c>
      <c r="Q148" s="78" t="str">
        <f>IFERROR(__xludf.DUMMYFUNCTION("""COMPUTED_VALUE"""),"")</f>
        <v/>
      </c>
      <c r="R148" s="78" t="str">
        <f>IFERROR(__xludf.DUMMYFUNCTION("""COMPUTED_VALUE"""),"")</f>
        <v/>
      </c>
      <c r="S148" s="80" t="str">
        <f>IFERROR(__xludf.DUMMYFUNCTION("""COMPUTED_VALUE"""),"")</f>
        <v/>
      </c>
      <c r="T148" s="80" t="str">
        <f>IFERROR(__xludf.DUMMYFUNCTION("""COMPUTED_VALUE"""),"")</f>
        <v/>
      </c>
      <c r="U148" s="71" t="str">
        <f>IFERROR(__xludf.DUMMYFUNCTION("""COMPUTED_VALUE"""),"")</f>
        <v/>
      </c>
      <c r="V148" s="78" t="str">
        <f>IFERROR(__xludf.DUMMYFUNCTION("""COMPUTED_VALUE"""),"")</f>
        <v/>
      </c>
      <c r="W148" s="62" t="str">
        <f>IFERROR(__xludf.DUMMYFUNCTION("""COMPUTED_VALUE"""),"")</f>
        <v/>
      </c>
      <c r="X148" s="80" t="str">
        <f>IFERROR(__xludf.DUMMYFUNCTION("""COMPUTED_VALUE"""),"")</f>
        <v/>
      </c>
      <c r="Y148" s="109" t="str">
        <f>IFERROR(__xludf.DUMMYFUNCTION("""COMPUTED_VALUE"""),"")</f>
        <v/>
      </c>
      <c r="Z148" s="71"/>
      <c r="AA148" s="71"/>
      <c r="AB148" s="71"/>
    </row>
    <row r="149">
      <c r="A149" s="105">
        <f>IFERROR(__xludf.DUMMYFUNCTION("""COMPUTED_VALUE"""),46091.53825715277)</f>
        <v>46091.53826</v>
      </c>
      <c r="B149" s="71" t="str">
        <f>IFERROR(__xludf.DUMMYFUNCTION("""COMPUTED_VALUE"""),"Arjya Aich")</f>
        <v>Arjya Aich</v>
      </c>
      <c r="C149" s="71" t="b">
        <f>IFERROR(__xludf.DUMMYFUNCTION("""COMPUTED_VALUE"""),FALSE)</f>
        <v>0</v>
      </c>
      <c r="D149" s="132">
        <f>IFERROR(__xludf.DUMMYFUNCTION("""COMPUTED_VALUE"""),0.6875)</f>
        <v>0.6875</v>
      </c>
      <c r="E149" s="78">
        <f>IFERROR(__xludf.DUMMYFUNCTION("""COMPUTED_VALUE"""),0.16666666666424135)</f>
        <v>0.1666666667</v>
      </c>
      <c r="F149" s="132">
        <f>IFERROR(__xludf.DUMMYFUNCTION("""COMPUTED_VALUE"""),0.8541666666642413)</f>
        <v>0.8541666667</v>
      </c>
      <c r="G149" s="78">
        <f>IFERROR(__xludf.DUMMYFUNCTION("""COMPUTED_VALUE"""),0.16666666666424135)</f>
        <v>0.1666666667</v>
      </c>
      <c r="H149" s="71">
        <f>IFERROR(__xludf.DUMMYFUNCTION("""COMPUTED_VALUE"""),102.0)</f>
        <v>102</v>
      </c>
      <c r="I149" s="80">
        <f>IFERROR(__xludf.DUMMYFUNCTION("""COMPUTED_VALUE"""),25.500000000371074)</f>
        <v>25.5</v>
      </c>
      <c r="J149" s="71" t="str">
        <f>IFERROR(__xludf.DUMMYFUNCTION("""COMPUTED_VALUE"""),"Dinner")</f>
        <v>Dinner</v>
      </c>
      <c r="K149" s="106">
        <f>IFERROR(__xludf.DUMMYFUNCTION("""COMPUTED_VALUE"""),46090.0)</f>
        <v>46090</v>
      </c>
      <c r="L149" s="71" t="str">
        <f>IFERROR(__xludf.DUMMYFUNCTION("""COMPUTED_VALUE"""),"Monday")</f>
        <v>Monday</v>
      </c>
      <c r="M149" s="71" t="str">
        <f>IFERROR(__xludf.DUMMYFUNCTION("""COMPUTED_VALUE"""),"BF")</f>
        <v>BF</v>
      </c>
      <c r="N149" s="109">
        <f>IFERROR(__xludf.DUMMYFUNCTION("""COMPUTED_VALUE"""),0.5739130434782609)</f>
        <v>0.5739130435</v>
      </c>
      <c r="O149" s="71">
        <f>IFERROR(__xludf.DUMMYFUNCTION("""COMPUTED_VALUE"""),240.0)</f>
        <v>240</v>
      </c>
      <c r="P149" s="71">
        <f>IFERROR(__xludf.DUMMYFUNCTION("""COMPUTED_VALUE"""),215.0)</f>
        <v>215</v>
      </c>
      <c r="Q149" s="78">
        <f>IFERROR(__xludf.DUMMYFUNCTION("""COMPUTED_VALUE"""),0.1500000000014552)</f>
        <v>0.15</v>
      </c>
      <c r="R149" s="78">
        <f>IFERROR(__xludf.DUMMYFUNCTION("""COMPUTED_VALUE"""),0.29166666666424135)</f>
        <v>0.2916666667</v>
      </c>
      <c r="S149" s="80">
        <f>IFERROR(__xludf.DUMMYFUNCTION("""COMPUTED_VALUE"""),66.66666666583127)</f>
        <v>66.66666667</v>
      </c>
      <c r="T149" s="80">
        <f>IFERROR(__xludf.DUMMYFUNCTION("""COMPUTED_VALUE"""),31.58333333351887)</f>
        <v>31.58333333</v>
      </c>
      <c r="U149" s="71">
        <f>IFERROR(__xludf.DUMMYFUNCTION("""COMPUTED_VALUE"""),455.0)</f>
        <v>455</v>
      </c>
      <c r="V149" s="78">
        <f>IFERROR(__xludf.DUMMYFUNCTION("""COMPUTED_VALUE"""),0.44166666666569654)</f>
        <v>0.4416666667</v>
      </c>
      <c r="W149" s="62">
        <f>IFERROR(__xludf.DUMMYFUNCTION("""COMPUTED_VALUE"""),42.92452830198108)</f>
        <v>42.9245283</v>
      </c>
      <c r="X149" s="80">
        <f>IFERROR(__xludf.DUMMYFUNCTION("""COMPUTED_VALUE"""),49.124999999675076)</f>
        <v>49.125</v>
      </c>
      <c r="Y149" s="109">
        <f>IFERROR(__xludf.DUMMYFUNCTION("""COMPUTED_VALUE"""),0.9236993447741726)</f>
        <v>0.9236993448</v>
      </c>
      <c r="Z149" s="71"/>
      <c r="AA149" s="71"/>
      <c r="AB149" s="71"/>
    </row>
    <row r="150">
      <c r="A150" s="105">
        <f>IFERROR(__xludf.DUMMYFUNCTION("""COMPUTED_VALUE"""),46091.497951736106)</f>
        <v>46091.49795</v>
      </c>
      <c r="B150" s="71" t="str">
        <f>IFERROR(__xludf.DUMMYFUNCTION("""COMPUTED_VALUE"""),"Kaylie Forgue")</f>
        <v>Kaylie Forgue</v>
      </c>
      <c r="C150" s="71" t="b">
        <f>IFERROR(__xludf.DUMMYFUNCTION("""COMPUTED_VALUE"""),FALSE)</f>
        <v>0</v>
      </c>
      <c r="D150" s="132">
        <f>IFERROR(__xludf.DUMMYFUNCTION("""COMPUTED_VALUE"""),0.4493055555576575)</f>
        <v>0.4493055556</v>
      </c>
      <c r="E150" s="78">
        <f>IFERROR(__xludf.DUMMYFUNCTION("""COMPUTED_VALUE"""),0.04374999999708962)</f>
        <v>0.04375</v>
      </c>
      <c r="F150" s="132">
        <f>IFERROR(__xludf.DUMMYFUNCTION("""COMPUTED_VALUE"""),0.4930555555547471)</f>
        <v>0.4930555556</v>
      </c>
      <c r="G150" s="78">
        <f>IFERROR(__xludf.DUMMYFUNCTION("""COMPUTED_VALUE"""),0.04374999999708962)</f>
        <v>0.04375</v>
      </c>
      <c r="H150" s="71">
        <f>IFERROR(__xludf.DUMMYFUNCTION("""COMPUTED_VALUE"""),86.0)</f>
        <v>86</v>
      </c>
      <c r="I150" s="80">
        <f>IFERROR(__xludf.DUMMYFUNCTION("""COMPUTED_VALUE"""),81.90476191021045)</f>
        <v>81.90476191</v>
      </c>
      <c r="J150" s="71" t="str">
        <f>IFERROR(__xludf.DUMMYFUNCTION("""COMPUTED_VALUE"""),"Breakfast/Lunch")</f>
        <v>Breakfast/Lunch</v>
      </c>
      <c r="K150" s="106">
        <f>IFERROR(__xludf.DUMMYFUNCTION("""COMPUTED_VALUE"""),46091.0)</f>
        <v>46091</v>
      </c>
      <c r="L150" s="71" t="str">
        <f>IFERROR(__xludf.DUMMYFUNCTION("""COMPUTED_VALUE"""),"Tuesday")</f>
        <v>Tuesday</v>
      </c>
      <c r="M150" s="71" t="str">
        <f>IFERROR(__xludf.DUMMYFUNCTION("""COMPUTED_VALUE"""),"BF")</f>
        <v>BF</v>
      </c>
      <c r="N150" s="109">
        <f>IFERROR(__xludf.DUMMYFUNCTION("""COMPUTED_VALUE"""),2.5802375226028422)</f>
        <v>2.580237523</v>
      </c>
      <c r="O150" s="71" t="str">
        <f>IFERROR(__xludf.DUMMYFUNCTION("""COMPUTED_VALUE"""),"")</f>
        <v/>
      </c>
      <c r="P150" s="71" t="str">
        <f>IFERROR(__xludf.DUMMYFUNCTION("""COMPUTED_VALUE"""),"")</f>
        <v/>
      </c>
      <c r="Q150" s="78" t="str">
        <f>IFERROR(__xludf.DUMMYFUNCTION("""COMPUTED_VALUE"""),"")</f>
        <v/>
      </c>
      <c r="R150" s="78" t="str">
        <f>IFERROR(__xludf.DUMMYFUNCTION("""COMPUTED_VALUE"""),"")</f>
        <v/>
      </c>
      <c r="S150" s="80" t="str">
        <f>IFERROR(__xludf.DUMMYFUNCTION("""COMPUTED_VALUE"""),"")</f>
        <v/>
      </c>
      <c r="T150" s="80" t="str">
        <f>IFERROR(__xludf.DUMMYFUNCTION("""COMPUTED_VALUE"""),"")</f>
        <v/>
      </c>
      <c r="U150" s="71" t="str">
        <f>IFERROR(__xludf.DUMMYFUNCTION("""COMPUTED_VALUE"""),"")</f>
        <v/>
      </c>
      <c r="V150" s="78" t="str">
        <f>IFERROR(__xludf.DUMMYFUNCTION("""COMPUTED_VALUE"""),"")</f>
        <v/>
      </c>
      <c r="W150" s="62" t="str">
        <f>IFERROR(__xludf.DUMMYFUNCTION("""COMPUTED_VALUE"""),"")</f>
        <v/>
      </c>
      <c r="X150" s="80" t="str">
        <f>IFERROR(__xludf.DUMMYFUNCTION("""COMPUTED_VALUE"""),"")</f>
        <v/>
      </c>
      <c r="Y150" s="109" t="str">
        <f>IFERROR(__xludf.DUMMYFUNCTION("""COMPUTED_VALUE"""),"")</f>
        <v/>
      </c>
      <c r="Z150" s="71"/>
      <c r="AA150" s="71"/>
      <c r="AB150" s="71"/>
    </row>
    <row r="151">
      <c r="A151" s="105">
        <f>IFERROR(__xludf.DUMMYFUNCTION("""COMPUTED_VALUE"""),46096.38374815972)</f>
        <v>46096.38375</v>
      </c>
      <c r="B151" s="71" t="str">
        <f>IFERROR(__xludf.DUMMYFUNCTION("""COMPUTED_VALUE"""),"Denise Romanszysn")</f>
        <v>Denise Romanszysn</v>
      </c>
      <c r="C151" s="71" t="b">
        <f>IFERROR(__xludf.DUMMYFUNCTION("""COMPUTED_VALUE"""),FALSE)</f>
        <v>0</v>
      </c>
      <c r="D151" s="132">
        <f>IFERROR(__xludf.DUMMYFUNCTION("""COMPUTED_VALUE"""),0.29861111110949423)</f>
        <v>0.2986111111</v>
      </c>
      <c r="E151" s="78">
        <f>IFERROR(__xludf.DUMMYFUNCTION("""COMPUTED_VALUE"""),0.14583333333575865)</f>
        <v>0.1458333333</v>
      </c>
      <c r="F151" s="132">
        <f>IFERROR(__xludf.DUMMYFUNCTION("""COMPUTED_VALUE"""),0.4444444444452529)</f>
        <v>0.4444444444</v>
      </c>
      <c r="G151" s="78">
        <f>IFERROR(__xludf.DUMMYFUNCTION("""COMPUTED_VALUE"""),0.14583333333575865)</f>
        <v>0.1458333333</v>
      </c>
      <c r="H151" s="71">
        <f>IFERROR(__xludf.DUMMYFUNCTION("""COMPUTED_VALUE"""),149.0)</f>
        <v>149</v>
      </c>
      <c r="I151" s="80">
        <f>IFERROR(__xludf.DUMMYFUNCTION("""COMPUTED_VALUE"""),42.57142857072058)</f>
        <v>42.57142857</v>
      </c>
      <c r="J151" s="71" t="str">
        <f>IFERROR(__xludf.DUMMYFUNCTION("""COMPUTED_VALUE"""),"Breakfast")</f>
        <v>Breakfast</v>
      </c>
      <c r="K151" s="106">
        <f>IFERROR(__xludf.DUMMYFUNCTION("""COMPUTED_VALUE"""),46091.0)</f>
        <v>46091</v>
      </c>
      <c r="L151" s="71" t="str">
        <f>IFERROR(__xludf.DUMMYFUNCTION("""COMPUTED_VALUE"""),"Tuesday")</f>
        <v>Tuesday</v>
      </c>
      <c r="M151" s="71" t="str">
        <f>IFERROR(__xludf.DUMMYFUNCTION("""COMPUTED_VALUE"""),"BF")</f>
        <v>BF</v>
      </c>
      <c r="N151" s="109">
        <f>IFERROR(__xludf.DUMMYFUNCTION("""COMPUTED_VALUE"""),1.5016032982196263)</f>
        <v>1.501603298</v>
      </c>
      <c r="O151" s="71" t="str">
        <f>IFERROR(__xludf.DUMMYFUNCTION("""COMPUTED_VALUE"""),"")</f>
        <v/>
      </c>
      <c r="P151" s="71" t="str">
        <f>IFERROR(__xludf.DUMMYFUNCTION("""COMPUTED_VALUE"""),"")</f>
        <v/>
      </c>
      <c r="Q151" s="78" t="str">
        <f>IFERROR(__xludf.DUMMYFUNCTION("""COMPUTED_VALUE"""),"")</f>
        <v/>
      </c>
      <c r="R151" s="78" t="str">
        <f>IFERROR(__xludf.DUMMYFUNCTION("""COMPUTED_VALUE"""),"")</f>
        <v/>
      </c>
      <c r="S151" s="80" t="str">
        <f>IFERROR(__xludf.DUMMYFUNCTION("""COMPUTED_VALUE"""),"")</f>
        <v/>
      </c>
      <c r="T151" s="80" t="str">
        <f>IFERROR(__xludf.DUMMYFUNCTION("""COMPUTED_VALUE"""),"")</f>
        <v/>
      </c>
      <c r="U151" s="71" t="str">
        <f>IFERROR(__xludf.DUMMYFUNCTION("""COMPUTED_VALUE"""),"")</f>
        <v/>
      </c>
      <c r="V151" s="78" t="str">
        <f>IFERROR(__xludf.DUMMYFUNCTION("""COMPUTED_VALUE"""),"")</f>
        <v/>
      </c>
      <c r="W151" s="62" t="str">
        <f>IFERROR(__xludf.DUMMYFUNCTION("""COMPUTED_VALUE"""),"")</f>
        <v/>
      </c>
      <c r="X151" s="80" t="str">
        <f>IFERROR(__xludf.DUMMYFUNCTION("""COMPUTED_VALUE"""),"")</f>
        <v/>
      </c>
      <c r="Y151" s="109" t="str">
        <f>IFERROR(__xludf.DUMMYFUNCTION("""COMPUTED_VALUE"""),"")</f>
        <v/>
      </c>
      <c r="Z151" s="71"/>
      <c r="AA151" s="71"/>
      <c r="AB151" s="71"/>
    </row>
    <row r="152">
      <c r="A152" s="105">
        <f>IFERROR(__xludf.DUMMYFUNCTION("""COMPUTED_VALUE"""),46091.524804456014)</f>
        <v>46091.5248</v>
      </c>
      <c r="B152" s="71" t="str">
        <f>IFERROR(__xludf.DUMMYFUNCTION("""COMPUTED_VALUE"""),"Kaylie Forgue")</f>
        <v>Kaylie Forgue</v>
      </c>
      <c r="C152" s="71" t="b">
        <f>IFERROR(__xludf.DUMMYFUNCTION("""COMPUTED_VALUE"""),FALSE)</f>
        <v>0</v>
      </c>
      <c r="D152" s="132">
        <f>IFERROR(__xludf.DUMMYFUNCTION("""COMPUTED_VALUE"""),0.4937500000014552)</f>
        <v>0.49375</v>
      </c>
      <c r="E152" s="78">
        <f>IFERROR(__xludf.DUMMYFUNCTION("""COMPUTED_VALUE"""),0.02708333333430346)</f>
        <v>0.02708333333</v>
      </c>
      <c r="F152" s="132">
        <f>IFERROR(__xludf.DUMMYFUNCTION("""COMPUTED_VALUE"""),0.5208333333357587)</f>
        <v>0.5208333333</v>
      </c>
      <c r="G152" s="78">
        <f>IFERROR(__xludf.DUMMYFUNCTION("""COMPUTED_VALUE"""),0.02708333333430346)</f>
        <v>0.02708333333</v>
      </c>
      <c r="H152" s="71">
        <f>IFERROR(__xludf.DUMMYFUNCTION("""COMPUTED_VALUE"""),32.0)</f>
        <v>32</v>
      </c>
      <c r="I152" s="80">
        <f>IFERROR(__xludf.DUMMYFUNCTION("""COMPUTED_VALUE"""),49.23076922900578)</f>
        <v>49.23076923</v>
      </c>
      <c r="J152" s="71" t="str">
        <f>IFERROR(__xludf.DUMMYFUNCTION("""COMPUTED_VALUE"""),"Lunch")</f>
        <v>Lunch</v>
      </c>
      <c r="K152" s="106">
        <f>IFERROR(__xludf.DUMMYFUNCTION("""COMPUTED_VALUE"""),46091.0)</f>
        <v>46091</v>
      </c>
      <c r="L152" s="71" t="str">
        <f>IFERROR(__xludf.DUMMYFUNCTION("""COMPUTED_VALUE"""),"Tuesday")</f>
        <v>Tuesday</v>
      </c>
      <c r="M152" s="71" t="str">
        <f>IFERROR(__xludf.DUMMYFUNCTION("""COMPUTED_VALUE"""),"BF")</f>
        <v>BF</v>
      </c>
      <c r="N152" s="109">
        <f>IFERROR(__xludf.DUMMYFUNCTION("""COMPUTED_VALUE"""),1.7364952957911295)</f>
        <v>1.736495296</v>
      </c>
      <c r="O152" s="71" t="str">
        <f>IFERROR(__xludf.DUMMYFUNCTION("""COMPUTED_VALUE"""),"")</f>
        <v/>
      </c>
      <c r="P152" s="71" t="str">
        <f>IFERROR(__xludf.DUMMYFUNCTION("""COMPUTED_VALUE"""),"")</f>
        <v/>
      </c>
      <c r="Q152" s="78" t="str">
        <f>IFERROR(__xludf.DUMMYFUNCTION("""COMPUTED_VALUE"""),"")</f>
        <v/>
      </c>
      <c r="R152" s="78" t="str">
        <f>IFERROR(__xludf.DUMMYFUNCTION("""COMPUTED_VALUE"""),"")</f>
        <v/>
      </c>
      <c r="S152" s="80" t="str">
        <f>IFERROR(__xludf.DUMMYFUNCTION("""COMPUTED_VALUE"""),"")</f>
        <v/>
      </c>
      <c r="T152" s="80" t="str">
        <f>IFERROR(__xludf.DUMMYFUNCTION("""COMPUTED_VALUE"""),"")</f>
        <v/>
      </c>
      <c r="U152" s="71" t="str">
        <f>IFERROR(__xludf.DUMMYFUNCTION("""COMPUTED_VALUE"""),"")</f>
        <v/>
      </c>
      <c r="V152" s="78" t="str">
        <f>IFERROR(__xludf.DUMMYFUNCTION("""COMPUTED_VALUE"""),"")</f>
        <v/>
      </c>
      <c r="W152" s="62" t="str">
        <f>IFERROR(__xludf.DUMMYFUNCTION("""COMPUTED_VALUE"""),"")</f>
        <v/>
      </c>
      <c r="X152" s="80" t="str">
        <f>IFERROR(__xludf.DUMMYFUNCTION("""COMPUTED_VALUE"""),"")</f>
        <v/>
      </c>
      <c r="Y152" s="109" t="str">
        <f>IFERROR(__xludf.DUMMYFUNCTION("""COMPUTED_VALUE"""),"")</f>
        <v/>
      </c>
      <c r="Z152" s="71"/>
      <c r="AA152" s="71"/>
      <c r="AB152" s="71"/>
    </row>
    <row r="153">
      <c r="A153" s="105">
        <f>IFERROR(__xludf.DUMMYFUNCTION("""COMPUTED_VALUE"""),46091.62092269676)</f>
        <v>46091.62092</v>
      </c>
      <c r="B153" s="71" t="str">
        <f>IFERROR(__xludf.DUMMYFUNCTION("""COMPUTED_VALUE"""),"Kyra Turner")</f>
        <v>Kyra Turner</v>
      </c>
      <c r="C153" s="71" t="b">
        <f>IFERROR(__xludf.DUMMYFUNCTION("""COMPUTED_VALUE"""),FALSE)</f>
        <v>0</v>
      </c>
      <c r="D153" s="132">
        <f>IFERROR(__xludf.DUMMYFUNCTION("""COMPUTED_VALUE"""),0.577777777776646)</f>
        <v>0.5777777778</v>
      </c>
      <c r="E153" s="78">
        <f>IFERROR(__xludf.DUMMYFUNCTION("""COMPUTED_VALUE"""),0.04236111111094942)</f>
        <v>0.04236111111</v>
      </c>
      <c r="F153" s="132">
        <f>IFERROR(__xludf.DUMMYFUNCTION("""COMPUTED_VALUE"""),0.6201388888875954)</f>
        <v>0.6201388889</v>
      </c>
      <c r="G153" s="78">
        <f>IFERROR(__xludf.DUMMYFUNCTION("""COMPUTED_VALUE"""),0.04236111111094942)</f>
        <v>0.04236111111</v>
      </c>
      <c r="H153" s="71">
        <f>IFERROR(__xludf.DUMMYFUNCTION("""COMPUTED_VALUE"""),76.0)</f>
        <v>76</v>
      </c>
      <c r="I153" s="80">
        <f>IFERROR(__xludf.DUMMYFUNCTION("""COMPUTED_VALUE"""),74.75409836094107)</f>
        <v>74.75409836</v>
      </c>
      <c r="J153" s="71" t="str">
        <f>IFERROR(__xludf.DUMMYFUNCTION("""COMPUTED_VALUE"""),"Lunch")</f>
        <v>Lunch</v>
      </c>
      <c r="K153" s="106">
        <f>IFERROR(__xludf.DUMMYFUNCTION("""COMPUTED_VALUE"""),46091.0)</f>
        <v>46091</v>
      </c>
      <c r="L153" s="71" t="str">
        <f>IFERROR(__xludf.DUMMYFUNCTION("""COMPUTED_VALUE"""),"Tuesday")</f>
        <v>Tuesday</v>
      </c>
      <c r="M153" s="71" t="str">
        <f>IFERROR(__xludf.DUMMYFUNCTION("""COMPUTED_VALUE"""),"MF")</f>
        <v>MF</v>
      </c>
      <c r="N153" s="109">
        <f>IFERROR(__xludf.DUMMYFUNCTION("""COMPUTED_VALUE"""),1.4868302274020073)</f>
        <v>1.486830227</v>
      </c>
      <c r="O153" s="71" t="str">
        <f>IFERROR(__xludf.DUMMYFUNCTION("""COMPUTED_VALUE"""),"")</f>
        <v/>
      </c>
      <c r="P153" s="71" t="str">
        <f>IFERROR(__xludf.DUMMYFUNCTION("""COMPUTED_VALUE"""),"")</f>
        <v/>
      </c>
      <c r="Q153" s="78" t="str">
        <f>IFERROR(__xludf.DUMMYFUNCTION("""COMPUTED_VALUE"""),"")</f>
        <v/>
      </c>
      <c r="R153" s="78" t="str">
        <f>IFERROR(__xludf.DUMMYFUNCTION("""COMPUTED_VALUE"""),"")</f>
        <v/>
      </c>
      <c r="S153" s="80" t="str">
        <f>IFERROR(__xludf.DUMMYFUNCTION("""COMPUTED_VALUE"""),"")</f>
        <v/>
      </c>
      <c r="T153" s="80" t="str">
        <f>IFERROR(__xludf.DUMMYFUNCTION("""COMPUTED_VALUE"""),"")</f>
        <v/>
      </c>
      <c r="U153" s="71" t="str">
        <f>IFERROR(__xludf.DUMMYFUNCTION("""COMPUTED_VALUE"""),"")</f>
        <v/>
      </c>
      <c r="V153" s="78" t="str">
        <f>IFERROR(__xludf.DUMMYFUNCTION("""COMPUTED_VALUE"""),"")</f>
        <v/>
      </c>
      <c r="W153" s="62" t="str">
        <f>IFERROR(__xludf.DUMMYFUNCTION("""COMPUTED_VALUE"""),"")</f>
        <v/>
      </c>
      <c r="X153" s="80" t="str">
        <f>IFERROR(__xludf.DUMMYFUNCTION("""COMPUTED_VALUE"""),"")</f>
        <v/>
      </c>
      <c r="Y153" s="109" t="str">
        <f>IFERROR(__xludf.DUMMYFUNCTION("""COMPUTED_VALUE"""),"")</f>
        <v/>
      </c>
      <c r="Z153" s="71"/>
      <c r="AA153" s="71"/>
      <c r="AB153" s="71"/>
    </row>
    <row r="154">
      <c r="A154" s="105">
        <f>IFERROR(__xludf.DUMMYFUNCTION("""COMPUTED_VALUE"""),46091.572925127315)</f>
        <v>46091.57293</v>
      </c>
      <c r="B154" s="71" t="str">
        <f>IFERROR(__xludf.DUMMYFUNCTION("""COMPUTED_VALUE"""),"Kyra Turner")</f>
        <v>Kyra Turner</v>
      </c>
      <c r="C154" s="71" t="b">
        <f>IFERROR(__xludf.DUMMYFUNCTION("""COMPUTED_VALUE"""),FALSE)</f>
        <v>0</v>
      </c>
      <c r="D154" s="132">
        <f>IFERROR(__xludf.DUMMYFUNCTION("""COMPUTED_VALUE"""),0.48402777777664596)</f>
        <v>0.4840277778</v>
      </c>
      <c r="E154" s="78">
        <f>IFERROR(__xludf.DUMMYFUNCTION("""COMPUTED_VALUE"""),0.08541666666860692)</f>
        <v>0.08541666667</v>
      </c>
      <c r="F154" s="132">
        <f>IFERROR(__xludf.DUMMYFUNCTION("""COMPUTED_VALUE"""),0.5694444444452529)</f>
        <v>0.5694444444</v>
      </c>
      <c r="G154" s="78">
        <f>IFERROR(__xludf.DUMMYFUNCTION("""COMPUTED_VALUE"""),0.08541666666860692)</f>
        <v>0.08541666667</v>
      </c>
      <c r="H154" s="71">
        <f>IFERROR(__xludf.DUMMYFUNCTION("""COMPUTED_VALUE"""),189.0)</f>
        <v>189</v>
      </c>
      <c r="I154" s="80">
        <f>IFERROR(__xludf.DUMMYFUNCTION("""COMPUTED_VALUE"""),92.19512194912528)</f>
        <v>92.19512195</v>
      </c>
      <c r="J154" s="71" t="str">
        <f>IFERROR(__xludf.DUMMYFUNCTION("""COMPUTED_VALUE"""),"Lunch")</f>
        <v>Lunch</v>
      </c>
      <c r="K154" s="106">
        <f>IFERROR(__xludf.DUMMYFUNCTION("""COMPUTED_VALUE"""),46091.0)</f>
        <v>46091</v>
      </c>
      <c r="L154" s="71" t="str">
        <f>IFERROR(__xludf.DUMMYFUNCTION("""COMPUTED_VALUE"""),"Tuesday")</f>
        <v>Tuesday</v>
      </c>
      <c r="M154" s="71" t="str">
        <f>IFERROR(__xludf.DUMMYFUNCTION("""COMPUTED_VALUE"""),"MF")</f>
        <v>MF</v>
      </c>
      <c r="N154" s="109">
        <f>IFERROR(__xludf.DUMMYFUNCTION("""COMPUTED_VALUE"""),1.8337254697542722)</f>
        <v>1.83372547</v>
      </c>
      <c r="O154" s="71" t="str">
        <f>IFERROR(__xludf.DUMMYFUNCTION("""COMPUTED_VALUE"""),"")</f>
        <v/>
      </c>
      <c r="P154" s="71" t="str">
        <f>IFERROR(__xludf.DUMMYFUNCTION("""COMPUTED_VALUE"""),"")</f>
        <v/>
      </c>
      <c r="Q154" s="78" t="str">
        <f>IFERROR(__xludf.DUMMYFUNCTION("""COMPUTED_VALUE"""),"")</f>
        <v/>
      </c>
      <c r="R154" s="78" t="str">
        <f>IFERROR(__xludf.DUMMYFUNCTION("""COMPUTED_VALUE"""),"")</f>
        <v/>
      </c>
      <c r="S154" s="80" t="str">
        <f>IFERROR(__xludf.DUMMYFUNCTION("""COMPUTED_VALUE"""),"")</f>
        <v/>
      </c>
      <c r="T154" s="80" t="str">
        <f>IFERROR(__xludf.DUMMYFUNCTION("""COMPUTED_VALUE"""),"")</f>
        <v/>
      </c>
      <c r="U154" s="71" t="str">
        <f>IFERROR(__xludf.DUMMYFUNCTION("""COMPUTED_VALUE"""),"")</f>
        <v/>
      </c>
      <c r="V154" s="78" t="str">
        <f>IFERROR(__xludf.DUMMYFUNCTION("""COMPUTED_VALUE"""),"")</f>
        <v/>
      </c>
      <c r="W154" s="62" t="str">
        <f>IFERROR(__xludf.DUMMYFUNCTION("""COMPUTED_VALUE"""),"")</f>
        <v/>
      </c>
      <c r="X154" s="80" t="str">
        <f>IFERROR(__xludf.DUMMYFUNCTION("""COMPUTED_VALUE"""),"")</f>
        <v/>
      </c>
      <c r="Y154" s="109" t="str">
        <f>IFERROR(__xludf.DUMMYFUNCTION("""COMPUTED_VALUE"""),"")</f>
        <v/>
      </c>
      <c r="Z154" s="71"/>
      <c r="AA154" s="71"/>
      <c r="AB154" s="71"/>
    </row>
    <row r="155">
      <c r="A155" s="105">
        <f>IFERROR(__xludf.DUMMYFUNCTION("""COMPUTED_VALUE"""),46091.80620065972)</f>
        <v>46091.8062</v>
      </c>
      <c r="B155" s="71" t="str">
        <f>IFERROR(__xludf.DUMMYFUNCTION("""COMPUTED_VALUE"""),"Arjya Aich")</f>
        <v>Arjya Aich</v>
      </c>
      <c r="C155" s="71" t="b">
        <f>IFERROR(__xludf.DUMMYFUNCTION("""COMPUTED_VALUE"""),FALSE)</f>
        <v>0</v>
      </c>
      <c r="D155" s="132">
        <f>IFERROR(__xludf.DUMMYFUNCTION("""COMPUTED_VALUE"""),0.5208333333357587)</f>
        <v>0.5208333333</v>
      </c>
      <c r="E155" s="78">
        <f>IFERROR(__xludf.DUMMYFUNCTION("""COMPUTED_VALUE"""),0.125)</f>
        <v>0.125</v>
      </c>
      <c r="F155" s="132">
        <f>IFERROR(__xludf.DUMMYFUNCTION("""COMPUTED_VALUE"""),0.6458333333357587)</f>
        <v>0.6458333333</v>
      </c>
      <c r="G155" s="78">
        <f>IFERROR(__xludf.DUMMYFUNCTION("""COMPUTED_VALUE"""),0.125)</f>
        <v>0.125</v>
      </c>
      <c r="H155" s="71">
        <f>IFERROR(__xludf.DUMMYFUNCTION("""COMPUTED_VALUE"""),65.0)</f>
        <v>65</v>
      </c>
      <c r="I155" s="80">
        <f>IFERROR(__xludf.DUMMYFUNCTION("""COMPUTED_VALUE"""),21.666666666666668)</f>
        <v>21.66666667</v>
      </c>
      <c r="J155" s="71" t="str">
        <f>IFERROR(__xludf.DUMMYFUNCTION("""COMPUTED_VALUE"""),"Lunch")</f>
        <v>Lunch</v>
      </c>
      <c r="K155" s="106">
        <f>IFERROR(__xludf.DUMMYFUNCTION("""COMPUTED_VALUE"""),46091.0)</f>
        <v>46091</v>
      </c>
      <c r="L155" s="71" t="str">
        <f>IFERROR(__xludf.DUMMYFUNCTION("""COMPUTED_VALUE"""),"Tuesday")</f>
        <v>Tuesday</v>
      </c>
      <c r="M155" s="71" t="str">
        <f>IFERROR(__xludf.DUMMYFUNCTION("""COMPUTED_VALUE"""),"BF")</f>
        <v>BF</v>
      </c>
      <c r="N155" s="109">
        <f>IFERROR(__xludf.DUMMYFUNCTION("""COMPUTED_VALUE"""),0.7642388151021171)</f>
        <v>0.7642388151</v>
      </c>
      <c r="O155" s="71" t="str">
        <f>IFERROR(__xludf.DUMMYFUNCTION("""COMPUTED_VALUE"""),"")</f>
        <v/>
      </c>
      <c r="P155" s="71" t="str">
        <f>IFERROR(__xludf.DUMMYFUNCTION("""COMPUTED_VALUE"""),"")</f>
        <v/>
      </c>
      <c r="Q155" s="78" t="str">
        <f>IFERROR(__xludf.DUMMYFUNCTION("""COMPUTED_VALUE"""),"")</f>
        <v/>
      </c>
      <c r="R155" s="78" t="str">
        <f>IFERROR(__xludf.DUMMYFUNCTION("""COMPUTED_VALUE"""),"")</f>
        <v/>
      </c>
      <c r="S155" s="80" t="str">
        <f>IFERROR(__xludf.DUMMYFUNCTION("""COMPUTED_VALUE"""),"")</f>
        <v/>
      </c>
      <c r="T155" s="80" t="str">
        <f>IFERROR(__xludf.DUMMYFUNCTION("""COMPUTED_VALUE"""),"")</f>
        <v/>
      </c>
      <c r="U155" s="71" t="str">
        <f>IFERROR(__xludf.DUMMYFUNCTION("""COMPUTED_VALUE"""),"")</f>
        <v/>
      </c>
      <c r="V155" s="78" t="str">
        <f>IFERROR(__xludf.DUMMYFUNCTION("""COMPUTED_VALUE"""),"")</f>
        <v/>
      </c>
      <c r="W155" s="62" t="str">
        <f>IFERROR(__xludf.DUMMYFUNCTION("""COMPUTED_VALUE"""),"")</f>
        <v/>
      </c>
      <c r="X155" s="80" t="str">
        <f>IFERROR(__xludf.DUMMYFUNCTION("""COMPUTED_VALUE"""),"")</f>
        <v/>
      </c>
      <c r="Y155" s="109" t="str">
        <f>IFERROR(__xludf.DUMMYFUNCTION("""COMPUTED_VALUE"""),"")</f>
        <v/>
      </c>
      <c r="Z155" s="71"/>
      <c r="AA155" s="71"/>
      <c r="AB155" s="71"/>
    </row>
    <row r="156">
      <c r="A156" s="105">
        <f>IFERROR(__xludf.DUMMYFUNCTION("""COMPUTED_VALUE"""),46094.240200138884)</f>
        <v>46094.2402</v>
      </c>
      <c r="B156" s="71" t="str">
        <f>IFERROR(__xludf.DUMMYFUNCTION("""COMPUTED_VALUE"""),"Alexis Sylvestre")</f>
        <v>Alexis Sylvestre</v>
      </c>
      <c r="C156" s="71" t="b">
        <f>IFERROR(__xludf.DUMMYFUNCTION("""COMPUTED_VALUE"""),FALSE)</f>
        <v>0</v>
      </c>
      <c r="D156" s="132">
        <f>IFERROR(__xludf.DUMMYFUNCTION("""COMPUTED_VALUE"""),0.6701388888905058)</f>
        <v>0.6701388889</v>
      </c>
      <c r="E156" s="78">
        <f>IFERROR(__xludf.DUMMYFUNCTION("""COMPUTED_VALUE"""),0.07986111110949423)</f>
        <v>0.07986111111</v>
      </c>
      <c r="F156" s="132">
        <f>IFERROR(__xludf.DUMMYFUNCTION("""COMPUTED_VALUE"""),0.75)</f>
        <v>0.75</v>
      </c>
      <c r="G156" s="78">
        <f>IFERROR(__xludf.DUMMYFUNCTION("""COMPUTED_VALUE"""),0.07986111110949423)</f>
        <v>0.07986111111</v>
      </c>
      <c r="H156" s="71">
        <f>IFERROR(__xludf.DUMMYFUNCTION("""COMPUTED_VALUE"""),80.0)</f>
        <v>80</v>
      </c>
      <c r="I156" s="80">
        <f>IFERROR(__xludf.DUMMYFUNCTION("""COMPUTED_VALUE"""),41.739130435627665)</f>
        <v>41.73913044</v>
      </c>
      <c r="J156" s="71" t="str">
        <f>IFERROR(__xludf.DUMMYFUNCTION("""COMPUTED_VALUE"""),"Dinner")</f>
        <v>Dinner</v>
      </c>
      <c r="K156" s="106">
        <f>IFERROR(__xludf.DUMMYFUNCTION("""COMPUTED_VALUE"""),46091.0)</f>
        <v>46091</v>
      </c>
      <c r="L156" s="71" t="str">
        <f>IFERROR(__xludf.DUMMYFUNCTION("""COMPUTED_VALUE"""),"Tuesday")</f>
        <v>Tuesday</v>
      </c>
      <c r="M156" s="71" t="str">
        <f>IFERROR(__xludf.DUMMYFUNCTION("""COMPUTED_VALUE"""),"MF")</f>
        <v>MF</v>
      </c>
      <c r="N156" s="109">
        <f>IFERROR(__xludf.DUMMYFUNCTION("""COMPUTED_VALUE"""),0.8999443403626939)</f>
        <v>0.8999443404</v>
      </c>
      <c r="O156" s="71" t="str">
        <f>IFERROR(__xludf.DUMMYFUNCTION("""COMPUTED_VALUE"""),"")</f>
        <v/>
      </c>
      <c r="P156" s="71" t="str">
        <f>IFERROR(__xludf.DUMMYFUNCTION("""COMPUTED_VALUE"""),"")</f>
        <v/>
      </c>
      <c r="Q156" s="78" t="str">
        <f>IFERROR(__xludf.DUMMYFUNCTION("""COMPUTED_VALUE"""),"")</f>
        <v/>
      </c>
      <c r="R156" s="78" t="str">
        <f>IFERROR(__xludf.DUMMYFUNCTION("""COMPUTED_VALUE"""),"")</f>
        <v/>
      </c>
      <c r="S156" s="80" t="str">
        <f>IFERROR(__xludf.DUMMYFUNCTION("""COMPUTED_VALUE"""),"")</f>
        <v/>
      </c>
      <c r="T156" s="80" t="str">
        <f>IFERROR(__xludf.DUMMYFUNCTION("""COMPUTED_VALUE"""),"")</f>
        <v/>
      </c>
      <c r="U156" s="71" t="str">
        <f>IFERROR(__xludf.DUMMYFUNCTION("""COMPUTED_VALUE"""),"")</f>
        <v/>
      </c>
      <c r="V156" s="78" t="str">
        <f>IFERROR(__xludf.DUMMYFUNCTION("""COMPUTED_VALUE"""),"")</f>
        <v/>
      </c>
      <c r="W156" s="62" t="str">
        <f>IFERROR(__xludf.DUMMYFUNCTION("""COMPUTED_VALUE"""),"")</f>
        <v/>
      </c>
      <c r="X156" s="80" t="str">
        <f>IFERROR(__xludf.DUMMYFUNCTION("""COMPUTED_VALUE"""),"")</f>
        <v/>
      </c>
      <c r="Y156" s="109" t="str">
        <f>IFERROR(__xludf.DUMMYFUNCTION("""COMPUTED_VALUE"""),"")</f>
        <v/>
      </c>
      <c r="Z156" s="71"/>
      <c r="AA156" s="71"/>
      <c r="AB156" s="71"/>
    </row>
    <row r="157">
      <c r="A157" s="105">
        <f>IFERROR(__xludf.DUMMYFUNCTION("""COMPUTED_VALUE"""),46091.84601603009)</f>
        <v>46091.84602</v>
      </c>
      <c r="B157" s="71" t="str">
        <f>IFERROR(__xludf.DUMMYFUNCTION("""COMPUTED_VALUE"""),"Leah Bucci")</f>
        <v>Leah Bucci</v>
      </c>
      <c r="C157" s="71" t="b">
        <f>IFERROR(__xludf.DUMMYFUNCTION("""COMPUTED_VALUE"""),FALSE)</f>
        <v>0</v>
      </c>
      <c r="D157" s="132">
        <f>IFERROR(__xludf.DUMMYFUNCTION("""COMPUTED_VALUE"""),0.6875)</f>
        <v>0.6875</v>
      </c>
      <c r="E157" s="78">
        <f>IFERROR(__xludf.DUMMYFUNCTION("""COMPUTED_VALUE"""),0.10416666666424135)</f>
        <v>0.1041666667</v>
      </c>
      <c r="F157" s="132">
        <f>IFERROR(__xludf.DUMMYFUNCTION("""COMPUTED_VALUE"""),0.7916666666642413)</f>
        <v>0.7916666667</v>
      </c>
      <c r="G157" s="78">
        <f>IFERROR(__xludf.DUMMYFUNCTION("""COMPUTED_VALUE"""),0.15972222221898846)</f>
        <v>0.1597222222</v>
      </c>
      <c r="H157" s="71">
        <f>IFERROR(__xludf.DUMMYFUNCTION("""COMPUTED_VALUE"""),130.0)</f>
        <v>130</v>
      </c>
      <c r="I157" s="80">
        <f>IFERROR(__xludf.DUMMYFUNCTION("""COMPUTED_VALUE"""),54.26086956631597)</f>
        <v>54.26086957</v>
      </c>
      <c r="J157" s="71" t="str">
        <f>IFERROR(__xludf.DUMMYFUNCTION("""COMPUTED_VALUE"""),"Dinner")</f>
        <v>Dinner</v>
      </c>
      <c r="K157" s="106">
        <f>IFERROR(__xludf.DUMMYFUNCTION("""COMPUTED_VALUE"""),46091.0)</f>
        <v>46091</v>
      </c>
      <c r="L157" s="71" t="str">
        <f>IFERROR(__xludf.DUMMYFUNCTION("""COMPUTED_VALUE"""),"Tuesday")</f>
        <v>Tuesday</v>
      </c>
      <c r="M157" s="71" t="str">
        <f>IFERROR(__xludf.DUMMYFUNCTION("""COMPUTED_VALUE"""),"BF")</f>
        <v>BF</v>
      </c>
      <c r="N157" s="109">
        <f>IFERROR(__xludf.DUMMYFUNCTION("""COMPUTED_VALUE"""),1.2212165017305168)</f>
        <v>1.221216502</v>
      </c>
      <c r="O157" s="71" t="str">
        <f>IFERROR(__xludf.DUMMYFUNCTION("""COMPUTED_VALUE"""),"")</f>
        <v/>
      </c>
      <c r="P157" s="71" t="str">
        <f>IFERROR(__xludf.DUMMYFUNCTION("""COMPUTED_VALUE"""),"")</f>
        <v/>
      </c>
      <c r="Q157" s="78" t="str">
        <f>IFERROR(__xludf.DUMMYFUNCTION("""COMPUTED_VALUE"""),"")</f>
        <v/>
      </c>
      <c r="R157" s="78" t="str">
        <f>IFERROR(__xludf.DUMMYFUNCTION("""COMPUTED_VALUE"""),"")</f>
        <v/>
      </c>
      <c r="S157" s="80" t="str">
        <f>IFERROR(__xludf.DUMMYFUNCTION("""COMPUTED_VALUE"""),"")</f>
        <v/>
      </c>
      <c r="T157" s="80" t="str">
        <f>IFERROR(__xludf.DUMMYFUNCTION("""COMPUTED_VALUE"""),"")</f>
        <v/>
      </c>
      <c r="U157" s="71" t="str">
        <f>IFERROR(__xludf.DUMMYFUNCTION("""COMPUTED_VALUE"""),"")</f>
        <v/>
      </c>
      <c r="V157" s="78" t="str">
        <f>IFERROR(__xludf.DUMMYFUNCTION("""COMPUTED_VALUE"""),"")</f>
        <v/>
      </c>
      <c r="W157" s="62" t="str">
        <f>IFERROR(__xludf.DUMMYFUNCTION("""COMPUTED_VALUE"""),"")</f>
        <v/>
      </c>
      <c r="X157" s="80" t="str">
        <f>IFERROR(__xludf.DUMMYFUNCTION("""COMPUTED_VALUE"""),"")</f>
        <v/>
      </c>
      <c r="Y157" s="109" t="str">
        <f>IFERROR(__xludf.DUMMYFUNCTION("""COMPUTED_VALUE"""),"")</f>
        <v/>
      </c>
      <c r="Z157" s="71"/>
      <c r="AA157" s="71"/>
      <c r="AB157" s="71"/>
    </row>
    <row r="158">
      <c r="A158" s="105">
        <f>IFERROR(__xludf.DUMMYFUNCTION("""COMPUTED_VALUE"""),46091.84948510416)</f>
        <v>46091.84949</v>
      </c>
      <c r="B158" s="71" t="str">
        <f>IFERROR(__xludf.DUMMYFUNCTION("""COMPUTED_VALUE"""),"Leah Bucci")</f>
        <v>Leah Bucci</v>
      </c>
      <c r="C158" s="71" t="b">
        <f>IFERROR(__xludf.DUMMYFUNCTION("""COMPUTED_VALUE"""),TRUE)</f>
        <v>1</v>
      </c>
      <c r="D158" s="132">
        <f>IFERROR(__xludf.DUMMYFUNCTION("""COMPUTED_VALUE"""),0.7916666666642413)</f>
        <v>0.7916666667</v>
      </c>
      <c r="E158" s="78">
        <f>IFERROR(__xludf.DUMMYFUNCTION("""COMPUTED_VALUE"""),0.055555555554747116)</f>
        <v>0.05555555555</v>
      </c>
      <c r="F158" s="132">
        <f>IFERROR(__xludf.DUMMYFUNCTION("""COMPUTED_VALUE"""),0.8472222222189885)</f>
        <v>0.8472222222</v>
      </c>
      <c r="G158" s="78" t="str">
        <f>IFERROR(__xludf.DUMMYFUNCTION("""COMPUTED_VALUE"""),"")</f>
        <v/>
      </c>
      <c r="H158" s="71">
        <f>IFERROR(__xludf.DUMMYFUNCTION("""COMPUTED_VALUE"""),78.0)</f>
        <v>78</v>
      </c>
      <c r="I158" s="80" t="str">
        <f>IFERROR(__xludf.DUMMYFUNCTION("""COMPUTED_VALUE"""),"")</f>
        <v/>
      </c>
      <c r="J158" s="71" t="str">
        <f>IFERROR(__xludf.DUMMYFUNCTION("""COMPUTED_VALUE"""),"Dinner")</f>
        <v>Dinner</v>
      </c>
      <c r="K158" s="106">
        <f>IFERROR(__xludf.DUMMYFUNCTION("""COMPUTED_VALUE"""),46091.0)</f>
        <v>46091</v>
      </c>
      <c r="L158" s="71" t="str">
        <f>IFERROR(__xludf.DUMMYFUNCTION("""COMPUTED_VALUE"""),"Tuesday")</f>
        <v>Tuesday</v>
      </c>
      <c r="M158" s="71" t="str">
        <f>IFERROR(__xludf.DUMMYFUNCTION("""COMPUTED_VALUE"""),"BF")</f>
        <v>BF</v>
      </c>
      <c r="N158" s="109" t="str">
        <f>IFERROR(__xludf.DUMMYFUNCTION("""COMPUTED_VALUE"""),"")</f>
        <v/>
      </c>
      <c r="O158" s="71">
        <f>IFERROR(__xludf.DUMMYFUNCTION("""COMPUTED_VALUE"""),345.0)</f>
        <v>345</v>
      </c>
      <c r="P158" s="71">
        <f>IFERROR(__xludf.DUMMYFUNCTION("""COMPUTED_VALUE"""),540.0)</f>
        <v>540</v>
      </c>
      <c r="Q158" s="78">
        <f>IFERROR(__xludf.DUMMYFUNCTION("""COMPUTED_VALUE"""),0.20763888888905058)</f>
        <v>0.2076388889</v>
      </c>
      <c r="R158" s="78">
        <f>IFERROR(__xludf.DUMMYFUNCTION("""COMPUTED_VALUE"""),0.5013888888861402)</f>
        <v>0.5013888889</v>
      </c>
      <c r="S158" s="80">
        <f>IFERROR(__xludf.DUMMYFUNCTION("""COMPUTED_VALUE"""),69.562783581898)</f>
        <v>69.56278358</v>
      </c>
      <c r="T158" s="80">
        <f>IFERROR(__xludf.DUMMYFUNCTION("""COMPUTED_VALUE"""),49.92689918858388)</f>
        <v>49.92689919</v>
      </c>
      <c r="U158" s="71">
        <f>IFERROR(__xludf.DUMMYFUNCTION("""COMPUTED_VALUE"""),885.0)</f>
        <v>885</v>
      </c>
      <c r="V158" s="78">
        <f>IFERROR(__xludf.DUMMYFUNCTION("""COMPUTED_VALUE"""),0.7090277777751908)</f>
        <v>0.7090277778</v>
      </c>
      <c r="W158" s="62">
        <f>IFERROR(__xludf.DUMMYFUNCTION("""COMPUTED_VALUE"""),52.0078354556256)</f>
        <v>52.00783546</v>
      </c>
      <c r="X158" s="80">
        <f>IFERROR(__xludf.DUMMYFUNCTION("""COMPUTED_VALUE"""),57.290355836076685)</f>
        <v>57.29035584</v>
      </c>
      <c r="Y158" s="109">
        <f>IFERROR(__xludf.DUMMYFUNCTION("""COMPUTED_VALUE"""),1.0031826491178013)</f>
        <v>1.003182649</v>
      </c>
      <c r="Z158" s="71"/>
      <c r="AA158" s="71"/>
      <c r="AB158" s="71"/>
    </row>
    <row r="159">
      <c r="A159" s="105">
        <f>IFERROR(__xludf.DUMMYFUNCTION("""COMPUTED_VALUE"""),46092.41099399306)</f>
        <v>46092.41099</v>
      </c>
      <c r="B159" s="71" t="str">
        <f>IFERROR(__xludf.DUMMYFUNCTION("""COMPUTED_VALUE"""),"Kaylie Forgue")</f>
        <v>Kaylie Forgue</v>
      </c>
      <c r="C159" s="71" t="b">
        <f>IFERROR(__xludf.DUMMYFUNCTION("""COMPUTED_VALUE"""),FALSE)</f>
        <v>0</v>
      </c>
      <c r="D159" s="132">
        <f>IFERROR(__xludf.DUMMYFUNCTION("""COMPUTED_VALUE"""),0.3125)</f>
        <v>0.3125</v>
      </c>
      <c r="E159" s="78">
        <f>IFERROR(__xludf.DUMMYFUNCTION("""COMPUTED_VALUE"""),0.09305555555329192)</f>
        <v>0.09305555555</v>
      </c>
      <c r="F159" s="132">
        <f>IFERROR(__xludf.DUMMYFUNCTION("""COMPUTED_VALUE"""),0.4055555555532919)</f>
        <v>0.4055555556</v>
      </c>
      <c r="G159" s="78">
        <f>IFERROR(__xludf.DUMMYFUNCTION("""COMPUTED_VALUE"""),0.11388888888905058)</f>
        <v>0.1138888889</v>
      </c>
      <c r="H159" s="71">
        <f>IFERROR(__xludf.DUMMYFUNCTION("""COMPUTED_VALUE"""),96.0)</f>
        <v>96</v>
      </c>
      <c r="I159" s="80">
        <f>IFERROR(__xludf.DUMMYFUNCTION("""COMPUTED_VALUE"""),43.90243902432792)</f>
        <v>43.90243902</v>
      </c>
      <c r="J159" s="71" t="str">
        <f>IFERROR(__xludf.DUMMYFUNCTION("""COMPUTED_VALUE"""),"Breakfast")</f>
        <v>Breakfast</v>
      </c>
      <c r="K159" s="106">
        <f>IFERROR(__xludf.DUMMYFUNCTION("""COMPUTED_VALUE"""),46092.0)</f>
        <v>46092</v>
      </c>
      <c r="L159" s="71" t="str">
        <f>IFERROR(__xludf.DUMMYFUNCTION("""COMPUTED_VALUE"""),"Wednesday")</f>
        <v>Wednesday</v>
      </c>
      <c r="M159" s="71" t="str">
        <f>IFERROR(__xludf.DUMMYFUNCTION("""COMPUTED_VALUE"""),"BF")</f>
        <v>BF</v>
      </c>
      <c r="N159" s="109">
        <f>IFERROR(__xludf.DUMMYFUNCTION("""COMPUTED_VALUE"""),1.5485514452328606)</f>
        <v>1.548551445</v>
      </c>
      <c r="O159" s="71" t="str">
        <f>IFERROR(__xludf.DUMMYFUNCTION("""COMPUTED_VALUE"""),"")</f>
        <v/>
      </c>
      <c r="P159" s="71" t="str">
        <f>IFERROR(__xludf.DUMMYFUNCTION("""COMPUTED_VALUE"""),"")</f>
        <v/>
      </c>
      <c r="Q159" s="78" t="str">
        <f>IFERROR(__xludf.DUMMYFUNCTION("""COMPUTED_VALUE"""),"")</f>
        <v/>
      </c>
      <c r="R159" s="78" t="str">
        <f>IFERROR(__xludf.DUMMYFUNCTION("""COMPUTED_VALUE"""),"")</f>
        <v/>
      </c>
      <c r="S159" s="80" t="str">
        <f>IFERROR(__xludf.DUMMYFUNCTION("""COMPUTED_VALUE"""),"")</f>
        <v/>
      </c>
      <c r="T159" s="80" t="str">
        <f>IFERROR(__xludf.DUMMYFUNCTION("""COMPUTED_VALUE"""),"")</f>
        <v/>
      </c>
      <c r="U159" s="71" t="str">
        <f>IFERROR(__xludf.DUMMYFUNCTION("""COMPUTED_VALUE"""),"")</f>
        <v/>
      </c>
      <c r="V159" s="78" t="str">
        <f>IFERROR(__xludf.DUMMYFUNCTION("""COMPUTED_VALUE"""),"")</f>
        <v/>
      </c>
      <c r="W159" s="62" t="str">
        <f>IFERROR(__xludf.DUMMYFUNCTION("""COMPUTED_VALUE"""),"")</f>
        <v/>
      </c>
      <c r="X159" s="80" t="str">
        <f>IFERROR(__xludf.DUMMYFUNCTION("""COMPUTED_VALUE"""),"")</f>
        <v/>
      </c>
      <c r="Y159" s="109" t="str">
        <f>IFERROR(__xludf.DUMMYFUNCTION("""COMPUTED_VALUE"""),"")</f>
        <v/>
      </c>
      <c r="Z159" s="71"/>
      <c r="AA159" s="71"/>
      <c r="AB159" s="71"/>
    </row>
    <row r="160">
      <c r="A160" s="105">
        <f>IFERROR(__xludf.DUMMYFUNCTION("""COMPUTED_VALUE"""),46092.43117778935)</f>
        <v>46092.43118</v>
      </c>
      <c r="B160" s="71" t="str">
        <f>IFERROR(__xludf.DUMMYFUNCTION("""COMPUTED_VALUE"""),"Kaylie Forgue")</f>
        <v>Kaylie Forgue</v>
      </c>
      <c r="C160" s="71" t="b">
        <f>IFERROR(__xludf.DUMMYFUNCTION("""COMPUTED_VALUE"""),TRUE)</f>
        <v>1</v>
      </c>
      <c r="D160" s="132">
        <f>IFERROR(__xludf.DUMMYFUNCTION("""COMPUTED_VALUE"""),0.40625)</f>
        <v>0.40625</v>
      </c>
      <c r="E160" s="78">
        <f>IFERROR(__xludf.DUMMYFUNCTION("""COMPUTED_VALUE"""),0.020833333335758653)</f>
        <v>0.02083333334</v>
      </c>
      <c r="F160" s="132">
        <f>IFERROR(__xludf.DUMMYFUNCTION("""COMPUTED_VALUE"""),0.42708333333575865)</f>
        <v>0.4270833333</v>
      </c>
      <c r="G160" s="78" t="str">
        <f>IFERROR(__xludf.DUMMYFUNCTION("""COMPUTED_VALUE"""),"")</f>
        <v/>
      </c>
      <c r="H160" s="71">
        <f>IFERROR(__xludf.DUMMYFUNCTION("""COMPUTED_VALUE"""),24.0)</f>
        <v>24</v>
      </c>
      <c r="I160" s="80" t="str">
        <f>IFERROR(__xludf.DUMMYFUNCTION("""COMPUTED_VALUE"""),"")</f>
        <v/>
      </c>
      <c r="J160" s="71" t="str">
        <f>IFERROR(__xludf.DUMMYFUNCTION("""COMPUTED_VALUE"""),"Breakfast")</f>
        <v>Breakfast</v>
      </c>
      <c r="K160" s="106">
        <f>IFERROR(__xludf.DUMMYFUNCTION("""COMPUTED_VALUE"""),46092.0)</f>
        <v>46092</v>
      </c>
      <c r="L160" s="71" t="str">
        <f>IFERROR(__xludf.DUMMYFUNCTION("""COMPUTED_VALUE"""),"Wednesday")</f>
        <v>Wednesday</v>
      </c>
      <c r="M160" s="71" t="str">
        <f>IFERROR(__xludf.DUMMYFUNCTION("""COMPUTED_VALUE"""),"BF")</f>
        <v>BF</v>
      </c>
      <c r="N160" s="109" t="str">
        <f>IFERROR(__xludf.DUMMYFUNCTION("""COMPUTED_VALUE"""),"")</f>
        <v/>
      </c>
      <c r="O160" s="71" t="str">
        <f>IFERROR(__xludf.DUMMYFUNCTION("""COMPUTED_VALUE"""),"")</f>
        <v/>
      </c>
      <c r="P160" s="71" t="str">
        <f>IFERROR(__xludf.DUMMYFUNCTION("""COMPUTED_VALUE"""),"")</f>
        <v/>
      </c>
      <c r="Q160" s="78" t="str">
        <f>IFERROR(__xludf.DUMMYFUNCTION("""COMPUTED_VALUE"""),"")</f>
        <v/>
      </c>
      <c r="R160" s="78" t="str">
        <f>IFERROR(__xludf.DUMMYFUNCTION("""COMPUTED_VALUE"""),"")</f>
        <v/>
      </c>
      <c r="S160" s="80" t="str">
        <f>IFERROR(__xludf.DUMMYFUNCTION("""COMPUTED_VALUE"""),"")</f>
        <v/>
      </c>
      <c r="T160" s="80" t="str">
        <f>IFERROR(__xludf.DUMMYFUNCTION("""COMPUTED_VALUE"""),"")</f>
        <v/>
      </c>
      <c r="U160" s="71" t="str">
        <f>IFERROR(__xludf.DUMMYFUNCTION("""COMPUTED_VALUE"""),"")</f>
        <v/>
      </c>
      <c r="V160" s="78" t="str">
        <f>IFERROR(__xludf.DUMMYFUNCTION("""COMPUTED_VALUE"""),"")</f>
        <v/>
      </c>
      <c r="W160" s="62" t="str">
        <f>IFERROR(__xludf.DUMMYFUNCTION("""COMPUTED_VALUE"""),"")</f>
        <v/>
      </c>
      <c r="X160" s="80" t="str">
        <f>IFERROR(__xludf.DUMMYFUNCTION("""COMPUTED_VALUE"""),"")</f>
        <v/>
      </c>
      <c r="Y160" s="109" t="str">
        <f>IFERROR(__xludf.DUMMYFUNCTION("""COMPUTED_VALUE"""),"")</f>
        <v/>
      </c>
      <c r="Z160" s="71"/>
      <c r="AA160" s="71"/>
      <c r="AB160" s="71"/>
    </row>
    <row r="161">
      <c r="A161" s="105">
        <f>IFERROR(__xludf.DUMMYFUNCTION("""COMPUTED_VALUE"""),46092.84666267361)</f>
        <v>46092.84666</v>
      </c>
      <c r="B161" s="71" t="str">
        <f>IFERROR(__xludf.DUMMYFUNCTION("""COMPUTED_VALUE"""),"Maureen Surgot")</f>
        <v>Maureen Surgot</v>
      </c>
      <c r="C161" s="71" t="b">
        <f>IFERROR(__xludf.DUMMYFUNCTION("""COMPUTED_VALUE"""),FALSE)</f>
        <v>0</v>
      </c>
      <c r="D161" s="132">
        <f>IFERROR(__xludf.DUMMYFUNCTION("""COMPUTED_VALUE"""),0.6875)</f>
        <v>0.6875</v>
      </c>
      <c r="E161" s="78">
        <f>IFERROR(__xludf.DUMMYFUNCTION("""COMPUTED_VALUE"""),0.16666666666424135)</f>
        <v>0.1666666667</v>
      </c>
      <c r="F161" s="132">
        <f>IFERROR(__xludf.DUMMYFUNCTION("""COMPUTED_VALUE"""),0.8541666666642413)</f>
        <v>0.8541666667</v>
      </c>
      <c r="G161" s="78">
        <f>IFERROR(__xludf.DUMMYFUNCTION("""COMPUTED_VALUE"""),0.16666666666424135)</f>
        <v>0.1666666667</v>
      </c>
      <c r="H161" s="71">
        <f>IFERROR(__xludf.DUMMYFUNCTION("""COMPUTED_VALUE"""),137.0)</f>
        <v>137</v>
      </c>
      <c r="I161" s="80">
        <f>IFERROR(__xludf.DUMMYFUNCTION("""COMPUTED_VALUE"""),34.2500000004984)</f>
        <v>34.25</v>
      </c>
      <c r="J161" s="71" t="str">
        <f>IFERROR(__xludf.DUMMYFUNCTION("""COMPUTED_VALUE"""),"Dinner")</f>
        <v>Dinner</v>
      </c>
      <c r="K161" s="106">
        <f>IFERROR(__xludf.DUMMYFUNCTION("""COMPUTED_VALUE"""),46092.0)</f>
        <v>46092</v>
      </c>
      <c r="L161" s="71" t="str">
        <f>IFERROR(__xludf.DUMMYFUNCTION("""COMPUTED_VALUE"""),"Wednesday")</f>
        <v>Wednesday</v>
      </c>
      <c r="M161" s="71" t="str">
        <f>IFERROR(__xludf.DUMMYFUNCTION("""COMPUTED_VALUE"""),"BF")</f>
        <v>BF</v>
      </c>
      <c r="N161" s="109">
        <f>IFERROR(__xludf.DUMMYFUNCTION("""COMPUTED_VALUE"""),0.7708439897698209)</f>
        <v>0.7708439898</v>
      </c>
      <c r="O161" s="71" t="str">
        <f>IFERROR(__xludf.DUMMYFUNCTION("""COMPUTED_VALUE"""),"")</f>
        <v/>
      </c>
      <c r="P161" s="71" t="str">
        <f>IFERROR(__xludf.DUMMYFUNCTION("""COMPUTED_VALUE"""),"")</f>
        <v/>
      </c>
      <c r="Q161" s="78" t="str">
        <f>IFERROR(__xludf.DUMMYFUNCTION("""COMPUTED_VALUE"""),"")</f>
        <v/>
      </c>
      <c r="R161" s="78" t="str">
        <f>IFERROR(__xludf.DUMMYFUNCTION("""COMPUTED_VALUE"""),"")</f>
        <v/>
      </c>
      <c r="S161" s="80" t="str">
        <f>IFERROR(__xludf.DUMMYFUNCTION("""COMPUTED_VALUE"""),"")</f>
        <v/>
      </c>
      <c r="T161" s="80" t="str">
        <f>IFERROR(__xludf.DUMMYFUNCTION("""COMPUTED_VALUE"""),"")</f>
        <v/>
      </c>
      <c r="U161" s="71" t="str">
        <f>IFERROR(__xludf.DUMMYFUNCTION("""COMPUTED_VALUE"""),"")</f>
        <v/>
      </c>
      <c r="V161" s="78" t="str">
        <f>IFERROR(__xludf.DUMMYFUNCTION("""COMPUTED_VALUE"""),"")</f>
        <v/>
      </c>
      <c r="W161" s="62" t="str">
        <f>IFERROR(__xludf.DUMMYFUNCTION("""COMPUTED_VALUE"""),"")</f>
        <v/>
      </c>
      <c r="X161" s="80" t="str">
        <f>IFERROR(__xludf.DUMMYFUNCTION("""COMPUTED_VALUE"""),"")</f>
        <v/>
      </c>
      <c r="Y161" s="109" t="str">
        <f>IFERROR(__xludf.DUMMYFUNCTION("""COMPUTED_VALUE"""),"")</f>
        <v/>
      </c>
      <c r="Z161" s="71"/>
      <c r="AA161" s="71"/>
      <c r="AB161" s="71"/>
    </row>
    <row r="162">
      <c r="A162" s="105">
        <f>IFERROR(__xludf.DUMMYFUNCTION("""COMPUTED_VALUE"""),46092.869192812504)</f>
        <v>46092.86919</v>
      </c>
      <c r="B162" s="71" t="str">
        <f>IFERROR(__xludf.DUMMYFUNCTION("""COMPUTED_VALUE"""),"Brynn Hornig")</f>
        <v>Brynn Hornig</v>
      </c>
      <c r="C162" s="71" t="b">
        <f>IFERROR(__xludf.DUMMYFUNCTION("""COMPUTED_VALUE"""),FALSE)</f>
        <v>0</v>
      </c>
      <c r="D162" s="132">
        <f>IFERROR(__xludf.DUMMYFUNCTION("""COMPUTED_VALUE"""),0.75)</f>
        <v>0.75</v>
      </c>
      <c r="E162" s="78">
        <f>IFERROR(__xludf.DUMMYFUNCTION("""COMPUTED_VALUE"""),0.125)</f>
        <v>0.125</v>
      </c>
      <c r="F162" s="132">
        <f>IFERROR(__xludf.DUMMYFUNCTION("""COMPUTED_VALUE"""),0.875)</f>
        <v>0.875</v>
      </c>
      <c r="G162" s="78">
        <f>IFERROR(__xludf.DUMMYFUNCTION("""COMPUTED_VALUE"""),0.125)</f>
        <v>0.125</v>
      </c>
      <c r="H162" s="71">
        <f>IFERROR(__xludf.DUMMYFUNCTION("""COMPUTED_VALUE"""),134.0)</f>
        <v>134</v>
      </c>
      <c r="I162" s="80">
        <f>IFERROR(__xludf.DUMMYFUNCTION("""COMPUTED_VALUE"""),44.666666666666664)</f>
        <v>44.66666667</v>
      </c>
      <c r="J162" s="71" t="str">
        <f>IFERROR(__xludf.DUMMYFUNCTION("""COMPUTED_VALUE"""),"Dinner")</f>
        <v>Dinner</v>
      </c>
      <c r="K162" s="106">
        <f>IFERROR(__xludf.DUMMYFUNCTION("""COMPUTED_VALUE"""),46092.0)</f>
        <v>46092</v>
      </c>
      <c r="L162" s="71" t="str">
        <f>IFERROR(__xludf.DUMMYFUNCTION("""COMPUTED_VALUE"""),"Wednesday")</f>
        <v>Wednesday</v>
      </c>
      <c r="M162" s="71" t="str">
        <f>IFERROR(__xludf.DUMMYFUNCTION("""COMPUTED_VALUE"""),"MF")</f>
        <v>MF</v>
      </c>
      <c r="N162" s="109">
        <f>IFERROR(__xludf.DUMMYFUNCTION("""COMPUTED_VALUE"""),0.9630654364380788)</f>
        <v>0.9630654364</v>
      </c>
      <c r="O162" s="71">
        <f>IFERROR(__xludf.DUMMYFUNCTION("""COMPUTED_VALUE"""),134.0)</f>
        <v>134</v>
      </c>
      <c r="P162" s="71">
        <f>IFERROR(__xludf.DUMMYFUNCTION("""COMPUTED_VALUE"""),257.0)</f>
        <v>257</v>
      </c>
      <c r="Q162" s="78">
        <f>IFERROR(__xludf.DUMMYFUNCTION("""COMPUTED_VALUE"""),0.125)</f>
        <v>0.125</v>
      </c>
      <c r="R162" s="78">
        <f>IFERROR(__xludf.DUMMYFUNCTION("""COMPUTED_VALUE"""),0.2805555555532919)</f>
        <v>0.2805555556</v>
      </c>
      <c r="S162" s="80">
        <f>IFERROR(__xludf.DUMMYFUNCTION("""COMPUTED_VALUE"""),44.666666666666664)</f>
        <v>44.66666667</v>
      </c>
      <c r="T162" s="80">
        <f>IFERROR(__xludf.DUMMYFUNCTION("""COMPUTED_VALUE"""),39.07621951241316)</f>
        <v>39.07621951</v>
      </c>
      <c r="U162" s="71">
        <f>IFERROR(__xludf.DUMMYFUNCTION("""COMPUTED_VALUE"""),391.0)</f>
        <v>391</v>
      </c>
      <c r="V162" s="78">
        <f>IFERROR(__xludf.DUMMYFUNCTION("""COMPUTED_VALUE"""),0.4055555555532919)</f>
        <v>0.4055555556</v>
      </c>
      <c r="W162" s="62">
        <f>IFERROR(__xludf.DUMMYFUNCTION("""COMPUTED_VALUE"""),40.17123287693655)</f>
        <v>40.17123288</v>
      </c>
      <c r="X162" s="80">
        <f>IFERROR(__xludf.DUMMYFUNCTION("""COMPUTED_VALUE"""),40.939701897164326)</f>
        <v>40.9397019</v>
      </c>
      <c r="Y162" s="109">
        <f>IFERROR(__xludf.DUMMYFUNCTION("""COMPUTED_VALUE"""),0.6798554318931616)</f>
        <v>0.6798554319</v>
      </c>
      <c r="Z162" s="71"/>
      <c r="AA162" s="71"/>
      <c r="AB162" s="71"/>
    </row>
    <row r="163">
      <c r="A163" s="105">
        <f>IFERROR(__xludf.DUMMYFUNCTION("""COMPUTED_VALUE"""),46093.36201489583)</f>
        <v>46093.36201</v>
      </c>
      <c r="B163" s="71" t="str">
        <f>IFERROR(__xludf.DUMMYFUNCTION("""COMPUTED_VALUE"""),"Evan Morgan")</f>
        <v>Evan Morgan</v>
      </c>
      <c r="C163" s="71" t="b">
        <f>IFERROR(__xludf.DUMMYFUNCTION("""COMPUTED_VALUE"""),FALSE)</f>
        <v>0</v>
      </c>
      <c r="D163" s="132">
        <f>IFERROR(__xludf.DUMMYFUNCTION("""COMPUTED_VALUE"""),0.29166666666424135)</f>
        <v>0.2916666667</v>
      </c>
      <c r="E163" s="78">
        <f>IFERROR(__xludf.DUMMYFUNCTION("""COMPUTED_VALUE"""),0.06944444444525288)</f>
        <v>0.06944444445</v>
      </c>
      <c r="F163" s="132">
        <f>IFERROR(__xludf.DUMMYFUNCTION("""COMPUTED_VALUE"""),0.36111111110949423)</f>
        <v>0.3611111111</v>
      </c>
      <c r="G163" s="78">
        <f>IFERROR(__xludf.DUMMYFUNCTION("""COMPUTED_VALUE"""),0.06944444444525288)</f>
        <v>0.06944444445</v>
      </c>
      <c r="H163" s="71">
        <f>IFERROR(__xludf.DUMMYFUNCTION("""COMPUTED_VALUE"""),27.0)</f>
        <v>27</v>
      </c>
      <c r="I163" s="80">
        <f>IFERROR(__xludf.DUMMYFUNCTION("""COMPUTED_VALUE"""),16.199999999811407)</f>
        <v>16.2</v>
      </c>
      <c r="J163" s="71" t="str">
        <f>IFERROR(__xludf.DUMMYFUNCTION("""COMPUTED_VALUE"""),"Breakfast")</f>
        <v>Breakfast</v>
      </c>
      <c r="K163" s="106">
        <f>IFERROR(__xludf.DUMMYFUNCTION("""COMPUTED_VALUE"""),46093.0)</f>
        <v>46093</v>
      </c>
      <c r="L163" s="71" t="str">
        <f>IFERROR(__xludf.DUMMYFUNCTION("""COMPUTED_VALUE"""),"Thursday")</f>
        <v>Thursday</v>
      </c>
      <c r="M163" s="71" t="str">
        <f>IFERROR(__xludf.DUMMYFUNCTION("""COMPUTED_VALUE"""),"BF")</f>
        <v>BF</v>
      </c>
      <c r="N163" s="109">
        <f>IFERROR(__xludf.DUMMYFUNCTION("""COMPUTED_VALUE"""),0.5714154832850846)</f>
        <v>0.5714154833</v>
      </c>
      <c r="O163" s="71" t="str">
        <f>IFERROR(__xludf.DUMMYFUNCTION("""COMPUTED_VALUE"""),"")</f>
        <v/>
      </c>
      <c r="P163" s="71" t="str">
        <f>IFERROR(__xludf.DUMMYFUNCTION("""COMPUTED_VALUE"""),"")</f>
        <v/>
      </c>
      <c r="Q163" s="78" t="str">
        <f>IFERROR(__xludf.DUMMYFUNCTION("""COMPUTED_VALUE"""),"")</f>
        <v/>
      </c>
      <c r="R163" s="78" t="str">
        <f>IFERROR(__xludf.DUMMYFUNCTION("""COMPUTED_VALUE"""),"")</f>
        <v/>
      </c>
      <c r="S163" s="80" t="str">
        <f>IFERROR(__xludf.DUMMYFUNCTION("""COMPUTED_VALUE"""),"")</f>
        <v/>
      </c>
      <c r="T163" s="80" t="str">
        <f>IFERROR(__xludf.DUMMYFUNCTION("""COMPUTED_VALUE"""),"")</f>
        <v/>
      </c>
      <c r="U163" s="71" t="str">
        <f>IFERROR(__xludf.DUMMYFUNCTION("""COMPUTED_VALUE"""),"")</f>
        <v/>
      </c>
      <c r="V163" s="78" t="str">
        <f>IFERROR(__xludf.DUMMYFUNCTION("""COMPUTED_VALUE"""),"")</f>
        <v/>
      </c>
      <c r="W163" s="62" t="str">
        <f>IFERROR(__xludf.DUMMYFUNCTION("""COMPUTED_VALUE"""),"")</f>
        <v/>
      </c>
      <c r="X163" s="80" t="str">
        <f>IFERROR(__xludf.DUMMYFUNCTION("""COMPUTED_VALUE"""),"")</f>
        <v/>
      </c>
      <c r="Y163" s="109" t="str">
        <f>IFERROR(__xludf.DUMMYFUNCTION("""COMPUTED_VALUE"""),"")</f>
        <v/>
      </c>
      <c r="Z163" s="71"/>
      <c r="AA163" s="71"/>
      <c r="AB163" s="71"/>
    </row>
    <row r="164">
      <c r="A164" s="105">
        <f>IFERROR(__xludf.DUMMYFUNCTION("""COMPUTED_VALUE"""),46093.45978293981)</f>
        <v>46093.45978</v>
      </c>
      <c r="B164" s="71" t="str">
        <f>IFERROR(__xludf.DUMMYFUNCTION("""COMPUTED_VALUE"""),"Sophia Kluck")</f>
        <v>Sophia Kluck</v>
      </c>
      <c r="C164" s="71" t="b">
        <f>IFERROR(__xludf.DUMMYFUNCTION("""COMPUTED_VALUE"""),FALSE)</f>
        <v>0</v>
      </c>
      <c r="D164" s="132">
        <f>IFERROR(__xludf.DUMMYFUNCTION("""COMPUTED_VALUE"""),0.3694444444408873)</f>
        <v>0.3694444444</v>
      </c>
      <c r="E164" s="78">
        <f>IFERROR(__xludf.DUMMYFUNCTION("""COMPUTED_VALUE"""),0.08402777778246673)</f>
        <v>0.08402777778</v>
      </c>
      <c r="F164" s="132">
        <f>IFERROR(__xludf.DUMMYFUNCTION("""COMPUTED_VALUE"""),0.45347222222335404)</f>
        <v>0.4534722222</v>
      </c>
      <c r="G164" s="78">
        <f>IFERROR(__xludf.DUMMYFUNCTION("""COMPUTED_VALUE"""),0.10347222222480923)</f>
        <v>0.1034722222</v>
      </c>
      <c r="H164" s="71">
        <f>IFERROR(__xludf.DUMMYFUNCTION("""COMPUTED_VALUE"""),71.0)</f>
        <v>71</v>
      </c>
      <c r="I164" s="80">
        <f>IFERROR(__xludf.DUMMYFUNCTION("""COMPUTED_VALUE"""),35.43624160985228)</f>
        <v>35.43624161</v>
      </c>
      <c r="J164" s="71" t="str">
        <f>IFERROR(__xludf.DUMMYFUNCTION("""COMPUTED_VALUE"""),"Breakfast")</f>
        <v>Breakfast</v>
      </c>
      <c r="K164" s="106">
        <f>IFERROR(__xludf.DUMMYFUNCTION("""COMPUTED_VALUE"""),46093.0)</f>
        <v>46093</v>
      </c>
      <c r="L164" s="71" t="str">
        <f>IFERROR(__xludf.DUMMYFUNCTION("""COMPUTED_VALUE"""),"Thursday")</f>
        <v>Thursday</v>
      </c>
      <c r="M164" s="71" t="str">
        <f>IFERROR(__xludf.DUMMYFUNCTION("""COMPUTED_VALUE"""),"BF")</f>
        <v>BF</v>
      </c>
      <c r="N164" s="109">
        <f>IFERROR(__xludf.DUMMYFUNCTION("""COMPUTED_VALUE"""),1.2499269830578081)</f>
        <v>1.249926983</v>
      </c>
      <c r="O164" s="71" t="str">
        <f>IFERROR(__xludf.DUMMYFUNCTION("""COMPUTED_VALUE"""),"")</f>
        <v/>
      </c>
      <c r="P164" s="71" t="str">
        <f>IFERROR(__xludf.DUMMYFUNCTION("""COMPUTED_VALUE"""),"")</f>
        <v/>
      </c>
      <c r="Q164" s="78" t="str">
        <f>IFERROR(__xludf.DUMMYFUNCTION("""COMPUTED_VALUE"""),"")</f>
        <v/>
      </c>
      <c r="R164" s="78" t="str">
        <f>IFERROR(__xludf.DUMMYFUNCTION("""COMPUTED_VALUE"""),"")</f>
        <v/>
      </c>
      <c r="S164" s="80" t="str">
        <f>IFERROR(__xludf.DUMMYFUNCTION("""COMPUTED_VALUE"""),"")</f>
        <v/>
      </c>
      <c r="T164" s="80" t="str">
        <f>IFERROR(__xludf.DUMMYFUNCTION("""COMPUTED_VALUE"""),"")</f>
        <v/>
      </c>
      <c r="U164" s="71" t="str">
        <f>IFERROR(__xludf.DUMMYFUNCTION("""COMPUTED_VALUE"""),"")</f>
        <v/>
      </c>
      <c r="V164" s="78" t="str">
        <f>IFERROR(__xludf.DUMMYFUNCTION("""COMPUTED_VALUE"""),"")</f>
        <v/>
      </c>
      <c r="W164" s="62" t="str">
        <f>IFERROR(__xludf.DUMMYFUNCTION("""COMPUTED_VALUE"""),"")</f>
        <v/>
      </c>
      <c r="X164" s="80" t="str">
        <f>IFERROR(__xludf.DUMMYFUNCTION("""COMPUTED_VALUE"""),"")</f>
        <v/>
      </c>
      <c r="Y164" s="109" t="str">
        <f>IFERROR(__xludf.DUMMYFUNCTION("""COMPUTED_VALUE"""),"")</f>
        <v/>
      </c>
      <c r="Z164" s="71"/>
      <c r="AA164" s="71"/>
      <c r="AB164" s="71"/>
    </row>
    <row r="165">
      <c r="A165" s="105">
        <f>IFERROR(__xludf.DUMMYFUNCTION("""COMPUTED_VALUE"""),46093.4793055787)</f>
        <v>46093.47931</v>
      </c>
      <c r="B165" s="71" t="str">
        <f>IFERROR(__xludf.DUMMYFUNCTION("""COMPUTED_VALUE"""),"Sophia Kluck")</f>
        <v>Sophia Kluck</v>
      </c>
      <c r="C165" s="71" t="b">
        <f>IFERROR(__xludf.DUMMYFUNCTION("""COMPUTED_VALUE"""),TRUE)</f>
        <v>1</v>
      </c>
      <c r="D165" s="132">
        <f>IFERROR(__xludf.DUMMYFUNCTION("""COMPUTED_VALUE"""),0.4562500000029104)</f>
        <v>0.45625</v>
      </c>
      <c r="E165" s="78">
        <f>IFERROR(__xludf.DUMMYFUNCTION("""COMPUTED_VALUE"""),0.0194444444423425)</f>
        <v>0.01944444444</v>
      </c>
      <c r="F165" s="132">
        <f>IFERROR(__xludf.DUMMYFUNCTION("""COMPUTED_VALUE"""),0.4756944444452529)</f>
        <v>0.4756944444</v>
      </c>
      <c r="G165" s="78" t="str">
        <f>IFERROR(__xludf.DUMMYFUNCTION("""COMPUTED_VALUE"""),"")</f>
        <v/>
      </c>
      <c r="H165" s="71">
        <f>IFERROR(__xludf.DUMMYFUNCTION("""COMPUTED_VALUE"""),17.0)</f>
        <v>17</v>
      </c>
      <c r="I165" s="80" t="str">
        <f>IFERROR(__xludf.DUMMYFUNCTION("""COMPUTED_VALUE"""),"")</f>
        <v/>
      </c>
      <c r="J165" s="71" t="str">
        <f>IFERROR(__xludf.DUMMYFUNCTION("""COMPUTED_VALUE"""),"Breakfast/Lunch")</f>
        <v>Breakfast/Lunch</v>
      </c>
      <c r="K165" s="106">
        <f>IFERROR(__xludf.DUMMYFUNCTION("""COMPUTED_VALUE"""),46093.0)</f>
        <v>46093</v>
      </c>
      <c r="L165" s="71" t="str">
        <f>IFERROR(__xludf.DUMMYFUNCTION("""COMPUTED_VALUE"""),"Thursday")</f>
        <v>Thursday</v>
      </c>
      <c r="M165" s="71" t="str">
        <f>IFERROR(__xludf.DUMMYFUNCTION("""COMPUTED_VALUE"""),"BF")</f>
        <v>BF</v>
      </c>
      <c r="N165" s="109" t="str">
        <f>IFERROR(__xludf.DUMMYFUNCTION("""COMPUTED_VALUE"""),"")</f>
        <v/>
      </c>
      <c r="O165" s="71" t="str">
        <f>IFERROR(__xludf.DUMMYFUNCTION("""COMPUTED_VALUE"""),"")</f>
        <v/>
      </c>
      <c r="P165" s="71" t="str">
        <f>IFERROR(__xludf.DUMMYFUNCTION("""COMPUTED_VALUE"""),"")</f>
        <v/>
      </c>
      <c r="Q165" s="78" t="str">
        <f>IFERROR(__xludf.DUMMYFUNCTION("""COMPUTED_VALUE"""),"")</f>
        <v/>
      </c>
      <c r="R165" s="78" t="str">
        <f>IFERROR(__xludf.DUMMYFUNCTION("""COMPUTED_VALUE"""),"")</f>
        <v/>
      </c>
      <c r="S165" s="80" t="str">
        <f>IFERROR(__xludf.DUMMYFUNCTION("""COMPUTED_VALUE"""),"")</f>
        <v/>
      </c>
      <c r="T165" s="80" t="str">
        <f>IFERROR(__xludf.DUMMYFUNCTION("""COMPUTED_VALUE"""),"")</f>
        <v/>
      </c>
      <c r="U165" s="71" t="str">
        <f>IFERROR(__xludf.DUMMYFUNCTION("""COMPUTED_VALUE"""),"")</f>
        <v/>
      </c>
      <c r="V165" s="78" t="str">
        <f>IFERROR(__xludf.DUMMYFUNCTION("""COMPUTED_VALUE"""),"")</f>
        <v/>
      </c>
      <c r="W165" s="62" t="str">
        <f>IFERROR(__xludf.DUMMYFUNCTION("""COMPUTED_VALUE"""),"")</f>
        <v/>
      </c>
      <c r="X165" s="80" t="str">
        <f>IFERROR(__xludf.DUMMYFUNCTION("""COMPUTED_VALUE"""),"")</f>
        <v/>
      </c>
      <c r="Y165" s="109" t="str">
        <f>IFERROR(__xludf.DUMMYFUNCTION("""COMPUTED_VALUE"""),"")</f>
        <v/>
      </c>
      <c r="Z165" s="71"/>
      <c r="AA165" s="71"/>
      <c r="AB165" s="71"/>
    </row>
    <row r="166">
      <c r="A166" s="105">
        <f>IFERROR(__xludf.DUMMYFUNCTION("""COMPUTED_VALUE"""),46093.52927782407)</f>
        <v>46093.52928</v>
      </c>
      <c r="B166" s="71" t="str">
        <f>IFERROR(__xludf.DUMMYFUNCTION("""COMPUTED_VALUE"""),"Emmett Khan")</f>
        <v>Emmett Khan</v>
      </c>
      <c r="C166" s="71" t="b">
        <f>IFERROR(__xludf.DUMMYFUNCTION("""COMPUTED_VALUE"""),FALSE)</f>
        <v>0</v>
      </c>
      <c r="D166" s="132">
        <f>IFERROR(__xludf.DUMMYFUNCTION("""COMPUTED_VALUE"""),0.47916666666424135)</f>
        <v>0.4791666667</v>
      </c>
      <c r="E166" s="78">
        <f>IFERROR(__xludf.DUMMYFUNCTION("""COMPUTED_VALUE"""),0.05208333333575865)</f>
        <v>0.05208333334</v>
      </c>
      <c r="F166" s="132">
        <f>IFERROR(__xludf.DUMMYFUNCTION("""COMPUTED_VALUE"""),0.53125)</f>
        <v>0.53125</v>
      </c>
      <c r="G166" s="78">
        <f>IFERROR(__xludf.DUMMYFUNCTION("""COMPUTED_VALUE"""),0.05208333333575865)</f>
        <v>0.05208333334</v>
      </c>
      <c r="H166" s="71">
        <f>IFERROR(__xludf.DUMMYFUNCTION("""COMPUTED_VALUE"""),64.0)</f>
        <v>64</v>
      </c>
      <c r="I166" s="80">
        <f>IFERROR(__xludf.DUMMYFUNCTION("""COMPUTED_VALUE"""),51.19999999761581)</f>
        <v>51.2</v>
      </c>
      <c r="J166" s="71" t="str">
        <f>IFERROR(__xludf.DUMMYFUNCTION("""COMPUTED_VALUE"""),"Lunch")</f>
        <v>Lunch</v>
      </c>
      <c r="K166" s="106">
        <f>IFERROR(__xludf.DUMMYFUNCTION("""COMPUTED_VALUE"""),46093.0)</f>
        <v>46093</v>
      </c>
      <c r="L166" s="71" t="str">
        <f>IFERROR(__xludf.DUMMYFUNCTION("""COMPUTED_VALUE"""),"Thursday")</f>
        <v>Thursday</v>
      </c>
      <c r="M166" s="71" t="str">
        <f>IFERROR(__xludf.DUMMYFUNCTION("""COMPUTED_VALUE"""),"MF")</f>
        <v>MF</v>
      </c>
      <c r="N166" s="109">
        <f>IFERROR(__xludf.DUMMYFUNCTION("""COMPUTED_VALUE"""),1.0183482820149095)</f>
        <v>1.018348282</v>
      </c>
      <c r="O166" s="71" t="str">
        <f>IFERROR(__xludf.DUMMYFUNCTION("""COMPUTED_VALUE"""),"")</f>
        <v/>
      </c>
      <c r="P166" s="71" t="str">
        <f>IFERROR(__xludf.DUMMYFUNCTION("""COMPUTED_VALUE"""),"")</f>
        <v/>
      </c>
      <c r="Q166" s="78" t="str">
        <f>IFERROR(__xludf.DUMMYFUNCTION("""COMPUTED_VALUE"""),"")</f>
        <v/>
      </c>
      <c r="R166" s="78" t="str">
        <f>IFERROR(__xludf.DUMMYFUNCTION("""COMPUTED_VALUE"""),"")</f>
        <v/>
      </c>
      <c r="S166" s="80" t="str">
        <f>IFERROR(__xludf.DUMMYFUNCTION("""COMPUTED_VALUE"""),"")</f>
        <v/>
      </c>
      <c r="T166" s="80" t="str">
        <f>IFERROR(__xludf.DUMMYFUNCTION("""COMPUTED_VALUE"""),"")</f>
        <v/>
      </c>
      <c r="U166" s="71" t="str">
        <f>IFERROR(__xludf.DUMMYFUNCTION("""COMPUTED_VALUE"""),"")</f>
        <v/>
      </c>
      <c r="V166" s="78" t="str">
        <f>IFERROR(__xludf.DUMMYFUNCTION("""COMPUTED_VALUE"""),"")</f>
        <v/>
      </c>
      <c r="W166" s="62" t="str">
        <f>IFERROR(__xludf.DUMMYFUNCTION("""COMPUTED_VALUE"""),"")</f>
        <v/>
      </c>
      <c r="X166" s="80" t="str">
        <f>IFERROR(__xludf.DUMMYFUNCTION("""COMPUTED_VALUE"""),"")</f>
        <v/>
      </c>
      <c r="Y166" s="109" t="str">
        <f>IFERROR(__xludf.DUMMYFUNCTION("""COMPUTED_VALUE"""),"")</f>
        <v/>
      </c>
      <c r="Z166" s="71"/>
      <c r="AA166" s="71"/>
      <c r="AB166" s="71"/>
    </row>
    <row r="167">
      <c r="A167" s="105">
        <f>IFERROR(__xludf.DUMMYFUNCTION("""COMPUTED_VALUE"""),46093.57959949074)</f>
        <v>46093.5796</v>
      </c>
      <c r="B167" s="71" t="str">
        <f>IFERROR(__xludf.DUMMYFUNCTION("""COMPUTED_VALUE"""),"Kyra Turner")</f>
        <v>Kyra Turner</v>
      </c>
      <c r="C167" s="71" t="b">
        <f>IFERROR(__xludf.DUMMYFUNCTION("""COMPUTED_VALUE"""),FALSE)</f>
        <v>0</v>
      </c>
      <c r="D167" s="132">
        <f>IFERROR(__xludf.DUMMYFUNCTION("""COMPUTED_VALUE"""),0.5006944444467081)</f>
        <v>0.5006944444</v>
      </c>
      <c r="E167" s="78">
        <f>IFERROR(__xludf.DUMMYFUNCTION("""COMPUTED_VALUE"""),0.07708333332993789)</f>
        <v>0.07708333333</v>
      </c>
      <c r="F167" s="132">
        <f>IFERROR(__xludf.DUMMYFUNCTION("""COMPUTED_VALUE"""),0.577777777776646)</f>
        <v>0.5777777778</v>
      </c>
      <c r="G167" s="78">
        <f>IFERROR(__xludf.DUMMYFUNCTION("""COMPUTED_VALUE"""),0.1388888888832298)</f>
        <v>0.1388888889</v>
      </c>
      <c r="H167" s="71">
        <f>IFERROR(__xludf.DUMMYFUNCTION("""COMPUTED_VALUE"""),111.0)</f>
        <v>111</v>
      </c>
      <c r="I167" s="80">
        <f>IFERROR(__xludf.DUMMYFUNCTION("""COMPUTED_VALUE"""),57.30000000233471)</f>
        <v>57.3</v>
      </c>
      <c r="J167" s="71" t="str">
        <f>IFERROR(__xludf.DUMMYFUNCTION("""COMPUTED_VALUE"""),"Lunch")</f>
        <v>Lunch</v>
      </c>
      <c r="K167" s="106">
        <f>IFERROR(__xludf.DUMMYFUNCTION("""COMPUTED_VALUE"""),46093.0)</f>
        <v>46093</v>
      </c>
      <c r="L167" s="71" t="str">
        <f>IFERROR(__xludf.DUMMYFUNCTION("""COMPUTED_VALUE"""),"Thursday")</f>
        <v>Thursday</v>
      </c>
      <c r="M167" s="71" t="str">
        <f>IFERROR(__xludf.DUMMYFUNCTION("""COMPUTED_VALUE"""),"BF")</f>
        <v>BF</v>
      </c>
      <c r="N167" s="109">
        <f>IFERROR(__xludf.DUMMYFUNCTION("""COMPUTED_VALUE"""),2.0211177280216424)</f>
        <v>2.021117728</v>
      </c>
      <c r="O167" s="71" t="str">
        <f>IFERROR(__xludf.DUMMYFUNCTION("""COMPUTED_VALUE"""),"")</f>
        <v/>
      </c>
      <c r="P167" s="71" t="str">
        <f>IFERROR(__xludf.DUMMYFUNCTION("""COMPUTED_VALUE"""),"")</f>
        <v/>
      </c>
      <c r="Q167" s="78" t="str">
        <f>IFERROR(__xludf.DUMMYFUNCTION("""COMPUTED_VALUE"""),"")</f>
        <v/>
      </c>
      <c r="R167" s="78" t="str">
        <f>IFERROR(__xludf.DUMMYFUNCTION("""COMPUTED_VALUE"""),"")</f>
        <v/>
      </c>
      <c r="S167" s="80" t="str">
        <f>IFERROR(__xludf.DUMMYFUNCTION("""COMPUTED_VALUE"""),"")</f>
        <v/>
      </c>
      <c r="T167" s="80" t="str">
        <f>IFERROR(__xludf.DUMMYFUNCTION("""COMPUTED_VALUE"""),"")</f>
        <v/>
      </c>
      <c r="U167" s="71" t="str">
        <f>IFERROR(__xludf.DUMMYFUNCTION("""COMPUTED_VALUE"""),"")</f>
        <v/>
      </c>
      <c r="V167" s="78" t="str">
        <f>IFERROR(__xludf.DUMMYFUNCTION("""COMPUTED_VALUE"""),"")</f>
        <v/>
      </c>
      <c r="W167" s="62" t="str">
        <f>IFERROR(__xludf.DUMMYFUNCTION("""COMPUTED_VALUE"""),"")</f>
        <v/>
      </c>
      <c r="X167" s="80" t="str">
        <f>IFERROR(__xludf.DUMMYFUNCTION("""COMPUTED_VALUE"""),"")</f>
        <v/>
      </c>
      <c r="Y167" s="109" t="str">
        <f>IFERROR(__xludf.DUMMYFUNCTION("""COMPUTED_VALUE"""),"")</f>
        <v/>
      </c>
      <c r="Z167" s="71"/>
      <c r="AA167" s="71"/>
      <c r="AB167" s="71"/>
    </row>
    <row r="168">
      <c r="A168" s="105">
        <f>IFERROR(__xludf.DUMMYFUNCTION("""COMPUTED_VALUE"""),46093.64554915509)</f>
        <v>46093.64555</v>
      </c>
      <c r="B168" s="71" t="str">
        <f>IFERROR(__xludf.DUMMYFUNCTION("""COMPUTED_VALUE"""),"Kyra Turner")</f>
        <v>Kyra Turner</v>
      </c>
      <c r="C168" s="71" t="b">
        <f>IFERROR(__xludf.DUMMYFUNCTION("""COMPUTED_VALUE"""),TRUE)</f>
        <v>1</v>
      </c>
      <c r="D168" s="132">
        <f>IFERROR(__xludf.DUMMYFUNCTION("""COMPUTED_VALUE"""),0.5798611111094942)</f>
        <v>0.5798611111</v>
      </c>
      <c r="E168" s="78">
        <f>IFERROR(__xludf.DUMMYFUNCTION("""COMPUTED_VALUE"""),0.061805555553291924)</f>
        <v>0.06180555555</v>
      </c>
      <c r="F168" s="132">
        <f>IFERROR(__xludf.DUMMYFUNCTION("""COMPUTED_VALUE"""),0.6416666666627862)</f>
        <v>0.6416666667</v>
      </c>
      <c r="G168" s="78" t="str">
        <f>IFERROR(__xludf.DUMMYFUNCTION("""COMPUTED_VALUE"""),"")</f>
        <v/>
      </c>
      <c r="H168" s="71">
        <f>IFERROR(__xludf.DUMMYFUNCTION("""COMPUTED_VALUE"""),80.0)</f>
        <v>80</v>
      </c>
      <c r="I168" s="80" t="str">
        <f>IFERROR(__xludf.DUMMYFUNCTION("""COMPUTED_VALUE"""),"")</f>
        <v/>
      </c>
      <c r="J168" s="71" t="str">
        <f>IFERROR(__xludf.DUMMYFUNCTION("""COMPUTED_VALUE"""),"Lunch")</f>
        <v>Lunch</v>
      </c>
      <c r="K168" s="106">
        <f>IFERROR(__xludf.DUMMYFUNCTION("""COMPUTED_VALUE"""),46093.0)</f>
        <v>46093</v>
      </c>
      <c r="L168" s="71" t="str">
        <f>IFERROR(__xludf.DUMMYFUNCTION("""COMPUTED_VALUE"""),"Thursday")</f>
        <v>Thursday</v>
      </c>
      <c r="M168" s="71" t="str">
        <f>IFERROR(__xludf.DUMMYFUNCTION("""COMPUTED_VALUE"""),"BF")</f>
        <v>BF</v>
      </c>
      <c r="N168" s="109" t="str">
        <f>IFERROR(__xludf.DUMMYFUNCTION("""COMPUTED_VALUE"""),"")</f>
        <v/>
      </c>
      <c r="O168" s="71" t="str">
        <f>IFERROR(__xludf.DUMMYFUNCTION("""COMPUTED_VALUE"""),"")</f>
        <v/>
      </c>
      <c r="P168" s="71" t="str">
        <f>IFERROR(__xludf.DUMMYFUNCTION("""COMPUTED_VALUE"""),"")</f>
        <v/>
      </c>
      <c r="Q168" s="78" t="str">
        <f>IFERROR(__xludf.DUMMYFUNCTION("""COMPUTED_VALUE"""),"")</f>
        <v/>
      </c>
      <c r="R168" s="78" t="str">
        <f>IFERROR(__xludf.DUMMYFUNCTION("""COMPUTED_VALUE"""),"")</f>
        <v/>
      </c>
      <c r="S168" s="80" t="str">
        <f>IFERROR(__xludf.DUMMYFUNCTION("""COMPUTED_VALUE"""),"")</f>
        <v/>
      </c>
      <c r="T168" s="80" t="str">
        <f>IFERROR(__xludf.DUMMYFUNCTION("""COMPUTED_VALUE"""),"")</f>
        <v/>
      </c>
      <c r="U168" s="71" t="str">
        <f>IFERROR(__xludf.DUMMYFUNCTION("""COMPUTED_VALUE"""),"")</f>
        <v/>
      </c>
      <c r="V168" s="78" t="str">
        <f>IFERROR(__xludf.DUMMYFUNCTION("""COMPUTED_VALUE"""),"")</f>
        <v/>
      </c>
      <c r="W168" s="62" t="str">
        <f>IFERROR(__xludf.DUMMYFUNCTION("""COMPUTED_VALUE"""),"")</f>
        <v/>
      </c>
      <c r="X168" s="80" t="str">
        <f>IFERROR(__xludf.DUMMYFUNCTION("""COMPUTED_VALUE"""),"")</f>
        <v/>
      </c>
      <c r="Y168" s="109" t="str">
        <f>IFERROR(__xludf.DUMMYFUNCTION("""COMPUTED_VALUE"""),"")</f>
        <v/>
      </c>
      <c r="Z168" s="71"/>
      <c r="AA168" s="71"/>
      <c r="AB168" s="71"/>
    </row>
    <row r="169">
      <c r="A169" s="105">
        <f>IFERROR(__xludf.DUMMYFUNCTION("""COMPUTED_VALUE"""),46093.7770591088)</f>
        <v>46093.77706</v>
      </c>
      <c r="B169" s="71" t="str">
        <f>IFERROR(__xludf.DUMMYFUNCTION("""COMPUTED_VALUE"""),"Emmett Khan")</f>
        <v>Emmett Khan</v>
      </c>
      <c r="C169" s="71" t="b">
        <f>IFERROR(__xludf.DUMMYFUNCTION("""COMPUTED_VALUE"""),FALSE)</f>
        <v>0</v>
      </c>
      <c r="D169" s="132">
        <f>IFERROR(__xludf.DUMMYFUNCTION("""COMPUTED_VALUE"""),0.7083333333357587)</f>
        <v>0.7083333333</v>
      </c>
      <c r="E169" s="78">
        <f>IFERROR(__xludf.DUMMYFUNCTION("""COMPUTED_VALUE"""),0.07291666666424135)</f>
        <v>0.07291666666</v>
      </c>
      <c r="F169" s="132">
        <f>IFERROR(__xludf.DUMMYFUNCTION("""COMPUTED_VALUE"""),0.78125)</f>
        <v>0.78125</v>
      </c>
      <c r="G169" s="78">
        <f>IFERROR(__xludf.DUMMYFUNCTION("""COMPUTED_VALUE"""),0.07291666666424135)</f>
        <v>0.07291666666</v>
      </c>
      <c r="H169" s="71">
        <f>IFERROR(__xludf.DUMMYFUNCTION("""COMPUTED_VALUE"""),90.0)</f>
        <v>90</v>
      </c>
      <c r="I169" s="80">
        <f>IFERROR(__xludf.DUMMYFUNCTION("""COMPUTED_VALUE"""),51.42857143028202)</f>
        <v>51.42857143</v>
      </c>
      <c r="J169" s="71" t="str">
        <f>IFERROR(__xludf.DUMMYFUNCTION("""COMPUTED_VALUE"""),"Dinner")</f>
        <v>Dinner</v>
      </c>
      <c r="K169" s="106">
        <f>IFERROR(__xludf.DUMMYFUNCTION("""COMPUTED_VALUE"""),46093.0)</f>
        <v>46093</v>
      </c>
      <c r="L169" s="71" t="str">
        <f>IFERROR(__xludf.DUMMYFUNCTION("""COMPUTED_VALUE"""),"Thursday")</f>
        <v>Thursday</v>
      </c>
      <c r="M169" s="71" t="str">
        <f>IFERROR(__xludf.DUMMYFUNCTION("""COMPUTED_VALUE"""),"MF")</f>
        <v>MF</v>
      </c>
      <c r="N169" s="109">
        <f>IFERROR(__xludf.DUMMYFUNCTION("""COMPUTED_VALUE"""),1.1088599908184658)</f>
        <v>1.108859991</v>
      </c>
      <c r="O169" s="71" t="str">
        <f>IFERROR(__xludf.DUMMYFUNCTION("""COMPUTED_VALUE"""),"")</f>
        <v/>
      </c>
      <c r="P169" s="71" t="str">
        <f>IFERROR(__xludf.DUMMYFUNCTION("""COMPUTED_VALUE"""),"")</f>
        <v/>
      </c>
      <c r="Q169" s="78" t="str">
        <f>IFERROR(__xludf.DUMMYFUNCTION("""COMPUTED_VALUE"""),"")</f>
        <v/>
      </c>
      <c r="R169" s="78" t="str">
        <f>IFERROR(__xludf.DUMMYFUNCTION("""COMPUTED_VALUE"""),"")</f>
        <v/>
      </c>
      <c r="S169" s="80" t="str">
        <f>IFERROR(__xludf.DUMMYFUNCTION("""COMPUTED_VALUE"""),"")</f>
        <v/>
      </c>
      <c r="T169" s="80" t="str">
        <f>IFERROR(__xludf.DUMMYFUNCTION("""COMPUTED_VALUE"""),"")</f>
        <v/>
      </c>
      <c r="U169" s="71" t="str">
        <f>IFERROR(__xludf.DUMMYFUNCTION("""COMPUTED_VALUE"""),"")</f>
        <v/>
      </c>
      <c r="V169" s="78" t="str">
        <f>IFERROR(__xludf.DUMMYFUNCTION("""COMPUTED_VALUE"""),"")</f>
        <v/>
      </c>
      <c r="W169" s="62" t="str">
        <f>IFERROR(__xludf.DUMMYFUNCTION("""COMPUTED_VALUE"""),"")</f>
        <v/>
      </c>
      <c r="X169" s="80" t="str">
        <f>IFERROR(__xludf.DUMMYFUNCTION("""COMPUTED_VALUE"""),"")</f>
        <v/>
      </c>
      <c r="Y169" s="109" t="str">
        <f>IFERROR(__xludf.DUMMYFUNCTION("""COMPUTED_VALUE"""),"")</f>
        <v/>
      </c>
      <c r="Z169" s="71"/>
      <c r="AA169" s="71"/>
      <c r="AB169" s="71"/>
    </row>
    <row r="170">
      <c r="A170" s="105">
        <f>IFERROR(__xludf.DUMMYFUNCTION("""COMPUTED_VALUE"""),46093.84711077546)</f>
        <v>46093.84711</v>
      </c>
      <c r="B170" s="71" t="str">
        <f>IFERROR(__xludf.DUMMYFUNCTION("""COMPUTED_VALUE"""),"Leah Bucci")</f>
        <v>Leah Bucci</v>
      </c>
      <c r="C170" s="71" t="b">
        <f>IFERROR(__xludf.DUMMYFUNCTION("""COMPUTED_VALUE"""),FALSE)</f>
        <v>0</v>
      </c>
      <c r="D170" s="132">
        <f>IFERROR(__xludf.DUMMYFUNCTION("""COMPUTED_VALUE"""),0.6875)</f>
        <v>0.6875</v>
      </c>
      <c r="E170" s="78">
        <f>IFERROR(__xludf.DUMMYFUNCTION("""COMPUTED_VALUE"""),0.09722222221898846)</f>
        <v>0.09722222222</v>
      </c>
      <c r="F170" s="132">
        <f>IFERROR(__xludf.DUMMYFUNCTION("""COMPUTED_VALUE"""),0.7847222222189885)</f>
        <v>0.7847222222</v>
      </c>
      <c r="G170" s="78">
        <f>IFERROR(__xludf.DUMMYFUNCTION("""COMPUTED_VALUE"""),0.15972222221898846)</f>
        <v>0.1597222222</v>
      </c>
      <c r="H170" s="71">
        <f>IFERROR(__xludf.DUMMYFUNCTION("""COMPUTED_VALUE"""),215.0)</f>
        <v>215</v>
      </c>
      <c r="I170" s="80">
        <f>IFERROR(__xludf.DUMMYFUNCTION("""COMPUTED_VALUE"""),105.39130434995985)</f>
        <v>105.3913043</v>
      </c>
      <c r="J170" s="71" t="str">
        <f>IFERROR(__xludf.DUMMYFUNCTION("""COMPUTED_VALUE"""),"Dinner")</f>
        <v>Dinner</v>
      </c>
      <c r="K170" s="106">
        <f>IFERROR(__xludf.DUMMYFUNCTION("""COMPUTED_VALUE"""),46093.0)</f>
        <v>46093</v>
      </c>
      <c r="L170" s="71" t="str">
        <f>IFERROR(__xludf.DUMMYFUNCTION("""COMPUTED_VALUE"""),"Thursday")</f>
        <v>Thursday</v>
      </c>
      <c r="M170" s="71" t="str">
        <f>IFERROR(__xludf.DUMMYFUNCTION("""COMPUTED_VALUE"""),"BF")</f>
        <v>BF</v>
      </c>
      <c r="N170" s="109">
        <f>IFERROR(__xludf.DUMMYFUNCTION("""COMPUTED_VALUE"""),2.3719782052842726)</f>
        <v>2.371978205</v>
      </c>
      <c r="O170" s="71" t="str">
        <f>IFERROR(__xludf.DUMMYFUNCTION("""COMPUTED_VALUE"""),"")</f>
        <v/>
      </c>
      <c r="P170" s="71" t="str">
        <f>IFERROR(__xludf.DUMMYFUNCTION("""COMPUTED_VALUE"""),"")</f>
        <v/>
      </c>
      <c r="Q170" s="78" t="str">
        <f>IFERROR(__xludf.DUMMYFUNCTION("""COMPUTED_VALUE"""),"")</f>
        <v/>
      </c>
      <c r="R170" s="78" t="str">
        <f>IFERROR(__xludf.DUMMYFUNCTION("""COMPUTED_VALUE"""),"")</f>
        <v/>
      </c>
      <c r="S170" s="80" t="str">
        <f>IFERROR(__xludf.DUMMYFUNCTION("""COMPUTED_VALUE"""),"")</f>
        <v/>
      </c>
      <c r="T170" s="80" t="str">
        <f>IFERROR(__xludf.DUMMYFUNCTION("""COMPUTED_VALUE"""),"")</f>
        <v/>
      </c>
      <c r="U170" s="71" t="str">
        <f>IFERROR(__xludf.DUMMYFUNCTION("""COMPUTED_VALUE"""),"")</f>
        <v/>
      </c>
      <c r="V170" s="78" t="str">
        <f>IFERROR(__xludf.DUMMYFUNCTION("""COMPUTED_VALUE"""),"")</f>
        <v/>
      </c>
      <c r="W170" s="62" t="str">
        <f>IFERROR(__xludf.DUMMYFUNCTION("""COMPUTED_VALUE"""),"")</f>
        <v/>
      </c>
      <c r="X170" s="80" t="str">
        <f>IFERROR(__xludf.DUMMYFUNCTION("""COMPUTED_VALUE"""),"")</f>
        <v/>
      </c>
      <c r="Y170" s="109" t="str">
        <f>IFERROR(__xludf.DUMMYFUNCTION("""COMPUTED_VALUE"""),"")</f>
        <v/>
      </c>
      <c r="Z170" s="71"/>
      <c r="AA170" s="71"/>
      <c r="AB170" s="71"/>
    </row>
    <row r="171">
      <c r="A171" s="105">
        <f>IFERROR(__xludf.DUMMYFUNCTION("""COMPUTED_VALUE"""),46093.85554021991)</f>
        <v>46093.85554</v>
      </c>
      <c r="B171" s="71" t="str">
        <f>IFERROR(__xludf.DUMMYFUNCTION("""COMPUTED_VALUE"""),"Leah Bucci")</f>
        <v>Leah Bucci</v>
      </c>
      <c r="C171" s="71" t="b">
        <f>IFERROR(__xludf.DUMMYFUNCTION("""COMPUTED_VALUE"""),TRUE)</f>
        <v>1</v>
      </c>
      <c r="D171" s="132">
        <f>IFERROR(__xludf.DUMMYFUNCTION("""COMPUTED_VALUE"""),0.7881944444452529)</f>
        <v>0.7881944444</v>
      </c>
      <c r="E171" s="78">
        <f>IFERROR(__xludf.DUMMYFUNCTION("""COMPUTED_VALUE"""),0.0625)</f>
        <v>0.0625</v>
      </c>
      <c r="F171" s="132">
        <f>IFERROR(__xludf.DUMMYFUNCTION("""COMPUTED_VALUE"""),0.8506944444452529)</f>
        <v>0.8506944444</v>
      </c>
      <c r="G171" s="78" t="str">
        <f>IFERROR(__xludf.DUMMYFUNCTION("""COMPUTED_VALUE"""),"")</f>
        <v/>
      </c>
      <c r="H171" s="71">
        <f>IFERROR(__xludf.DUMMYFUNCTION("""COMPUTED_VALUE"""),189.0)</f>
        <v>189</v>
      </c>
      <c r="I171" s="80" t="str">
        <f>IFERROR(__xludf.DUMMYFUNCTION("""COMPUTED_VALUE"""),"")</f>
        <v/>
      </c>
      <c r="J171" s="71" t="str">
        <f>IFERROR(__xludf.DUMMYFUNCTION("""COMPUTED_VALUE"""),"Dinner")</f>
        <v>Dinner</v>
      </c>
      <c r="K171" s="106">
        <f>IFERROR(__xludf.DUMMYFUNCTION("""COMPUTED_VALUE"""),46093.0)</f>
        <v>46093</v>
      </c>
      <c r="L171" s="71" t="str">
        <f>IFERROR(__xludf.DUMMYFUNCTION("""COMPUTED_VALUE"""),"Thursday")</f>
        <v>Thursday</v>
      </c>
      <c r="M171" s="71" t="str">
        <f>IFERROR(__xludf.DUMMYFUNCTION("""COMPUTED_VALUE"""),"BF")</f>
        <v>BF</v>
      </c>
      <c r="N171" s="109" t="str">
        <f>IFERROR(__xludf.DUMMYFUNCTION("""COMPUTED_VALUE"""),"")</f>
        <v/>
      </c>
      <c r="O171" s="71">
        <f>IFERROR(__xludf.DUMMYFUNCTION("""COMPUTED_VALUE"""),154.0)</f>
        <v>154</v>
      </c>
      <c r="P171" s="71">
        <f>IFERROR(__xludf.DUMMYFUNCTION("""COMPUTED_VALUE"""),710.0)</f>
        <v>710</v>
      </c>
      <c r="Q171" s="78">
        <f>IFERROR(__xludf.DUMMYFUNCTION("""COMPUTED_VALUE"""),0.125)</f>
        <v>0.125</v>
      </c>
      <c r="R171" s="78">
        <f>IFERROR(__xludf.DUMMYFUNCTION("""COMPUTED_VALUE"""),0.4715277777722804)</f>
        <v>0.4715277778</v>
      </c>
      <c r="S171" s="80">
        <f>IFERROR(__xludf.DUMMYFUNCTION("""COMPUTED_VALUE"""),51.31428571394892)</f>
        <v>51.31428571</v>
      </c>
      <c r="T171" s="80">
        <f>IFERROR(__xludf.DUMMYFUNCTION("""COMPUTED_VALUE"""),53.581886490489566)</f>
        <v>53.58188649</v>
      </c>
      <c r="U171" s="71">
        <f>IFERROR(__xludf.DUMMYFUNCTION("""COMPUTED_VALUE"""),864.0)</f>
        <v>864</v>
      </c>
      <c r="V171" s="78">
        <f>IFERROR(__xludf.DUMMYFUNCTION("""COMPUTED_VALUE"""),0.5965277777722804)</f>
        <v>0.5965277778</v>
      </c>
      <c r="W171" s="62">
        <f>IFERROR(__xludf.DUMMYFUNCTION("""COMPUTED_VALUE"""),60.34924330672612)</f>
        <v>60.34924331</v>
      </c>
      <c r="X171" s="80">
        <f>IFERROR(__xludf.DUMMYFUNCTION("""COMPUTED_VALUE"""),52.826019564976015)</f>
        <v>52.82601956</v>
      </c>
      <c r="Y171" s="109">
        <f>IFERROR(__xludf.DUMMYFUNCTION("""COMPUTED_VALUE"""),0.7186133941997244)</f>
        <v>0.7186133942</v>
      </c>
      <c r="Z171" s="71"/>
      <c r="AA171" s="71"/>
      <c r="AB171" s="71"/>
    </row>
    <row r="172">
      <c r="A172" s="105">
        <f>IFERROR(__xludf.DUMMYFUNCTION("""COMPUTED_VALUE"""),46094.37842328704)</f>
        <v>46094.37842</v>
      </c>
      <c r="B172" s="71" t="str">
        <f>IFERROR(__xludf.DUMMYFUNCTION("""COMPUTED_VALUE"""),"Alexis Sylvestre")</f>
        <v>Alexis Sylvestre</v>
      </c>
      <c r="C172" s="71" t="b">
        <f>IFERROR(__xludf.DUMMYFUNCTION("""COMPUTED_VALUE"""),FALSE)</f>
        <v>0</v>
      </c>
      <c r="D172" s="132">
        <f>IFERROR(__xludf.DUMMYFUNCTION("""COMPUTED_VALUE"""),0.34027777778101154)</f>
        <v>0.3402777778</v>
      </c>
      <c r="E172" s="78">
        <f>IFERROR(__xludf.DUMMYFUNCTION("""COMPUTED_VALUE"""),0.03680555555183673)</f>
        <v>0.03680555555</v>
      </c>
      <c r="F172" s="132">
        <f>IFERROR(__xludf.DUMMYFUNCTION("""COMPUTED_VALUE"""),0.37708333333284827)</f>
        <v>0.3770833333</v>
      </c>
      <c r="G172" s="78">
        <f>IFERROR(__xludf.DUMMYFUNCTION("""COMPUTED_VALUE"""),0.03680555555183673)</f>
        <v>0.03680555555</v>
      </c>
      <c r="H172" s="71">
        <f>IFERROR(__xludf.DUMMYFUNCTION("""COMPUTED_VALUE"""),14.0)</f>
        <v>14</v>
      </c>
      <c r="I172" s="80">
        <f>IFERROR(__xludf.DUMMYFUNCTION("""COMPUTED_VALUE"""),15.849056605374969)</f>
        <v>15.84905661</v>
      </c>
      <c r="J172" s="71" t="str">
        <f>IFERROR(__xludf.DUMMYFUNCTION("""COMPUTED_VALUE"""),"Breakfast")</f>
        <v>Breakfast</v>
      </c>
      <c r="K172" s="106">
        <f>IFERROR(__xludf.DUMMYFUNCTION("""COMPUTED_VALUE"""),46094.0)</f>
        <v>46094</v>
      </c>
      <c r="L172" s="71" t="str">
        <f>IFERROR(__xludf.DUMMYFUNCTION("""COMPUTED_VALUE"""),"Friday")</f>
        <v>Friday</v>
      </c>
      <c r="M172" s="71" t="str">
        <f>IFERROR(__xludf.DUMMYFUNCTION("""COMPUTED_VALUE"""),"BF")</f>
        <v>BF</v>
      </c>
      <c r="N172" s="109">
        <f>IFERROR(__xludf.DUMMYFUNCTION("""COMPUTED_VALUE"""),0.5590368111036068)</f>
        <v>0.5590368111</v>
      </c>
      <c r="O172" s="71" t="str">
        <f>IFERROR(__xludf.DUMMYFUNCTION("""COMPUTED_VALUE"""),"")</f>
        <v/>
      </c>
      <c r="P172" s="71" t="str">
        <f>IFERROR(__xludf.DUMMYFUNCTION("""COMPUTED_VALUE"""),"")</f>
        <v/>
      </c>
      <c r="Q172" s="78" t="str">
        <f>IFERROR(__xludf.DUMMYFUNCTION("""COMPUTED_VALUE"""),"")</f>
        <v/>
      </c>
      <c r="R172" s="78" t="str">
        <f>IFERROR(__xludf.DUMMYFUNCTION("""COMPUTED_VALUE"""),"")</f>
        <v/>
      </c>
      <c r="S172" s="80" t="str">
        <f>IFERROR(__xludf.DUMMYFUNCTION("""COMPUTED_VALUE"""),"")</f>
        <v/>
      </c>
      <c r="T172" s="80" t="str">
        <f>IFERROR(__xludf.DUMMYFUNCTION("""COMPUTED_VALUE"""),"")</f>
        <v/>
      </c>
      <c r="U172" s="71" t="str">
        <f>IFERROR(__xludf.DUMMYFUNCTION("""COMPUTED_VALUE"""),"")</f>
        <v/>
      </c>
      <c r="V172" s="78" t="str">
        <f>IFERROR(__xludf.DUMMYFUNCTION("""COMPUTED_VALUE"""),"")</f>
        <v/>
      </c>
      <c r="W172" s="62" t="str">
        <f>IFERROR(__xludf.DUMMYFUNCTION("""COMPUTED_VALUE"""),"")</f>
        <v/>
      </c>
      <c r="X172" s="80" t="str">
        <f>IFERROR(__xludf.DUMMYFUNCTION("""COMPUTED_VALUE"""),"")</f>
        <v/>
      </c>
      <c r="Y172" s="109" t="str">
        <f>IFERROR(__xludf.DUMMYFUNCTION("""COMPUTED_VALUE"""),"")</f>
        <v/>
      </c>
      <c r="Z172" s="71"/>
      <c r="AA172" s="71"/>
      <c r="AB172" s="71"/>
    </row>
    <row r="173">
      <c r="A173" s="105">
        <f>IFERROR(__xludf.DUMMYFUNCTION("""COMPUTED_VALUE"""),46094.43871113426)</f>
        <v>46094.43871</v>
      </c>
      <c r="B173" s="71" t="str">
        <f>IFERROR(__xludf.DUMMYFUNCTION("""COMPUTED_VALUE"""),"Kaylie Forgue")</f>
        <v>Kaylie Forgue</v>
      </c>
      <c r="C173" s="71" t="b">
        <f>IFERROR(__xludf.DUMMYFUNCTION("""COMPUTED_VALUE"""),FALSE)</f>
        <v>0</v>
      </c>
      <c r="D173" s="132">
        <f>IFERROR(__xludf.DUMMYFUNCTION("""COMPUTED_VALUE"""),0.3701388888875954)</f>
        <v>0.3701388889</v>
      </c>
      <c r="E173" s="78">
        <f>IFERROR(__xludf.DUMMYFUNCTION("""COMPUTED_VALUE"""),0.0625)</f>
        <v>0.0625</v>
      </c>
      <c r="F173" s="132">
        <f>IFERROR(__xludf.DUMMYFUNCTION("""COMPUTED_VALUE"""),0.4326388888875954)</f>
        <v>0.4326388889</v>
      </c>
      <c r="G173" s="78">
        <f>IFERROR(__xludf.DUMMYFUNCTION("""COMPUTED_VALUE"""),0.0625)</f>
        <v>0.0625</v>
      </c>
      <c r="H173" s="71">
        <f>IFERROR(__xludf.DUMMYFUNCTION("""COMPUTED_VALUE"""),58.0)</f>
        <v>58</v>
      </c>
      <c r="I173" s="80">
        <f>IFERROR(__xludf.DUMMYFUNCTION("""COMPUTED_VALUE"""),38.666666666666664)</f>
        <v>38.66666667</v>
      </c>
      <c r="J173" s="71" t="str">
        <f>IFERROR(__xludf.DUMMYFUNCTION("""COMPUTED_VALUE"""),"Breakfast")</f>
        <v>Breakfast</v>
      </c>
      <c r="K173" s="106">
        <f>IFERROR(__xludf.DUMMYFUNCTION("""COMPUTED_VALUE"""),46094.0)</f>
        <v>46094</v>
      </c>
      <c r="L173" s="71" t="str">
        <f>IFERROR(__xludf.DUMMYFUNCTION("""COMPUTED_VALUE"""),"Friday")</f>
        <v>Friday</v>
      </c>
      <c r="M173" s="71" t="str">
        <f>IFERROR(__xludf.DUMMYFUNCTION("""COMPUTED_VALUE"""),"BF")</f>
        <v>BF</v>
      </c>
      <c r="N173" s="109">
        <f>IFERROR(__xludf.DUMMYFUNCTION("""COMPUTED_VALUE"""),1.3638723469514704)</f>
        <v>1.363872347</v>
      </c>
      <c r="O173" s="71" t="str">
        <f>IFERROR(__xludf.DUMMYFUNCTION("""COMPUTED_VALUE"""),"")</f>
        <v/>
      </c>
      <c r="P173" s="71" t="str">
        <f>IFERROR(__xludf.DUMMYFUNCTION("""COMPUTED_VALUE"""),"")</f>
        <v/>
      </c>
      <c r="Q173" s="78" t="str">
        <f>IFERROR(__xludf.DUMMYFUNCTION("""COMPUTED_VALUE"""),"")</f>
        <v/>
      </c>
      <c r="R173" s="78" t="str">
        <f>IFERROR(__xludf.DUMMYFUNCTION("""COMPUTED_VALUE"""),"")</f>
        <v/>
      </c>
      <c r="S173" s="80" t="str">
        <f>IFERROR(__xludf.DUMMYFUNCTION("""COMPUTED_VALUE"""),"")</f>
        <v/>
      </c>
      <c r="T173" s="80" t="str">
        <f>IFERROR(__xludf.DUMMYFUNCTION("""COMPUTED_VALUE"""),"")</f>
        <v/>
      </c>
      <c r="U173" s="71" t="str">
        <f>IFERROR(__xludf.DUMMYFUNCTION("""COMPUTED_VALUE"""),"")</f>
        <v/>
      </c>
      <c r="V173" s="78" t="str">
        <f>IFERROR(__xludf.DUMMYFUNCTION("""COMPUTED_VALUE"""),"")</f>
        <v/>
      </c>
      <c r="W173" s="62" t="str">
        <f>IFERROR(__xludf.DUMMYFUNCTION("""COMPUTED_VALUE"""),"")</f>
        <v/>
      </c>
      <c r="X173" s="80" t="str">
        <f>IFERROR(__xludf.DUMMYFUNCTION("""COMPUTED_VALUE"""),"")</f>
        <v/>
      </c>
      <c r="Y173" s="109" t="str">
        <f>IFERROR(__xludf.DUMMYFUNCTION("""COMPUTED_VALUE"""),"")</f>
        <v/>
      </c>
      <c r="Z173" s="71"/>
      <c r="AA173" s="71"/>
      <c r="AB173" s="71"/>
    </row>
    <row r="174">
      <c r="A174" s="105">
        <f>IFERROR(__xludf.DUMMYFUNCTION("""COMPUTED_VALUE"""),46094.750007546296)</f>
        <v>46094.75001</v>
      </c>
      <c r="B174" s="71" t="str">
        <f>IFERROR(__xludf.DUMMYFUNCTION("""COMPUTED_VALUE"""),"Leah Bucci")</f>
        <v>Leah Bucci</v>
      </c>
      <c r="C174" s="71" t="b">
        <f>IFERROR(__xludf.DUMMYFUNCTION("""COMPUTED_VALUE"""),FALSE)</f>
        <v>0</v>
      </c>
      <c r="D174" s="132">
        <f>IFERROR(__xludf.DUMMYFUNCTION("""COMPUTED_VALUE"""),0.6666666666642413)</f>
        <v>0.6666666667</v>
      </c>
      <c r="E174" s="78">
        <f>IFERROR(__xludf.DUMMYFUNCTION("""COMPUTED_VALUE"""),0.08333333333575865)</f>
        <v>0.08333333334</v>
      </c>
      <c r="F174" s="132">
        <f>IFERROR(__xludf.DUMMYFUNCTION("""COMPUTED_VALUE"""),0.75)</f>
        <v>0.75</v>
      </c>
      <c r="G174" s="78">
        <f>IFERROR(__xludf.DUMMYFUNCTION("""COMPUTED_VALUE"""),0.08333333333575865)</f>
        <v>0.08333333334</v>
      </c>
      <c r="H174" s="71">
        <f>IFERROR(__xludf.DUMMYFUNCTION("""COMPUTED_VALUE"""),63.0)</f>
        <v>63</v>
      </c>
      <c r="I174" s="80">
        <f>IFERROR(__xludf.DUMMYFUNCTION("""COMPUTED_VALUE"""),31.49999999908323)</f>
        <v>31.5</v>
      </c>
      <c r="J174" s="71" t="str">
        <f>IFERROR(__xludf.DUMMYFUNCTION("""COMPUTED_VALUE"""),"Dinner")</f>
        <v>Dinner</v>
      </c>
      <c r="K174" s="106">
        <f>IFERROR(__xludf.DUMMYFUNCTION("""COMPUTED_VALUE"""),46094.0)</f>
        <v>46094</v>
      </c>
      <c r="L174" s="71" t="str">
        <f>IFERROR(__xludf.DUMMYFUNCTION("""COMPUTED_VALUE"""),"Friday")</f>
        <v>Friday</v>
      </c>
      <c r="M174" s="71" t="str">
        <f>IFERROR(__xludf.DUMMYFUNCTION("""COMPUTED_VALUE"""),"MF")</f>
        <v>MF</v>
      </c>
      <c r="N174" s="109">
        <f>IFERROR(__xludf.DUMMYFUNCTION("""COMPUTED_VALUE"""),0.6791767443339531)</f>
        <v>0.6791767443</v>
      </c>
      <c r="O174" s="71">
        <f>IFERROR(__xludf.DUMMYFUNCTION("""COMPUTED_VALUE"""),63.0)</f>
        <v>63</v>
      </c>
      <c r="P174" s="71">
        <f>IFERROR(__xludf.DUMMYFUNCTION("""COMPUTED_VALUE"""),72.0)</f>
        <v>72</v>
      </c>
      <c r="Q174" s="78">
        <f>IFERROR(__xludf.DUMMYFUNCTION("""COMPUTED_VALUE"""),0.08333333333575865)</f>
        <v>0.08333333334</v>
      </c>
      <c r="R174" s="78">
        <f>IFERROR(__xludf.DUMMYFUNCTION("""COMPUTED_VALUE"""),0.09930555555183673)</f>
        <v>0.09930555555</v>
      </c>
      <c r="S174" s="80">
        <f>IFERROR(__xludf.DUMMYFUNCTION("""COMPUTED_VALUE"""),31.49999999908323)</f>
        <v>31.5</v>
      </c>
      <c r="T174" s="80">
        <f>IFERROR(__xludf.DUMMYFUNCTION("""COMPUTED_VALUE"""),27.257861636020817)</f>
        <v>27.25786164</v>
      </c>
      <c r="U174" s="71">
        <f>IFERROR(__xludf.DUMMYFUNCTION("""COMPUTED_VALUE"""),135.0)</f>
        <v>135</v>
      </c>
      <c r="V174" s="78">
        <f>IFERROR(__xludf.DUMMYFUNCTION("""COMPUTED_VALUE"""),0.18263888888759539)</f>
        <v>0.1826388889</v>
      </c>
      <c r="W174" s="62">
        <f>IFERROR(__xludf.DUMMYFUNCTION("""COMPUTED_VALUE"""),30.798479087670596)</f>
        <v>30.79847909</v>
      </c>
      <c r="X174" s="80">
        <f>IFERROR(__xludf.DUMMYFUNCTION("""COMPUTED_VALUE"""),28.671907757041623)</f>
        <v>28.67190776</v>
      </c>
      <c r="Y174" s="109">
        <f>IFERROR(__xludf.DUMMYFUNCTION("""COMPUTED_VALUE"""),0.7319106089599753)</f>
        <v>0.731910609</v>
      </c>
      <c r="Z174" s="71"/>
      <c r="AA174" s="71"/>
      <c r="AB174" s="71"/>
    </row>
    <row r="175">
      <c r="A175" s="105">
        <f>IFERROR(__xludf.DUMMYFUNCTION("""COMPUTED_VALUE"""),46104.435831689814)</f>
        <v>46104.43583</v>
      </c>
      <c r="B175" s="71" t="str">
        <f>IFERROR(__xludf.DUMMYFUNCTION("""COMPUTED_VALUE"""),"Sophia Kluck")</f>
        <v>Sophia Kluck</v>
      </c>
      <c r="C175" s="71" t="b">
        <f>IFERROR(__xludf.DUMMYFUNCTION("""COMPUTED_VALUE"""),FALSE)</f>
        <v>0</v>
      </c>
      <c r="D175" s="132">
        <f>IFERROR(__xludf.DUMMYFUNCTION("""COMPUTED_VALUE"""),0.3680555555547471)</f>
        <v>0.3680555556</v>
      </c>
      <c r="E175" s="78">
        <f>IFERROR(__xludf.DUMMYFUNCTION("""COMPUTED_VALUE"""),0.06458333333284827)</f>
        <v>0.06458333333</v>
      </c>
      <c r="F175" s="132">
        <f>IFERROR(__xludf.DUMMYFUNCTION("""COMPUTED_VALUE"""),0.4326388888875954)</f>
        <v>0.4326388889</v>
      </c>
      <c r="G175" s="78">
        <f>IFERROR(__xludf.DUMMYFUNCTION("""COMPUTED_VALUE"""),0.06458333333284827)</f>
        <v>0.06458333333</v>
      </c>
      <c r="H175" s="71">
        <f>IFERROR(__xludf.DUMMYFUNCTION("""COMPUTED_VALUE"""),43.0)</f>
        <v>43</v>
      </c>
      <c r="I175" s="80">
        <f>IFERROR(__xludf.DUMMYFUNCTION("""COMPUTED_VALUE"""),27.741935484079328)</f>
        <v>27.74193548</v>
      </c>
      <c r="J175" s="71" t="str">
        <f>IFERROR(__xludf.DUMMYFUNCTION("""COMPUTED_VALUE"""),"Breakfast")</f>
        <v>Breakfast</v>
      </c>
      <c r="K175" s="106">
        <f>IFERROR(__xludf.DUMMYFUNCTION("""COMPUTED_VALUE"""),46104.0)</f>
        <v>46104</v>
      </c>
      <c r="L175" s="71" t="str">
        <f>IFERROR(__xludf.DUMMYFUNCTION("""COMPUTED_VALUE"""),"Monday")</f>
        <v>Monday</v>
      </c>
      <c r="M175" s="71" t="str">
        <f>IFERROR(__xludf.DUMMYFUNCTION("""COMPUTED_VALUE"""),"BF")</f>
        <v>BF</v>
      </c>
      <c r="N175" s="109">
        <f>IFERROR(__xludf.DUMMYFUNCTION("""COMPUTED_VALUE"""),0.9785291032150228)</f>
        <v>0.9785291032</v>
      </c>
      <c r="O175" s="71" t="str">
        <f>IFERROR(__xludf.DUMMYFUNCTION("""COMPUTED_VALUE"""),"")</f>
        <v/>
      </c>
      <c r="P175" s="71" t="str">
        <f>IFERROR(__xludf.DUMMYFUNCTION("""COMPUTED_VALUE"""),"")</f>
        <v/>
      </c>
      <c r="Q175" s="78" t="str">
        <f>IFERROR(__xludf.DUMMYFUNCTION("""COMPUTED_VALUE"""),"")</f>
        <v/>
      </c>
      <c r="R175" s="78" t="str">
        <f>IFERROR(__xludf.DUMMYFUNCTION("""COMPUTED_VALUE"""),"")</f>
        <v/>
      </c>
      <c r="S175" s="80" t="str">
        <f>IFERROR(__xludf.DUMMYFUNCTION("""COMPUTED_VALUE"""),"")</f>
        <v/>
      </c>
      <c r="T175" s="80" t="str">
        <f>IFERROR(__xludf.DUMMYFUNCTION("""COMPUTED_VALUE"""),"")</f>
        <v/>
      </c>
      <c r="U175" s="71" t="str">
        <f>IFERROR(__xludf.DUMMYFUNCTION("""COMPUTED_VALUE"""),"")</f>
        <v/>
      </c>
      <c r="V175" s="78" t="str">
        <f>IFERROR(__xludf.DUMMYFUNCTION("""COMPUTED_VALUE"""),"")</f>
        <v/>
      </c>
      <c r="W175" s="62" t="str">
        <f>IFERROR(__xludf.DUMMYFUNCTION("""COMPUTED_VALUE"""),"")</f>
        <v/>
      </c>
      <c r="X175" s="80" t="str">
        <f>IFERROR(__xludf.DUMMYFUNCTION("""COMPUTED_VALUE"""),"")</f>
        <v/>
      </c>
      <c r="Y175" s="109" t="str">
        <f>IFERROR(__xludf.DUMMYFUNCTION("""COMPUTED_VALUE"""),"")</f>
        <v/>
      </c>
      <c r="Z175" s="71"/>
      <c r="AA175" s="71"/>
      <c r="AB175" s="71"/>
    </row>
    <row r="176">
      <c r="A176" s="105">
        <f>IFERROR(__xludf.DUMMYFUNCTION("""COMPUTED_VALUE"""),46104.64171866898)</f>
        <v>46104.64172</v>
      </c>
      <c r="B176" s="71" t="str">
        <f>IFERROR(__xludf.DUMMYFUNCTION("""COMPUTED_VALUE"""),"Brynn Hornig")</f>
        <v>Brynn Hornig</v>
      </c>
      <c r="C176" s="71" t="b">
        <f>IFERROR(__xludf.DUMMYFUNCTION("""COMPUTED_VALUE"""),FALSE)</f>
        <v>0</v>
      </c>
      <c r="D176" s="132">
        <f>IFERROR(__xludf.DUMMYFUNCTION("""COMPUTED_VALUE"""),0.5208333333357587)</f>
        <v>0.5208333333</v>
      </c>
      <c r="E176" s="78">
        <f>IFERROR(__xludf.DUMMYFUNCTION("""COMPUTED_VALUE"""),0.125)</f>
        <v>0.125</v>
      </c>
      <c r="F176" s="132">
        <f>IFERROR(__xludf.DUMMYFUNCTION("""COMPUTED_VALUE"""),0.6458333333357587)</f>
        <v>0.6458333333</v>
      </c>
      <c r="G176" s="78">
        <f>IFERROR(__xludf.DUMMYFUNCTION("""COMPUTED_VALUE"""),0.125)</f>
        <v>0.125</v>
      </c>
      <c r="H176" s="71">
        <f>IFERROR(__xludf.DUMMYFUNCTION("""COMPUTED_VALUE"""),135.0)</f>
        <v>135</v>
      </c>
      <c r="I176" s="80">
        <f>IFERROR(__xludf.DUMMYFUNCTION("""COMPUTED_VALUE"""),45.0)</f>
        <v>45</v>
      </c>
      <c r="J176" s="71" t="str">
        <f>IFERROR(__xludf.DUMMYFUNCTION("""COMPUTED_VALUE"""),"Lunch")</f>
        <v>Lunch</v>
      </c>
      <c r="K176" s="106">
        <f>IFERROR(__xludf.DUMMYFUNCTION("""COMPUTED_VALUE"""),46104.0)</f>
        <v>46104</v>
      </c>
      <c r="L176" s="71" t="str">
        <f>IFERROR(__xludf.DUMMYFUNCTION("""COMPUTED_VALUE"""),"Monday")</f>
        <v>Monday</v>
      </c>
      <c r="M176" s="71" t="str">
        <f>IFERROR(__xludf.DUMMYFUNCTION("""COMPUTED_VALUE"""),"BF")</f>
        <v>BF</v>
      </c>
      <c r="N176" s="109">
        <f>IFERROR(__xludf.DUMMYFUNCTION("""COMPUTED_VALUE"""),1.5872652313659354)</f>
        <v>1.587265231</v>
      </c>
      <c r="O176" s="71" t="str">
        <f>IFERROR(__xludf.DUMMYFUNCTION("""COMPUTED_VALUE"""),"")</f>
        <v/>
      </c>
      <c r="P176" s="71" t="str">
        <f>IFERROR(__xludf.DUMMYFUNCTION("""COMPUTED_VALUE"""),"")</f>
        <v/>
      </c>
      <c r="Q176" s="78" t="str">
        <f>IFERROR(__xludf.DUMMYFUNCTION("""COMPUTED_VALUE"""),"")</f>
        <v/>
      </c>
      <c r="R176" s="78" t="str">
        <f>IFERROR(__xludf.DUMMYFUNCTION("""COMPUTED_VALUE"""),"")</f>
        <v/>
      </c>
      <c r="S176" s="80" t="str">
        <f>IFERROR(__xludf.DUMMYFUNCTION("""COMPUTED_VALUE"""),"")</f>
        <v/>
      </c>
      <c r="T176" s="80" t="str">
        <f>IFERROR(__xludf.DUMMYFUNCTION("""COMPUTED_VALUE"""),"")</f>
        <v/>
      </c>
      <c r="U176" s="71" t="str">
        <f>IFERROR(__xludf.DUMMYFUNCTION("""COMPUTED_VALUE"""),"")</f>
        <v/>
      </c>
      <c r="V176" s="78" t="str">
        <f>IFERROR(__xludf.DUMMYFUNCTION("""COMPUTED_VALUE"""),"")</f>
        <v/>
      </c>
      <c r="W176" s="62" t="str">
        <f>IFERROR(__xludf.DUMMYFUNCTION("""COMPUTED_VALUE"""),"")</f>
        <v/>
      </c>
      <c r="X176" s="80" t="str">
        <f>IFERROR(__xludf.DUMMYFUNCTION("""COMPUTED_VALUE"""),"")</f>
        <v/>
      </c>
      <c r="Y176" s="109" t="str">
        <f>IFERROR(__xludf.DUMMYFUNCTION("""COMPUTED_VALUE"""),"")</f>
        <v/>
      </c>
      <c r="Z176" s="71"/>
      <c r="AA176" s="71"/>
      <c r="AB176" s="71"/>
    </row>
    <row r="177">
      <c r="A177" s="105">
        <f>IFERROR(__xludf.DUMMYFUNCTION("""COMPUTED_VALUE"""),46104.746832696765)</f>
        <v>46104.74683</v>
      </c>
      <c r="B177" s="71" t="str">
        <f>IFERROR(__xludf.DUMMYFUNCTION("""COMPUTED_VALUE"""),"Orpheus Wilson")</f>
        <v>Orpheus Wilson</v>
      </c>
      <c r="C177" s="71" t="b">
        <f>IFERROR(__xludf.DUMMYFUNCTION("""COMPUTED_VALUE"""),FALSE)</f>
        <v>0</v>
      </c>
      <c r="D177" s="132">
        <f>IFERROR(__xludf.DUMMYFUNCTION("""COMPUTED_VALUE"""),0.6687499999970896)</f>
        <v>0.66875</v>
      </c>
      <c r="E177" s="78">
        <f>IFERROR(__xludf.DUMMYFUNCTION("""COMPUTED_VALUE"""),0.07777777778392192)</f>
        <v>0.07777777778</v>
      </c>
      <c r="F177" s="132">
        <f>IFERROR(__xludf.DUMMYFUNCTION("""COMPUTED_VALUE"""),0.7465277777810115)</f>
        <v>0.7465277778</v>
      </c>
      <c r="G177" s="78">
        <f>IFERROR(__xludf.DUMMYFUNCTION("""COMPUTED_VALUE"""),0.07777777778392192)</f>
        <v>0.07777777778</v>
      </c>
      <c r="H177" s="71">
        <f>IFERROR(__xludf.DUMMYFUNCTION("""COMPUTED_VALUE"""),98.0)</f>
        <v>98</v>
      </c>
      <c r="I177" s="80">
        <f>IFERROR(__xludf.DUMMYFUNCTION("""COMPUTED_VALUE"""),52.499999995852704)</f>
        <v>52.5</v>
      </c>
      <c r="J177" s="71" t="str">
        <f>IFERROR(__xludf.DUMMYFUNCTION("""COMPUTED_VALUE"""),"Dinner")</f>
        <v>Dinner</v>
      </c>
      <c r="K177" s="106">
        <f>IFERROR(__xludf.DUMMYFUNCTION("""COMPUTED_VALUE"""),46104.0)</f>
        <v>46104</v>
      </c>
      <c r="L177" s="71" t="str">
        <f>IFERROR(__xludf.DUMMYFUNCTION("""COMPUTED_VALUE"""),"Monday")</f>
        <v>Monday</v>
      </c>
      <c r="M177" s="71" t="str">
        <f>IFERROR(__xludf.DUMMYFUNCTION("""COMPUTED_VALUE"""),"MF")</f>
        <v>MF</v>
      </c>
      <c r="N177" s="109">
        <f>IFERROR(__xludf.DUMMYFUNCTION("""COMPUTED_VALUE"""),1.1319612405001125)</f>
        <v>1.131961241</v>
      </c>
      <c r="O177" s="71" t="str">
        <f>IFERROR(__xludf.DUMMYFUNCTION("""COMPUTED_VALUE"""),"")</f>
        <v/>
      </c>
      <c r="P177" s="71" t="str">
        <f>IFERROR(__xludf.DUMMYFUNCTION("""COMPUTED_VALUE"""),"")</f>
        <v/>
      </c>
      <c r="Q177" s="78" t="str">
        <f>IFERROR(__xludf.DUMMYFUNCTION("""COMPUTED_VALUE"""),"")</f>
        <v/>
      </c>
      <c r="R177" s="78" t="str">
        <f>IFERROR(__xludf.DUMMYFUNCTION("""COMPUTED_VALUE"""),"")</f>
        <v/>
      </c>
      <c r="S177" s="80" t="str">
        <f>IFERROR(__xludf.DUMMYFUNCTION("""COMPUTED_VALUE"""),"")</f>
        <v/>
      </c>
      <c r="T177" s="80" t="str">
        <f>IFERROR(__xludf.DUMMYFUNCTION("""COMPUTED_VALUE"""),"")</f>
        <v/>
      </c>
      <c r="U177" s="71" t="str">
        <f>IFERROR(__xludf.DUMMYFUNCTION("""COMPUTED_VALUE"""),"")</f>
        <v/>
      </c>
      <c r="V177" s="78" t="str">
        <f>IFERROR(__xludf.DUMMYFUNCTION("""COMPUTED_VALUE"""),"")</f>
        <v/>
      </c>
      <c r="W177" s="62" t="str">
        <f>IFERROR(__xludf.DUMMYFUNCTION("""COMPUTED_VALUE"""),"")</f>
        <v/>
      </c>
      <c r="X177" s="80" t="str">
        <f>IFERROR(__xludf.DUMMYFUNCTION("""COMPUTED_VALUE"""),"")</f>
        <v/>
      </c>
      <c r="Y177" s="109" t="str">
        <f>IFERROR(__xludf.DUMMYFUNCTION("""COMPUTED_VALUE"""),"")</f>
        <v/>
      </c>
      <c r="Z177" s="71"/>
      <c r="AA177" s="71"/>
      <c r="AB177" s="71"/>
    </row>
    <row r="178">
      <c r="A178" s="105">
        <f>IFERROR(__xludf.DUMMYFUNCTION("""COMPUTED_VALUE"""),46104.866352060184)</f>
        <v>46104.86635</v>
      </c>
      <c r="B178" s="71" t="str">
        <f>IFERROR(__xludf.DUMMYFUNCTION("""COMPUTED_VALUE"""),"Maureen Surgot")</f>
        <v>Maureen Surgot</v>
      </c>
      <c r="C178" s="71" t="b">
        <f>IFERROR(__xludf.DUMMYFUNCTION("""COMPUTED_VALUE"""),FALSE)</f>
        <v>0</v>
      </c>
      <c r="D178" s="132">
        <f>IFERROR(__xludf.DUMMYFUNCTION("""COMPUTED_VALUE"""),0.75)</f>
        <v>0.75</v>
      </c>
      <c r="E178" s="78">
        <f>IFERROR(__xludf.DUMMYFUNCTION("""COMPUTED_VALUE"""),0.125)</f>
        <v>0.125</v>
      </c>
      <c r="F178" s="132">
        <f>IFERROR(__xludf.DUMMYFUNCTION("""COMPUTED_VALUE"""),0.875)</f>
        <v>0.875</v>
      </c>
      <c r="G178" s="78">
        <f>IFERROR(__xludf.DUMMYFUNCTION("""COMPUTED_VALUE"""),0.125)</f>
        <v>0.125</v>
      </c>
      <c r="H178" s="71">
        <f>IFERROR(__xludf.DUMMYFUNCTION("""COMPUTED_VALUE"""),201.0)</f>
        <v>201</v>
      </c>
      <c r="I178" s="80">
        <f>IFERROR(__xludf.DUMMYFUNCTION("""COMPUTED_VALUE"""),67.0)</f>
        <v>67</v>
      </c>
      <c r="J178" s="71" t="str">
        <f>IFERROR(__xludf.DUMMYFUNCTION("""COMPUTED_VALUE"""),"Dinner")</f>
        <v>Dinner</v>
      </c>
      <c r="K178" s="106">
        <f>IFERROR(__xludf.DUMMYFUNCTION("""COMPUTED_VALUE"""),46104.0)</f>
        <v>46104</v>
      </c>
      <c r="L178" s="71" t="str">
        <f>IFERROR(__xludf.DUMMYFUNCTION("""COMPUTED_VALUE"""),"Monday")</f>
        <v>Monday</v>
      </c>
      <c r="M178" s="71" t="str">
        <f>IFERROR(__xludf.DUMMYFUNCTION("""COMPUTED_VALUE"""),"MF")</f>
        <v>MF</v>
      </c>
      <c r="N178" s="109">
        <f>IFERROR(__xludf.DUMMYFUNCTION("""COMPUTED_VALUE"""),1.4445981546571183)</f>
        <v>1.444598155</v>
      </c>
      <c r="O178" s="71">
        <f>IFERROR(__xludf.DUMMYFUNCTION("""COMPUTED_VALUE"""),299.0)</f>
        <v>299</v>
      </c>
      <c r="P178" s="71">
        <f>IFERROR(__xludf.DUMMYFUNCTION("""COMPUTED_VALUE"""),178.0)</f>
        <v>178</v>
      </c>
      <c r="Q178" s="78">
        <f>IFERROR(__xludf.DUMMYFUNCTION("""COMPUTED_VALUE"""),0.20277777778392192)</f>
        <v>0.2027777778</v>
      </c>
      <c r="R178" s="78">
        <f>IFERROR(__xludf.DUMMYFUNCTION("""COMPUTED_VALUE"""),0.18958333333284827)</f>
        <v>0.1895833333</v>
      </c>
      <c r="S178" s="80">
        <f>IFERROR(__xludf.DUMMYFUNCTION("""COMPUTED_VALUE"""),59.74999999792635)</f>
        <v>59.75</v>
      </c>
      <c r="T178" s="80">
        <f>IFERROR(__xludf.DUMMYFUNCTION("""COMPUTED_VALUE"""),36.37096774203967)</f>
        <v>36.37096774</v>
      </c>
      <c r="U178" s="71">
        <f>IFERROR(__xludf.DUMMYFUNCTION("""COMPUTED_VALUE"""),477.0)</f>
        <v>477</v>
      </c>
      <c r="V178" s="78">
        <f>IFERROR(__xludf.DUMMYFUNCTION("""COMPUTED_VALUE"""),0.3923611111167702)</f>
        <v>0.3923611111</v>
      </c>
      <c r="W178" s="62">
        <f>IFERROR(__xludf.DUMMYFUNCTION("""COMPUTED_VALUE"""),50.65486725590657)</f>
        <v>50.65486726</v>
      </c>
      <c r="X178" s="80">
        <f>IFERROR(__xludf.DUMMYFUNCTION("""COMPUTED_VALUE"""),48.06048386998301)</f>
        <v>48.06048387</v>
      </c>
      <c r="Y178" s="109">
        <f>IFERROR(__xludf.DUMMYFUNCTION("""COMPUTED_VALUE"""),0.9598946661476113)</f>
        <v>0.9598946661</v>
      </c>
      <c r="Z178" s="71"/>
      <c r="AA178" s="71"/>
      <c r="AB178" s="71"/>
    </row>
    <row r="179">
      <c r="A179" s="105">
        <f>IFERROR(__xludf.DUMMYFUNCTION("""COMPUTED_VALUE"""),46105.55902210648)</f>
        <v>46105.55902</v>
      </c>
      <c r="B179" s="71" t="str">
        <f>IFERROR(__xludf.DUMMYFUNCTION("""COMPUTED_VALUE"""),"Kyra Turner")</f>
        <v>Kyra Turner</v>
      </c>
      <c r="C179" s="71" t="b">
        <f>IFERROR(__xludf.DUMMYFUNCTION("""COMPUTED_VALUE"""),FALSE)</f>
        <v>0</v>
      </c>
      <c r="D179" s="132">
        <f>IFERROR(__xludf.DUMMYFUNCTION("""COMPUTED_VALUE"""),0.4868055555562023)</f>
        <v>0.4868055556</v>
      </c>
      <c r="E179" s="78">
        <f>IFERROR(__xludf.DUMMYFUNCTION("""COMPUTED_VALUE"""),0.070138888884685)</f>
        <v>0.07013888888</v>
      </c>
      <c r="F179" s="132">
        <f>IFERROR(__xludf.DUMMYFUNCTION("""COMPUTED_VALUE"""),0.5569444444408873)</f>
        <v>0.5569444444</v>
      </c>
      <c r="G179" s="78">
        <f>IFERROR(__xludf.DUMMYFUNCTION("""COMPUTED_VALUE"""),0.070138888884685)</f>
        <v>0.07013888888</v>
      </c>
      <c r="H179" s="71">
        <f>IFERROR(__xludf.DUMMYFUNCTION("""COMPUTED_VALUE"""),203.0)</f>
        <v>203</v>
      </c>
      <c r="I179" s="80">
        <f>IFERROR(__xludf.DUMMYFUNCTION("""COMPUTED_VALUE"""),120.5940594131686)</f>
        <v>120.5940594</v>
      </c>
      <c r="J179" s="71" t="str">
        <f>IFERROR(__xludf.DUMMYFUNCTION("""COMPUTED_VALUE"""),"Lunch")</f>
        <v>Lunch</v>
      </c>
      <c r="K179" s="106">
        <f>IFERROR(__xludf.DUMMYFUNCTION("""COMPUTED_VALUE"""),46105.0)</f>
        <v>46105</v>
      </c>
      <c r="L179" s="71" t="str">
        <f>IFERROR(__xludf.DUMMYFUNCTION("""COMPUTED_VALUE"""),"Tuesday")</f>
        <v>Tuesday</v>
      </c>
      <c r="M179" s="71" t="str">
        <f>IFERROR(__xludf.DUMMYFUNCTION("""COMPUTED_VALUE"""),"MF")</f>
        <v>MF</v>
      </c>
      <c r="N179" s="109">
        <f>IFERROR(__xludf.DUMMYFUNCTION("""COMPUTED_VALUE"""),2.398569399029742)</f>
        <v>2.398569399</v>
      </c>
      <c r="O179" s="71" t="str">
        <f>IFERROR(__xludf.DUMMYFUNCTION("""COMPUTED_VALUE"""),"")</f>
        <v/>
      </c>
      <c r="P179" s="71" t="str">
        <f>IFERROR(__xludf.DUMMYFUNCTION("""COMPUTED_VALUE"""),"")</f>
        <v/>
      </c>
      <c r="Q179" s="78" t="str">
        <f>IFERROR(__xludf.DUMMYFUNCTION("""COMPUTED_VALUE"""),"")</f>
        <v/>
      </c>
      <c r="R179" s="78" t="str">
        <f>IFERROR(__xludf.DUMMYFUNCTION("""COMPUTED_VALUE"""),"")</f>
        <v/>
      </c>
      <c r="S179" s="80" t="str">
        <f>IFERROR(__xludf.DUMMYFUNCTION("""COMPUTED_VALUE"""),"")</f>
        <v/>
      </c>
      <c r="T179" s="80" t="str">
        <f>IFERROR(__xludf.DUMMYFUNCTION("""COMPUTED_VALUE"""),"")</f>
        <v/>
      </c>
      <c r="U179" s="71" t="str">
        <f>IFERROR(__xludf.DUMMYFUNCTION("""COMPUTED_VALUE"""),"")</f>
        <v/>
      </c>
      <c r="V179" s="78" t="str">
        <f>IFERROR(__xludf.DUMMYFUNCTION("""COMPUTED_VALUE"""),"")</f>
        <v/>
      </c>
      <c r="W179" s="62" t="str">
        <f>IFERROR(__xludf.DUMMYFUNCTION("""COMPUTED_VALUE"""),"")</f>
        <v/>
      </c>
      <c r="X179" s="80" t="str">
        <f>IFERROR(__xludf.DUMMYFUNCTION("""COMPUTED_VALUE"""),"")</f>
        <v/>
      </c>
      <c r="Y179" s="109" t="str">
        <f>IFERROR(__xludf.DUMMYFUNCTION("""COMPUTED_VALUE"""),"")</f>
        <v/>
      </c>
      <c r="Z179" s="71"/>
      <c r="AA179" s="71"/>
      <c r="AB179" s="71"/>
    </row>
    <row r="180">
      <c r="A180" s="105">
        <f>IFERROR(__xludf.DUMMYFUNCTION("""COMPUTED_VALUE"""),46105.57778489584)</f>
        <v>46105.57778</v>
      </c>
      <c r="B180" s="71" t="str">
        <f>IFERROR(__xludf.DUMMYFUNCTION("""COMPUTED_VALUE"""),"Kaylie Forgue")</f>
        <v>Kaylie Forgue</v>
      </c>
      <c r="C180" s="71" t="b">
        <f>IFERROR(__xludf.DUMMYFUNCTION("""COMPUTED_VALUE"""),FALSE)</f>
        <v>0</v>
      </c>
      <c r="D180" s="132">
        <f>IFERROR(__xludf.DUMMYFUNCTION("""COMPUTED_VALUE"""),0.4458333333313931)</f>
        <v>0.4458333333</v>
      </c>
      <c r="E180" s="78">
        <f>IFERROR(__xludf.DUMMYFUNCTION("""COMPUTED_VALUE"""),0.07152777777810115)</f>
        <v>0.07152777778</v>
      </c>
      <c r="F180" s="132">
        <f>IFERROR(__xludf.DUMMYFUNCTION("""COMPUTED_VALUE"""),0.5173611111094942)</f>
        <v>0.5173611111</v>
      </c>
      <c r="G180" s="78">
        <f>IFERROR(__xludf.DUMMYFUNCTION("""COMPUTED_VALUE"""),0.07152777777810115)</f>
        <v>0.07152777778</v>
      </c>
      <c r="H180" s="71">
        <f>IFERROR(__xludf.DUMMYFUNCTION("""COMPUTED_VALUE"""),110.0)</f>
        <v>110</v>
      </c>
      <c r="I180" s="80">
        <f>IFERROR(__xludf.DUMMYFUNCTION("""COMPUTED_VALUE"""),64.07766990262293)</f>
        <v>64.0776699</v>
      </c>
      <c r="J180" s="71" t="str">
        <f>IFERROR(__xludf.DUMMYFUNCTION("""COMPUTED_VALUE"""),"Breakfast/Lunch")</f>
        <v>Breakfast/Lunch</v>
      </c>
      <c r="K180" s="106">
        <f>IFERROR(__xludf.DUMMYFUNCTION("""COMPUTED_VALUE"""),46105.0)</f>
        <v>46105</v>
      </c>
      <c r="L180" s="71" t="str">
        <f>IFERROR(__xludf.DUMMYFUNCTION("""COMPUTED_VALUE"""),"Tuesday")</f>
        <v>Tuesday</v>
      </c>
      <c r="M180" s="71" t="str">
        <f>IFERROR(__xludf.DUMMYFUNCTION("""COMPUTED_VALUE"""),"BF")</f>
        <v>BF</v>
      </c>
      <c r="N180" s="109">
        <f>IFERROR(__xludf.DUMMYFUNCTION("""COMPUTED_VALUE"""),2.05221086802204)</f>
        <v>2.052210868</v>
      </c>
      <c r="O180" s="71" t="str">
        <f>IFERROR(__xludf.DUMMYFUNCTION("""COMPUTED_VALUE"""),"")</f>
        <v/>
      </c>
      <c r="P180" s="71" t="str">
        <f>IFERROR(__xludf.DUMMYFUNCTION("""COMPUTED_VALUE"""),"")</f>
        <v/>
      </c>
      <c r="Q180" s="78" t="str">
        <f>IFERROR(__xludf.DUMMYFUNCTION("""COMPUTED_VALUE"""),"")</f>
        <v/>
      </c>
      <c r="R180" s="78" t="str">
        <f>IFERROR(__xludf.DUMMYFUNCTION("""COMPUTED_VALUE"""),"")</f>
        <v/>
      </c>
      <c r="S180" s="80" t="str">
        <f>IFERROR(__xludf.DUMMYFUNCTION("""COMPUTED_VALUE"""),"")</f>
        <v/>
      </c>
      <c r="T180" s="80" t="str">
        <f>IFERROR(__xludf.DUMMYFUNCTION("""COMPUTED_VALUE"""),"")</f>
        <v/>
      </c>
      <c r="U180" s="71" t="str">
        <f>IFERROR(__xludf.DUMMYFUNCTION("""COMPUTED_VALUE"""),"")</f>
        <v/>
      </c>
      <c r="V180" s="78" t="str">
        <f>IFERROR(__xludf.DUMMYFUNCTION("""COMPUTED_VALUE"""),"")</f>
        <v/>
      </c>
      <c r="W180" s="62" t="str">
        <f>IFERROR(__xludf.DUMMYFUNCTION("""COMPUTED_VALUE"""),"")</f>
        <v/>
      </c>
      <c r="X180" s="80" t="str">
        <f>IFERROR(__xludf.DUMMYFUNCTION("""COMPUTED_VALUE"""),"")</f>
        <v/>
      </c>
      <c r="Y180" s="109" t="str">
        <f>IFERROR(__xludf.DUMMYFUNCTION("""COMPUTED_VALUE"""),"")</f>
        <v/>
      </c>
      <c r="Z180" s="71"/>
      <c r="AA180" s="71"/>
      <c r="AB180" s="71"/>
    </row>
    <row r="181">
      <c r="A181" s="105">
        <f>IFERROR(__xludf.DUMMYFUNCTION("""COMPUTED_VALUE"""),46105.610018946754)</f>
        <v>46105.61002</v>
      </c>
      <c r="B181" s="71" t="str">
        <f>IFERROR(__xludf.DUMMYFUNCTION("""COMPUTED_VALUE"""),"Kyra Turner")</f>
        <v>Kyra Turner</v>
      </c>
      <c r="C181" s="71" t="b">
        <f>IFERROR(__xludf.DUMMYFUNCTION("""COMPUTED_VALUE"""),FALSE)</f>
        <v>0</v>
      </c>
      <c r="D181" s="132">
        <f>IFERROR(__xludf.DUMMYFUNCTION("""COMPUTED_VALUE"""),0.5625)</f>
        <v>0.5625</v>
      </c>
      <c r="E181" s="78">
        <f>IFERROR(__xludf.DUMMYFUNCTION("""COMPUTED_VALUE"""),0.04513888889050577)</f>
        <v>0.04513888889</v>
      </c>
      <c r="F181" s="132">
        <f>IFERROR(__xludf.DUMMYFUNCTION("""COMPUTED_VALUE"""),0.6076388888905058)</f>
        <v>0.6076388889</v>
      </c>
      <c r="G181" s="78">
        <f>IFERROR(__xludf.DUMMYFUNCTION("""COMPUTED_VALUE"""),0.04930555555620231)</f>
        <v>0.04930555556</v>
      </c>
      <c r="H181" s="71">
        <f>IFERROR(__xludf.DUMMYFUNCTION("""COMPUTED_VALUE"""),120.0)</f>
        <v>120</v>
      </c>
      <c r="I181" s="80">
        <f>IFERROR(__xludf.DUMMYFUNCTION("""COMPUTED_VALUE"""),105.63380281551579)</f>
        <v>105.6338028</v>
      </c>
      <c r="J181" s="71" t="str">
        <f>IFERROR(__xludf.DUMMYFUNCTION("""COMPUTED_VALUE"""),"Lunch")</f>
        <v>Lunch</v>
      </c>
      <c r="K181" s="106">
        <f>IFERROR(__xludf.DUMMYFUNCTION("""COMPUTED_VALUE"""),46105.0)</f>
        <v>46105</v>
      </c>
      <c r="L181" s="71" t="str">
        <f>IFERROR(__xludf.DUMMYFUNCTION("""COMPUTED_VALUE"""),"Tuesday")</f>
        <v>Tuesday</v>
      </c>
      <c r="M181" s="71" t="str">
        <f>IFERROR(__xludf.DUMMYFUNCTION("""COMPUTED_VALUE"""),"MF")</f>
        <v>MF</v>
      </c>
      <c r="N181" s="109">
        <f>IFERROR(__xludf.DUMMYFUNCTION("""COMPUTED_VALUE"""),2.1010156567361604)</f>
        <v>2.101015657</v>
      </c>
      <c r="O181" s="71" t="str">
        <f>IFERROR(__xludf.DUMMYFUNCTION("""COMPUTED_VALUE"""),"")</f>
        <v/>
      </c>
      <c r="P181" s="71" t="str">
        <f>IFERROR(__xludf.DUMMYFUNCTION("""COMPUTED_VALUE"""),"")</f>
        <v/>
      </c>
      <c r="Q181" s="78" t="str">
        <f>IFERROR(__xludf.DUMMYFUNCTION("""COMPUTED_VALUE"""),"")</f>
        <v/>
      </c>
      <c r="R181" s="78" t="str">
        <f>IFERROR(__xludf.DUMMYFUNCTION("""COMPUTED_VALUE"""),"")</f>
        <v/>
      </c>
      <c r="S181" s="80" t="str">
        <f>IFERROR(__xludf.DUMMYFUNCTION("""COMPUTED_VALUE"""),"")</f>
        <v/>
      </c>
      <c r="T181" s="80" t="str">
        <f>IFERROR(__xludf.DUMMYFUNCTION("""COMPUTED_VALUE"""),"")</f>
        <v/>
      </c>
      <c r="U181" s="71" t="str">
        <f>IFERROR(__xludf.DUMMYFUNCTION("""COMPUTED_VALUE"""),"")</f>
        <v/>
      </c>
      <c r="V181" s="78" t="str">
        <f>IFERROR(__xludf.DUMMYFUNCTION("""COMPUTED_VALUE"""),"")</f>
        <v/>
      </c>
      <c r="W181" s="62" t="str">
        <f>IFERROR(__xludf.DUMMYFUNCTION("""COMPUTED_VALUE"""),"")</f>
        <v/>
      </c>
      <c r="X181" s="80" t="str">
        <f>IFERROR(__xludf.DUMMYFUNCTION("""COMPUTED_VALUE"""),"")</f>
        <v/>
      </c>
      <c r="Y181" s="109" t="str">
        <f>IFERROR(__xludf.DUMMYFUNCTION("""COMPUTED_VALUE"""),"")</f>
        <v/>
      </c>
      <c r="Z181" s="71"/>
      <c r="AA181" s="71"/>
      <c r="AB181" s="71"/>
    </row>
    <row r="182">
      <c r="A182" s="105">
        <f>IFERROR(__xludf.DUMMYFUNCTION("""COMPUTED_VALUE"""),46105.620956238425)</f>
        <v>46105.62096</v>
      </c>
      <c r="B182" s="71" t="str">
        <f>IFERROR(__xludf.DUMMYFUNCTION("""COMPUTED_VALUE"""),"Kyra Turner")</f>
        <v>Kyra Turner</v>
      </c>
      <c r="C182" s="71" t="b">
        <f>IFERROR(__xludf.DUMMYFUNCTION("""COMPUTED_VALUE"""),TRUE)</f>
        <v>1</v>
      </c>
      <c r="D182" s="132">
        <f>IFERROR(__xludf.DUMMYFUNCTION("""COMPUTED_VALUE"""),0.6159722222218988)</f>
        <v>0.6159722222</v>
      </c>
      <c r="E182" s="78">
        <f>IFERROR(__xludf.DUMMYFUNCTION("""COMPUTED_VALUE"""),0.004166666665696539)</f>
        <v>0.004166666666</v>
      </c>
      <c r="F182" s="132">
        <f>IFERROR(__xludf.DUMMYFUNCTION("""COMPUTED_VALUE"""),0.6201388888875954)</f>
        <v>0.6201388889</v>
      </c>
      <c r="G182" s="78" t="str">
        <f>IFERROR(__xludf.DUMMYFUNCTION("""COMPUTED_VALUE"""),"")</f>
        <v/>
      </c>
      <c r="H182" s="71">
        <f>IFERROR(__xludf.DUMMYFUNCTION("""COMPUTED_VALUE"""),5.0)</f>
        <v>5</v>
      </c>
      <c r="I182" s="80" t="str">
        <f>IFERROR(__xludf.DUMMYFUNCTION("""COMPUTED_VALUE"""),"")</f>
        <v/>
      </c>
      <c r="J182" s="71" t="str">
        <f>IFERROR(__xludf.DUMMYFUNCTION("""COMPUTED_VALUE"""),"Lunch")</f>
        <v>Lunch</v>
      </c>
      <c r="K182" s="106">
        <f>IFERROR(__xludf.DUMMYFUNCTION("""COMPUTED_VALUE"""),46105.0)</f>
        <v>46105</v>
      </c>
      <c r="L182" s="71" t="str">
        <f>IFERROR(__xludf.DUMMYFUNCTION("""COMPUTED_VALUE"""),"Tuesday")</f>
        <v>Tuesday</v>
      </c>
      <c r="M182" s="71" t="str">
        <f>IFERROR(__xludf.DUMMYFUNCTION("""COMPUTED_VALUE"""),"MF")</f>
        <v>MF</v>
      </c>
      <c r="N182" s="109" t="str">
        <f>IFERROR(__xludf.DUMMYFUNCTION("""COMPUTED_VALUE"""),"")</f>
        <v/>
      </c>
      <c r="O182" s="71" t="str">
        <f>IFERROR(__xludf.DUMMYFUNCTION("""COMPUTED_VALUE"""),"")</f>
        <v/>
      </c>
      <c r="P182" s="71" t="str">
        <f>IFERROR(__xludf.DUMMYFUNCTION("""COMPUTED_VALUE"""),"")</f>
        <v/>
      </c>
      <c r="Q182" s="78" t="str">
        <f>IFERROR(__xludf.DUMMYFUNCTION("""COMPUTED_VALUE"""),"")</f>
        <v/>
      </c>
      <c r="R182" s="78" t="str">
        <f>IFERROR(__xludf.DUMMYFUNCTION("""COMPUTED_VALUE"""),"")</f>
        <v/>
      </c>
      <c r="S182" s="80" t="str">
        <f>IFERROR(__xludf.DUMMYFUNCTION("""COMPUTED_VALUE"""),"")</f>
        <v/>
      </c>
      <c r="T182" s="80" t="str">
        <f>IFERROR(__xludf.DUMMYFUNCTION("""COMPUTED_VALUE"""),"")</f>
        <v/>
      </c>
      <c r="U182" s="71" t="str">
        <f>IFERROR(__xludf.DUMMYFUNCTION("""COMPUTED_VALUE"""),"")</f>
        <v/>
      </c>
      <c r="V182" s="78" t="str">
        <f>IFERROR(__xludf.DUMMYFUNCTION("""COMPUTED_VALUE"""),"")</f>
        <v/>
      </c>
      <c r="W182" s="62" t="str">
        <f>IFERROR(__xludf.DUMMYFUNCTION("""COMPUTED_VALUE"""),"")</f>
        <v/>
      </c>
      <c r="X182" s="80" t="str">
        <f>IFERROR(__xludf.DUMMYFUNCTION("""COMPUTED_VALUE"""),"")</f>
        <v/>
      </c>
      <c r="Y182" s="109" t="str">
        <f>IFERROR(__xludf.DUMMYFUNCTION("""COMPUTED_VALUE"""),"")</f>
        <v/>
      </c>
      <c r="Z182" s="71"/>
      <c r="AA182" s="71"/>
      <c r="AB182" s="71"/>
    </row>
    <row r="183">
      <c r="A183" s="105">
        <f>IFERROR(__xludf.DUMMYFUNCTION("""COMPUTED_VALUE"""),46105.85172893519)</f>
        <v>46105.85173</v>
      </c>
      <c r="B183" s="71" t="str">
        <f>IFERROR(__xludf.DUMMYFUNCTION("""COMPUTED_VALUE"""),"Leah Bucci")</f>
        <v>Leah Bucci</v>
      </c>
      <c r="C183" s="71" t="b">
        <f>IFERROR(__xludf.DUMMYFUNCTION("""COMPUTED_VALUE"""),FALSE)</f>
        <v>0</v>
      </c>
      <c r="D183" s="132">
        <f>IFERROR(__xludf.DUMMYFUNCTION("""COMPUTED_VALUE"""),0.7916666666642413)</f>
        <v>0.7916666667</v>
      </c>
      <c r="E183" s="78">
        <f>IFERROR(__xludf.DUMMYFUNCTION("""COMPUTED_VALUE"""),0.05833333333430346)</f>
        <v>0.05833333333</v>
      </c>
      <c r="F183" s="132">
        <f>IFERROR(__xludf.DUMMYFUNCTION("""COMPUTED_VALUE"""),0.8499999999985448)</f>
        <v>0.85</v>
      </c>
      <c r="G183" s="78">
        <f>IFERROR(__xludf.DUMMYFUNCTION("""COMPUTED_VALUE"""),0.05833333333430346)</f>
        <v>0.05833333333</v>
      </c>
      <c r="H183" s="71">
        <f>IFERROR(__xludf.DUMMYFUNCTION("""COMPUTED_VALUE"""),57.0)</f>
        <v>57</v>
      </c>
      <c r="I183" s="80">
        <f>IFERROR(__xludf.DUMMYFUNCTION("""COMPUTED_VALUE"""),40.714285713608604)</f>
        <v>40.71428571</v>
      </c>
      <c r="J183" s="71" t="str">
        <f>IFERROR(__xludf.DUMMYFUNCTION("""COMPUTED_VALUE"""),"Dinner")</f>
        <v>Dinner</v>
      </c>
      <c r="K183" s="106">
        <f>IFERROR(__xludf.DUMMYFUNCTION("""COMPUTED_VALUE"""),46105.0)</f>
        <v>46105</v>
      </c>
      <c r="L183" s="71" t="str">
        <f>IFERROR(__xludf.DUMMYFUNCTION("""COMPUTED_VALUE"""),"Tuesday")</f>
        <v>Tuesday</v>
      </c>
      <c r="M183" s="71" t="str">
        <f>IFERROR(__xludf.DUMMYFUNCTION("""COMPUTED_VALUE"""),"BF")</f>
        <v>BF</v>
      </c>
      <c r="N183" s="109">
        <f>IFERROR(__xludf.DUMMYFUNCTION("""COMPUTED_VALUE"""),0.9163317500627671)</f>
        <v>0.9163317501</v>
      </c>
      <c r="O183" s="71">
        <f>IFERROR(__xludf.DUMMYFUNCTION("""COMPUTED_VALUE"""),328.0)</f>
        <v>328</v>
      </c>
      <c r="P183" s="71">
        <f>IFERROR(__xludf.DUMMYFUNCTION("""COMPUTED_VALUE"""),167.0)</f>
        <v>167</v>
      </c>
      <c r="Q183" s="78">
        <f>IFERROR(__xludf.DUMMYFUNCTION("""COMPUTED_VALUE"""),0.11944444444088731)</f>
        <v>0.1194444444</v>
      </c>
      <c r="R183" s="78">
        <f>IFERROR(__xludf.DUMMYFUNCTION("""COMPUTED_VALUE"""),0.12986111111240461)</f>
        <v>0.1298611111</v>
      </c>
      <c r="S183" s="80">
        <f>IFERROR(__xludf.DUMMYFUNCTION("""COMPUTED_VALUE"""),113.1139311143422)</f>
        <v>113.1139311</v>
      </c>
      <c r="T183" s="80">
        <f>IFERROR(__xludf.DUMMYFUNCTION("""COMPUTED_VALUE"""),52.39597780811577)</f>
        <v>52.39597781</v>
      </c>
      <c r="U183" s="71">
        <f>IFERROR(__xludf.DUMMYFUNCTION("""COMPUTED_VALUE"""),495.0)</f>
        <v>495</v>
      </c>
      <c r="V183" s="78">
        <f>IFERROR(__xludf.DUMMYFUNCTION("""COMPUTED_VALUE"""),0.24930555555329192)</f>
        <v>0.2493055556</v>
      </c>
      <c r="W183" s="62">
        <f>IFERROR(__xludf.DUMMYFUNCTION("""COMPUTED_VALUE"""),82.72980501467875)</f>
        <v>82.72980501</v>
      </c>
      <c r="X183" s="80">
        <f>IFERROR(__xludf.DUMMYFUNCTION("""COMPUTED_VALUE"""),82.75495446122899)</f>
        <v>82.75495446</v>
      </c>
      <c r="Y183" s="109">
        <f>IFERROR(__xludf.DUMMYFUNCTION("""COMPUTED_VALUE"""),1.2484092372591364)</f>
        <v>1.248409237</v>
      </c>
      <c r="Z183" s="71"/>
      <c r="AA183" s="71"/>
      <c r="AB183" s="71"/>
    </row>
    <row r="184">
      <c r="A184" s="105">
        <f>IFERROR(__xludf.DUMMYFUNCTION("""COMPUTED_VALUE"""),46106.42815921296)</f>
        <v>46106.42816</v>
      </c>
      <c r="B184" s="71" t="str">
        <f>IFERROR(__xludf.DUMMYFUNCTION("""COMPUTED_VALUE"""),"Kaylie Forgue")</f>
        <v>Kaylie Forgue</v>
      </c>
      <c r="C184" s="71" t="b">
        <f>IFERROR(__xludf.DUMMYFUNCTION("""COMPUTED_VALUE"""),FALSE)</f>
        <v>0</v>
      </c>
      <c r="D184" s="132">
        <f>IFERROR(__xludf.DUMMYFUNCTION("""COMPUTED_VALUE"""),0.3069444444408873)</f>
        <v>0.3069444444</v>
      </c>
      <c r="E184" s="78">
        <f>IFERROR(__xludf.DUMMYFUNCTION("""COMPUTED_VALUE"""),0.11666666666860692)</f>
        <v>0.1166666667</v>
      </c>
      <c r="F184" s="132">
        <f>IFERROR(__xludf.DUMMYFUNCTION("""COMPUTED_VALUE"""),0.42361111110949423)</f>
        <v>0.4236111111</v>
      </c>
      <c r="G184" s="78">
        <f>IFERROR(__xludf.DUMMYFUNCTION("""COMPUTED_VALUE"""),0.11666666666860692)</f>
        <v>0.1166666667</v>
      </c>
      <c r="H184" s="71">
        <f>IFERROR(__xludf.DUMMYFUNCTION("""COMPUTED_VALUE"""),128.0)</f>
        <v>128</v>
      </c>
      <c r="I184" s="80">
        <f>IFERROR(__xludf.DUMMYFUNCTION("""COMPUTED_VALUE"""),45.71428571352545)</f>
        <v>45.71428571</v>
      </c>
      <c r="J184" s="71" t="str">
        <f>IFERROR(__xludf.DUMMYFUNCTION("""COMPUTED_VALUE"""),"Breakfast")</f>
        <v>Breakfast</v>
      </c>
      <c r="K184" s="106">
        <f>IFERROR(__xludf.DUMMYFUNCTION("""COMPUTED_VALUE"""),46106.0)</f>
        <v>46106</v>
      </c>
      <c r="L184" s="71" t="str">
        <f>IFERROR(__xludf.DUMMYFUNCTION("""COMPUTED_VALUE"""),"Wednesday")</f>
        <v>Wednesday</v>
      </c>
      <c r="M184" s="71" t="str">
        <f>IFERROR(__xludf.DUMMYFUNCTION("""COMPUTED_VALUE"""),"BF")</f>
        <v>BF</v>
      </c>
      <c r="N184" s="109">
        <f>IFERROR(__xludf.DUMMYFUNCTION("""COMPUTED_VALUE"""),1.6124599175512766)</f>
        <v>1.612459918</v>
      </c>
      <c r="O184" s="71" t="str">
        <f>IFERROR(__xludf.DUMMYFUNCTION("""COMPUTED_VALUE"""),"")</f>
        <v/>
      </c>
      <c r="P184" s="71" t="str">
        <f>IFERROR(__xludf.DUMMYFUNCTION("""COMPUTED_VALUE"""),"")</f>
        <v/>
      </c>
      <c r="Q184" s="78" t="str">
        <f>IFERROR(__xludf.DUMMYFUNCTION("""COMPUTED_VALUE"""),"")</f>
        <v/>
      </c>
      <c r="R184" s="78" t="str">
        <f>IFERROR(__xludf.DUMMYFUNCTION("""COMPUTED_VALUE"""),"")</f>
        <v/>
      </c>
      <c r="S184" s="80" t="str">
        <f>IFERROR(__xludf.DUMMYFUNCTION("""COMPUTED_VALUE"""),"")</f>
        <v/>
      </c>
      <c r="T184" s="80" t="str">
        <f>IFERROR(__xludf.DUMMYFUNCTION("""COMPUTED_VALUE"""),"")</f>
        <v/>
      </c>
      <c r="U184" s="71" t="str">
        <f>IFERROR(__xludf.DUMMYFUNCTION("""COMPUTED_VALUE"""),"")</f>
        <v/>
      </c>
      <c r="V184" s="78" t="str">
        <f>IFERROR(__xludf.DUMMYFUNCTION("""COMPUTED_VALUE"""),"")</f>
        <v/>
      </c>
      <c r="W184" s="62" t="str">
        <f>IFERROR(__xludf.DUMMYFUNCTION("""COMPUTED_VALUE"""),"")</f>
        <v/>
      </c>
      <c r="X184" s="80" t="str">
        <f>IFERROR(__xludf.DUMMYFUNCTION("""COMPUTED_VALUE"""),"")</f>
        <v/>
      </c>
      <c r="Y184" s="109" t="str">
        <f>IFERROR(__xludf.DUMMYFUNCTION("""COMPUTED_VALUE"""),"")</f>
        <v/>
      </c>
      <c r="Z184" s="71"/>
      <c r="AA184" s="71"/>
      <c r="AB184" s="71"/>
    </row>
    <row r="185">
      <c r="A185" s="105">
        <f>IFERROR(__xludf.DUMMYFUNCTION("""COMPUTED_VALUE"""),46106.49942357639)</f>
        <v>46106.49942</v>
      </c>
      <c r="B185" s="71" t="str">
        <f>IFERROR(__xludf.DUMMYFUNCTION("""COMPUTED_VALUE"""),"Oluwatimilehin Shodipe")</f>
        <v>Oluwatimilehin Shodipe</v>
      </c>
      <c r="C185" s="71" t="b">
        <f>IFERROR(__xludf.DUMMYFUNCTION("""COMPUTED_VALUE"""),FALSE)</f>
        <v>0</v>
      </c>
      <c r="D185" s="132">
        <f>IFERROR(__xludf.DUMMYFUNCTION("""COMPUTED_VALUE"""),0.4305555555547471)</f>
        <v>0.4305555556</v>
      </c>
      <c r="E185" s="78">
        <f>IFERROR(__xludf.DUMMYFUNCTION("""COMPUTED_VALUE"""),0.05555555555636399)</f>
        <v>0.05555555556</v>
      </c>
      <c r="F185" s="132">
        <f>IFERROR(__xludf.DUMMYFUNCTION("""COMPUTED_VALUE"""),0.4861111111111111)</f>
        <v>0.4861111111</v>
      </c>
      <c r="G185" s="78">
        <f>IFERROR(__xludf.DUMMYFUNCTION("""COMPUTED_VALUE"""),0.05555555555636399)</f>
        <v>0.05555555556</v>
      </c>
      <c r="H185" s="71">
        <f>IFERROR(__xludf.DUMMYFUNCTION("""COMPUTED_VALUE"""),65.0)</f>
        <v>65</v>
      </c>
      <c r="I185" s="80">
        <f>IFERROR(__xludf.DUMMYFUNCTION("""COMPUTED_VALUE"""),48.7499999992906)</f>
        <v>48.75</v>
      </c>
      <c r="J185" s="71" t="str">
        <f>IFERROR(__xludf.DUMMYFUNCTION("""COMPUTED_VALUE"""),"Breakfast/Lunch")</f>
        <v>Breakfast/Lunch</v>
      </c>
      <c r="K185" s="106">
        <f>IFERROR(__xludf.DUMMYFUNCTION("""COMPUTED_VALUE"""),46106.0)</f>
        <v>46106</v>
      </c>
      <c r="L185" s="71" t="str">
        <f>IFERROR(__xludf.DUMMYFUNCTION("""COMPUTED_VALUE"""),"Wednesday")</f>
        <v>Wednesday</v>
      </c>
      <c r="M185" s="71" t="str">
        <f>IFERROR(__xludf.DUMMYFUNCTION("""COMPUTED_VALUE"""),"BF")</f>
        <v>BF</v>
      </c>
      <c r="N185" s="109">
        <f>IFERROR(__xludf.DUMMYFUNCTION("""COMPUTED_VALUE"""),1.333029230702989)</f>
        <v>1.333029231</v>
      </c>
      <c r="O185" s="71" t="str">
        <f>IFERROR(__xludf.DUMMYFUNCTION("""COMPUTED_VALUE"""),"")</f>
        <v/>
      </c>
      <c r="P185" s="71" t="str">
        <f>IFERROR(__xludf.DUMMYFUNCTION("""COMPUTED_VALUE"""),"")</f>
        <v/>
      </c>
      <c r="Q185" s="78" t="str">
        <f>IFERROR(__xludf.DUMMYFUNCTION("""COMPUTED_VALUE"""),"")</f>
        <v/>
      </c>
      <c r="R185" s="78" t="str">
        <f>IFERROR(__xludf.DUMMYFUNCTION("""COMPUTED_VALUE"""),"")</f>
        <v/>
      </c>
      <c r="S185" s="80" t="str">
        <f>IFERROR(__xludf.DUMMYFUNCTION("""COMPUTED_VALUE"""),"")</f>
        <v/>
      </c>
      <c r="T185" s="80" t="str">
        <f>IFERROR(__xludf.DUMMYFUNCTION("""COMPUTED_VALUE"""),"")</f>
        <v/>
      </c>
      <c r="U185" s="71" t="str">
        <f>IFERROR(__xludf.DUMMYFUNCTION("""COMPUTED_VALUE"""),"")</f>
        <v/>
      </c>
      <c r="V185" s="78" t="str">
        <f>IFERROR(__xludf.DUMMYFUNCTION("""COMPUTED_VALUE"""),"")</f>
        <v/>
      </c>
      <c r="W185" s="62" t="str">
        <f>IFERROR(__xludf.DUMMYFUNCTION("""COMPUTED_VALUE"""),"")</f>
        <v/>
      </c>
      <c r="X185" s="80" t="str">
        <f>IFERROR(__xludf.DUMMYFUNCTION("""COMPUTED_VALUE"""),"")</f>
        <v/>
      </c>
      <c r="Y185" s="109" t="str">
        <f>IFERROR(__xludf.DUMMYFUNCTION("""COMPUTED_VALUE"""),"")</f>
        <v/>
      </c>
      <c r="Z185" s="71"/>
      <c r="AA185" s="71"/>
      <c r="AB185" s="71"/>
    </row>
    <row r="186">
      <c r="A186" s="105">
        <f>IFERROR(__xludf.DUMMYFUNCTION("""COMPUTED_VALUE"""),46106.84354508102)</f>
        <v>46106.84355</v>
      </c>
      <c r="B186" s="71" t="str">
        <f>IFERROR(__xludf.DUMMYFUNCTION("""COMPUTED_VALUE"""),"Maureen Surgot")</f>
        <v>Maureen Surgot</v>
      </c>
      <c r="C186" s="71" t="b">
        <f>IFERROR(__xludf.DUMMYFUNCTION("""COMPUTED_VALUE"""),FALSE)</f>
        <v>0</v>
      </c>
      <c r="D186" s="132">
        <f>IFERROR(__xludf.DUMMYFUNCTION("""COMPUTED_VALUE"""),0.6875)</f>
        <v>0.6875</v>
      </c>
      <c r="E186" s="78">
        <f>IFERROR(__xludf.DUMMYFUNCTION("""COMPUTED_VALUE"""),0.16666666666424135)</f>
        <v>0.1666666667</v>
      </c>
      <c r="F186" s="132">
        <f>IFERROR(__xludf.DUMMYFUNCTION("""COMPUTED_VALUE"""),0.8541666666642413)</f>
        <v>0.8541666667</v>
      </c>
      <c r="G186" s="78">
        <f>IFERROR(__xludf.DUMMYFUNCTION("""COMPUTED_VALUE"""),0.16666666666424135)</f>
        <v>0.1666666667</v>
      </c>
      <c r="H186" s="71">
        <f>IFERROR(__xludf.DUMMYFUNCTION("""COMPUTED_VALUE"""),230.0)</f>
        <v>230</v>
      </c>
      <c r="I186" s="80">
        <f>IFERROR(__xludf.DUMMYFUNCTION("""COMPUTED_VALUE"""),57.500000000836735)</f>
        <v>57.5</v>
      </c>
      <c r="J186" s="71" t="str">
        <f>IFERROR(__xludf.DUMMYFUNCTION("""COMPUTED_VALUE"""),"Dinner")</f>
        <v>Dinner</v>
      </c>
      <c r="K186" s="106">
        <f>IFERROR(__xludf.DUMMYFUNCTION("""COMPUTED_VALUE"""),46106.0)</f>
        <v>46106</v>
      </c>
      <c r="L186" s="71" t="str">
        <f>IFERROR(__xludf.DUMMYFUNCTION("""COMPUTED_VALUE"""),"Wednesday")</f>
        <v>Wednesday</v>
      </c>
      <c r="M186" s="71" t="str">
        <f>IFERROR(__xludf.DUMMYFUNCTION("""COMPUTED_VALUE"""),"BF")</f>
        <v>BF</v>
      </c>
      <c r="N186" s="109">
        <f>IFERROR(__xludf.DUMMYFUNCTION("""COMPUTED_VALUE"""),1.2941176470588234)</f>
        <v>1.294117647</v>
      </c>
      <c r="O186" s="71" t="str">
        <f>IFERROR(__xludf.DUMMYFUNCTION("""COMPUTED_VALUE"""),"")</f>
        <v/>
      </c>
      <c r="P186" s="71" t="str">
        <f>IFERROR(__xludf.DUMMYFUNCTION("""COMPUTED_VALUE"""),"")</f>
        <v/>
      </c>
      <c r="Q186" s="78" t="str">
        <f>IFERROR(__xludf.DUMMYFUNCTION("""COMPUTED_VALUE"""),"")</f>
        <v/>
      </c>
      <c r="R186" s="78" t="str">
        <f>IFERROR(__xludf.DUMMYFUNCTION("""COMPUTED_VALUE"""),"")</f>
        <v/>
      </c>
      <c r="S186" s="80" t="str">
        <f>IFERROR(__xludf.DUMMYFUNCTION("""COMPUTED_VALUE"""),"")</f>
        <v/>
      </c>
      <c r="T186" s="80" t="str">
        <f>IFERROR(__xludf.DUMMYFUNCTION("""COMPUTED_VALUE"""),"")</f>
        <v/>
      </c>
      <c r="U186" s="71" t="str">
        <f>IFERROR(__xludf.DUMMYFUNCTION("""COMPUTED_VALUE"""),"")</f>
        <v/>
      </c>
      <c r="V186" s="78" t="str">
        <f>IFERROR(__xludf.DUMMYFUNCTION("""COMPUTED_VALUE"""),"")</f>
        <v/>
      </c>
      <c r="W186" s="62" t="str">
        <f>IFERROR(__xludf.DUMMYFUNCTION("""COMPUTED_VALUE"""),"")</f>
        <v/>
      </c>
      <c r="X186" s="80" t="str">
        <f>IFERROR(__xludf.DUMMYFUNCTION("""COMPUTED_VALUE"""),"")</f>
        <v/>
      </c>
      <c r="Y186" s="109" t="str">
        <f>IFERROR(__xludf.DUMMYFUNCTION("""COMPUTED_VALUE"""),"")</f>
        <v/>
      </c>
      <c r="Z186" s="71"/>
      <c r="AA186" s="71"/>
      <c r="AB186" s="71"/>
    </row>
    <row r="187">
      <c r="A187" s="105">
        <f>IFERROR(__xludf.DUMMYFUNCTION("""COMPUTED_VALUE"""),46106.86914738426)</f>
        <v>46106.86915</v>
      </c>
      <c r="B187" s="71" t="str">
        <f>IFERROR(__xludf.DUMMYFUNCTION("""COMPUTED_VALUE"""),"Brynn Hornig")</f>
        <v>Brynn Hornig</v>
      </c>
      <c r="C187" s="71" t="b">
        <f>IFERROR(__xludf.DUMMYFUNCTION("""COMPUTED_VALUE"""),FALSE)</f>
        <v>0</v>
      </c>
      <c r="D187" s="132">
        <f>IFERROR(__xludf.DUMMYFUNCTION("""COMPUTED_VALUE"""),0.75)</f>
        <v>0.75</v>
      </c>
      <c r="E187" s="78">
        <f>IFERROR(__xludf.DUMMYFUNCTION("""COMPUTED_VALUE"""),0.125)</f>
        <v>0.125</v>
      </c>
      <c r="F187" s="132">
        <f>IFERROR(__xludf.DUMMYFUNCTION("""COMPUTED_VALUE"""),0.875)</f>
        <v>0.875</v>
      </c>
      <c r="G187" s="78">
        <f>IFERROR(__xludf.DUMMYFUNCTION("""COMPUTED_VALUE"""),0.125)</f>
        <v>0.125</v>
      </c>
      <c r="H187" s="71">
        <f>IFERROR(__xludf.DUMMYFUNCTION("""COMPUTED_VALUE"""),129.0)</f>
        <v>129</v>
      </c>
      <c r="I187" s="80">
        <f>IFERROR(__xludf.DUMMYFUNCTION("""COMPUTED_VALUE"""),43.0)</f>
        <v>43</v>
      </c>
      <c r="J187" s="71" t="str">
        <f>IFERROR(__xludf.DUMMYFUNCTION("""COMPUTED_VALUE"""),"Dinner")</f>
        <v>Dinner</v>
      </c>
      <c r="K187" s="106">
        <f>IFERROR(__xludf.DUMMYFUNCTION("""COMPUTED_VALUE"""),46106.0)</f>
        <v>46106</v>
      </c>
      <c r="L187" s="71" t="str">
        <f>IFERROR(__xludf.DUMMYFUNCTION("""COMPUTED_VALUE"""),"Wednesday")</f>
        <v>Wednesday</v>
      </c>
      <c r="M187" s="71" t="str">
        <f>IFERROR(__xludf.DUMMYFUNCTION("""COMPUTED_VALUE"""),"MF")</f>
        <v>MF</v>
      </c>
      <c r="N187" s="109">
        <f>IFERROR(__xludf.DUMMYFUNCTION("""COMPUTED_VALUE"""),0.9271301589590462)</f>
        <v>0.927130159</v>
      </c>
      <c r="O187" s="71">
        <f>IFERROR(__xludf.DUMMYFUNCTION("""COMPUTED_VALUE"""),129.0)</f>
        <v>129</v>
      </c>
      <c r="P187" s="71">
        <f>IFERROR(__xludf.DUMMYFUNCTION("""COMPUTED_VALUE"""),423.0)</f>
        <v>423</v>
      </c>
      <c r="Q187" s="78">
        <f>IFERROR(__xludf.DUMMYFUNCTION("""COMPUTED_VALUE"""),0.125)</f>
        <v>0.125</v>
      </c>
      <c r="R187" s="78">
        <f>IFERROR(__xludf.DUMMYFUNCTION("""COMPUTED_VALUE"""),0.33888888888921226)</f>
        <v>0.3388888889</v>
      </c>
      <c r="S187" s="80">
        <f>IFERROR(__xludf.DUMMYFUNCTION("""COMPUTED_VALUE"""),43.0)</f>
        <v>43</v>
      </c>
      <c r="T187" s="80">
        <f>IFERROR(__xludf.DUMMYFUNCTION("""COMPUTED_VALUE"""),50.654761904550924)</f>
        <v>50.6547619</v>
      </c>
      <c r="U187" s="71">
        <f>IFERROR(__xludf.DUMMYFUNCTION("""COMPUTED_VALUE"""),552.0)</f>
        <v>552</v>
      </c>
      <c r="V187" s="78">
        <f>IFERROR(__xludf.DUMMYFUNCTION("""COMPUTED_VALUE"""),0.46388888888921226)</f>
        <v>0.4638888889</v>
      </c>
      <c r="W187" s="62">
        <f>IFERROR(__xludf.DUMMYFUNCTION("""COMPUTED_VALUE"""),49.58083832331873)</f>
        <v>49.58083832</v>
      </c>
      <c r="X187" s="80">
        <f>IFERROR(__xludf.DUMMYFUNCTION("""COMPUTED_VALUE"""),48.74107142841319)</f>
        <v>48.74107143</v>
      </c>
      <c r="Y187" s="109">
        <f>IFERROR(__xludf.DUMMYFUNCTION("""COMPUTED_VALUE"""),0.9933871279067485)</f>
        <v>0.9933871279</v>
      </c>
      <c r="Z187" s="71"/>
      <c r="AA187" s="71"/>
      <c r="AB187" s="71"/>
    </row>
    <row r="188">
      <c r="A188" s="105">
        <f>IFERROR(__xludf.DUMMYFUNCTION("""COMPUTED_VALUE"""),46107.36238027777)</f>
        <v>46107.36238</v>
      </c>
      <c r="B188" s="71" t="str">
        <f>IFERROR(__xludf.DUMMYFUNCTION("""COMPUTED_VALUE"""),"Evan Morgan")</f>
        <v>Evan Morgan</v>
      </c>
      <c r="C188" s="71" t="b">
        <f>IFERROR(__xludf.DUMMYFUNCTION("""COMPUTED_VALUE"""),FALSE)</f>
        <v>0</v>
      </c>
      <c r="D188" s="132">
        <f>IFERROR(__xludf.DUMMYFUNCTION("""COMPUTED_VALUE"""),0.29166666666424135)</f>
        <v>0.2916666667</v>
      </c>
      <c r="E188" s="78">
        <f>IFERROR(__xludf.DUMMYFUNCTION("""COMPUTED_VALUE"""),0.07013888889196096)</f>
        <v>0.07013888889</v>
      </c>
      <c r="F188" s="132">
        <f>IFERROR(__xludf.DUMMYFUNCTION("""COMPUTED_VALUE"""),0.3618055555562023)</f>
        <v>0.3618055556</v>
      </c>
      <c r="G188" s="78">
        <f>IFERROR(__xludf.DUMMYFUNCTION("""COMPUTED_VALUE"""),0.07013888889196096)</f>
        <v>0.07013888889</v>
      </c>
      <c r="H188" s="71">
        <f>IFERROR(__xludf.DUMMYFUNCTION("""COMPUTED_VALUE"""),10.0)</f>
        <v>10</v>
      </c>
      <c r="I188" s="80">
        <f>IFERROR(__xludf.DUMMYFUNCTION("""COMPUTED_VALUE"""),5.940594059145743)</f>
        <v>5.940594059</v>
      </c>
      <c r="J188" s="71" t="str">
        <f>IFERROR(__xludf.DUMMYFUNCTION("""COMPUTED_VALUE"""),"Breakfast")</f>
        <v>Breakfast</v>
      </c>
      <c r="K188" s="106">
        <f>IFERROR(__xludf.DUMMYFUNCTION("""COMPUTED_VALUE"""),46107.0)</f>
        <v>46107</v>
      </c>
      <c r="L188" s="71" t="str">
        <f>IFERROR(__xludf.DUMMYFUNCTION("""COMPUTED_VALUE"""),"Thursday")</f>
        <v>Thursday</v>
      </c>
      <c r="M188" s="71" t="str">
        <f>IFERROR(__xludf.DUMMYFUNCTION("""COMPUTED_VALUE"""),"BF")</f>
        <v>BF</v>
      </c>
      <c r="N188" s="109">
        <f>IFERROR(__xludf.DUMMYFUNCTION("""COMPUTED_VALUE"""),0.20953996452757934)</f>
        <v>0.2095399645</v>
      </c>
      <c r="O188" s="71" t="str">
        <f>IFERROR(__xludf.DUMMYFUNCTION("""COMPUTED_VALUE"""),"")</f>
        <v/>
      </c>
      <c r="P188" s="71" t="str">
        <f>IFERROR(__xludf.DUMMYFUNCTION("""COMPUTED_VALUE"""),"")</f>
        <v/>
      </c>
      <c r="Q188" s="78" t="str">
        <f>IFERROR(__xludf.DUMMYFUNCTION("""COMPUTED_VALUE"""),"")</f>
        <v/>
      </c>
      <c r="R188" s="78" t="str">
        <f>IFERROR(__xludf.DUMMYFUNCTION("""COMPUTED_VALUE"""),"")</f>
        <v/>
      </c>
      <c r="S188" s="80" t="str">
        <f>IFERROR(__xludf.DUMMYFUNCTION("""COMPUTED_VALUE"""),"")</f>
        <v/>
      </c>
      <c r="T188" s="80" t="str">
        <f>IFERROR(__xludf.DUMMYFUNCTION("""COMPUTED_VALUE"""),"")</f>
        <v/>
      </c>
      <c r="U188" s="71" t="str">
        <f>IFERROR(__xludf.DUMMYFUNCTION("""COMPUTED_VALUE"""),"")</f>
        <v/>
      </c>
      <c r="V188" s="78" t="str">
        <f>IFERROR(__xludf.DUMMYFUNCTION("""COMPUTED_VALUE"""),"")</f>
        <v/>
      </c>
      <c r="W188" s="62" t="str">
        <f>IFERROR(__xludf.DUMMYFUNCTION("""COMPUTED_VALUE"""),"")</f>
        <v/>
      </c>
      <c r="X188" s="80" t="str">
        <f>IFERROR(__xludf.DUMMYFUNCTION("""COMPUTED_VALUE"""),"")</f>
        <v/>
      </c>
      <c r="Y188" s="109" t="str">
        <f>IFERROR(__xludf.DUMMYFUNCTION("""COMPUTED_VALUE"""),"")</f>
        <v/>
      </c>
      <c r="Z188" s="71"/>
      <c r="AA188" s="71"/>
      <c r="AB188" s="71"/>
    </row>
    <row r="189">
      <c r="A189" s="105">
        <f>IFERROR(__xludf.DUMMYFUNCTION("""COMPUTED_VALUE"""),46107.47617815972)</f>
        <v>46107.47618</v>
      </c>
      <c r="B189" s="71" t="str">
        <f>IFERROR(__xludf.DUMMYFUNCTION("""COMPUTED_VALUE"""),"Sophia Kluck")</f>
        <v>Sophia Kluck</v>
      </c>
      <c r="C189" s="71" t="b">
        <f>IFERROR(__xludf.DUMMYFUNCTION("""COMPUTED_VALUE"""),FALSE)</f>
        <v>0</v>
      </c>
      <c r="D189" s="132">
        <f>IFERROR(__xludf.DUMMYFUNCTION("""COMPUTED_VALUE"""),0.3687500000014552)</f>
        <v>0.36875</v>
      </c>
      <c r="E189" s="78">
        <f>IFERROR(__xludf.DUMMYFUNCTION("""COMPUTED_VALUE"""),0.10694444444379769)</f>
        <v>0.1069444444</v>
      </c>
      <c r="F189" s="132">
        <f>IFERROR(__xludf.DUMMYFUNCTION("""COMPUTED_VALUE"""),0.4756944444452529)</f>
        <v>0.4756944444</v>
      </c>
      <c r="G189" s="78">
        <f>IFERROR(__xludf.DUMMYFUNCTION("""COMPUTED_VALUE"""),0.10694444444379769)</f>
        <v>0.1069444444</v>
      </c>
      <c r="H189" s="71">
        <f>IFERROR(__xludf.DUMMYFUNCTION("""COMPUTED_VALUE"""),86.0)</f>
        <v>86</v>
      </c>
      <c r="I189" s="80">
        <f>IFERROR(__xludf.DUMMYFUNCTION("""COMPUTED_VALUE"""),33.50649350669614)</f>
        <v>33.50649351</v>
      </c>
      <c r="J189" s="71" t="str">
        <f>IFERROR(__xludf.DUMMYFUNCTION("""COMPUTED_VALUE"""),"Breakfast/Lunch")</f>
        <v>Breakfast/Lunch</v>
      </c>
      <c r="K189" s="106">
        <f>IFERROR(__xludf.DUMMYFUNCTION("""COMPUTED_VALUE"""),46107.0)</f>
        <v>46107</v>
      </c>
      <c r="L189" s="71" t="str">
        <f>IFERROR(__xludf.DUMMYFUNCTION("""COMPUTED_VALUE"""),"Thursday")</f>
        <v>Thursday</v>
      </c>
      <c r="M189" s="71" t="str">
        <f>IFERROR(__xludf.DUMMYFUNCTION("""COMPUTED_VALUE"""),"BF")</f>
        <v>BF</v>
      </c>
      <c r="N189" s="109">
        <f>IFERROR(__xludf.DUMMYFUNCTION("""COMPUTED_VALUE"""),0.7954603954832733)</f>
        <v>0.7954603955</v>
      </c>
      <c r="O189" s="71" t="str">
        <f>IFERROR(__xludf.DUMMYFUNCTION("""COMPUTED_VALUE"""),"")</f>
        <v/>
      </c>
      <c r="P189" s="71" t="str">
        <f>IFERROR(__xludf.DUMMYFUNCTION("""COMPUTED_VALUE"""),"")</f>
        <v/>
      </c>
      <c r="Q189" s="78" t="str">
        <f>IFERROR(__xludf.DUMMYFUNCTION("""COMPUTED_VALUE"""),"")</f>
        <v/>
      </c>
      <c r="R189" s="78" t="str">
        <f>IFERROR(__xludf.DUMMYFUNCTION("""COMPUTED_VALUE"""),"")</f>
        <v/>
      </c>
      <c r="S189" s="80" t="str">
        <f>IFERROR(__xludf.DUMMYFUNCTION("""COMPUTED_VALUE"""),"")</f>
        <v/>
      </c>
      <c r="T189" s="80" t="str">
        <f>IFERROR(__xludf.DUMMYFUNCTION("""COMPUTED_VALUE"""),"")</f>
        <v/>
      </c>
      <c r="U189" s="71" t="str">
        <f>IFERROR(__xludf.DUMMYFUNCTION("""COMPUTED_VALUE"""),"")</f>
        <v/>
      </c>
      <c r="V189" s="78" t="str">
        <f>IFERROR(__xludf.DUMMYFUNCTION("""COMPUTED_VALUE"""),"")</f>
        <v/>
      </c>
      <c r="W189" s="62" t="str">
        <f>IFERROR(__xludf.DUMMYFUNCTION("""COMPUTED_VALUE"""),"")</f>
        <v/>
      </c>
      <c r="X189" s="80" t="str">
        <f>IFERROR(__xludf.DUMMYFUNCTION("""COMPUTED_VALUE"""),"")</f>
        <v/>
      </c>
      <c r="Y189" s="109" t="str">
        <f>IFERROR(__xludf.DUMMYFUNCTION("""COMPUTED_VALUE"""),"")</f>
        <v/>
      </c>
      <c r="Z189" s="71"/>
      <c r="AA189" s="71"/>
      <c r="AB189" s="71"/>
    </row>
    <row r="190">
      <c r="A190" s="105">
        <f>IFERROR(__xludf.DUMMYFUNCTION("""COMPUTED_VALUE"""),46107.52642025463)</f>
        <v>46107.52642</v>
      </c>
      <c r="B190" s="71" t="str">
        <f>IFERROR(__xludf.DUMMYFUNCTION("""COMPUTED_VALUE"""),"Emmett Khan")</f>
        <v>Emmett Khan</v>
      </c>
      <c r="C190" s="71" t="b">
        <f>IFERROR(__xludf.DUMMYFUNCTION("""COMPUTED_VALUE"""),FALSE)</f>
        <v>0</v>
      </c>
      <c r="D190" s="132">
        <f>IFERROR(__xludf.DUMMYFUNCTION("""COMPUTED_VALUE"""),0.47916666666424135)</f>
        <v>0.4791666667</v>
      </c>
      <c r="E190" s="78">
        <f>IFERROR(__xludf.DUMMYFUNCTION("""COMPUTED_VALUE"""),0.05208333333575865)</f>
        <v>0.05208333334</v>
      </c>
      <c r="F190" s="132">
        <f>IFERROR(__xludf.DUMMYFUNCTION("""COMPUTED_VALUE"""),0.53125)</f>
        <v>0.53125</v>
      </c>
      <c r="G190" s="78">
        <f>IFERROR(__xludf.DUMMYFUNCTION("""COMPUTED_VALUE"""),0.05208333333575865)</f>
        <v>0.05208333334</v>
      </c>
      <c r="H190" s="71">
        <f>IFERROR(__xludf.DUMMYFUNCTION("""COMPUTED_VALUE"""),60.0)</f>
        <v>60</v>
      </c>
      <c r="I190" s="80">
        <f>IFERROR(__xludf.DUMMYFUNCTION("""COMPUTED_VALUE"""),47.999999997764824)</f>
        <v>48</v>
      </c>
      <c r="J190" s="71" t="str">
        <f>IFERROR(__xludf.DUMMYFUNCTION("""COMPUTED_VALUE"""),"Lunch")</f>
        <v>Lunch</v>
      </c>
      <c r="K190" s="106">
        <f>IFERROR(__xludf.DUMMYFUNCTION("""COMPUTED_VALUE"""),46107.0)</f>
        <v>46107</v>
      </c>
      <c r="L190" s="71" t="str">
        <f>IFERROR(__xludf.DUMMYFUNCTION("""COMPUTED_VALUE"""),"Thursday")</f>
        <v>Thursday</v>
      </c>
      <c r="M190" s="71" t="str">
        <f>IFERROR(__xludf.DUMMYFUNCTION("""COMPUTED_VALUE"""),"MF")</f>
        <v>MF</v>
      </c>
      <c r="N190" s="109">
        <f>IFERROR(__xludf.DUMMYFUNCTION("""COMPUTED_VALUE"""),0.9547015143889775)</f>
        <v>0.9547015144</v>
      </c>
      <c r="O190" s="71" t="str">
        <f>IFERROR(__xludf.DUMMYFUNCTION("""COMPUTED_VALUE"""),"")</f>
        <v/>
      </c>
      <c r="P190" s="71" t="str">
        <f>IFERROR(__xludf.DUMMYFUNCTION("""COMPUTED_VALUE"""),"")</f>
        <v/>
      </c>
      <c r="Q190" s="78" t="str">
        <f>IFERROR(__xludf.DUMMYFUNCTION("""COMPUTED_VALUE"""),"")</f>
        <v/>
      </c>
      <c r="R190" s="78" t="str">
        <f>IFERROR(__xludf.DUMMYFUNCTION("""COMPUTED_VALUE"""),"")</f>
        <v/>
      </c>
      <c r="S190" s="80" t="str">
        <f>IFERROR(__xludf.DUMMYFUNCTION("""COMPUTED_VALUE"""),"")</f>
        <v/>
      </c>
      <c r="T190" s="80" t="str">
        <f>IFERROR(__xludf.DUMMYFUNCTION("""COMPUTED_VALUE"""),"")</f>
        <v/>
      </c>
      <c r="U190" s="71" t="str">
        <f>IFERROR(__xludf.DUMMYFUNCTION("""COMPUTED_VALUE"""),"")</f>
        <v/>
      </c>
      <c r="V190" s="78" t="str">
        <f>IFERROR(__xludf.DUMMYFUNCTION("""COMPUTED_VALUE"""),"")</f>
        <v/>
      </c>
      <c r="W190" s="62" t="str">
        <f>IFERROR(__xludf.DUMMYFUNCTION("""COMPUTED_VALUE"""),"")</f>
        <v/>
      </c>
      <c r="X190" s="80" t="str">
        <f>IFERROR(__xludf.DUMMYFUNCTION("""COMPUTED_VALUE"""),"")</f>
        <v/>
      </c>
      <c r="Y190" s="109" t="str">
        <f>IFERROR(__xludf.DUMMYFUNCTION("""COMPUTED_VALUE"""),"")</f>
        <v/>
      </c>
      <c r="Z190" s="71"/>
      <c r="AA190" s="71"/>
      <c r="AB190" s="71"/>
    </row>
    <row r="191">
      <c r="A191" s="105">
        <f>IFERROR(__xludf.DUMMYFUNCTION("""COMPUTED_VALUE"""),46107.58079944445)</f>
        <v>46107.5808</v>
      </c>
      <c r="B191" s="71" t="str">
        <f>IFERROR(__xludf.DUMMYFUNCTION("""COMPUTED_VALUE"""),"Kyra Turner")</f>
        <v>Kyra Turner</v>
      </c>
      <c r="C191" s="71" t="b">
        <f>IFERROR(__xludf.DUMMYFUNCTION("""COMPUTED_VALUE"""),FALSE)</f>
        <v>0</v>
      </c>
      <c r="D191" s="132">
        <f>IFERROR(__xludf.DUMMYFUNCTION("""COMPUTED_VALUE"""),0.5020833333328483)</f>
        <v>0.5020833333</v>
      </c>
      <c r="E191" s="78">
        <f>IFERROR(__xludf.DUMMYFUNCTION("""COMPUTED_VALUE"""),0.07569444444379769)</f>
        <v>0.07569444444</v>
      </c>
      <c r="F191" s="132">
        <f>IFERROR(__xludf.DUMMYFUNCTION("""COMPUTED_VALUE"""),0.577777777776646)</f>
        <v>0.5777777778</v>
      </c>
      <c r="G191" s="78">
        <f>IFERROR(__xludf.DUMMYFUNCTION("""COMPUTED_VALUE"""),0.07569444444379769)</f>
        <v>0.07569444444</v>
      </c>
      <c r="H191" s="71">
        <f>IFERROR(__xludf.DUMMYFUNCTION("""COMPUTED_VALUE"""),111.0)</f>
        <v>111</v>
      </c>
      <c r="I191" s="80">
        <f>IFERROR(__xludf.DUMMYFUNCTION("""COMPUTED_VALUE"""),61.10091743171472)</f>
        <v>61.10091743</v>
      </c>
      <c r="J191" s="71" t="str">
        <f>IFERROR(__xludf.DUMMYFUNCTION("""COMPUTED_VALUE"""),"Lunch")</f>
        <v>Lunch</v>
      </c>
      <c r="K191" s="106">
        <f>IFERROR(__xludf.DUMMYFUNCTION("""COMPUTED_VALUE"""),46107.0)</f>
        <v>46107</v>
      </c>
      <c r="L191" s="71" t="str">
        <f>IFERROR(__xludf.DUMMYFUNCTION("""COMPUTED_VALUE"""),"Thursday")</f>
        <v>Thursday</v>
      </c>
      <c r="M191" s="71" t="str">
        <f>IFERROR(__xludf.DUMMYFUNCTION("""COMPUTED_VALUE"""),"BF")</f>
        <v>BF</v>
      </c>
      <c r="N191" s="109">
        <f>IFERROR(__xludf.DUMMYFUNCTION("""COMPUTED_VALUE"""),2.1551858187538127)</f>
        <v>2.155185819</v>
      </c>
      <c r="O191" s="71" t="str">
        <f>IFERROR(__xludf.DUMMYFUNCTION("""COMPUTED_VALUE"""),"")</f>
        <v/>
      </c>
      <c r="P191" s="71" t="str">
        <f>IFERROR(__xludf.DUMMYFUNCTION("""COMPUTED_VALUE"""),"")</f>
        <v/>
      </c>
      <c r="Q191" s="78" t="str">
        <f>IFERROR(__xludf.DUMMYFUNCTION("""COMPUTED_VALUE"""),"")</f>
        <v/>
      </c>
      <c r="R191" s="78" t="str">
        <f>IFERROR(__xludf.DUMMYFUNCTION("""COMPUTED_VALUE"""),"")</f>
        <v/>
      </c>
      <c r="S191" s="80" t="str">
        <f>IFERROR(__xludf.DUMMYFUNCTION("""COMPUTED_VALUE"""),"")</f>
        <v/>
      </c>
      <c r="T191" s="80" t="str">
        <f>IFERROR(__xludf.DUMMYFUNCTION("""COMPUTED_VALUE"""),"")</f>
        <v/>
      </c>
      <c r="U191" s="71" t="str">
        <f>IFERROR(__xludf.DUMMYFUNCTION("""COMPUTED_VALUE"""),"")</f>
        <v/>
      </c>
      <c r="V191" s="78" t="str">
        <f>IFERROR(__xludf.DUMMYFUNCTION("""COMPUTED_VALUE"""),"")</f>
        <v/>
      </c>
      <c r="W191" s="62" t="str">
        <f>IFERROR(__xludf.DUMMYFUNCTION("""COMPUTED_VALUE"""),"")</f>
        <v/>
      </c>
      <c r="X191" s="80" t="str">
        <f>IFERROR(__xludf.DUMMYFUNCTION("""COMPUTED_VALUE"""),"")</f>
        <v/>
      </c>
      <c r="Y191" s="109" t="str">
        <f>IFERROR(__xludf.DUMMYFUNCTION("""COMPUTED_VALUE"""),"")</f>
        <v/>
      </c>
      <c r="Z191" s="71"/>
      <c r="AA191" s="71"/>
      <c r="AB191" s="71"/>
    </row>
    <row r="192">
      <c r="A192" s="105">
        <f>IFERROR(__xludf.DUMMYFUNCTION("""COMPUTED_VALUE"""),46107.850718229165)</f>
        <v>46107.85072</v>
      </c>
      <c r="B192" s="71" t="str">
        <f>IFERROR(__xludf.DUMMYFUNCTION("""COMPUTED_VALUE"""),"Leah Bucci")</f>
        <v>Leah Bucci</v>
      </c>
      <c r="C192" s="71" t="b">
        <f>IFERROR(__xludf.DUMMYFUNCTION("""COMPUTED_VALUE"""),FALSE)</f>
        <v>0</v>
      </c>
      <c r="D192" s="132">
        <f>IFERROR(__xludf.DUMMYFUNCTION("""COMPUTED_VALUE"""),0.6875)</f>
        <v>0.6875</v>
      </c>
      <c r="E192" s="78">
        <f>IFERROR(__xludf.DUMMYFUNCTION("""COMPUTED_VALUE"""),0.15972222221898846)</f>
        <v>0.1597222222</v>
      </c>
      <c r="F192" s="132">
        <f>IFERROR(__xludf.DUMMYFUNCTION("""COMPUTED_VALUE"""),0.8472222222189885)</f>
        <v>0.8472222222</v>
      </c>
      <c r="G192" s="78">
        <f>IFERROR(__xludf.DUMMYFUNCTION("""COMPUTED_VALUE"""),0.15972222221898846)</f>
        <v>0.1597222222</v>
      </c>
      <c r="H192" s="71">
        <f>IFERROR(__xludf.DUMMYFUNCTION("""COMPUTED_VALUE"""),146.0)</f>
        <v>146</v>
      </c>
      <c r="I192" s="80">
        <f>IFERROR(__xludf.DUMMYFUNCTION("""COMPUTED_VALUE"""),38.08695652251024)</f>
        <v>38.08695652</v>
      </c>
      <c r="J192" s="71" t="str">
        <f>IFERROR(__xludf.DUMMYFUNCTION("""COMPUTED_VALUE"""),"Dinner")</f>
        <v>Dinner</v>
      </c>
      <c r="K192" s="106">
        <f>IFERROR(__xludf.DUMMYFUNCTION("""COMPUTED_VALUE"""),46107.0)</f>
        <v>46107</v>
      </c>
      <c r="L192" s="71" t="str">
        <f>IFERROR(__xludf.DUMMYFUNCTION("""COMPUTED_VALUE"""),"Thursday")</f>
        <v>Thursday</v>
      </c>
      <c r="M192" s="71" t="str">
        <f>IFERROR(__xludf.DUMMYFUNCTION("""COMPUTED_VALUE"""),"BF")</f>
        <v>BF</v>
      </c>
      <c r="N192" s="109">
        <f>IFERROR(__xludf.DUMMYFUNCTION("""COMPUTED_VALUE"""),0.8572000444839203)</f>
        <v>0.8572000445</v>
      </c>
      <c r="O192" s="71">
        <f>IFERROR(__xludf.DUMMYFUNCTION("""COMPUTED_VALUE"""),60.0)</f>
        <v>60</v>
      </c>
      <c r="P192" s="71">
        <f>IFERROR(__xludf.DUMMYFUNCTION("""COMPUTED_VALUE"""),353.0)</f>
        <v>353</v>
      </c>
      <c r="Q192" s="78">
        <f>IFERROR(__xludf.DUMMYFUNCTION("""COMPUTED_VALUE"""),0.05208333333575865)</f>
        <v>0.05208333334</v>
      </c>
      <c r="R192" s="78">
        <f>IFERROR(__xludf.DUMMYFUNCTION("""COMPUTED_VALUE"""),0.4124999999985448)</f>
        <v>0.4125</v>
      </c>
      <c r="S192" s="80">
        <f>IFERROR(__xludf.DUMMYFUNCTION("""COMPUTED_VALUE"""),47.999999997764824)</f>
        <v>48</v>
      </c>
      <c r="T192" s="80">
        <f>IFERROR(__xludf.DUMMYFUNCTION("""COMPUTED_VALUE"""),34.65874038001671)</f>
        <v>34.65874038</v>
      </c>
      <c r="U192" s="71">
        <f>IFERROR(__xludf.DUMMYFUNCTION("""COMPUTED_VALUE"""),413.0)</f>
        <v>413</v>
      </c>
      <c r="V192" s="78">
        <f>IFERROR(__xludf.DUMMYFUNCTION("""COMPUTED_VALUE"""),0.46458333333430346)</f>
        <v>0.4645833333</v>
      </c>
      <c r="W192" s="62">
        <f>IFERROR(__xludf.DUMMYFUNCTION("""COMPUTED_VALUE"""),37.040358744317274)</f>
        <v>37.04035874</v>
      </c>
      <c r="X192" s="80">
        <f>IFERROR(__xludf.DUMMYFUNCTION("""COMPUTED_VALUE"""),37.326992303566335)</f>
        <v>37.3269923</v>
      </c>
      <c r="Y192" s="109">
        <f>IFERROR(__xludf.DUMMYFUNCTION("""COMPUTED_VALUE"""),0.7119920491490099)</f>
        <v>0.7119920491</v>
      </c>
      <c r="Z192" s="71"/>
      <c r="AA192" s="71"/>
      <c r="AB192" s="71"/>
    </row>
    <row r="193">
      <c r="A193" s="105">
        <f>IFERROR(__xludf.DUMMYFUNCTION("""COMPUTED_VALUE"""),46107.64389478009)</f>
        <v>46107.64389</v>
      </c>
      <c r="B193" s="71" t="str">
        <f>IFERROR(__xludf.DUMMYFUNCTION("""COMPUTED_VALUE"""),"Kyra Turner")</f>
        <v>Kyra Turner</v>
      </c>
      <c r="C193" s="71" t="b">
        <f>IFERROR(__xludf.DUMMYFUNCTION("""COMPUTED_VALUE"""),FALSE)</f>
        <v>0</v>
      </c>
      <c r="D193" s="132">
        <f>IFERROR(__xludf.DUMMYFUNCTION("""COMPUTED_VALUE"""),0.5805555555562023)</f>
        <v>0.5805555556</v>
      </c>
      <c r="E193" s="78">
        <f>IFERROR(__xludf.DUMMYFUNCTION("""COMPUTED_VALUE"""),0.061805555553291924)</f>
        <v>0.06180555555</v>
      </c>
      <c r="F193" s="132">
        <f>IFERROR(__xludf.DUMMYFUNCTION("""COMPUTED_VALUE"""),0.6423611111094942)</f>
        <v>0.6423611111</v>
      </c>
      <c r="G193" s="78">
        <f>IFERROR(__xludf.DUMMYFUNCTION("""COMPUTED_VALUE"""),0.061805555553291924)</f>
        <v>0.06180555555</v>
      </c>
      <c r="H193" s="71">
        <f>IFERROR(__xludf.DUMMYFUNCTION("""COMPUTED_VALUE"""),80.0)</f>
        <v>80</v>
      </c>
      <c r="I193" s="80">
        <f>IFERROR(__xludf.DUMMYFUNCTION("""COMPUTED_VALUE"""),53.932584271638206)</f>
        <v>53.93258427</v>
      </c>
      <c r="J193" s="71" t="str">
        <f>IFERROR(__xludf.DUMMYFUNCTION("""COMPUTED_VALUE"""),"Lunch")</f>
        <v>Lunch</v>
      </c>
      <c r="K193" s="106">
        <f>IFERROR(__xludf.DUMMYFUNCTION("""COMPUTED_VALUE"""),46108.0)</f>
        <v>46108</v>
      </c>
      <c r="L193" s="71" t="str">
        <f>IFERROR(__xludf.DUMMYFUNCTION("""COMPUTED_VALUE"""),"Friday")</f>
        <v>Friday</v>
      </c>
      <c r="M193" s="71" t="str">
        <f>IFERROR(__xludf.DUMMYFUNCTION("""COMPUTED_VALUE"""),"BF")</f>
        <v>BF</v>
      </c>
      <c r="N193" s="109">
        <f>IFERROR(__xludf.DUMMYFUNCTION("""COMPUTED_VALUE"""),1.9023403522685471)</f>
        <v>1.902340352</v>
      </c>
      <c r="O193" s="71" t="str">
        <f>IFERROR(__xludf.DUMMYFUNCTION("""COMPUTED_VALUE"""),"")</f>
        <v/>
      </c>
      <c r="P193" s="71" t="str">
        <f>IFERROR(__xludf.DUMMYFUNCTION("""COMPUTED_VALUE"""),"")</f>
        <v/>
      </c>
      <c r="Q193" s="78" t="str">
        <f>IFERROR(__xludf.DUMMYFUNCTION("""COMPUTED_VALUE"""),"")</f>
        <v/>
      </c>
      <c r="R193" s="78" t="str">
        <f>IFERROR(__xludf.DUMMYFUNCTION("""COMPUTED_VALUE"""),"")</f>
        <v/>
      </c>
      <c r="S193" s="80" t="str">
        <f>IFERROR(__xludf.DUMMYFUNCTION("""COMPUTED_VALUE"""),"")</f>
        <v/>
      </c>
      <c r="T193" s="80" t="str">
        <f>IFERROR(__xludf.DUMMYFUNCTION("""COMPUTED_VALUE"""),"")</f>
        <v/>
      </c>
      <c r="U193" s="71" t="str">
        <f>IFERROR(__xludf.DUMMYFUNCTION("""COMPUTED_VALUE"""),"")</f>
        <v/>
      </c>
      <c r="V193" s="78" t="str">
        <f>IFERROR(__xludf.DUMMYFUNCTION("""COMPUTED_VALUE"""),"")</f>
        <v/>
      </c>
      <c r="W193" s="62" t="str">
        <f>IFERROR(__xludf.DUMMYFUNCTION("""COMPUTED_VALUE"""),"")</f>
        <v/>
      </c>
      <c r="X193" s="80" t="str">
        <f>IFERROR(__xludf.DUMMYFUNCTION("""COMPUTED_VALUE"""),"")</f>
        <v/>
      </c>
      <c r="Y193" s="109" t="str">
        <f>IFERROR(__xludf.DUMMYFUNCTION("""COMPUTED_VALUE"""),"")</f>
        <v/>
      </c>
      <c r="Z193" s="71"/>
      <c r="AA193" s="71"/>
      <c r="AB193" s="71"/>
    </row>
    <row r="194">
      <c r="A194" s="105">
        <f>IFERROR(__xludf.DUMMYFUNCTION("""COMPUTED_VALUE"""),46108.43467488426)</f>
        <v>46108.43467</v>
      </c>
      <c r="B194" s="71" t="str">
        <f>IFERROR(__xludf.DUMMYFUNCTION("""COMPUTED_VALUE"""),"Kaylie Forgue")</f>
        <v>Kaylie Forgue</v>
      </c>
      <c r="C194" s="71" t="b">
        <f>IFERROR(__xludf.DUMMYFUNCTION("""COMPUTED_VALUE"""),FALSE)</f>
        <v>0</v>
      </c>
      <c r="D194" s="132">
        <f>IFERROR(__xludf.DUMMYFUNCTION("""COMPUTED_VALUE"""),0.3694444444408873)</f>
        <v>0.3694444444</v>
      </c>
      <c r="E194" s="78">
        <f>IFERROR(__xludf.DUMMYFUNCTION("""COMPUTED_VALUE"""),0.0625)</f>
        <v>0.0625</v>
      </c>
      <c r="F194" s="132">
        <f>IFERROR(__xludf.DUMMYFUNCTION("""COMPUTED_VALUE"""),0.4319444444408873)</f>
        <v>0.4319444444</v>
      </c>
      <c r="G194" s="78">
        <f>IFERROR(__xludf.DUMMYFUNCTION("""COMPUTED_VALUE"""),0.0625)</f>
        <v>0.0625</v>
      </c>
      <c r="H194" s="71">
        <f>IFERROR(__xludf.DUMMYFUNCTION("""COMPUTED_VALUE"""),56.0)</f>
        <v>56</v>
      </c>
      <c r="I194" s="80">
        <f>IFERROR(__xludf.DUMMYFUNCTION("""COMPUTED_VALUE"""),37.333333333333336)</f>
        <v>37.33333333</v>
      </c>
      <c r="J194" s="71" t="str">
        <f>IFERROR(__xludf.DUMMYFUNCTION("""COMPUTED_VALUE"""),"Breakfast")</f>
        <v>Breakfast</v>
      </c>
      <c r="K194" s="106">
        <f>IFERROR(__xludf.DUMMYFUNCTION("""COMPUTED_VALUE"""),46108.0)</f>
        <v>46108</v>
      </c>
      <c r="L194" s="71" t="str">
        <f>IFERROR(__xludf.DUMMYFUNCTION("""COMPUTED_VALUE"""),"Friday")</f>
        <v>Friday</v>
      </c>
      <c r="M194" s="71" t="str">
        <f>IFERROR(__xludf.DUMMYFUNCTION("""COMPUTED_VALUE"""),"BF")</f>
        <v>BF</v>
      </c>
      <c r="N194" s="109">
        <f>IFERROR(__xludf.DUMMYFUNCTION("""COMPUTED_VALUE"""),1.3168422660221095)</f>
        <v>1.316842266</v>
      </c>
      <c r="O194" s="71" t="str">
        <f>IFERROR(__xludf.DUMMYFUNCTION("""COMPUTED_VALUE"""),"")</f>
        <v/>
      </c>
      <c r="P194" s="71" t="str">
        <f>IFERROR(__xludf.DUMMYFUNCTION("""COMPUTED_VALUE"""),"")</f>
        <v/>
      </c>
      <c r="Q194" s="78" t="str">
        <f>IFERROR(__xludf.DUMMYFUNCTION("""COMPUTED_VALUE"""),"")</f>
        <v/>
      </c>
      <c r="R194" s="78" t="str">
        <f>IFERROR(__xludf.DUMMYFUNCTION("""COMPUTED_VALUE"""),"")</f>
        <v/>
      </c>
      <c r="S194" s="80" t="str">
        <f>IFERROR(__xludf.DUMMYFUNCTION("""COMPUTED_VALUE"""),"")</f>
        <v/>
      </c>
      <c r="T194" s="80" t="str">
        <f>IFERROR(__xludf.DUMMYFUNCTION("""COMPUTED_VALUE"""),"")</f>
        <v/>
      </c>
      <c r="U194" s="71" t="str">
        <f>IFERROR(__xludf.DUMMYFUNCTION("""COMPUTED_VALUE"""),"")</f>
        <v/>
      </c>
      <c r="V194" s="78" t="str">
        <f>IFERROR(__xludf.DUMMYFUNCTION("""COMPUTED_VALUE"""),"")</f>
        <v/>
      </c>
      <c r="W194" s="62" t="str">
        <f>IFERROR(__xludf.DUMMYFUNCTION("""COMPUTED_VALUE"""),"")</f>
        <v/>
      </c>
      <c r="X194" s="80" t="str">
        <f>IFERROR(__xludf.DUMMYFUNCTION("""COMPUTED_VALUE"""),"")</f>
        <v/>
      </c>
      <c r="Y194" s="109" t="str">
        <f>IFERROR(__xludf.DUMMYFUNCTION("""COMPUTED_VALUE"""),"")</f>
        <v/>
      </c>
      <c r="Z194" s="71"/>
      <c r="AA194" s="71"/>
      <c r="AB194" s="71"/>
    </row>
    <row r="195">
      <c r="A195" s="105">
        <f>IFERROR(__xludf.DUMMYFUNCTION("""COMPUTED_VALUE"""),46108.53129159722)</f>
        <v>46108.53129</v>
      </c>
      <c r="B195" s="71" t="str">
        <f>IFERROR(__xludf.DUMMYFUNCTION("""COMPUTED_VALUE"""),"Oluwatimilehin Shodipe")</f>
        <v>Oluwatimilehin Shodipe</v>
      </c>
      <c r="C195" s="71" t="b">
        <f>IFERROR(__xludf.DUMMYFUNCTION("""COMPUTED_VALUE"""),FALSE)</f>
        <v>0</v>
      </c>
      <c r="D195" s="132">
        <f>IFERROR(__xludf.DUMMYFUNCTION("""COMPUTED_VALUE"""),0.48263888889050577)</f>
        <v>0.4826388889</v>
      </c>
      <c r="E195" s="78">
        <f>IFERROR(__xludf.DUMMYFUNCTION("""COMPUTED_VALUE"""),0.052083333328482695)</f>
        <v>0.05208333333</v>
      </c>
      <c r="F195" s="132">
        <f>IFERROR(__xludf.DUMMYFUNCTION("""COMPUTED_VALUE"""),0.5347222222189885)</f>
        <v>0.5347222222</v>
      </c>
      <c r="G195" s="78">
        <f>IFERROR(__xludf.DUMMYFUNCTION("""COMPUTED_VALUE"""),0.052083333328482695)</f>
        <v>0.05208333333</v>
      </c>
      <c r="H195" s="71">
        <f>IFERROR(__xludf.DUMMYFUNCTION("""COMPUTED_VALUE"""),60.0)</f>
        <v>60</v>
      </c>
      <c r="I195" s="80">
        <f>IFERROR(__xludf.DUMMYFUNCTION("""COMPUTED_VALUE"""),48.00000000447035)</f>
        <v>48</v>
      </c>
      <c r="J195" s="71" t="str">
        <f>IFERROR(__xludf.DUMMYFUNCTION("""COMPUTED_VALUE"""),"Lunch")</f>
        <v>Lunch</v>
      </c>
      <c r="K195" s="106">
        <f>IFERROR(__xludf.DUMMYFUNCTION("""COMPUTED_VALUE"""),46108.0)</f>
        <v>46108</v>
      </c>
      <c r="L195" s="71" t="str">
        <f>IFERROR(__xludf.DUMMYFUNCTION("""COMPUTED_VALUE"""),"Friday")</f>
        <v>Friday</v>
      </c>
      <c r="M195" s="71" t="str">
        <f>IFERROR(__xludf.DUMMYFUNCTION("""COMPUTED_VALUE"""),"MF")</f>
        <v>MF</v>
      </c>
      <c r="N195" s="109">
        <f>IFERROR(__xludf.DUMMYFUNCTION("""COMPUTED_VALUE"""),0.9547015145223479)</f>
        <v>0.9547015145</v>
      </c>
      <c r="O195" s="71" t="str">
        <f>IFERROR(__xludf.DUMMYFUNCTION("""COMPUTED_VALUE"""),"")</f>
        <v/>
      </c>
      <c r="P195" s="71" t="str">
        <f>IFERROR(__xludf.DUMMYFUNCTION("""COMPUTED_VALUE"""),"")</f>
        <v/>
      </c>
      <c r="Q195" s="78" t="str">
        <f>IFERROR(__xludf.DUMMYFUNCTION("""COMPUTED_VALUE"""),"")</f>
        <v/>
      </c>
      <c r="R195" s="78" t="str">
        <f>IFERROR(__xludf.DUMMYFUNCTION("""COMPUTED_VALUE"""),"")</f>
        <v/>
      </c>
      <c r="S195" s="80" t="str">
        <f>IFERROR(__xludf.DUMMYFUNCTION("""COMPUTED_VALUE"""),"")</f>
        <v/>
      </c>
      <c r="T195" s="80" t="str">
        <f>IFERROR(__xludf.DUMMYFUNCTION("""COMPUTED_VALUE"""),"")</f>
        <v/>
      </c>
      <c r="U195" s="71" t="str">
        <f>IFERROR(__xludf.DUMMYFUNCTION("""COMPUTED_VALUE"""),"")</f>
        <v/>
      </c>
      <c r="V195" s="78" t="str">
        <f>IFERROR(__xludf.DUMMYFUNCTION("""COMPUTED_VALUE"""),"")</f>
        <v/>
      </c>
      <c r="W195" s="62" t="str">
        <f>IFERROR(__xludf.DUMMYFUNCTION("""COMPUTED_VALUE"""),"")</f>
        <v/>
      </c>
      <c r="X195" s="80" t="str">
        <f>IFERROR(__xludf.DUMMYFUNCTION("""COMPUTED_VALUE"""),"")</f>
        <v/>
      </c>
      <c r="Y195" s="109" t="str">
        <f>IFERROR(__xludf.DUMMYFUNCTION("""COMPUTED_VALUE"""),"")</f>
        <v/>
      </c>
      <c r="Z195" s="71"/>
      <c r="AA195" s="71"/>
      <c r="AB195" s="71"/>
    </row>
    <row r="196">
      <c r="A196" s="105">
        <f>IFERROR(__xludf.DUMMYFUNCTION("""COMPUTED_VALUE"""),46108.57750953703)</f>
        <v>46108.57751</v>
      </c>
      <c r="B196" s="71" t="str">
        <f>IFERROR(__xludf.DUMMYFUNCTION("""COMPUTED_VALUE"""),"Brynn Hornig")</f>
        <v>Brynn Hornig</v>
      </c>
      <c r="C196" s="71" t="b">
        <f>IFERROR(__xludf.DUMMYFUNCTION("""COMPUTED_VALUE"""),FALSE)</f>
        <v>0</v>
      </c>
      <c r="D196" s="132">
        <f>IFERROR(__xludf.DUMMYFUNCTION("""COMPUTED_VALUE"""),0.45833333333575865)</f>
        <v>0.4583333333</v>
      </c>
      <c r="E196" s="78">
        <f>IFERROR(__xludf.DUMMYFUNCTION("""COMPUTED_VALUE"""),0.125)</f>
        <v>0.125</v>
      </c>
      <c r="F196" s="132">
        <f>IFERROR(__xludf.DUMMYFUNCTION("""COMPUTED_VALUE"""),0.5833333333357587)</f>
        <v>0.5833333333</v>
      </c>
      <c r="G196" s="78">
        <f>IFERROR(__xludf.DUMMYFUNCTION("""COMPUTED_VALUE"""),0.125)</f>
        <v>0.125</v>
      </c>
      <c r="H196" s="71">
        <f>IFERROR(__xludf.DUMMYFUNCTION("""COMPUTED_VALUE"""),85.0)</f>
        <v>85</v>
      </c>
      <c r="I196" s="80">
        <f>IFERROR(__xludf.DUMMYFUNCTION("""COMPUTED_VALUE"""),28.333333333333332)</f>
        <v>28.33333333</v>
      </c>
      <c r="J196" s="71" t="str">
        <f>IFERROR(__xludf.DUMMYFUNCTION("""COMPUTED_VALUE"""),"Lunch")</f>
        <v>Lunch</v>
      </c>
      <c r="K196" s="106">
        <f>IFERROR(__xludf.DUMMYFUNCTION("""COMPUTED_VALUE"""),46108.0)</f>
        <v>46108</v>
      </c>
      <c r="L196" s="71" t="str">
        <f>IFERROR(__xludf.DUMMYFUNCTION("""COMPUTED_VALUE"""),"Friday")</f>
        <v>Friday</v>
      </c>
      <c r="M196" s="71" t="str">
        <f>IFERROR(__xludf.DUMMYFUNCTION("""COMPUTED_VALUE"""),"BF")</f>
        <v>BF</v>
      </c>
      <c r="N196" s="109">
        <f>IFERROR(__xludf.DUMMYFUNCTION("""COMPUTED_VALUE"""),0.9993892197489223)</f>
        <v>0.9993892197</v>
      </c>
      <c r="O196" s="71" t="str">
        <f>IFERROR(__xludf.DUMMYFUNCTION("""COMPUTED_VALUE"""),"")</f>
        <v/>
      </c>
      <c r="P196" s="71" t="str">
        <f>IFERROR(__xludf.DUMMYFUNCTION("""COMPUTED_VALUE"""),"")</f>
        <v/>
      </c>
      <c r="Q196" s="78" t="str">
        <f>IFERROR(__xludf.DUMMYFUNCTION("""COMPUTED_VALUE"""),"")</f>
        <v/>
      </c>
      <c r="R196" s="78" t="str">
        <f>IFERROR(__xludf.DUMMYFUNCTION("""COMPUTED_VALUE"""),"")</f>
        <v/>
      </c>
      <c r="S196" s="80" t="str">
        <f>IFERROR(__xludf.DUMMYFUNCTION("""COMPUTED_VALUE"""),"")</f>
        <v/>
      </c>
      <c r="T196" s="80" t="str">
        <f>IFERROR(__xludf.DUMMYFUNCTION("""COMPUTED_VALUE"""),"")</f>
        <v/>
      </c>
      <c r="U196" s="71" t="str">
        <f>IFERROR(__xludf.DUMMYFUNCTION("""COMPUTED_VALUE"""),"")</f>
        <v/>
      </c>
      <c r="V196" s="78" t="str">
        <f>IFERROR(__xludf.DUMMYFUNCTION("""COMPUTED_VALUE"""),"")</f>
        <v/>
      </c>
      <c r="W196" s="62" t="str">
        <f>IFERROR(__xludf.DUMMYFUNCTION("""COMPUTED_VALUE"""),"")</f>
        <v/>
      </c>
      <c r="X196" s="80" t="str">
        <f>IFERROR(__xludf.DUMMYFUNCTION("""COMPUTED_VALUE"""),"")</f>
        <v/>
      </c>
      <c r="Y196" s="109" t="str">
        <f>IFERROR(__xludf.DUMMYFUNCTION("""COMPUTED_VALUE"""),"")</f>
        <v/>
      </c>
      <c r="Z196" s="71"/>
      <c r="AA196" s="71"/>
      <c r="AB196" s="71"/>
    </row>
    <row r="197">
      <c r="A197" s="105">
        <f>IFERROR(__xludf.DUMMYFUNCTION("""COMPUTED_VALUE"""),46108.80097010417)</f>
        <v>46108.80097</v>
      </c>
      <c r="B197" s="71" t="str">
        <f>IFERROR(__xludf.DUMMYFUNCTION("""COMPUTED_VALUE"""),"Orpheus Wilson")</f>
        <v>Orpheus Wilson</v>
      </c>
      <c r="C197" s="71" t="b">
        <f>IFERROR(__xludf.DUMMYFUNCTION("""COMPUTED_VALUE"""),FALSE)</f>
        <v>0</v>
      </c>
      <c r="D197" s="132">
        <f>IFERROR(__xludf.DUMMYFUNCTION("""COMPUTED_VALUE"""),0.7541666666656965)</f>
        <v>0.7541666667</v>
      </c>
      <c r="E197" s="78">
        <f>IFERROR(__xludf.DUMMYFUNCTION("""COMPUTED_VALUE"""),0.04305555555652574)</f>
        <v>0.04305555556</v>
      </c>
      <c r="F197" s="132">
        <f>IFERROR(__xludf.DUMMYFUNCTION("""COMPUTED_VALUE"""),0.7972222222222223)</f>
        <v>0.7972222222</v>
      </c>
      <c r="G197" s="78">
        <f>IFERROR(__xludf.DUMMYFUNCTION("""COMPUTED_VALUE"""),0.06805555555798093)</f>
        <v>0.06805555556</v>
      </c>
      <c r="H197" s="71">
        <f>IFERROR(__xludf.DUMMYFUNCTION("""COMPUTED_VALUE"""),160.0)</f>
        <v>160</v>
      </c>
      <c r="I197" s="80">
        <f>IFERROR(__xludf.DUMMYFUNCTION("""COMPUTED_VALUE"""),145.71428570909274)</f>
        <v>145.7142857</v>
      </c>
      <c r="J197" s="71" t="str">
        <f>IFERROR(__xludf.DUMMYFUNCTION("""COMPUTED_VALUE"""),"Dinner")</f>
        <v>Dinner</v>
      </c>
      <c r="K197" s="106">
        <f>IFERROR(__xludf.DUMMYFUNCTION("""COMPUTED_VALUE"""),46108.0)</f>
        <v>46108</v>
      </c>
      <c r="L197" s="71" t="str">
        <f>IFERROR(__xludf.DUMMYFUNCTION("""COMPUTED_VALUE"""),"Friday")</f>
        <v>Friday</v>
      </c>
      <c r="M197" s="71" t="str">
        <f>IFERROR(__xludf.DUMMYFUNCTION("""COMPUTED_VALUE"""),"MF")</f>
        <v>MF</v>
      </c>
      <c r="N197" s="109">
        <f>IFERROR(__xludf.DUMMYFUNCTION("""COMPUTED_VALUE"""),3.141769973769186)</f>
        <v>3.141769974</v>
      </c>
      <c r="O197" s="71" t="str">
        <f>IFERROR(__xludf.DUMMYFUNCTION("""COMPUTED_VALUE"""),"")</f>
        <v/>
      </c>
      <c r="P197" s="71" t="str">
        <f>IFERROR(__xludf.DUMMYFUNCTION("""COMPUTED_VALUE"""),"")</f>
        <v/>
      </c>
      <c r="Q197" s="78" t="str">
        <f>IFERROR(__xludf.DUMMYFUNCTION("""COMPUTED_VALUE"""),"")</f>
        <v/>
      </c>
      <c r="R197" s="78" t="str">
        <f>IFERROR(__xludf.DUMMYFUNCTION("""COMPUTED_VALUE"""),"")</f>
        <v/>
      </c>
      <c r="S197" s="80" t="str">
        <f>IFERROR(__xludf.DUMMYFUNCTION("""COMPUTED_VALUE"""),"")</f>
        <v/>
      </c>
      <c r="T197" s="80" t="str">
        <f>IFERROR(__xludf.DUMMYFUNCTION("""COMPUTED_VALUE"""),"")</f>
        <v/>
      </c>
      <c r="U197" s="71" t="str">
        <f>IFERROR(__xludf.DUMMYFUNCTION("""COMPUTED_VALUE"""),"")</f>
        <v/>
      </c>
      <c r="V197" s="78" t="str">
        <f>IFERROR(__xludf.DUMMYFUNCTION("""COMPUTED_VALUE"""),"")</f>
        <v/>
      </c>
      <c r="W197" s="62" t="str">
        <f>IFERROR(__xludf.DUMMYFUNCTION("""COMPUTED_VALUE"""),"")</f>
        <v/>
      </c>
      <c r="X197" s="80" t="str">
        <f>IFERROR(__xludf.DUMMYFUNCTION("""COMPUTED_VALUE"""),"")</f>
        <v/>
      </c>
      <c r="Y197" s="109" t="str">
        <f>IFERROR(__xludf.DUMMYFUNCTION("""COMPUTED_VALUE"""),"")</f>
        <v/>
      </c>
      <c r="Z197" s="71"/>
      <c r="AA197" s="71"/>
      <c r="AB197" s="71"/>
    </row>
    <row r="198">
      <c r="A198" s="105">
        <f>IFERROR(__xludf.DUMMYFUNCTION("""COMPUTED_VALUE"""),46108.82824131944)</f>
        <v>46108.82824</v>
      </c>
      <c r="B198" s="71" t="str">
        <f>IFERROR(__xludf.DUMMYFUNCTION("""COMPUTED_VALUE"""),"Orpheus Wilson")</f>
        <v>Orpheus Wilson</v>
      </c>
      <c r="C198" s="71" t="b">
        <f>IFERROR(__xludf.DUMMYFUNCTION("""COMPUTED_VALUE"""),TRUE)</f>
        <v>1</v>
      </c>
      <c r="D198" s="132">
        <f>IFERROR(__xludf.DUMMYFUNCTION("""COMPUTED_VALUE"""),0.8027777777751908)</f>
        <v>0.8027777778</v>
      </c>
      <c r="E198" s="78">
        <f>IFERROR(__xludf.DUMMYFUNCTION("""COMPUTED_VALUE"""),0.02500000000145519)</f>
        <v>0.025</v>
      </c>
      <c r="F198" s="132">
        <f>IFERROR(__xludf.DUMMYFUNCTION("""COMPUTED_VALUE"""),0.827777777776646)</f>
        <v>0.8277777778</v>
      </c>
      <c r="G198" s="78" t="str">
        <f>IFERROR(__xludf.DUMMYFUNCTION("""COMPUTED_VALUE"""),"")</f>
        <v/>
      </c>
      <c r="H198" s="71">
        <f>IFERROR(__xludf.DUMMYFUNCTION("""COMPUTED_VALUE"""),78.0)</f>
        <v>78</v>
      </c>
      <c r="I198" s="80" t="str">
        <f>IFERROR(__xludf.DUMMYFUNCTION("""COMPUTED_VALUE"""),"")</f>
        <v/>
      </c>
      <c r="J198" s="71" t="str">
        <f>IFERROR(__xludf.DUMMYFUNCTION("""COMPUTED_VALUE"""),"Dinner")</f>
        <v>Dinner</v>
      </c>
      <c r="K198" s="106">
        <f>IFERROR(__xludf.DUMMYFUNCTION("""COMPUTED_VALUE"""),46108.0)</f>
        <v>46108</v>
      </c>
      <c r="L198" s="71" t="str">
        <f>IFERROR(__xludf.DUMMYFUNCTION("""COMPUTED_VALUE"""),"Friday")</f>
        <v>Friday</v>
      </c>
      <c r="M198" s="71" t="str">
        <f>IFERROR(__xludf.DUMMYFUNCTION("""COMPUTED_VALUE"""),"MF")</f>
        <v>MF</v>
      </c>
      <c r="N198" s="109" t="str">
        <f>IFERROR(__xludf.DUMMYFUNCTION("""COMPUTED_VALUE"""),"")</f>
        <v/>
      </c>
      <c r="O198" s="71">
        <f>IFERROR(__xludf.DUMMYFUNCTION("""COMPUTED_VALUE"""),298.0)</f>
        <v>298</v>
      </c>
      <c r="P198" s="71">
        <f>IFERROR(__xludf.DUMMYFUNCTION("""COMPUTED_VALUE"""),221.0)</f>
        <v>221</v>
      </c>
      <c r="Q198" s="78">
        <f>IFERROR(__xludf.DUMMYFUNCTION("""COMPUTED_VALUE"""),0.12013888888646362)</f>
        <v>0.1201388889</v>
      </c>
      <c r="R198" s="78">
        <f>IFERROR(__xludf.DUMMYFUNCTION("""COMPUTED_VALUE"""),0.24930555555329192)</f>
        <v>0.2493055556</v>
      </c>
      <c r="S198" s="80">
        <f>IFERROR(__xludf.DUMMYFUNCTION("""COMPUTED_VALUE"""),96.85714285678154)</f>
        <v>96.85714286</v>
      </c>
      <c r="T198" s="80">
        <f>IFERROR(__xludf.DUMMYFUNCTION("""COMPUTED_VALUE"""),39.86641697943496)</f>
        <v>39.86641698</v>
      </c>
      <c r="U198" s="71">
        <f>IFERROR(__xludf.DUMMYFUNCTION("""COMPUTED_VALUE"""),519.0)</f>
        <v>519</v>
      </c>
      <c r="V198" s="78">
        <f>IFERROR(__xludf.DUMMYFUNCTION("""COMPUTED_VALUE"""),0.36944444443975555)</f>
        <v>0.3694444444</v>
      </c>
      <c r="W198" s="62">
        <f>IFERROR(__xludf.DUMMYFUNCTION("""COMPUTED_VALUE"""),58.533834587209064)</f>
        <v>58.53383459</v>
      </c>
      <c r="X198" s="80">
        <f>IFERROR(__xludf.DUMMYFUNCTION("""COMPUTED_VALUE"""),62.662707330373586)</f>
        <v>62.66270733</v>
      </c>
      <c r="Y198" s="109">
        <f>IFERROR(__xludf.DUMMYFUNCTION("""COMPUTED_VALUE"""),1.0447863012044494)</f>
        <v>1.044786301</v>
      </c>
      <c r="Z198" s="71"/>
      <c r="AA198" s="71"/>
      <c r="AB198" s="71"/>
    </row>
    <row r="199">
      <c r="A199" s="105">
        <f>IFERROR(__xludf.DUMMYFUNCTION("""COMPUTED_VALUE"""),46115.746811516205)</f>
        <v>46115.74681</v>
      </c>
      <c r="B199" s="71" t="str">
        <f>IFERROR(__xludf.DUMMYFUNCTION("""COMPUTED_VALUE"""),"Denise Romanszysn")</f>
        <v>Denise Romanszysn</v>
      </c>
      <c r="C199" s="71" t="b">
        <f>IFERROR(__xludf.DUMMYFUNCTION("""COMPUTED_VALUE"""),FALSE)</f>
        <v>0</v>
      </c>
      <c r="D199" s="132">
        <f>IFERROR(__xludf.DUMMYFUNCTION("""COMPUTED_VALUE"""),0.44097222221898846)</f>
        <v>0.4409722222</v>
      </c>
      <c r="E199" s="78">
        <f>IFERROR(__xludf.DUMMYFUNCTION("""COMPUTED_VALUE"""),0.04513888889050577)</f>
        <v>0.04513888889</v>
      </c>
      <c r="F199" s="132">
        <f>IFERROR(__xludf.DUMMYFUNCTION("""COMPUTED_VALUE"""),0.48611111110949423)</f>
        <v>0.4861111111</v>
      </c>
      <c r="G199" s="78">
        <f>IFERROR(__xludf.DUMMYFUNCTION("""COMPUTED_VALUE"""),0.04513888889050577)</f>
        <v>0.04513888889</v>
      </c>
      <c r="H199" s="71">
        <f>IFERROR(__xludf.DUMMYFUNCTION("""COMPUTED_VALUE"""),86.0)</f>
        <v>86</v>
      </c>
      <c r="I199" s="80">
        <f>IFERROR(__xludf.DUMMYFUNCTION("""COMPUTED_VALUE"""),79.38461538177182)</f>
        <v>79.38461538</v>
      </c>
      <c r="J199" s="71" t="str">
        <f>IFERROR(__xludf.DUMMYFUNCTION("""COMPUTED_VALUE"""),"Breakfast/Lunch")</f>
        <v>Breakfast/Lunch</v>
      </c>
      <c r="K199" s="106">
        <f>IFERROR(__xludf.DUMMYFUNCTION("""COMPUTED_VALUE"""),46111.0)</f>
        <v>46111</v>
      </c>
      <c r="L199" s="71" t="str">
        <f>IFERROR(__xludf.DUMMYFUNCTION("""COMPUTED_VALUE"""),"Monday")</f>
        <v>Monday</v>
      </c>
      <c r="M199" s="71" t="str">
        <f>IFERROR(__xludf.DUMMYFUNCTION("""COMPUTED_VALUE"""),"BF")</f>
        <v>BF</v>
      </c>
      <c r="N199" s="109">
        <f>IFERROR(__xludf.DUMMYFUNCTION("""COMPUTED_VALUE"""),2.289464861497788)</f>
        <v>2.289464861</v>
      </c>
      <c r="O199" s="71" t="str">
        <f>IFERROR(__xludf.DUMMYFUNCTION("""COMPUTED_VALUE"""),"")</f>
        <v/>
      </c>
      <c r="P199" s="71" t="str">
        <f>IFERROR(__xludf.DUMMYFUNCTION("""COMPUTED_VALUE"""),"")</f>
        <v/>
      </c>
      <c r="Q199" s="78" t="str">
        <f>IFERROR(__xludf.DUMMYFUNCTION("""COMPUTED_VALUE"""),"")</f>
        <v/>
      </c>
      <c r="R199" s="78" t="str">
        <f>IFERROR(__xludf.DUMMYFUNCTION("""COMPUTED_VALUE"""),"")</f>
        <v/>
      </c>
      <c r="S199" s="80" t="str">
        <f>IFERROR(__xludf.DUMMYFUNCTION("""COMPUTED_VALUE"""),"")</f>
        <v/>
      </c>
      <c r="T199" s="80" t="str">
        <f>IFERROR(__xludf.DUMMYFUNCTION("""COMPUTED_VALUE"""),"")</f>
        <v/>
      </c>
      <c r="U199" s="71" t="str">
        <f>IFERROR(__xludf.DUMMYFUNCTION("""COMPUTED_VALUE"""),"")</f>
        <v/>
      </c>
      <c r="V199" s="78" t="str">
        <f>IFERROR(__xludf.DUMMYFUNCTION("""COMPUTED_VALUE"""),"")</f>
        <v/>
      </c>
      <c r="W199" s="62" t="str">
        <f>IFERROR(__xludf.DUMMYFUNCTION("""COMPUTED_VALUE"""),"")</f>
        <v/>
      </c>
      <c r="X199" s="80" t="str">
        <f>IFERROR(__xludf.DUMMYFUNCTION("""COMPUTED_VALUE"""),"")</f>
        <v/>
      </c>
      <c r="Y199" s="109" t="str">
        <f>IFERROR(__xludf.DUMMYFUNCTION("""COMPUTED_VALUE"""),"")</f>
        <v/>
      </c>
      <c r="Z199" s="71"/>
      <c r="AA199" s="71"/>
      <c r="AB199" s="71"/>
    </row>
    <row r="200">
      <c r="A200" s="105">
        <f>IFERROR(__xludf.DUMMYFUNCTION("""COMPUTED_VALUE"""),46111.64096983796)</f>
        <v>46111.64097</v>
      </c>
      <c r="B200" s="71" t="str">
        <f>IFERROR(__xludf.DUMMYFUNCTION("""COMPUTED_VALUE"""),"Brynn Hornig")</f>
        <v>Brynn Hornig</v>
      </c>
      <c r="C200" s="71" t="b">
        <f>IFERROR(__xludf.DUMMYFUNCTION("""COMPUTED_VALUE"""),FALSE)</f>
        <v>0</v>
      </c>
      <c r="D200" s="132">
        <f>IFERROR(__xludf.DUMMYFUNCTION("""COMPUTED_VALUE"""),0.5208333333357587)</f>
        <v>0.5208333333</v>
      </c>
      <c r="E200" s="78">
        <f>IFERROR(__xludf.DUMMYFUNCTION("""COMPUTED_VALUE"""),0.125)</f>
        <v>0.125</v>
      </c>
      <c r="F200" s="132">
        <f>IFERROR(__xludf.DUMMYFUNCTION("""COMPUTED_VALUE"""),0.6458333333357587)</f>
        <v>0.6458333333</v>
      </c>
      <c r="G200" s="78">
        <f>IFERROR(__xludf.DUMMYFUNCTION("""COMPUTED_VALUE"""),0.125)</f>
        <v>0.125</v>
      </c>
      <c r="H200" s="71">
        <f>IFERROR(__xludf.DUMMYFUNCTION("""COMPUTED_VALUE"""),93.0)</f>
        <v>93</v>
      </c>
      <c r="I200" s="80">
        <f>IFERROR(__xludf.DUMMYFUNCTION("""COMPUTED_VALUE"""),31.0)</f>
        <v>31</v>
      </c>
      <c r="J200" s="71" t="str">
        <f>IFERROR(__xludf.DUMMYFUNCTION("""COMPUTED_VALUE"""),"Lunch")</f>
        <v>Lunch</v>
      </c>
      <c r="K200" s="106">
        <f>IFERROR(__xludf.DUMMYFUNCTION("""COMPUTED_VALUE"""),46111.0)</f>
        <v>46111</v>
      </c>
      <c r="L200" s="71" t="str">
        <f>IFERROR(__xludf.DUMMYFUNCTION("""COMPUTED_VALUE"""),"Monday")</f>
        <v>Monday</v>
      </c>
      <c r="M200" s="71" t="str">
        <f>IFERROR(__xludf.DUMMYFUNCTION("""COMPUTED_VALUE"""),"BF")</f>
        <v>BF</v>
      </c>
      <c r="N200" s="109">
        <f>IFERROR(__xludf.DUMMYFUNCTION("""COMPUTED_VALUE"""),1.0934493816076443)</f>
        <v>1.093449382</v>
      </c>
      <c r="O200" s="71" t="str">
        <f>IFERROR(__xludf.DUMMYFUNCTION("""COMPUTED_VALUE"""),"")</f>
        <v/>
      </c>
      <c r="P200" s="71" t="str">
        <f>IFERROR(__xludf.DUMMYFUNCTION("""COMPUTED_VALUE"""),"")</f>
        <v/>
      </c>
      <c r="Q200" s="78" t="str">
        <f>IFERROR(__xludf.DUMMYFUNCTION("""COMPUTED_VALUE"""),"")</f>
        <v/>
      </c>
      <c r="R200" s="78" t="str">
        <f>IFERROR(__xludf.DUMMYFUNCTION("""COMPUTED_VALUE"""),"")</f>
        <v/>
      </c>
      <c r="S200" s="80" t="str">
        <f>IFERROR(__xludf.DUMMYFUNCTION("""COMPUTED_VALUE"""),"")</f>
        <v/>
      </c>
      <c r="T200" s="80" t="str">
        <f>IFERROR(__xludf.DUMMYFUNCTION("""COMPUTED_VALUE"""),"")</f>
        <v/>
      </c>
      <c r="U200" s="71" t="str">
        <f>IFERROR(__xludf.DUMMYFUNCTION("""COMPUTED_VALUE"""),"")</f>
        <v/>
      </c>
      <c r="V200" s="78" t="str">
        <f>IFERROR(__xludf.DUMMYFUNCTION("""COMPUTED_VALUE"""),"")</f>
        <v/>
      </c>
      <c r="W200" s="62" t="str">
        <f>IFERROR(__xludf.DUMMYFUNCTION("""COMPUTED_VALUE"""),"")</f>
        <v/>
      </c>
      <c r="X200" s="80" t="str">
        <f>IFERROR(__xludf.DUMMYFUNCTION("""COMPUTED_VALUE"""),"")</f>
        <v/>
      </c>
      <c r="Y200" s="109" t="str">
        <f>IFERROR(__xludf.DUMMYFUNCTION("""COMPUTED_VALUE"""),"")</f>
        <v/>
      </c>
      <c r="Z200" s="71"/>
      <c r="AA200" s="71"/>
      <c r="AB200" s="71"/>
    </row>
    <row r="201">
      <c r="A201" s="105">
        <f>IFERROR(__xludf.DUMMYFUNCTION("""COMPUTED_VALUE"""),46115.74763619213)</f>
        <v>46115.74764</v>
      </c>
      <c r="B201" s="71" t="str">
        <f>IFERROR(__xludf.DUMMYFUNCTION("""COMPUTED_VALUE"""),"Denise Romanszysn")</f>
        <v>Denise Romanszysn</v>
      </c>
      <c r="C201" s="71" t="b">
        <f>IFERROR(__xludf.DUMMYFUNCTION("""COMPUTED_VALUE"""),FALSE)</f>
        <v>0</v>
      </c>
      <c r="D201" s="132">
        <f>IFERROR(__xludf.DUMMYFUNCTION("""COMPUTED_VALUE"""),0.547222222223354)</f>
        <v>0.5472222222</v>
      </c>
      <c r="E201" s="78">
        <f>IFERROR(__xludf.DUMMYFUNCTION("""COMPUTED_VALUE"""),0.0743055555576575)</f>
        <v>0.07430555556</v>
      </c>
      <c r="F201" s="132">
        <f>IFERROR(__xludf.DUMMYFUNCTION("""COMPUTED_VALUE"""),0.6215277777810115)</f>
        <v>0.6215277778</v>
      </c>
      <c r="G201" s="78">
        <f>IFERROR(__xludf.DUMMYFUNCTION("""COMPUTED_VALUE"""),0.0743055555576575)</f>
        <v>0.07430555556</v>
      </c>
      <c r="H201" s="71">
        <f>IFERROR(__xludf.DUMMYFUNCTION("""COMPUTED_VALUE"""),177.0)</f>
        <v>177</v>
      </c>
      <c r="I201" s="80">
        <f>IFERROR(__xludf.DUMMYFUNCTION("""COMPUTED_VALUE"""),99.25233644579049)</f>
        <v>99.25233645</v>
      </c>
      <c r="J201" s="71" t="str">
        <f>IFERROR(__xludf.DUMMYFUNCTION("""COMPUTED_VALUE"""),"Lunch")</f>
        <v>Lunch</v>
      </c>
      <c r="K201" s="106">
        <f>IFERROR(__xludf.DUMMYFUNCTION("""COMPUTED_VALUE"""),46111.0)</f>
        <v>46111</v>
      </c>
      <c r="L201" s="71" t="str">
        <f>IFERROR(__xludf.DUMMYFUNCTION("""COMPUTED_VALUE"""),"Monday")</f>
        <v>Monday</v>
      </c>
      <c r="M201" s="71" t="str">
        <f>IFERROR(__xludf.DUMMYFUNCTION("""COMPUTED_VALUE"""),"MF")</f>
        <v>MF</v>
      </c>
      <c r="N201" s="109">
        <f>IFERROR(__xludf.DUMMYFUNCTION("""COMPUTED_VALUE"""),1.974090748246936)</f>
        <v>1.974090748</v>
      </c>
      <c r="O201" s="71" t="str">
        <f>IFERROR(__xludf.DUMMYFUNCTION("""COMPUTED_VALUE"""),"")</f>
        <v/>
      </c>
      <c r="P201" s="71" t="str">
        <f>IFERROR(__xludf.DUMMYFUNCTION("""COMPUTED_VALUE"""),"")</f>
        <v/>
      </c>
      <c r="Q201" s="78" t="str">
        <f>IFERROR(__xludf.DUMMYFUNCTION("""COMPUTED_VALUE"""),"")</f>
        <v/>
      </c>
      <c r="R201" s="78" t="str">
        <f>IFERROR(__xludf.DUMMYFUNCTION("""COMPUTED_VALUE"""),"")</f>
        <v/>
      </c>
      <c r="S201" s="80" t="str">
        <f>IFERROR(__xludf.DUMMYFUNCTION("""COMPUTED_VALUE"""),"")</f>
        <v/>
      </c>
      <c r="T201" s="80" t="str">
        <f>IFERROR(__xludf.DUMMYFUNCTION("""COMPUTED_VALUE"""),"")</f>
        <v/>
      </c>
      <c r="U201" s="71" t="str">
        <f>IFERROR(__xludf.DUMMYFUNCTION("""COMPUTED_VALUE"""),"")</f>
        <v/>
      </c>
      <c r="V201" s="78" t="str">
        <f>IFERROR(__xludf.DUMMYFUNCTION("""COMPUTED_VALUE"""),"")</f>
        <v/>
      </c>
      <c r="W201" s="62" t="str">
        <f>IFERROR(__xludf.DUMMYFUNCTION("""COMPUTED_VALUE"""),"")</f>
        <v/>
      </c>
      <c r="X201" s="80" t="str">
        <f>IFERROR(__xludf.DUMMYFUNCTION("""COMPUTED_VALUE"""),"")</f>
        <v/>
      </c>
      <c r="Y201" s="109" t="str">
        <f>IFERROR(__xludf.DUMMYFUNCTION("""COMPUTED_VALUE"""),"")</f>
        <v/>
      </c>
      <c r="Z201" s="71"/>
      <c r="AA201" s="71"/>
      <c r="AB201" s="71"/>
    </row>
    <row r="202">
      <c r="A202" s="105">
        <f>IFERROR(__xludf.DUMMYFUNCTION("""COMPUTED_VALUE"""),46111.74912800926)</f>
        <v>46111.74913</v>
      </c>
      <c r="B202" s="71" t="str">
        <f>IFERROR(__xludf.DUMMYFUNCTION("""COMPUTED_VALUE"""),"Orpheus Wilson")</f>
        <v>Orpheus Wilson</v>
      </c>
      <c r="C202" s="71" t="b">
        <f>IFERROR(__xludf.DUMMYFUNCTION("""COMPUTED_VALUE"""),FALSE)</f>
        <v>0</v>
      </c>
      <c r="D202" s="132">
        <f>IFERROR(__xludf.DUMMYFUNCTION("""COMPUTED_VALUE"""),0.6729166666627862)</f>
        <v>0.6729166667</v>
      </c>
      <c r="E202" s="78">
        <f>IFERROR(__xludf.DUMMYFUNCTION("""COMPUTED_VALUE"""),0.07569444444379769)</f>
        <v>0.07569444444</v>
      </c>
      <c r="F202" s="132">
        <f>IFERROR(__xludf.DUMMYFUNCTION("""COMPUTED_VALUE"""),0.7486111111065838)</f>
        <v>0.7486111111</v>
      </c>
      <c r="G202" s="78">
        <f>IFERROR(__xludf.DUMMYFUNCTION("""COMPUTED_VALUE"""),0.07569444444379769)</f>
        <v>0.07569444444</v>
      </c>
      <c r="H202" s="71">
        <f>IFERROR(__xludf.DUMMYFUNCTION("""COMPUTED_VALUE"""),131.0)</f>
        <v>131</v>
      </c>
      <c r="I202" s="80">
        <f>IFERROR(__xludf.DUMMYFUNCTION("""COMPUTED_VALUE"""),72.1100917437354)</f>
        <v>72.11009174</v>
      </c>
      <c r="J202" s="71" t="str">
        <f>IFERROR(__xludf.DUMMYFUNCTION("""COMPUTED_VALUE"""),"Dinner")</f>
        <v>Dinner</v>
      </c>
      <c r="K202" s="106">
        <f>IFERROR(__xludf.DUMMYFUNCTION("""COMPUTED_VALUE"""),46111.0)</f>
        <v>46111</v>
      </c>
      <c r="L202" s="71" t="str">
        <f>IFERROR(__xludf.DUMMYFUNCTION("""COMPUTED_VALUE"""),"Monday")</f>
        <v>Monday</v>
      </c>
      <c r="M202" s="71" t="str">
        <f>IFERROR(__xludf.DUMMYFUNCTION("""COMPUTED_VALUE"""),"MF")</f>
        <v>MF</v>
      </c>
      <c r="N202" s="109">
        <f>IFERROR(__xludf.DUMMYFUNCTION("""COMPUTED_VALUE"""),1.554777693509786)</f>
        <v>1.554777694</v>
      </c>
      <c r="O202" s="71" t="str">
        <f>IFERROR(__xludf.DUMMYFUNCTION("""COMPUTED_VALUE"""),"")</f>
        <v/>
      </c>
      <c r="P202" s="71" t="str">
        <f>IFERROR(__xludf.DUMMYFUNCTION("""COMPUTED_VALUE"""),"")</f>
        <v/>
      </c>
      <c r="Q202" s="78" t="str">
        <f>IFERROR(__xludf.DUMMYFUNCTION("""COMPUTED_VALUE"""),"")</f>
        <v/>
      </c>
      <c r="R202" s="78" t="str">
        <f>IFERROR(__xludf.DUMMYFUNCTION("""COMPUTED_VALUE"""),"")</f>
        <v/>
      </c>
      <c r="S202" s="80" t="str">
        <f>IFERROR(__xludf.DUMMYFUNCTION("""COMPUTED_VALUE"""),"")</f>
        <v/>
      </c>
      <c r="T202" s="80" t="str">
        <f>IFERROR(__xludf.DUMMYFUNCTION("""COMPUTED_VALUE"""),"")</f>
        <v/>
      </c>
      <c r="U202" s="71" t="str">
        <f>IFERROR(__xludf.DUMMYFUNCTION("""COMPUTED_VALUE"""),"")</f>
        <v/>
      </c>
      <c r="V202" s="78" t="str">
        <f>IFERROR(__xludf.DUMMYFUNCTION("""COMPUTED_VALUE"""),"")</f>
        <v/>
      </c>
      <c r="W202" s="62" t="str">
        <f>IFERROR(__xludf.DUMMYFUNCTION("""COMPUTED_VALUE"""),"")</f>
        <v/>
      </c>
      <c r="X202" s="80" t="str">
        <f>IFERROR(__xludf.DUMMYFUNCTION("""COMPUTED_VALUE"""),"")</f>
        <v/>
      </c>
      <c r="Y202" s="109" t="str">
        <f>IFERROR(__xludf.DUMMYFUNCTION("""COMPUTED_VALUE"""),"")</f>
        <v/>
      </c>
      <c r="Z202" s="71"/>
      <c r="AA202" s="71"/>
      <c r="AB202" s="71"/>
    </row>
    <row r="203">
      <c r="A203" s="105">
        <f>IFERROR(__xludf.DUMMYFUNCTION("""COMPUTED_VALUE"""),46111.87155268519)</f>
        <v>46111.87155</v>
      </c>
      <c r="B203" s="71" t="str">
        <f>IFERROR(__xludf.DUMMYFUNCTION("""COMPUTED_VALUE"""),"Maureen Surgot")</f>
        <v>Maureen Surgot</v>
      </c>
      <c r="C203" s="71" t="b">
        <f>IFERROR(__xludf.DUMMYFUNCTION("""COMPUTED_VALUE"""),FALSE)</f>
        <v>0</v>
      </c>
      <c r="D203" s="132">
        <f>IFERROR(__xludf.DUMMYFUNCTION("""COMPUTED_VALUE"""),0.75)</f>
        <v>0.75</v>
      </c>
      <c r="E203" s="78">
        <f>IFERROR(__xludf.DUMMYFUNCTION("""COMPUTED_VALUE"""),0.125)</f>
        <v>0.125</v>
      </c>
      <c r="F203" s="132">
        <f>IFERROR(__xludf.DUMMYFUNCTION("""COMPUTED_VALUE"""),0.875)</f>
        <v>0.875</v>
      </c>
      <c r="G203" s="78">
        <f>IFERROR(__xludf.DUMMYFUNCTION("""COMPUTED_VALUE"""),0.125)</f>
        <v>0.125</v>
      </c>
      <c r="H203" s="71">
        <f>IFERROR(__xludf.DUMMYFUNCTION("""COMPUTED_VALUE"""),186.0)</f>
        <v>186</v>
      </c>
      <c r="I203" s="80">
        <f>IFERROR(__xludf.DUMMYFUNCTION("""COMPUTED_VALUE"""),62.0)</f>
        <v>62</v>
      </c>
      <c r="J203" s="71" t="str">
        <f>IFERROR(__xludf.DUMMYFUNCTION("""COMPUTED_VALUE"""),"Dinner")</f>
        <v>Dinner</v>
      </c>
      <c r="K203" s="106">
        <f>IFERROR(__xludf.DUMMYFUNCTION("""COMPUTED_VALUE"""),46111.0)</f>
        <v>46111</v>
      </c>
      <c r="L203" s="71" t="str">
        <f>IFERROR(__xludf.DUMMYFUNCTION("""COMPUTED_VALUE"""),"Monday")</f>
        <v>Monday</v>
      </c>
      <c r="M203" s="71" t="str">
        <f>IFERROR(__xludf.DUMMYFUNCTION("""COMPUTED_VALUE"""),"MF")</f>
        <v>MF</v>
      </c>
      <c r="N203" s="109">
        <f>IFERROR(__xludf.DUMMYFUNCTION("""COMPUTED_VALUE"""),1.33679232222002)</f>
        <v>1.336792322</v>
      </c>
      <c r="O203" s="71">
        <f>IFERROR(__xludf.DUMMYFUNCTION("""COMPUTED_VALUE"""),494.0)</f>
        <v>494</v>
      </c>
      <c r="P203" s="71">
        <f>IFERROR(__xludf.DUMMYFUNCTION("""COMPUTED_VALUE"""),179.0)</f>
        <v>179</v>
      </c>
      <c r="Q203" s="78">
        <f>IFERROR(__xludf.DUMMYFUNCTION("""COMPUTED_VALUE"""),0.2750000000014552)</f>
        <v>0.275</v>
      </c>
      <c r="R203" s="78">
        <f>IFERROR(__xludf.DUMMYFUNCTION("""COMPUTED_VALUE"""),0.17013888889050577)</f>
        <v>0.1701388889</v>
      </c>
      <c r="S203" s="80">
        <f>IFERROR(__xludf.DUMMYFUNCTION("""COMPUTED_VALUE"""),77.78747606317529)</f>
        <v>77.78747606</v>
      </c>
      <c r="T203" s="80">
        <f>IFERROR(__xludf.DUMMYFUNCTION("""COMPUTED_VALUE"""),55.19230769088591)</f>
        <v>55.19230769</v>
      </c>
      <c r="U203" s="71">
        <f>IFERROR(__xludf.DUMMYFUNCTION("""COMPUTED_VALUE"""),673.0)</f>
        <v>673</v>
      </c>
      <c r="V203" s="78">
        <f>IFERROR(__xludf.DUMMYFUNCTION("""COMPUTED_VALUE"""),0.44513888889196096)</f>
        <v>0.4451388889</v>
      </c>
      <c r="W203" s="62">
        <f>IFERROR(__xludf.DUMMYFUNCTION("""COMPUTED_VALUE"""),62.99531981235776)</f>
        <v>62.99531981</v>
      </c>
      <c r="X203" s="80">
        <f>IFERROR(__xludf.DUMMYFUNCTION("""COMPUTED_VALUE"""),68.74940871425954)</f>
        <v>68.74940871</v>
      </c>
      <c r="Y203" s="109">
        <f>IFERROR(__xludf.DUMMYFUNCTION("""COMPUTED_VALUE"""),1.2542419231916306)</f>
        <v>1.254241923</v>
      </c>
      <c r="Z203" s="71"/>
      <c r="AA203" s="71"/>
      <c r="AB203" s="71"/>
    </row>
    <row r="204">
      <c r="A204" s="105">
        <f>IFERROR(__xludf.DUMMYFUNCTION("""COMPUTED_VALUE"""),46115.74847489584)</f>
        <v>46115.74847</v>
      </c>
      <c r="B204" s="71" t="str">
        <f>IFERROR(__xludf.DUMMYFUNCTION("""COMPUTED_VALUE"""),"Denise Romanszysn")</f>
        <v>Denise Romanszysn</v>
      </c>
      <c r="C204" s="71" t="b">
        <f>IFERROR(__xludf.DUMMYFUNCTION("""COMPUTED_VALUE"""),FALSE)</f>
        <v>0</v>
      </c>
      <c r="D204" s="132">
        <f>IFERROR(__xludf.DUMMYFUNCTION("""COMPUTED_VALUE"""),0.29861111110949423)</f>
        <v>0.2986111111</v>
      </c>
      <c r="E204" s="78">
        <f>IFERROR(__xludf.DUMMYFUNCTION("""COMPUTED_VALUE"""),0.14583333333575865)</f>
        <v>0.1458333333</v>
      </c>
      <c r="F204" s="132">
        <f>IFERROR(__xludf.DUMMYFUNCTION("""COMPUTED_VALUE"""),0.4444444444452529)</f>
        <v>0.4444444444</v>
      </c>
      <c r="G204" s="78">
        <f>IFERROR(__xludf.DUMMYFUNCTION("""COMPUTED_VALUE"""),0.14583333333575865)</f>
        <v>0.1458333333</v>
      </c>
      <c r="H204" s="71">
        <f>IFERROR(__xludf.DUMMYFUNCTION("""COMPUTED_VALUE"""),157.0)</f>
        <v>157</v>
      </c>
      <c r="I204" s="80">
        <f>IFERROR(__xludf.DUMMYFUNCTION("""COMPUTED_VALUE"""),44.85714285639685)</f>
        <v>44.85714286</v>
      </c>
      <c r="J204" s="71" t="str">
        <f>IFERROR(__xludf.DUMMYFUNCTION("""COMPUTED_VALUE"""),"Breakfast")</f>
        <v>Breakfast</v>
      </c>
      <c r="K204" s="106">
        <f>IFERROR(__xludf.DUMMYFUNCTION("""COMPUTED_VALUE"""),46112.0)</f>
        <v>46112</v>
      </c>
      <c r="L204" s="71" t="str">
        <f>IFERROR(__xludf.DUMMYFUNCTION("""COMPUTED_VALUE"""),"Tuesday")</f>
        <v>Tuesday</v>
      </c>
      <c r="M204" s="71" t="str">
        <f>IFERROR(__xludf.DUMMYFUNCTION("""COMPUTED_VALUE"""),"BF")</f>
        <v>BF</v>
      </c>
      <c r="N204" s="109">
        <f>IFERROR(__xludf.DUMMYFUNCTION("""COMPUTED_VALUE"""),1.5822262940971903)</f>
        <v>1.582226294</v>
      </c>
      <c r="O204" s="71" t="str">
        <f>IFERROR(__xludf.DUMMYFUNCTION("""COMPUTED_VALUE"""),"")</f>
        <v/>
      </c>
      <c r="P204" s="71" t="str">
        <f>IFERROR(__xludf.DUMMYFUNCTION("""COMPUTED_VALUE"""),"")</f>
        <v/>
      </c>
      <c r="Q204" s="78" t="str">
        <f>IFERROR(__xludf.DUMMYFUNCTION("""COMPUTED_VALUE"""),"")</f>
        <v/>
      </c>
      <c r="R204" s="78" t="str">
        <f>IFERROR(__xludf.DUMMYFUNCTION("""COMPUTED_VALUE"""),"")</f>
        <v/>
      </c>
      <c r="S204" s="80" t="str">
        <f>IFERROR(__xludf.DUMMYFUNCTION("""COMPUTED_VALUE"""),"")</f>
        <v/>
      </c>
      <c r="T204" s="80" t="str">
        <f>IFERROR(__xludf.DUMMYFUNCTION("""COMPUTED_VALUE"""),"")</f>
        <v/>
      </c>
      <c r="U204" s="71" t="str">
        <f>IFERROR(__xludf.DUMMYFUNCTION("""COMPUTED_VALUE"""),"")</f>
        <v/>
      </c>
      <c r="V204" s="78" t="str">
        <f>IFERROR(__xludf.DUMMYFUNCTION("""COMPUTED_VALUE"""),"")</f>
        <v/>
      </c>
      <c r="W204" s="62" t="str">
        <f>IFERROR(__xludf.DUMMYFUNCTION("""COMPUTED_VALUE"""),"")</f>
        <v/>
      </c>
      <c r="X204" s="80" t="str">
        <f>IFERROR(__xludf.DUMMYFUNCTION("""COMPUTED_VALUE"""),"")</f>
        <v/>
      </c>
      <c r="Y204" s="109" t="str">
        <f>IFERROR(__xludf.DUMMYFUNCTION("""COMPUTED_VALUE"""),"")</f>
        <v/>
      </c>
      <c r="Z204" s="71"/>
      <c r="AA204" s="71"/>
      <c r="AB204" s="71"/>
    </row>
    <row r="205">
      <c r="A205" s="105">
        <f>IFERROR(__xludf.DUMMYFUNCTION("""COMPUTED_VALUE"""),46112.53181204861)</f>
        <v>46112.53181</v>
      </c>
      <c r="B205" s="71" t="str">
        <f>IFERROR(__xludf.DUMMYFUNCTION("""COMPUTED_VALUE"""),"Kaylie Forgue")</f>
        <v>Kaylie Forgue</v>
      </c>
      <c r="C205" s="71" t="b">
        <f>IFERROR(__xludf.DUMMYFUNCTION("""COMPUTED_VALUE"""),FALSE)</f>
        <v>0</v>
      </c>
      <c r="D205" s="132">
        <f>IFERROR(__xludf.DUMMYFUNCTION("""COMPUTED_VALUE"""),0.445138888884685)</f>
        <v>0.4451388889</v>
      </c>
      <c r="E205" s="78">
        <f>IFERROR(__xludf.DUMMYFUNCTION("""COMPUTED_VALUE"""),0.05555555556202307)</f>
        <v>0.05555555556</v>
      </c>
      <c r="F205" s="132">
        <f>IFERROR(__xludf.DUMMYFUNCTION("""COMPUTED_VALUE"""),0.5006944444467081)</f>
        <v>0.5006944444</v>
      </c>
      <c r="G205" s="78">
        <f>IFERROR(__xludf.DUMMYFUNCTION("""COMPUTED_VALUE"""),0.0743055555576575)</f>
        <v>0.07430555556</v>
      </c>
      <c r="H205" s="71">
        <f>IFERROR(__xludf.DUMMYFUNCTION("""COMPUTED_VALUE"""),107.0)</f>
        <v>107</v>
      </c>
      <c r="I205" s="80">
        <f>IFERROR(__xludf.DUMMYFUNCTION("""COMPUTED_VALUE"""),70.65420560547798)</f>
        <v>70.65420561</v>
      </c>
      <c r="J205" s="71" t="str">
        <f>IFERROR(__xludf.DUMMYFUNCTION("""COMPUTED_VALUE"""),"Breakfast/Lunch")</f>
        <v>Breakfast/Lunch</v>
      </c>
      <c r="K205" s="106">
        <f>IFERROR(__xludf.DUMMYFUNCTION("""COMPUTED_VALUE"""),46112.0)</f>
        <v>46112</v>
      </c>
      <c r="L205" s="71" t="str">
        <f>IFERROR(__xludf.DUMMYFUNCTION("""COMPUTED_VALUE"""),"Tuesday")</f>
        <v>Tuesday</v>
      </c>
      <c r="M205" s="71" t="str">
        <f>IFERROR(__xludf.DUMMYFUNCTION("""COMPUTED_VALUE"""),"BF")</f>
        <v>BF</v>
      </c>
      <c r="N205" s="109">
        <f>IFERROR(__xludf.DUMMYFUNCTION("""COMPUTED_VALUE"""),2.190472146491895)</f>
        <v>2.190472146</v>
      </c>
      <c r="O205" s="71" t="str">
        <f>IFERROR(__xludf.DUMMYFUNCTION("""COMPUTED_VALUE"""),"")</f>
        <v/>
      </c>
      <c r="P205" s="71" t="str">
        <f>IFERROR(__xludf.DUMMYFUNCTION("""COMPUTED_VALUE"""),"")</f>
        <v/>
      </c>
      <c r="Q205" s="78" t="str">
        <f>IFERROR(__xludf.DUMMYFUNCTION("""COMPUTED_VALUE"""),"")</f>
        <v/>
      </c>
      <c r="R205" s="78" t="str">
        <f>IFERROR(__xludf.DUMMYFUNCTION("""COMPUTED_VALUE"""),"")</f>
        <v/>
      </c>
      <c r="S205" s="80" t="str">
        <f>IFERROR(__xludf.DUMMYFUNCTION("""COMPUTED_VALUE"""),"")</f>
        <v/>
      </c>
      <c r="T205" s="80" t="str">
        <f>IFERROR(__xludf.DUMMYFUNCTION("""COMPUTED_VALUE"""),"")</f>
        <v/>
      </c>
      <c r="U205" s="71" t="str">
        <f>IFERROR(__xludf.DUMMYFUNCTION("""COMPUTED_VALUE"""),"")</f>
        <v/>
      </c>
      <c r="V205" s="78" t="str">
        <f>IFERROR(__xludf.DUMMYFUNCTION("""COMPUTED_VALUE"""),"")</f>
        <v/>
      </c>
      <c r="W205" s="62" t="str">
        <f>IFERROR(__xludf.DUMMYFUNCTION("""COMPUTED_VALUE"""),"")</f>
        <v/>
      </c>
      <c r="X205" s="80" t="str">
        <f>IFERROR(__xludf.DUMMYFUNCTION("""COMPUTED_VALUE"""),"")</f>
        <v/>
      </c>
      <c r="Y205" s="109" t="str">
        <f>IFERROR(__xludf.DUMMYFUNCTION("""COMPUTED_VALUE"""),"")</f>
        <v/>
      </c>
      <c r="Z205" s="71"/>
      <c r="AA205" s="71"/>
      <c r="AB205" s="71"/>
    </row>
    <row r="206">
      <c r="A206" s="105">
        <f>IFERROR(__xludf.DUMMYFUNCTION("""COMPUTED_VALUE"""),46112.53349332176)</f>
        <v>46112.53349</v>
      </c>
      <c r="B206" s="71" t="str">
        <f>IFERROR(__xludf.DUMMYFUNCTION("""COMPUTED_VALUE"""),"Kaylie Forgue")</f>
        <v>Kaylie Forgue</v>
      </c>
      <c r="C206" s="71" t="b">
        <f>IFERROR(__xludf.DUMMYFUNCTION("""COMPUTED_VALUE"""),TRUE)</f>
        <v>1</v>
      </c>
      <c r="D206" s="132">
        <f>IFERROR(__xludf.DUMMYFUNCTION("""COMPUTED_VALUE"""),0.5013888888934162)</f>
        <v>0.5013888889</v>
      </c>
      <c r="E206" s="78">
        <f>IFERROR(__xludf.DUMMYFUNCTION("""COMPUTED_VALUE"""),0.018749999995634425)</f>
        <v>0.01875</v>
      </c>
      <c r="F206" s="132">
        <f>IFERROR(__xludf.DUMMYFUNCTION("""COMPUTED_VALUE"""),0.5201388888890506)</f>
        <v>0.5201388889</v>
      </c>
      <c r="G206" s="78" t="str">
        <f>IFERROR(__xludf.DUMMYFUNCTION("""COMPUTED_VALUE"""),"")</f>
        <v/>
      </c>
      <c r="H206" s="71">
        <f>IFERROR(__xludf.DUMMYFUNCTION("""COMPUTED_VALUE"""),19.0)</f>
        <v>19</v>
      </c>
      <c r="I206" s="80" t="str">
        <f>IFERROR(__xludf.DUMMYFUNCTION("""COMPUTED_VALUE"""),"")</f>
        <v/>
      </c>
      <c r="J206" s="71" t="str">
        <f>IFERROR(__xludf.DUMMYFUNCTION("""COMPUTED_VALUE"""),"Lunch")</f>
        <v>Lunch</v>
      </c>
      <c r="K206" s="106">
        <f>IFERROR(__xludf.DUMMYFUNCTION("""COMPUTED_VALUE"""),46112.0)</f>
        <v>46112</v>
      </c>
      <c r="L206" s="71" t="str">
        <f>IFERROR(__xludf.DUMMYFUNCTION("""COMPUTED_VALUE"""),"Tuesday")</f>
        <v>Tuesday</v>
      </c>
      <c r="M206" s="71" t="str">
        <f>IFERROR(__xludf.DUMMYFUNCTION("""COMPUTED_VALUE"""),"BF")</f>
        <v>BF</v>
      </c>
      <c r="N206" s="109" t="str">
        <f>IFERROR(__xludf.DUMMYFUNCTION("""COMPUTED_VALUE"""),"")</f>
        <v/>
      </c>
      <c r="O206" s="71" t="str">
        <f>IFERROR(__xludf.DUMMYFUNCTION("""COMPUTED_VALUE"""),"")</f>
        <v/>
      </c>
      <c r="P206" s="71" t="str">
        <f>IFERROR(__xludf.DUMMYFUNCTION("""COMPUTED_VALUE"""),"")</f>
        <v/>
      </c>
      <c r="Q206" s="78" t="str">
        <f>IFERROR(__xludf.DUMMYFUNCTION("""COMPUTED_VALUE"""),"")</f>
        <v/>
      </c>
      <c r="R206" s="78" t="str">
        <f>IFERROR(__xludf.DUMMYFUNCTION("""COMPUTED_VALUE"""),"")</f>
        <v/>
      </c>
      <c r="S206" s="80" t="str">
        <f>IFERROR(__xludf.DUMMYFUNCTION("""COMPUTED_VALUE"""),"")</f>
        <v/>
      </c>
      <c r="T206" s="80" t="str">
        <f>IFERROR(__xludf.DUMMYFUNCTION("""COMPUTED_VALUE"""),"")</f>
        <v/>
      </c>
      <c r="U206" s="71" t="str">
        <f>IFERROR(__xludf.DUMMYFUNCTION("""COMPUTED_VALUE"""),"")</f>
        <v/>
      </c>
      <c r="V206" s="78" t="str">
        <f>IFERROR(__xludf.DUMMYFUNCTION("""COMPUTED_VALUE"""),"")</f>
        <v/>
      </c>
      <c r="W206" s="62" t="str">
        <f>IFERROR(__xludf.DUMMYFUNCTION("""COMPUTED_VALUE"""),"")</f>
        <v/>
      </c>
      <c r="X206" s="80" t="str">
        <f>IFERROR(__xludf.DUMMYFUNCTION("""COMPUTED_VALUE"""),"")</f>
        <v/>
      </c>
      <c r="Y206" s="109" t="str">
        <f>IFERROR(__xludf.DUMMYFUNCTION("""COMPUTED_VALUE"""),"")</f>
        <v/>
      </c>
      <c r="Z206" s="71"/>
      <c r="AA206" s="71"/>
      <c r="AB206" s="71"/>
    </row>
    <row r="207">
      <c r="A207" s="105">
        <f>IFERROR(__xludf.DUMMYFUNCTION("""COMPUTED_VALUE"""),46112.57281380787)</f>
        <v>46112.57281</v>
      </c>
      <c r="B207" s="71" t="str">
        <f>IFERROR(__xludf.DUMMYFUNCTION("""COMPUTED_VALUE"""),"Kyra Turner")</f>
        <v>Kyra Turner</v>
      </c>
      <c r="C207" s="71" t="b">
        <f>IFERROR(__xludf.DUMMYFUNCTION("""COMPUTED_VALUE"""),FALSE)</f>
        <v>0</v>
      </c>
      <c r="D207" s="132">
        <f>IFERROR(__xludf.DUMMYFUNCTION("""COMPUTED_VALUE"""),0.48263888889050577)</f>
        <v>0.4826388889</v>
      </c>
      <c r="E207" s="78">
        <f>IFERROR(__xludf.DUMMYFUNCTION("""COMPUTED_VALUE"""),0.08611111110803904)</f>
        <v>0.08611111111</v>
      </c>
      <c r="F207" s="132">
        <f>IFERROR(__xludf.DUMMYFUNCTION("""COMPUTED_VALUE"""),0.5687499999985448)</f>
        <v>0.56875</v>
      </c>
      <c r="G207" s="78">
        <f>IFERROR(__xludf.DUMMYFUNCTION("""COMPUTED_VALUE"""),0.13055555555183673)</f>
        <v>0.1305555556</v>
      </c>
      <c r="H207" s="71">
        <f>IFERROR(__xludf.DUMMYFUNCTION("""COMPUTED_VALUE"""),187.0)</f>
        <v>187</v>
      </c>
      <c r="I207" s="80">
        <f>IFERROR(__xludf.DUMMYFUNCTION("""COMPUTED_VALUE"""),92.87234042817735)</f>
        <v>92.87234043</v>
      </c>
      <c r="J207" s="71" t="str">
        <f>IFERROR(__xludf.DUMMYFUNCTION("""COMPUTED_VALUE"""),"Lunch")</f>
        <v>Lunch</v>
      </c>
      <c r="K207" s="106">
        <f>IFERROR(__xludf.DUMMYFUNCTION("""COMPUTED_VALUE"""),46112.0)</f>
        <v>46112</v>
      </c>
      <c r="L207" s="71" t="str">
        <f>IFERROR(__xludf.DUMMYFUNCTION("""COMPUTED_VALUE"""),"Tuesday")</f>
        <v>Tuesday</v>
      </c>
      <c r="M207" s="71" t="str">
        <f>IFERROR(__xludf.DUMMYFUNCTION("""COMPUTED_VALUE"""),"MF")</f>
        <v>MF</v>
      </c>
      <c r="N207" s="109">
        <f>IFERROR(__xludf.DUMMYFUNCTION("""COMPUTED_VALUE"""),1.8471950844949665)</f>
        <v>1.847195084</v>
      </c>
      <c r="O207" s="71" t="str">
        <f>IFERROR(__xludf.DUMMYFUNCTION("""COMPUTED_VALUE"""),"")</f>
        <v/>
      </c>
      <c r="P207" s="71" t="str">
        <f>IFERROR(__xludf.DUMMYFUNCTION("""COMPUTED_VALUE"""),"")</f>
        <v/>
      </c>
      <c r="Q207" s="78" t="str">
        <f>IFERROR(__xludf.DUMMYFUNCTION("""COMPUTED_VALUE"""),"")</f>
        <v/>
      </c>
      <c r="R207" s="78" t="str">
        <f>IFERROR(__xludf.DUMMYFUNCTION("""COMPUTED_VALUE"""),"")</f>
        <v/>
      </c>
      <c r="S207" s="80" t="str">
        <f>IFERROR(__xludf.DUMMYFUNCTION("""COMPUTED_VALUE"""),"")</f>
        <v/>
      </c>
      <c r="T207" s="80" t="str">
        <f>IFERROR(__xludf.DUMMYFUNCTION("""COMPUTED_VALUE"""),"")</f>
        <v/>
      </c>
      <c r="U207" s="71" t="str">
        <f>IFERROR(__xludf.DUMMYFUNCTION("""COMPUTED_VALUE"""),"")</f>
        <v/>
      </c>
      <c r="V207" s="78" t="str">
        <f>IFERROR(__xludf.DUMMYFUNCTION("""COMPUTED_VALUE"""),"")</f>
        <v/>
      </c>
      <c r="W207" s="62" t="str">
        <f>IFERROR(__xludf.DUMMYFUNCTION("""COMPUTED_VALUE"""),"")</f>
        <v/>
      </c>
      <c r="X207" s="80" t="str">
        <f>IFERROR(__xludf.DUMMYFUNCTION("""COMPUTED_VALUE"""),"")</f>
        <v/>
      </c>
      <c r="Y207" s="109" t="str">
        <f>IFERROR(__xludf.DUMMYFUNCTION("""COMPUTED_VALUE"""),"")</f>
        <v/>
      </c>
      <c r="Z207" s="71"/>
      <c r="AA207" s="71"/>
      <c r="AB207" s="71"/>
    </row>
    <row r="208">
      <c r="A208" s="105">
        <f>IFERROR(__xludf.DUMMYFUNCTION("""COMPUTED_VALUE"""),46112.622651655096)</f>
        <v>46112.62265</v>
      </c>
      <c r="B208" s="71" t="str">
        <f>IFERROR(__xludf.DUMMYFUNCTION("""COMPUTED_VALUE"""),"Kyra Turner")</f>
        <v>Kyra Turner</v>
      </c>
      <c r="C208" s="71" t="b">
        <f>IFERROR(__xludf.DUMMYFUNCTION("""COMPUTED_VALUE"""),TRUE)</f>
        <v>1</v>
      </c>
      <c r="D208" s="132">
        <f>IFERROR(__xludf.DUMMYFUNCTION("""COMPUTED_VALUE"""),0.5756944444437977)</f>
        <v>0.5756944444</v>
      </c>
      <c r="E208" s="78">
        <f>IFERROR(__xludf.DUMMYFUNCTION("""COMPUTED_VALUE"""),0.04444444444379769)</f>
        <v>0.04444444444</v>
      </c>
      <c r="F208" s="132">
        <f>IFERROR(__xludf.DUMMYFUNCTION("""COMPUTED_VALUE"""),0.6201388888875954)</f>
        <v>0.6201388889</v>
      </c>
      <c r="G208" s="78" t="str">
        <f>IFERROR(__xludf.DUMMYFUNCTION("""COMPUTED_VALUE"""),"")</f>
        <v/>
      </c>
      <c r="H208" s="71">
        <f>IFERROR(__xludf.DUMMYFUNCTION("""COMPUTED_VALUE"""),104.0)</f>
        <v>104</v>
      </c>
      <c r="I208" s="80" t="str">
        <f>IFERROR(__xludf.DUMMYFUNCTION("""COMPUTED_VALUE"""),"")</f>
        <v/>
      </c>
      <c r="J208" s="71" t="str">
        <f>IFERROR(__xludf.DUMMYFUNCTION("""COMPUTED_VALUE"""),"Lunch")</f>
        <v>Lunch</v>
      </c>
      <c r="K208" s="106">
        <f>IFERROR(__xludf.DUMMYFUNCTION("""COMPUTED_VALUE"""),46112.0)</f>
        <v>46112</v>
      </c>
      <c r="L208" s="71" t="str">
        <f>IFERROR(__xludf.DUMMYFUNCTION("""COMPUTED_VALUE"""),"Tuesday")</f>
        <v>Tuesday</v>
      </c>
      <c r="M208" s="71" t="str">
        <f>IFERROR(__xludf.DUMMYFUNCTION("""COMPUTED_VALUE"""),"MF")</f>
        <v>MF</v>
      </c>
      <c r="N208" s="109" t="str">
        <f>IFERROR(__xludf.DUMMYFUNCTION("""COMPUTED_VALUE"""),"")</f>
        <v/>
      </c>
      <c r="O208" s="71" t="str">
        <f>IFERROR(__xludf.DUMMYFUNCTION("""COMPUTED_VALUE"""),"")</f>
        <v/>
      </c>
      <c r="P208" s="71" t="str">
        <f>IFERROR(__xludf.DUMMYFUNCTION("""COMPUTED_VALUE"""),"")</f>
        <v/>
      </c>
      <c r="Q208" s="78" t="str">
        <f>IFERROR(__xludf.DUMMYFUNCTION("""COMPUTED_VALUE"""),"")</f>
        <v/>
      </c>
      <c r="R208" s="78" t="str">
        <f>IFERROR(__xludf.DUMMYFUNCTION("""COMPUTED_VALUE"""),"")</f>
        <v/>
      </c>
      <c r="S208" s="80" t="str">
        <f>IFERROR(__xludf.DUMMYFUNCTION("""COMPUTED_VALUE"""),"")</f>
        <v/>
      </c>
      <c r="T208" s="80" t="str">
        <f>IFERROR(__xludf.DUMMYFUNCTION("""COMPUTED_VALUE"""),"")</f>
        <v/>
      </c>
      <c r="U208" s="71" t="str">
        <f>IFERROR(__xludf.DUMMYFUNCTION("""COMPUTED_VALUE"""),"")</f>
        <v/>
      </c>
      <c r="V208" s="78" t="str">
        <f>IFERROR(__xludf.DUMMYFUNCTION("""COMPUTED_VALUE"""),"")</f>
        <v/>
      </c>
      <c r="W208" s="62" t="str">
        <f>IFERROR(__xludf.DUMMYFUNCTION("""COMPUTED_VALUE"""),"")</f>
        <v/>
      </c>
      <c r="X208" s="80" t="str">
        <f>IFERROR(__xludf.DUMMYFUNCTION("""COMPUTED_VALUE"""),"")</f>
        <v/>
      </c>
      <c r="Y208" s="109" t="str">
        <f>IFERROR(__xludf.DUMMYFUNCTION("""COMPUTED_VALUE"""),"")</f>
        <v/>
      </c>
      <c r="Z208" s="71"/>
      <c r="AA208" s="71"/>
      <c r="AB208" s="71"/>
    </row>
    <row r="209">
      <c r="A209" s="105">
        <f>IFERROR(__xludf.DUMMYFUNCTION("""COMPUTED_VALUE"""),46112.76164568287)</f>
        <v>46112.76165</v>
      </c>
      <c r="B209" s="71" t="str">
        <f>IFERROR(__xludf.DUMMYFUNCTION("""COMPUTED_VALUE"""),"Arjya Aich")</f>
        <v>Arjya Aich</v>
      </c>
      <c r="C209" s="71" t="b">
        <f>IFERROR(__xludf.DUMMYFUNCTION("""COMPUTED_VALUE"""),FALSE)</f>
        <v>0</v>
      </c>
      <c r="D209" s="132">
        <f>IFERROR(__xludf.DUMMYFUNCTION("""COMPUTED_VALUE"""),0.5208333333357587)</f>
        <v>0.5208333333</v>
      </c>
      <c r="E209" s="78">
        <f>IFERROR(__xludf.DUMMYFUNCTION("""COMPUTED_VALUE"""),0.04166666666424135)</f>
        <v>0.04166666666</v>
      </c>
      <c r="F209" s="132">
        <f>IFERROR(__xludf.DUMMYFUNCTION("""COMPUTED_VALUE"""),0.5625)</f>
        <v>0.5625</v>
      </c>
      <c r="G209" s="78">
        <f>IFERROR(__xludf.DUMMYFUNCTION("""COMPUTED_VALUE"""),0.04166666666424135)</f>
        <v>0.04166666666</v>
      </c>
      <c r="H209" s="71">
        <f>IFERROR(__xludf.DUMMYFUNCTION("""COMPUTED_VALUE"""),42.0)</f>
        <v>42</v>
      </c>
      <c r="I209" s="80">
        <f>IFERROR(__xludf.DUMMYFUNCTION("""COMPUTED_VALUE"""),42.00000000244472)</f>
        <v>42</v>
      </c>
      <c r="J209" s="71" t="str">
        <f>IFERROR(__xludf.DUMMYFUNCTION("""COMPUTED_VALUE"""),"Lunch")</f>
        <v>Lunch</v>
      </c>
      <c r="K209" s="106">
        <f>IFERROR(__xludf.DUMMYFUNCTION("""COMPUTED_VALUE"""),46112.0)</f>
        <v>46112</v>
      </c>
      <c r="L209" s="71" t="str">
        <f>IFERROR(__xludf.DUMMYFUNCTION("""COMPUTED_VALUE"""),"Tuesday")</f>
        <v>Tuesday</v>
      </c>
      <c r="M209" s="71" t="str">
        <f>IFERROR(__xludf.DUMMYFUNCTION("""COMPUTED_VALUE"""),"BF")</f>
        <v>BF</v>
      </c>
      <c r="N209" s="109">
        <f>IFERROR(__xludf.DUMMYFUNCTION("""COMPUTED_VALUE"""),1.4814475493611046)</f>
        <v>1.481447549</v>
      </c>
      <c r="O209" s="71" t="str">
        <f>IFERROR(__xludf.DUMMYFUNCTION("""COMPUTED_VALUE"""),"")</f>
        <v/>
      </c>
      <c r="P209" s="71" t="str">
        <f>IFERROR(__xludf.DUMMYFUNCTION("""COMPUTED_VALUE"""),"")</f>
        <v/>
      </c>
      <c r="Q209" s="78" t="str">
        <f>IFERROR(__xludf.DUMMYFUNCTION("""COMPUTED_VALUE"""),"")</f>
        <v/>
      </c>
      <c r="R209" s="78" t="str">
        <f>IFERROR(__xludf.DUMMYFUNCTION("""COMPUTED_VALUE"""),"")</f>
        <v/>
      </c>
      <c r="S209" s="80" t="str">
        <f>IFERROR(__xludf.DUMMYFUNCTION("""COMPUTED_VALUE"""),"")</f>
        <v/>
      </c>
      <c r="T209" s="80" t="str">
        <f>IFERROR(__xludf.DUMMYFUNCTION("""COMPUTED_VALUE"""),"")</f>
        <v/>
      </c>
      <c r="U209" s="71" t="str">
        <f>IFERROR(__xludf.DUMMYFUNCTION("""COMPUTED_VALUE"""),"")</f>
        <v/>
      </c>
      <c r="V209" s="78" t="str">
        <f>IFERROR(__xludf.DUMMYFUNCTION("""COMPUTED_VALUE"""),"")</f>
        <v/>
      </c>
      <c r="W209" s="62" t="str">
        <f>IFERROR(__xludf.DUMMYFUNCTION("""COMPUTED_VALUE"""),"")</f>
        <v/>
      </c>
      <c r="X209" s="80" t="str">
        <f>IFERROR(__xludf.DUMMYFUNCTION("""COMPUTED_VALUE"""),"")</f>
        <v/>
      </c>
      <c r="Y209" s="109" t="str">
        <f>IFERROR(__xludf.DUMMYFUNCTION("""COMPUTED_VALUE"""),"")</f>
        <v/>
      </c>
      <c r="Z209" s="71"/>
      <c r="AA209" s="71"/>
      <c r="AB209" s="71"/>
    </row>
    <row r="210">
      <c r="A210" s="105">
        <f>IFERROR(__xludf.DUMMYFUNCTION("""COMPUTED_VALUE"""),46112.88765017361)</f>
        <v>46112.88765</v>
      </c>
      <c r="B210" s="71" t="str">
        <f>IFERROR(__xludf.DUMMYFUNCTION("""COMPUTED_VALUE"""),"Laila Maisuria")</f>
        <v>Laila Maisuria</v>
      </c>
      <c r="C210" s="71" t="b">
        <f>IFERROR(__xludf.DUMMYFUNCTION("""COMPUTED_VALUE"""),FALSE)</f>
        <v>0</v>
      </c>
      <c r="D210" s="132">
        <f>IFERROR(__xludf.DUMMYFUNCTION("""COMPUTED_VALUE"""),0.7513888888934162)</f>
        <v>0.7513888889</v>
      </c>
      <c r="E210" s="78">
        <f>IFERROR(__xludf.DUMMYFUNCTION("""COMPUTED_VALUE"""),0.11944444444088731)</f>
        <v>0.1194444444</v>
      </c>
      <c r="F210" s="132">
        <f>IFERROR(__xludf.DUMMYFUNCTION("""COMPUTED_VALUE"""),0.8708333333343035)</f>
        <v>0.8708333333</v>
      </c>
      <c r="G210" s="78">
        <f>IFERROR(__xludf.DUMMYFUNCTION("""COMPUTED_VALUE"""),0.11944444444088731)</f>
        <v>0.1194444444</v>
      </c>
      <c r="H210" s="71">
        <f>IFERROR(__xludf.DUMMYFUNCTION("""COMPUTED_VALUE"""),123.0)</f>
        <v>123</v>
      </c>
      <c r="I210" s="80">
        <f>IFERROR(__xludf.DUMMYFUNCTION("""COMPUTED_VALUE"""),42.906976745463844)</f>
        <v>42.90697675</v>
      </c>
      <c r="J210" s="71" t="str">
        <f>IFERROR(__xludf.DUMMYFUNCTION("""COMPUTED_VALUE"""),"Dinner")</f>
        <v>Dinner</v>
      </c>
      <c r="K210" s="106">
        <f>IFERROR(__xludf.DUMMYFUNCTION("""COMPUTED_VALUE"""),46112.0)</f>
        <v>46112</v>
      </c>
      <c r="L210" s="71" t="str">
        <f>IFERROR(__xludf.DUMMYFUNCTION("""COMPUTED_VALUE"""),"Tuesday")</f>
        <v>Tuesday</v>
      </c>
      <c r="M210" s="71" t="str">
        <f>IFERROR(__xludf.DUMMYFUNCTION("""COMPUTED_VALUE"""),"MF")</f>
        <v>MF</v>
      </c>
      <c r="N210" s="109">
        <f>IFERROR(__xludf.DUMMYFUNCTION("""COMPUTED_VALUE"""),0.9251244690807904)</f>
        <v>0.9251244691</v>
      </c>
      <c r="O210" s="71">
        <f>IFERROR(__xludf.DUMMYFUNCTION("""COMPUTED_VALUE"""),414.0)</f>
        <v>414</v>
      </c>
      <c r="P210" s="71">
        <f>IFERROR(__xludf.DUMMYFUNCTION("""COMPUTED_VALUE"""),325.0)</f>
        <v>325</v>
      </c>
      <c r="Q210" s="78">
        <f>IFERROR(__xludf.DUMMYFUNCTION("""COMPUTED_VALUE"""),0.24999999999272404)</f>
        <v>0.25</v>
      </c>
      <c r="R210" s="78">
        <f>IFERROR(__xludf.DUMMYFUNCTION("""COMPUTED_VALUE"""),0.2618055555576575)</f>
        <v>0.2618055556</v>
      </c>
      <c r="S210" s="80">
        <f>IFERROR(__xludf.DUMMYFUNCTION("""COMPUTED_VALUE"""),67.8896585868206)</f>
        <v>67.88965859</v>
      </c>
      <c r="T210" s="80">
        <f>IFERROR(__xludf.DUMMYFUNCTION("""COMPUTED_VALUE"""),52.50378282143985)</f>
        <v>52.50378282</v>
      </c>
      <c r="U210" s="71">
        <f>IFERROR(__xludf.DUMMYFUNCTION("""COMPUTED_VALUE"""),739.0)</f>
        <v>739</v>
      </c>
      <c r="V210" s="78">
        <f>IFERROR(__xludf.DUMMYFUNCTION("""COMPUTED_VALUE"""),0.5118055555503815)</f>
        <v>0.5118055556</v>
      </c>
      <c r="W210" s="62">
        <f>IFERROR(__xludf.DUMMYFUNCTION("""COMPUTED_VALUE"""),60.1628222529827)</f>
        <v>60.16282225</v>
      </c>
      <c r="X210" s="80">
        <f>IFERROR(__xludf.DUMMYFUNCTION("""COMPUTED_VALUE"""),58.658133127592144)</f>
        <v>58.65813313</v>
      </c>
      <c r="Y210" s="109">
        <f>IFERROR(__xludf.DUMMYFUNCTION("""COMPUTED_VALUE"""),0.8488774767290383)</f>
        <v>0.8488774767</v>
      </c>
      <c r="Z210" s="71"/>
      <c r="AA210" s="71"/>
      <c r="AB210" s="71"/>
    </row>
    <row r="211">
      <c r="A211" s="105">
        <f>IFERROR(__xludf.DUMMYFUNCTION("""COMPUTED_VALUE"""),46113.41686265046)</f>
        <v>46113.41686</v>
      </c>
      <c r="B211" s="71" t="str">
        <f>IFERROR(__xludf.DUMMYFUNCTION("""COMPUTED_VALUE"""),"Kaylie Forgue")</f>
        <v>Kaylie Forgue</v>
      </c>
      <c r="C211" s="71" t="b">
        <f>IFERROR(__xludf.DUMMYFUNCTION("""COMPUTED_VALUE"""),FALSE)</f>
        <v>0</v>
      </c>
      <c r="D211" s="132">
        <f>IFERROR(__xludf.DUMMYFUNCTION("""COMPUTED_VALUE"""),0.35416666666424135)</f>
        <v>0.3541666667</v>
      </c>
      <c r="E211" s="78">
        <f>IFERROR(__xludf.DUMMYFUNCTION("""COMPUTED_VALUE"""),0.041666666671517305)</f>
        <v>0.04166666667</v>
      </c>
      <c r="F211" s="132">
        <f>IFERROR(__xludf.DUMMYFUNCTION("""COMPUTED_VALUE"""),0.39583333333575865)</f>
        <v>0.3958333333</v>
      </c>
      <c r="G211" s="78">
        <f>IFERROR(__xludf.DUMMYFUNCTION("""COMPUTED_VALUE"""),0.07013888889196096)</f>
        <v>0.07013888889</v>
      </c>
      <c r="H211" s="71">
        <f>IFERROR(__xludf.DUMMYFUNCTION("""COMPUTED_VALUE"""),64.0)</f>
        <v>64</v>
      </c>
      <c r="I211" s="80">
        <f>IFERROR(__xludf.DUMMYFUNCTION("""COMPUTED_VALUE"""),52.87128712639712)</f>
        <v>52.87128713</v>
      </c>
      <c r="J211" s="71" t="str">
        <f>IFERROR(__xludf.DUMMYFUNCTION("""COMPUTED_VALUE"""),"Breakfast")</f>
        <v>Breakfast</v>
      </c>
      <c r="K211" s="106">
        <f>IFERROR(__xludf.DUMMYFUNCTION("""COMPUTED_VALUE"""),46113.0)</f>
        <v>46113</v>
      </c>
      <c r="L211" s="71" t="str">
        <f>IFERROR(__xludf.DUMMYFUNCTION("""COMPUTED_VALUE"""),"Wednesday")</f>
        <v>Wednesday</v>
      </c>
      <c r="M211" s="71" t="str">
        <f>IFERROR(__xludf.DUMMYFUNCTION("""COMPUTED_VALUE"""),"BF")</f>
        <v>BF</v>
      </c>
      <c r="N211" s="109">
        <f>IFERROR(__xludf.DUMMYFUNCTION("""COMPUTED_VALUE"""),1.8649056842954561)</f>
        <v>1.864905684</v>
      </c>
      <c r="O211" s="71" t="str">
        <f>IFERROR(__xludf.DUMMYFUNCTION("""COMPUTED_VALUE"""),"")</f>
        <v/>
      </c>
      <c r="P211" s="71" t="str">
        <f>IFERROR(__xludf.DUMMYFUNCTION("""COMPUTED_VALUE"""),"")</f>
        <v/>
      </c>
      <c r="Q211" s="78" t="str">
        <f>IFERROR(__xludf.DUMMYFUNCTION("""COMPUTED_VALUE"""),"")</f>
        <v/>
      </c>
      <c r="R211" s="78" t="str">
        <f>IFERROR(__xludf.DUMMYFUNCTION("""COMPUTED_VALUE"""),"")</f>
        <v/>
      </c>
      <c r="S211" s="80" t="str">
        <f>IFERROR(__xludf.DUMMYFUNCTION("""COMPUTED_VALUE"""),"")</f>
        <v/>
      </c>
      <c r="T211" s="80" t="str">
        <f>IFERROR(__xludf.DUMMYFUNCTION("""COMPUTED_VALUE"""),"")</f>
        <v/>
      </c>
      <c r="U211" s="71" t="str">
        <f>IFERROR(__xludf.DUMMYFUNCTION("""COMPUTED_VALUE"""),"")</f>
        <v/>
      </c>
      <c r="V211" s="78" t="str">
        <f>IFERROR(__xludf.DUMMYFUNCTION("""COMPUTED_VALUE"""),"")</f>
        <v/>
      </c>
      <c r="W211" s="62" t="str">
        <f>IFERROR(__xludf.DUMMYFUNCTION("""COMPUTED_VALUE"""),"")</f>
        <v/>
      </c>
      <c r="X211" s="80" t="str">
        <f>IFERROR(__xludf.DUMMYFUNCTION("""COMPUTED_VALUE"""),"")</f>
        <v/>
      </c>
      <c r="Y211" s="109" t="str">
        <f>IFERROR(__xludf.DUMMYFUNCTION("""COMPUTED_VALUE"""),"")</f>
        <v/>
      </c>
      <c r="Z211" s="71"/>
      <c r="AA211" s="71"/>
      <c r="AB211" s="71"/>
    </row>
    <row r="212">
      <c r="A212" s="105">
        <f>IFERROR(__xludf.DUMMYFUNCTION("""COMPUTED_VALUE"""),46113.429830925925)</f>
        <v>46113.42983</v>
      </c>
      <c r="B212" s="71" t="str">
        <f>IFERROR(__xludf.DUMMYFUNCTION("""COMPUTED_VALUE"""),"Kaylie Forgue")</f>
        <v>Kaylie Forgue</v>
      </c>
      <c r="C212" s="71" t="b">
        <f>IFERROR(__xludf.DUMMYFUNCTION("""COMPUTED_VALUE"""),TRUE)</f>
        <v>1</v>
      </c>
      <c r="D212" s="132">
        <f>IFERROR(__xludf.DUMMYFUNCTION("""COMPUTED_VALUE"""),0.39722222222189885)</f>
        <v>0.3972222222</v>
      </c>
      <c r="E212" s="78">
        <f>IFERROR(__xludf.DUMMYFUNCTION("""COMPUTED_VALUE"""),0.028472222220443655)</f>
        <v>0.02847222222</v>
      </c>
      <c r="F212" s="132">
        <f>IFERROR(__xludf.DUMMYFUNCTION("""COMPUTED_VALUE"""),0.4256944444423425)</f>
        <v>0.4256944444</v>
      </c>
      <c r="G212" s="78" t="str">
        <f>IFERROR(__xludf.DUMMYFUNCTION("""COMPUTED_VALUE"""),"")</f>
        <v/>
      </c>
      <c r="H212" s="71">
        <f>IFERROR(__xludf.DUMMYFUNCTION("""COMPUTED_VALUE"""),25.0)</f>
        <v>25</v>
      </c>
      <c r="I212" s="80" t="str">
        <f>IFERROR(__xludf.DUMMYFUNCTION("""COMPUTED_VALUE"""),"")</f>
        <v/>
      </c>
      <c r="J212" s="71" t="str">
        <f>IFERROR(__xludf.DUMMYFUNCTION("""COMPUTED_VALUE"""),"Breakfast")</f>
        <v>Breakfast</v>
      </c>
      <c r="K212" s="106">
        <f>IFERROR(__xludf.DUMMYFUNCTION("""COMPUTED_VALUE"""),46113.0)</f>
        <v>46113</v>
      </c>
      <c r="L212" s="71" t="str">
        <f>IFERROR(__xludf.DUMMYFUNCTION("""COMPUTED_VALUE"""),"Wednesday")</f>
        <v>Wednesday</v>
      </c>
      <c r="M212" s="71" t="str">
        <f>IFERROR(__xludf.DUMMYFUNCTION("""COMPUTED_VALUE"""),"BF")</f>
        <v>BF</v>
      </c>
      <c r="N212" s="109" t="str">
        <f>IFERROR(__xludf.DUMMYFUNCTION("""COMPUTED_VALUE"""),"")</f>
        <v/>
      </c>
      <c r="O212" s="71" t="str">
        <f>IFERROR(__xludf.DUMMYFUNCTION("""COMPUTED_VALUE"""),"")</f>
        <v/>
      </c>
      <c r="P212" s="71" t="str">
        <f>IFERROR(__xludf.DUMMYFUNCTION("""COMPUTED_VALUE"""),"")</f>
        <v/>
      </c>
      <c r="Q212" s="78" t="str">
        <f>IFERROR(__xludf.DUMMYFUNCTION("""COMPUTED_VALUE"""),"")</f>
        <v/>
      </c>
      <c r="R212" s="78" t="str">
        <f>IFERROR(__xludf.DUMMYFUNCTION("""COMPUTED_VALUE"""),"")</f>
        <v/>
      </c>
      <c r="S212" s="80" t="str">
        <f>IFERROR(__xludf.DUMMYFUNCTION("""COMPUTED_VALUE"""),"")</f>
        <v/>
      </c>
      <c r="T212" s="80" t="str">
        <f>IFERROR(__xludf.DUMMYFUNCTION("""COMPUTED_VALUE"""),"")</f>
        <v/>
      </c>
      <c r="U212" s="71" t="str">
        <f>IFERROR(__xludf.DUMMYFUNCTION("""COMPUTED_VALUE"""),"")</f>
        <v/>
      </c>
      <c r="V212" s="78" t="str">
        <f>IFERROR(__xludf.DUMMYFUNCTION("""COMPUTED_VALUE"""),"")</f>
        <v/>
      </c>
      <c r="W212" s="62" t="str">
        <f>IFERROR(__xludf.DUMMYFUNCTION("""COMPUTED_VALUE"""),"")</f>
        <v/>
      </c>
      <c r="X212" s="80" t="str">
        <f>IFERROR(__xludf.DUMMYFUNCTION("""COMPUTED_VALUE"""),"")</f>
        <v/>
      </c>
      <c r="Y212" s="109" t="str">
        <f>IFERROR(__xludf.DUMMYFUNCTION("""COMPUTED_VALUE"""),"")</f>
        <v/>
      </c>
      <c r="Z212" s="71"/>
      <c r="AA212" s="71"/>
      <c r="AB212" s="71"/>
    </row>
    <row r="213">
      <c r="A213" s="105">
        <f>IFERROR(__xludf.DUMMYFUNCTION("""COMPUTED_VALUE"""),46113.47961943287)</f>
        <v>46113.47962</v>
      </c>
      <c r="B213" s="71" t="str">
        <f>IFERROR(__xludf.DUMMYFUNCTION("""COMPUTED_VALUE"""),"Oluwatimilehin Shodipe")</f>
        <v>Oluwatimilehin Shodipe</v>
      </c>
      <c r="C213" s="71" t="b">
        <f>IFERROR(__xludf.DUMMYFUNCTION("""COMPUTED_VALUE"""),FALSE)</f>
        <v>0</v>
      </c>
      <c r="D213" s="132">
        <f>IFERROR(__xludf.DUMMYFUNCTION("""COMPUTED_VALUE"""),0.4305555555547471)</f>
        <v>0.4305555556</v>
      </c>
      <c r="E213" s="78">
        <f>IFERROR(__xludf.DUMMYFUNCTION("""COMPUTED_VALUE"""),0.04861111110949423)</f>
        <v>0.04861111111</v>
      </c>
      <c r="F213" s="132">
        <f>IFERROR(__xludf.DUMMYFUNCTION("""COMPUTED_VALUE"""),0.47916666666424135)</f>
        <v>0.4791666667</v>
      </c>
      <c r="G213" s="78">
        <f>IFERROR(__xludf.DUMMYFUNCTION("""COMPUTED_VALUE"""),0.04861111110949423)</f>
        <v>0.04861111111</v>
      </c>
      <c r="H213" s="71">
        <f>IFERROR(__xludf.DUMMYFUNCTION("""COMPUTED_VALUE"""),39.0)</f>
        <v>39</v>
      </c>
      <c r="I213" s="80">
        <f>IFERROR(__xludf.DUMMYFUNCTION("""COMPUTED_VALUE"""),33.428571429683316)</f>
        <v>33.42857143</v>
      </c>
      <c r="J213" s="71" t="str">
        <f>IFERROR(__xludf.DUMMYFUNCTION("""COMPUTED_VALUE"""),"Breakfast/Lunch")</f>
        <v>Breakfast/Lunch</v>
      </c>
      <c r="K213" s="106">
        <f>IFERROR(__xludf.DUMMYFUNCTION("""COMPUTED_VALUE"""),46113.0)</f>
        <v>46113</v>
      </c>
      <c r="L213" s="71" t="str">
        <f>IFERROR(__xludf.DUMMYFUNCTION("""COMPUTED_VALUE"""),"Wednesday")</f>
        <v>Wednesday</v>
      </c>
      <c r="M213" s="71" t="str">
        <f>IFERROR(__xludf.DUMMYFUNCTION("""COMPUTED_VALUE"""),"BF")</f>
        <v>BF</v>
      </c>
      <c r="N213" s="109">
        <f>IFERROR(__xludf.DUMMYFUNCTION("""COMPUTED_VALUE"""),0.8856387599133927)</f>
        <v>0.8856387599</v>
      </c>
      <c r="O213" s="71" t="str">
        <f>IFERROR(__xludf.DUMMYFUNCTION("""COMPUTED_VALUE"""),"")</f>
        <v/>
      </c>
      <c r="P213" s="71" t="str">
        <f>IFERROR(__xludf.DUMMYFUNCTION("""COMPUTED_VALUE"""),"")</f>
        <v/>
      </c>
      <c r="Q213" s="78" t="str">
        <f>IFERROR(__xludf.DUMMYFUNCTION("""COMPUTED_VALUE"""),"")</f>
        <v/>
      </c>
      <c r="R213" s="78" t="str">
        <f>IFERROR(__xludf.DUMMYFUNCTION("""COMPUTED_VALUE"""),"")</f>
        <v/>
      </c>
      <c r="S213" s="80" t="str">
        <f>IFERROR(__xludf.DUMMYFUNCTION("""COMPUTED_VALUE"""),"")</f>
        <v/>
      </c>
      <c r="T213" s="80" t="str">
        <f>IFERROR(__xludf.DUMMYFUNCTION("""COMPUTED_VALUE"""),"")</f>
        <v/>
      </c>
      <c r="U213" s="71" t="str">
        <f>IFERROR(__xludf.DUMMYFUNCTION("""COMPUTED_VALUE"""),"")</f>
        <v/>
      </c>
      <c r="V213" s="78" t="str">
        <f>IFERROR(__xludf.DUMMYFUNCTION("""COMPUTED_VALUE"""),"")</f>
        <v/>
      </c>
      <c r="W213" s="62" t="str">
        <f>IFERROR(__xludf.DUMMYFUNCTION("""COMPUTED_VALUE"""),"")</f>
        <v/>
      </c>
      <c r="X213" s="80" t="str">
        <f>IFERROR(__xludf.DUMMYFUNCTION("""COMPUTED_VALUE"""),"")</f>
        <v/>
      </c>
      <c r="Y213" s="109" t="str">
        <f>IFERROR(__xludf.DUMMYFUNCTION("""COMPUTED_VALUE"""),"")</f>
        <v/>
      </c>
      <c r="Z213" s="71"/>
      <c r="AA213" s="71"/>
      <c r="AB213" s="71"/>
    </row>
    <row r="214">
      <c r="A214" s="105">
        <f>IFERROR(__xludf.DUMMYFUNCTION("""COMPUTED_VALUE"""),46113.5069692824)</f>
        <v>46113.50697</v>
      </c>
      <c r="B214" s="71" t="str">
        <f>IFERROR(__xludf.DUMMYFUNCTION("""COMPUTED_VALUE"""),"Oluwatimilehin Shodipe")</f>
        <v>Oluwatimilehin Shodipe</v>
      </c>
      <c r="C214" s="71" t="b">
        <f>IFERROR(__xludf.DUMMYFUNCTION("""COMPUTED_VALUE"""),FALSE)</f>
        <v>0</v>
      </c>
      <c r="D214" s="132">
        <f>IFERROR(__xludf.DUMMYFUNCTION("""COMPUTED_VALUE"""),0.48611111110949423)</f>
        <v>0.4861111111</v>
      </c>
      <c r="E214" s="78">
        <f>IFERROR(__xludf.DUMMYFUNCTION("""COMPUTED_VALUE"""),0.020833333335758653)</f>
        <v>0.02083333334</v>
      </c>
      <c r="F214" s="132">
        <f>IFERROR(__xludf.DUMMYFUNCTION("""COMPUTED_VALUE"""),0.5069444444452529)</f>
        <v>0.5069444444</v>
      </c>
      <c r="G214" s="78">
        <f>IFERROR(__xludf.DUMMYFUNCTION("""COMPUTED_VALUE"""),0.020833333335758653)</f>
        <v>0.02083333334</v>
      </c>
      <c r="H214" s="71">
        <f>IFERROR(__xludf.DUMMYFUNCTION("""COMPUTED_VALUE"""),10.0)</f>
        <v>10</v>
      </c>
      <c r="I214" s="80">
        <f>IFERROR(__xludf.DUMMYFUNCTION("""COMPUTED_VALUE"""),19.999999997671694)</f>
        <v>20</v>
      </c>
      <c r="J214" s="71" t="str">
        <f>IFERROR(__xludf.DUMMYFUNCTION("""COMPUTED_VALUE"""),"Lunch")</f>
        <v>Lunch</v>
      </c>
      <c r="K214" s="106">
        <f>IFERROR(__xludf.DUMMYFUNCTION("""COMPUTED_VALUE"""),46113.0)</f>
        <v>46113</v>
      </c>
      <c r="L214" s="71" t="str">
        <f>IFERROR(__xludf.DUMMYFUNCTION("""COMPUTED_VALUE"""),"Wednesday")</f>
        <v>Wednesday</v>
      </c>
      <c r="M214" s="71" t="str">
        <f>IFERROR(__xludf.DUMMYFUNCTION("""COMPUTED_VALUE"""),"MF")</f>
        <v>MF</v>
      </c>
      <c r="N214" s="109">
        <f>IFERROR(__xludf.DUMMYFUNCTION("""COMPUTED_VALUE"""),0.3977922976342885)</f>
        <v>0.3977922976</v>
      </c>
      <c r="O214" s="71" t="str">
        <f>IFERROR(__xludf.DUMMYFUNCTION("""COMPUTED_VALUE"""),"")</f>
        <v/>
      </c>
      <c r="P214" s="71" t="str">
        <f>IFERROR(__xludf.DUMMYFUNCTION("""COMPUTED_VALUE"""),"")</f>
        <v/>
      </c>
      <c r="Q214" s="78" t="str">
        <f>IFERROR(__xludf.DUMMYFUNCTION("""COMPUTED_VALUE"""),"")</f>
        <v/>
      </c>
      <c r="R214" s="78" t="str">
        <f>IFERROR(__xludf.DUMMYFUNCTION("""COMPUTED_VALUE"""),"")</f>
        <v/>
      </c>
      <c r="S214" s="80" t="str">
        <f>IFERROR(__xludf.DUMMYFUNCTION("""COMPUTED_VALUE"""),"")</f>
        <v/>
      </c>
      <c r="T214" s="80" t="str">
        <f>IFERROR(__xludf.DUMMYFUNCTION("""COMPUTED_VALUE"""),"")</f>
        <v/>
      </c>
      <c r="U214" s="71" t="str">
        <f>IFERROR(__xludf.DUMMYFUNCTION("""COMPUTED_VALUE"""),"")</f>
        <v/>
      </c>
      <c r="V214" s="78" t="str">
        <f>IFERROR(__xludf.DUMMYFUNCTION("""COMPUTED_VALUE"""),"")</f>
        <v/>
      </c>
      <c r="W214" s="62" t="str">
        <f>IFERROR(__xludf.DUMMYFUNCTION("""COMPUTED_VALUE"""),"")</f>
        <v/>
      </c>
      <c r="X214" s="80" t="str">
        <f>IFERROR(__xludf.DUMMYFUNCTION("""COMPUTED_VALUE"""),"")</f>
        <v/>
      </c>
      <c r="Y214" s="109" t="str">
        <f>IFERROR(__xludf.DUMMYFUNCTION("""COMPUTED_VALUE"""),"")</f>
        <v/>
      </c>
      <c r="Z214" s="71"/>
      <c r="AA214" s="71"/>
      <c r="AB214" s="71"/>
    </row>
    <row r="215">
      <c r="A215" s="105">
        <f>IFERROR(__xludf.DUMMYFUNCTION("""COMPUTED_VALUE"""),46113.620969375)</f>
        <v>46113.62097</v>
      </c>
      <c r="B215" s="71" t="str">
        <f>IFERROR(__xludf.DUMMYFUNCTION("""COMPUTED_VALUE"""),"Evan Morgan")</f>
        <v>Evan Morgan</v>
      </c>
      <c r="C215" s="71" t="b">
        <f>IFERROR(__xludf.DUMMYFUNCTION("""COMPUTED_VALUE"""),FALSE)</f>
        <v>0</v>
      </c>
      <c r="D215" s="132">
        <f>IFERROR(__xludf.DUMMYFUNCTION("""COMPUTED_VALUE"""),0.5416666666642413)</f>
        <v>0.5416666667</v>
      </c>
      <c r="E215" s="78">
        <f>IFERROR(__xludf.DUMMYFUNCTION("""COMPUTED_VALUE"""),0.07986111111677019)</f>
        <v>0.07986111112</v>
      </c>
      <c r="F215" s="132">
        <f>IFERROR(__xludf.DUMMYFUNCTION("""COMPUTED_VALUE"""),0.6215277777810115)</f>
        <v>0.6215277778</v>
      </c>
      <c r="G215" s="78">
        <f>IFERROR(__xludf.DUMMYFUNCTION("""COMPUTED_VALUE"""),0.07986111111677019)</f>
        <v>0.07986111112</v>
      </c>
      <c r="H215" s="71">
        <f>IFERROR(__xludf.DUMMYFUNCTION("""COMPUTED_VALUE"""),85.0)</f>
        <v>85</v>
      </c>
      <c r="I215" s="80">
        <f>IFERROR(__xludf.DUMMYFUNCTION("""COMPUTED_VALUE"""),44.34782608381397)</f>
        <v>44.34782608</v>
      </c>
      <c r="J215" s="71" t="str">
        <f>IFERROR(__xludf.DUMMYFUNCTION("""COMPUTED_VALUE"""),"Lunch")</f>
        <v>Lunch</v>
      </c>
      <c r="K215" s="106">
        <f>IFERROR(__xludf.DUMMYFUNCTION("""COMPUTED_VALUE"""),46113.0)</f>
        <v>46113</v>
      </c>
      <c r="L215" s="71" t="str">
        <f>IFERROR(__xludf.DUMMYFUNCTION("""COMPUTED_VALUE"""),"Wednesday")</f>
        <v>Wednesday</v>
      </c>
      <c r="M215" s="71" t="str">
        <f>IFERROR(__xludf.DUMMYFUNCTION("""COMPUTED_VALUE"""),"MF")</f>
        <v>MF</v>
      </c>
      <c r="N215" s="109">
        <f>IFERROR(__xludf.DUMMYFUNCTION("""COMPUTED_VALUE"""),0.882061181750995)</f>
        <v>0.8820611818</v>
      </c>
      <c r="O215" s="71" t="str">
        <f>IFERROR(__xludf.DUMMYFUNCTION("""COMPUTED_VALUE"""),"")</f>
        <v/>
      </c>
      <c r="P215" s="71" t="str">
        <f>IFERROR(__xludf.DUMMYFUNCTION("""COMPUTED_VALUE"""),"")</f>
        <v/>
      </c>
      <c r="Q215" s="78" t="str">
        <f>IFERROR(__xludf.DUMMYFUNCTION("""COMPUTED_VALUE"""),"")</f>
        <v/>
      </c>
      <c r="R215" s="78" t="str">
        <f>IFERROR(__xludf.DUMMYFUNCTION("""COMPUTED_VALUE"""),"")</f>
        <v/>
      </c>
      <c r="S215" s="80" t="str">
        <f>IFERROR(__xludf.DUMMYFUNCTION("""COMPUTED_VALUE"""),"")</f>
        <v/>
      </c>
      <c r="T215" s="80" t="str">
        <f>IFERROR(__xludf.DUMMYFUNCTION("""COMPUTED_VALUE"""),"")</f>
        <v/>
      </c>
      <c r="U215" s="71" t="str">
        <f>IFERROR(__xludf.DUMMYFUNCTION("""COMPUTED_VALUE"""),"")</f>
        <v/>
      </c>
      <c r="V215" s="78" t="str">
        <f>IFERROR(__xludf.DUMMYFUNCTION("""COMPUTED_VALUE"""),"")</f>
        <v/>
      </c>
      <c r="W215" s="62" t="str">
        <f>IFERROR(__xludf.DUMMYFUNCTION("""COMPUTED_VALUE"""),"")</f>
        <v/>
      </c>
      <c r="X215" s="80" t="str">
        <f>IFERROR(__xludf.DUMMYFUNCTION("""COMPUTED_VALUE"""),"")</f>
        <v/>
      </c>
      <c r="Y215" s="109" t="str">
        <f>IFERROR(__xludf.DUMMYFUNCTION("""COMPUTED_VALUE"""),"")</f>
        <v/>
      </c>
      <c r="Z215" s="71"/>
      <c r="AA215" s="71"/>
      <c r="AB215" s="71"/>
    </row>
    <row r="216">
      <c r="A216" s="105">
        <f>IFERROR(__xludf.DUMMYFUNCTION("""COMPUTED_VALUE"""),46113.74422075231)</f>
        <v>46113.74422</v>
      </c>
      <c r="B216" s="71" t="str">
        <f>IFERROR(__xludf.DUMMYFUNCTION("""COMPUTED_VALUE"""),"Evan Morgan")</f>
        <v>Evan Morgan</v>
      </c>
      <c r="C216" s="71" t="b">
        <f>IFERROR(__xludf.DUMMYFUNCTION("""COMPUTED_VALUE"""),FALSE)</f>
        <v>0</v>
      </c>
      <c r="D216" s="132">
        <f>IFERROR(__xludf.DUMMYFUNCTION("""COMPUTED_VALUE"""),0.6666666666642413)</f>
        <v>0.6666666667</v>
      </c>
      <c r="E216" s="78">
        <f>IFERROR(__xludf.DUMMYFUNCTION("""COMPUTED_VALUE"""),0.06944444444525288)</f>
        <v>0.06944444445</v>
      </c>
      <c r="F216" s="132">
        <f>IFERROR(__xludf.DUMMYFUNCTION("""COMPUTED_VALUE"""),0.7361111111094942)</f>
        <v>0.7361111111</v>
      </c>
      <c r="G216" s="78">
        <f>IFERROR(__xludf.DUMMYFUNCTION("""COMPUTED_VALUE"""),0.06944444444525288)</f>
        <v>0.06944444445</v>
      </c>
      <c r="H216" s="71">
        <f>IFERROR(__xludf.DUMMYFUNCTION("""COMPUTED_VALUE"""),53.0)</f>
        <v>53</v>
      </c>
      <c r="I216" s="80">
        <f>IFERROR(__xludf.DUMMYFUNCTION("""COMPUTED_VALUE"""),31.7999999996298)</f>
        <v>31.8</v>
      </c>
      <c r="J216" s="71" t="str">
        <f>IFERROR(__xludf.DUMMYFUNCTION("""COMPUTED_VALUE"""),"Dinner")</f>
        <v>Dinner</v>
      </c>
      <c r="K216" s="106">
        <f>IFERROR(__xludf.DUMMYFUNCTION("""COMPUTED_VALUE"""),46113.0)</f>
        <v>46113</v>
      </c>
      <c r="L216" s="71" t="str">
        <f>IFERROR(__xludf.DUMMYFUNCTION("""COMPUTED_VALUE"""),"Wednesday")</f>
        <v>Wednesday</v>
      </c>
      <c r="M216" s="71" t="str">
        <f>IFERROR(__xludf.DUMMYFUNCTION("""COMPUTED_VALUE"""),"MF")</f>
        <v>MF</v>
      </c>
      <c r="N216" s="109">
        <f>IFERROR(__xludf.DUMMYFUNCTION("""COMPUTED_VALUE"""),0.6856450942919639)</f>
        <v>0.6856450943</v>
      </c>
      <c r="O216" s="71" t="str">
        <f>IFERROR(__xludf.DUMMYFUNCTION("""COMPUTED_VALUE"""),"")</f>
        <v/>
      </c>
      <c r="P216" s="71" t="str">
        <f>IFERROR(__xludf.DUMMYFUNCTION("""COMPUTED_VALUE"""),"")</f>
        <v/>
      </c>
      <c r="Q216" s="78" t="str">
        <f>IFERROR(__xludf.DUMMYFUNCTION("""COMPUTED_VALUE"""),"")</f>
        <v/>
      </c>
      <c r="R216" s="78" t="str">
        <f>IFERROR(__xludf.DUMMYFUNCTION("""COMPUTED_VALUE"""),"")</f>
        <v/>
      </c>
      <c r="S216" s="80" t="str">
        <f>IFERROR(__xludf.DUMMYFUNCTION("""COMPUTED_VALUE"""),"")</f>
        <v/>
      </c>
      <c r="T216" s="80" t="str">
        <f>IFERROR(__xludf.DUMMYFUNCTION("""COMPUTED_VALUE"""),"")</f>
        <v/>
      </c>
      <c r="U216" s="71" t="str">
        <f>IFERROR(__xludf.DUMMYFUNCTION("""COMPUTED_VALUE"""),"")</f>
        <v/>
      </c>
      <c r="V216" s="78" t="str">
        <f>IFERROR(__xludf.DUMMYFUNCTION("""COMPUTED_VALUE"""),"")</f>
        <v/>
      </c>
      <c r="W216" s="62" t="str">
        <f>IFERROR(__xludf.DUMMYFUNCTION("""COMPUTED_VALUE"""),"")</f>
        <v/>
      </c>
      <c r="X216" s="80" t="str">
        <f>IFERROR(__xludf.DUMMYFUNCTION("""COMPUTED_VALUE"""),"")</f>
        <v/>
      </c>
      <c r="Y216" s="109" t="str">
        <f>IFERROR(__xludf.DUMMYFUNCTION("""COMPUTED_VALUE"""),"")</f>
        <v/>
      </c>
      <c r="Z216" s="71"/>
      <c r="AA216" s="71"/>
      <c r="AB216" s="71"/>
    </row>
    <row r="217">
      <c r="A217" s="105">
        <f>IFERROR(__xludf.DUMMYFUNCTION("""COMPUTED_VALUE"""),46113.84846659722)</f>
        <v>46113.84847</v>
      </c>
      <c r="B217" s="71" t="str">
        <f>IFERROR(__xludf.DUMMYFUNCTION("""COMPUTED_VALUE"""),"Maureen Surgot")</f>
        <v>Maureen Surgot</v>
      </c>
      <c r="C217" s="71" t="b">
        <f>IFERROR(__xludf.DUMMYFUNCTION("""COMPUTED_VALUE"""),FALSE)</f>
        <v>0</v>
      </c>
      <c r="D217" s="132">
        <f>IFERROR(__xludf.DUMMYFUNCTION("""COMPUTED_VALUE"""),0.6875)</f>
        <v>0.6875</v>
      </c>
      <c r="E217" s="78">
        <f>IFERROR(__xludf.DUMMYFUNCTION("""COMPUTED_VALUE"""),0.16666666666424135)</f>
        <v>0.1666666667</v>
      </c>
      <c r="F217" s="132">
        <f>IFERROR(__xludf.DUMMYFUNCTION("""COMPUTED_VALUE"""),0.8541666666642413)</f>
        <v>0.8541666667</v>
      </c>
      <c r="G217" s="78">
        <f>IFERROR(__xludf.DUMMYFUNCTION("""COMPUTED_VALUE"""),0.16666666666424135)</f>
        <v>0.1666666667</v>
      </c>
      <c r="H217" s="71">
        <f>IFERROR(__xludf.DUMMYFUNCTION("""COMPUTED_VALUE"""),157.0)</f>
        <v>157</v>
      </c>
      <c r="I217" s="80">
        <f>IFERROR(__xludf.DUMMYFUNCTION("""COMPUTED_VALUE"""),39.25000000057116)</f>
        <v>39.25</v>
      </c>
      <c r="J217" s="71" t="str">
        <f>IFERROR(__xludf.DUMMYFUNCTION("""COMPUTED_VALUE"""),"Dinner")</f>
        <v>Dinner</v>
      </c>
      <c r="K217" s="106">
        <f>IFERROR(__xludf.DUMMYFUNCTION("""COMPUTED_VALUE"""),46113.0)</f>
        <v>46113</v>
      </c>
      <c r="L217" s="71" t="str">
        <f>IFERROR(__xludf.DUMMYFUNCTION("""COMPUTED_VALUE"""),"Wednesday")</f>
        <v>Wednesday</v>
      </c>
      <c r="M217" s="71" t="str">
        <f>IFERROR(__xludf.DUMMYFUNCTION("""COMPUTED_VALUE"""),"BF")</f>
        <v>BF</v>
      </c>
      <c r="N217" s="109">
        <f>IFERROR(__xludf.DUMMYFUNCTION("""COMPUTED_VALUE"""),0.8833759590792838)</f>
        <v>0.8833759591</v>
      </c>
      <c r="O217" s="71" t="str">
        <f>IFERROR(__xludf.DUMMYFUNCTION("""COMPUTED_VALUE"""),"")</f>
        <v/>
      </c>
      <c r="P217" s="71" t="str">
        <f>IFERROR(__xludf.DUMMYFUNCTION("""COMPUTED_VALUE"""),"")</f>
        <v/>
      </c>
      <c r="Q217" s="78" t="str">
        <f>IFERROR(__xludf.DUMMYFUNCTION("""COMPUTED_VALUE"""),"")</f>
        <v/>
      </c>
      <c r="R217" s="78" t="str">
        <f>IFERROR(__xludf.DUMMYFUNCTION("""COMPUTED_VALUE"""),"")</f>
        <v/>
      </c>
      <c r="S217" s="80" t="str">
        <f>IFERROR(__xludf.DUMMYFUNCTION("""COMPUTED_VALUE"""),"")</f>
        <v/>
      </c>
      <c r="T217" s="80" t="str">
        <f>IFERROR(__xludf.DUMMYFUNCTION("""COMPUTED_VALUE"""),"")</f>
        <v/>
      </c>
      <c r="U217" s="71" t="str">
        <f>IFERROR(__xludf.DUMMYFUNCTION("""COMPUTED_VALUE"""),"")</f>
        <v/>
      </c>
      <c r="V217" s="78" t="str">
        <f>IFERROR(__xludf.DUMMYFUNCTION("""COMPUTED_VALUE"""),"")</f>
        <v/>
      </c>
      <c r="W217" s="62" t="str">
        <f>IFERROR(__xludf.DUMMYFUNCTION("""COMPUTED_VALUE"""),"")</f>
        <v/>
      </c>
      <c r="X217" s="80" t="str">
        <f>IFERROR(__xludf.DUMMYFUNCTION("""COMPUTED_VALUE"""),"")</f>
        <v/>
      </c>
      <c r="Y217" s="109" t="str">
        <f>IFERROR(__xludf.DUMMYFUNCTION("""COMPUTED_VALUE"""),"")</f>
        <v/>
      </c>
      <c r="Z217" s="71"/>
      <c r="AA217" s="71"/>
      <c r="AB217" s="71"/>
    </row>
    <row r="218">
      <c r="A218" s="105">
        <f>IFERROR(__xludf.DUMMYFUNCTION("""COMPUTED_VALUE"""),46113.87115238426)</f>
        <v>46113.87115</v>
      </c>
      <c r="B218" s="71" t="str">
        <f>IFERROR(__xludf.DUMMYFUNCTION("""COMPUTED_VALUE"""),"Brynn Hornig")</f>
        <v>Brynn Hornig</v>
      </c>
      <c r="C218" s="71" t="b">
        <f>IFERROR(__xludf.DUMMYFUNCTION("""COMPUTED_VALUE"""),FALSE)</f>
        <v>0</v>
      </c>
      <c r="D218" s="132">
        <f>IFERROR(__xludf.DUMMYFUNCTION("""COMPUTED_VALUE"""),0.75)</f>
        <v>0.75</v>
      </c>
      <c r="E218" s="78">
        <f>IFERROR(__xludf.DUMMYFUNCTION("""COMPUTED_VALUE"""),0.125)</f>
        <v>0.125</v>
      </c>
      <c r="F218" s="132">
        <f>IFERROR(__xludf.DUMMYFUNCTION("""COMPUTED_VALUE"""),0.875)</f>
        <v>0.875</v>
      </c>
      <c r="G218" s="78">
        <f>IFERROR(__xludf.DUMMYFUNCTION("""COMPUTED_VALUE"""),0.125)</f>
        <v>0.125</v>
      </c>
      <c r="H218" s="71">
        <f>IFERROR(__xludf.DUMMYFUNCTION("""COMPUTED_VALUE"""),114.0)</f>
        <v>114</v>
      </c>
      <c r="I218" s="80">
        <f>IFERROR(__xludf.DUMMYFUNCTION("""COMPUTED_VALUE"""),38.0)</f>
        <v>38</v>
      </c>
      <c r="J218" s="71" t="str">
        <f>IFERROR(__xludf.DUMMYFUNCTION("""COMPUTED_VALUE"""),"Dinner")</f>
        <v>Dinner</v>
      </c>
      <c r="K218" s="106">
        <f>IFERROR(__xludf.DUMMYFUNCTION("""COMPUTED_VALUE"""),46113.0)</f>
        <v>46113</v>
      </c>
      <c r="L218" s="71" t="str">
        <f>IFERROR(__xludf.DUMMYFUNCTION("""COMPUTED_VALUE"""),"Wednesday")</f>
        <v>Wednesday</v>
      </c>
      <c r="M218" s="71" t="str">
        <f>IFERROR(__xludf.DUMMYFUNCTION("""COMPUTED_VALUE"""),"MF")</f>
        <v>MF</v>
      </c>
      <c r="N218" s="109">
        <f>IFERROR(__xludf.DUMMYFUNCTION("""COMPUTED_VALUE"""),0.8193243265219478)</f>
        <v>0.8193243265</v>
      </c>
      <c r="O218" s="71">
        <f>IFERROR(__xludf.DUMMYFUNCTION("""COMPUTED_VALUE"""),262.0)</f>
        <v>262</v>
      </c>
      <c r="P218" s="71">
        <f>IFERROR(__xludf.DUMMYFUNCTION("""COMPUTED_VALUE"""),285.0)</f>
        <v>285</v>
      </c>
      <c r="Q218" s="78">
        <f>IFERROR(__xludf.DUMMYFUNCTION("""COMPUTED_VALUE"""),0.2951388888977817)</f>
        <v>0.2951388889</v>
      </c>
      <c r="R218" s="78">
        <f>IFERROR(__xludf.DUMMYFUNCTION("""COMPUTED_VALUE"""),0.28541666666569654)</f>
        <v>0.2854166667</v>
      </c>
      <c r="S218" s="80">
        <f>IFERROR(__xludf.DUMMYFUNCTION("""COMPUTED_VALUE"""),33.53695652027886)</f>
        <v>33.53695652</v>
      </c>
      <c r="T218" s="80">
        <f>IFERROR(__xludf.DUMMYFUNCTION("""COMPUTED_VALUE"""),41.8499528522172)</f>
        <v>41.84995285</v>
      </c>
      <c r="U218" s="71">
        <f>IFERROR(__xludf.DUMMYFUNCTION("""COMPUTED_VALUE"""),547.0)</f>
        <v>547</v>
      </c>
      <c r="V218" s="78">
        <f>IFERROR(__xludf.DUMMYFUNCTION("""COMPUTED_VALUE"""),0.5805555555634783)</f>
        <v>0.5805555556</v>
      </c>
      <c r="W218" s="62">
        <f>IFERROR(__xludf.DUMMYFUNCTION("""COMPUTED_VALUE"""),39.25837320520588)</f>
        <v>39.25837321</v>
      </c>
      <c r="X218" s="80">
        <f>IFERROR(__xludf.DUMMYFUNCTION("""COMPUTED_VALUE"""),37.09966923396672)</f>
        <v>37.09966923</v>
      </c>
      <c r="Y218" s="109">
        <f>IFERROR(__xludf.DUMMYFUNCTION("""COMPUTED_VALUE"""),0.6685258971444576)</f>
        <v>0.6685258971</v>
      </c>
      <c r="Z218" s="71"/>
      <c r="AA218" s="71"/>
      <c r="AB218" s="71"/>
    </row>
    <row r="219">
      <c r="A219" s="105">
        <f>IFERROR(__xludf.DUMMYFUNCTION("""COMPUTED_VALUE"""),46114.36220990741)</f>
        <v>46114.36221</v>
      </c>
      <c r="B219" s="71" t="str">
        <f>IFERROR(__xludf.DUMMYFUNCTION("""COMPUTED_VALUE"""),"Evan Morgan")</f>
        <v>Evan Morgan</v>
      </c>
      <c r="C219" s="71" t="b">
        <f>IFERROR(__xludf.DUMMYFUNCTION("""COMPUTED_VALUE"""),FALSE)</f>
        <v>0</v>
      </c>
      <c r="D219" s="132">
        <f>IFERROR(__xludf.DUMMYFUNCTION("""COMPUTED_VALUE"""),0.29166666666424135)</f>
        <v>0.2916666667</v>
      </c>
      <c r="E219" s="78">
        <f>IFERROR(__xludf.DUMMYFUNCTION("""COMPUTED_VALUE"""),0.07013888889196096)</f>
        <v>0.07013888889</v>
      </c>
      <c r="F219" s="132">
        <f>IFERROR(__xludf.DUMMYFUNCTION("""COMPUTED_VALUE"""),0.3618055555562023)</f>
        <v>0.3618055556</v>
      </c>
      <c r="G219" s="78">
        <f>IFERROR(__xludf.DUMMYFUNCTION("""COMPUTED_VALUE"""),0.07013888889196096)</f>
        <v>0.07013888889</v>
      </c>
      <c r="H219" s="71">
        <f>IFERROR(__xludf.DUMMYFUNCTION("""COMPUTED_VALUE"""),13.0)</f>
        <v>13</v>
      </c>
      <c r="I219" s="80">
        <f>IFERROR(__xludf.DUMMYFUNCTION("""COMPUTED_VALUE"""),7.722772276889467)</f>
        <v>7.722772277</v>
      </c>
      <c r="J219" s="71" t="str">
        <f>IFERROR(__xludf.DUMMYFUNCTION("""COMPUTED_VALUE"""),"Breakfast")</f>
        <v>Breakfast</v>
      </c>
      <c r="K219" s="106">
        <f>IFERROR(__xludf.DUMMYFUNCTION("""COMPUTED_VALUE"""),46114.0)</f>
        <v>46114</v>
      </c>
      <c r="L219" s="71" t="str">
        <f>IFERROR(__xludf.DUMMYFUNCTION("""COMPUTED_VALUE"""),"Thursday")</f>
        <v>Thursday</v>
      </c>
      <c r="M219" s="71" t="str">
        <f>IFERROR(__xludf.DUMMYFUNCTION("""COMPUTED_VALUE"""),"BF")</f>
        <v>BF</v>
      </c>
      <c r="N219" s="109">
        <f>IFERROR(__xludf.DUMMYFUNCTION("""COMPUTED_VALUE"""),0.27240195388585314)</f>
        <v>0.2724019539</v>
      </c>
      <c r="O219" s="71" t="str">
        <f>IFERROR(__xludf.DUMMYFUNCTION("""COMPUTED_VALUE"""),"")</f>
        <v/>
      </c>
      <c r="P219" s="71" t="str">
        <f>IFERROR(__xludf.DUMMYFUNCTION("""COMPUTED_VALUE"""),"")</f>
        <v/>
      </c>
      <c r="Q219" s="78" t="str">
        <f>IFERROR(__xludf.DUMMYFUNCTION("""COMPUTED_VALUE"""),"")</f>
        <v/>
      </c>
      <c r="R219" s="78" t="str">
        <f>IFERROR(__xludf.DUMMYFUNCTION("""COMPUTED_VALUE"""),"")</f>
        <v/>
      </c>
      <c r="S219" s="80" t="str">
        <f>IFERROR(__xludf.DUMMYFUNCTION("""COMPUTED_VALUE"""),"")</f>
        <v/>
      </c>
      <c r="T219" s="80" t="str">
        <f>IFERROR(__xludf.DUMMYFUNCTION("""COMPUTED_VALUE"""),"")</f>
        <v/>
      </c>
      <c r="U219" s="71" t="str">
        <f>IFERROR(__xludf.DUMMYFUNCTION("""COMPUTED_VALUE"""),"")</f>
        <v/>
      </c>
      <c r="V219" s="78" t="str">
        <f>IFERROR(__xludf.DUMMYFUNCTION("""COMPUTED_VALUE"""),"")</f>
        <v/>
      </c>
      <c r="W219" s="62" t="str">
        <f>IFERROR(__xludf.DUMMYFUNCTION("""COMPUTED_VALUE"""),"")</f>
        <v/>
      </c>
      <c r="X219" s="80" t="str">
        <f>IFERROR(__xludf.DUMMYFUNCTION("""COMPUTED_VALUE"""),"")</f>
        <v/>
      </c>
      <c r="Y219" s="109" t="str">
        <f>IFERROR(__xludf.DUMMYFUNCTION("""COMPUTED_VALUE"""),"")</f>
        <v/>
      </c>
      <c r="Z219" s="71"/>
      <c r="AA219" s="71"/>
      <c r="AB219" s="71"/>
    </row>
    <row r="220">
      <c r="A220" s="105">
        <f>IFERROR(__xludf.DUMMYFUNCTION("""COMPUTED_VALUE"""),46114.41925032408)</f>
        <v>46114.41925</v>
      </c>
      <c r="B220" s="71" t="str">
        <f>IFERROR(__xludf.DUMMYFUNCTION("""COMPUTED_VALUE"""),"Sophia Kluck")</f>
        <v>Sophia Kluck</v>
      </c>
      <c r="C220" s="71" t="b">
        <f>IFERROR(__xludf.DUMMYFUNCTION("""COMPUTED_VALUE"""),FALSE)</f>
        <v>0</v>
      </c>
      <c r="D220" s="132">
        <f>IFERROR(__xludf.DUMMYFUNCTION("""COMPUTED_VALUE"""),0.367361111115315)</f>
        <v>0.3673611111</v>
      </c>
      <c r="E220" s="78">
        <f>IFERROR(__xludf.DUMMYFUNCTION("""COMPUTED_VALUE"""),0.047916666662786156)</f>
        <v>0.04791666666</v>
      </c>
      <c r="F220" s="132">
        <f>IFERROR(__xludf.DUMMYFUNCTION("""COMPUTED_VALUE"""),0.41527777777810115)</f>
        <v>0.4152777778</v>
      </c>
      <c r="G220" s="78">
        <f>IFERROR(__xludf.DUMMYFUNCTION("""COMPUTED_VALUE"""),0.10833333332993789)</f>
        <v>0.1083333333</v>
      </c>
      <c r="H220" s="71">
        <f>IFERROR(__xludf.DUMMYFUNCTION("""COMPUTED_VALUE"""),51.0)</f>
        <v>51</v>
      </c>
      <c r="I220" s="80">
        <f>IFERROR(__xludf.DUMMYFUNCTION("""COMPUTED_VALUE"""),36.153846154979306)</f>
        <v>36.15384615</v>
      </c>
      <c r="J220" s="71" t="str">
        <f>IFERROR(__xludf.DUMMYFUNCTION("""COMPUTED_VALUE"""),"Breakfast")</f>
        <v>Breakfast</v>
      </c>
      <c r="K220" s="106">
        <f>IFERROR(__xludf.DUMMYFUNCTION("""COMPUTED_VALUE"""),46114.0)</f>
        <v>46114</v>
      </c>
      <c r="L220" s="71" t="str">
        <f>IFERROR(__xludf.DUMMYFUNCTION("""COMPUTED_VALUE"""),"Thursday")</f>
        <v>Thursday</v>
      </c>
      <c r="M220" s="71" t="str">
        <f>IFERROR(__xludf.DUMMYFUNCTION("""COMPUTED_VALUE"""),"BF")</f>
        <v>BF</v>
      </c>
      <c r="N220" s="109">
        <f>IFERROR(__xludf.DUMMYFUNCTION("""COMPUTED_VALUE"""),1.2752387329322592)</f>
        <v>1.275238733</v>
      </c>
      <c r="O220" s="71" t="str">
        <f>IFERROR(__xludf.DUMMYFUNCTION("""COMPUTED_VALUE"""),"")</f>
        <v/>
      </c>
      <c r="P220" s="71" t="str">
        <f>IFERROR(__xludf.DUMMYFUNCTION("""COMPUTED_VALUE"""),"")</f>
        <v/>
      </c>
      <c r="Q220" s="78" t="str">
        <f>IFERROR(__xludf.DUMMYFUNCTION("""COMPUTED_VALUE"""),"")</f>
        <v/>
      </c>
      <c r="R220" s="78" t="str">
        <f>IFERROR(__xludf.DUMMYFUNCTION("""COMPUTED_VALUE"""),"")</f>
        <v/>
      </c>
      <c r="S220" s="80" t="str">
        <f>IFERROR(__xludf.DUMMYFUNCTION("""COMPUTED_VALUE"""),"")</f>
        <v/>
      </c>
      <c r="T220" s="80" t="str">
        <f>IFERROR(__xludf.DUMMYFUNCTION("""COMPUTED_VALUE"""),"")</f>
        <v/>
      </c>
      <c r="U220" s="71" t="str">
        <f>IFERROR(__xludf.DUMMYFUNCTION("""COMPUTED_VALUE"""),"")</f>
        <v/>
      </c>
      <c r="V220" s="78" t="str">
        <f>IFERROR(__xludf.DUMMYFUNCTION("""COMPUTED_VALUE"""),"")</f>
        <v/>
      </c>
      <c r="W220" s="62" t="str">
        <f>IFERROR(__xludf.DUMMYFUNCTION("""COMPUTED_VALUE"""),"")</f>
        <v/>
      </c>
      <c r="X220" s="80" t="str">
        <f>IFERROR(__xludf.DUMMYFUNCTION("""COMPUTED_VALUE"""),"")</f>
        <v/>
      </c>
      <c r="Y220" s="109" t="str">
        <f>IFERROR(__xludf.DUMMYFUNCTION("""COMPUTED_VALUE"""),"")</f>
        <v/>
      </c>
      <c r="Z220" s="71"/>
      <c r="AA220" s="71"/>
      <c r="AB220" s="71"/>
    </row>
    <row r="221">
      <c r="A221" s="105">
        <f>IFERROR(__xludf.DUMMYFUNCTION("""COMPUTED_VALUE"""),46114.47944314815)</f>
        <v>46114.47944</v>
      </c>
      <c r="B221" s="71" t="str">
        <f>IFERROR(__xludf.DUMMYFUNCTION("""COMPUTED_VALUE"""),"Sophia Kluck")</f>
        <v>Sophia Kluck</v>
      </c>
      <c r="C221" s="71" t="b">
        <f>IFERROR(__xludf.DUMMYFUNCTION("""COMPUTED_VALUE"""),TRUE)</f>
        <v>1</v>
      </c>
      <c r="D221" s="132">
        <f>IFERROR(__xludf.DUMMYFUNCTION("""COMPUTED_VALUE"""),0.4173611111109494)</f>
        <v>0.4173611111</v>
      </c>
      <c r="E221" s="78">
        <f>IFERROR(__xludf.DUMMYFUNCTION("""COMPUTED_VALUE"""),0.06041666666715173)</f>
        <v>0.06041666667</v>
      </c>
      <c r="F221" s="132">
        <f>IFERROR(__xludf.DUMMYFUNCTION("""COMPUTED_VALUE"""),0.47777777777810115)</f>
        <v>0.4777777778</v>
      </c>
      <c r="G221" s="78" t="str">
        <f>IFERROR(__xludf.DUMMYFUNCTION("""COMPUTED_VALUE"""),"")</f>
        <v/>
      </c>
      <c r="H221" s="71">
        <f>IFERROR(__xludf.DUMMYFUNCTION("""COMPUTED_VALUE"""),43.0)</f>
        <v>43</v>
      </c>
      <c r="I221" s="80" t="str">
        <f>IFERROR(__xludf.DUMMYFUNCTION("""COMPUTED_VALUE"""),"")</f>
        <v/>
      </c>
      <c r="J221" s="71" t="str">
        <f>IFERROR(__xludf.DUMMYFUNCTION("""COMPUTED_VALUE"""),"Breakfast/Lunch")</f>
        <v>Breakfast/Lunch</v>
      </c>
      <c r="K221" s="106">
        <f>IFERROR(__xludf.DUMMYFUNCTION("""COMPUTED_VALUE"""),46114.0)</f>
        <v>46114</v>
      </c>
      <c r="L221" s="71" t="str">
        <f>IFERROR(__xludf.DUMMYFUNCTION("""COMPUTED_VALUE"""),"Thursday")</f>
        <v>Thursday</v>
      </c>
      <c r="M221" s="71" t="str">
        <f>IFERROR(__xludf.DUMMYFUNCTION("""COMPUTED_VALUE"""),"BF")</f>
        <v>BF</v>
      </c>
      <c r="N221" s="109" t="str">
        <f>IFERROR(__xludf.DUMMYFUNCTION("""COMPUTED_VALUE"""),"")</f>
        <v/>
      </c>
      <c r="O221" s="71" t="str">
        <f>IFERROR(__xludf.DUMMYFUNCTION("""COMPUTED_VALUE"""),"")</f>
        <v/>
      </c>
      <c r="P221" s="71" t="str">
        <f>IFERROR(__xludf.DUMMYFUNCTION("""COMPUTED_VALUE"""),"")</f>
        <v/>
      </c>
      <c r="Q221" s="78" t="str">
        <f>IFERROR(__xludf.DUMMYFUNCTION("""COMPUTED_VALUE"""),"")</f>
        <v/>
      </c>
      <c r="R221" s="78" t="str">
        <f>IFERROR(__xludf.DUMMYFUNCTION("""COMPUTED_VALUE"""),"")</f>
        <v/>
      </c>
      <c r="S221" s="80" t="str">
        <f>IFERROR(__xludf.DUMMYFUNCTION("""COMPUTED_VALUE"""),"")</f>
        <v/>
      </c>
      <c r="T221" s="80" t="str">
        <f>IFERROR(__xludf.DUMMYFUNCTION("""COMPUTED_VALUE"""),"")</f>
        <v/>
      </c>
      <c r="U221" s="71" t="str">
        <f>IFERROR(__xludf.DUMMYFUNCTION("""COMPUTED_VALUE"""),"")</f>
        <v/>
      </c>
      <c r="V221" s="78" t="str">
        <f>IFERROR(__xludf.DUMMYFUNCTION("""COMPUTED_VALUE"""),"")</f>
        <v/>
      </c>
      <c r="W221" s="62" t="str">
        <f>IFERROR(__xludf.DUMMYFUNCTION("""COMPUTED_VALUE"""),"")</f>
        <v/>
      </c>
      <c r="X221" s="80" t="str">
        <f>IFERROR(__xludf.DUMMYFUNCTION("""COMPUTED_VALUE"""),"")</f>
        <v/>
      </c>
      <c r="Y221" s="109" t="str">
        <f>IFERROR(__xludf.DUMMYFUNCTION("""COMPUTED_VALUE"""),"")</f>
        <v/>
      </c>
      <c r="Z221" s="71"/>
      <c r="AA221" s="71"/>
      <c r="AB221" s="71"/>
    </row>
    <row r="222">
      <c r="A222" s="105">
        <f>IFERROR(__xludf.DUMMYFUNCTION("""COMPUTED_VALUE"""),46114.53133385417)</f>
        <v>46114.53133</v>
      </c>
      <c r="B222" s="71" t="str">
        <f>IFERROR(__xludf.DUMMYFUNCTION("""COMPUTED_VALUE"""),"Emmett Khan")</f>
        <v>Emmett Khan</v>
      </c>
      <c r="C222" s="71" t="b">
        <f>IFERROR(__xludf.DUMMYFUNCTION("""COMPUTED_VALUE"""),FALSE)</f>
        <v>0</v>
      </c>
      <c r="D222" s="132">
        <f>IFERROR(__xludf.DUMMYFUNCTION("""COMPUTED_VALUE"""),0.47916666666424135)</f>
        <v>0.4791666667</v>
      </c>
      <c r="E222" s="78">
        <f>IFERROR(__xludf.DUMMYFUNCTION("""COMPUTED_VALUE"""),0.05208333333575865)</f>
        <v>0.05208333334</v>
      </c>
      <c r="F222" s="132">
        <f>IFERROR(__xludf.DUMMYFUNCTION("""COMPUTED_VALUE"""),0.53125)</f>
        <v>0.53125</v>
      </c>
      <c r="G222" s="78">
        <f>IFERROR(__xludf.DUMMYFUNCTION("""COMPUTED_VALUE"""),0.05208333333575865)</f>
        <v>0.05208333334</v>
      </c>
      <c r="H222" s="71">
        <f>IFERROR(__xludf.DUMMYFUNCTION("""COMPUTED_VALUE"""),70.0)</f>
        <v>70</v>
      </c>
      <c r="I222" s="80">
        <f>IFERROR(__xludf.DUMMYFUNCTION("""COMPUTED_VALUE"""),55.999999997392294)</f>
        <v>56</v>
      </c>
      <c r="J222" s="71" t="str">
        <f>IFERROR(__xludf.DUMMYFUNCTION("""COMPUTED_VALUE"""),"Lunch")</f>
        <v>Lunch</v>
      </c>
      <c r="K222" s="106">
        <f>IFERROR(__xludf.DUMMYFUNCTION("""COMPUTED_VALUE"""),46114.0)</f>
        <v>46114</v>
      </c>
      <c r="L222" s="71" t="str">
        <f>IFERROR(__xludf.DUMMYFUNCTION("""COMPUTED_VALUE"""),"Thursday")</f>
        <v>Thursday</v>
      </c>
      <c r="M222" s="71" t="str">
        <f>IFERROR(__xludf.DUMMYFUNCTION("""COMPUTED_VALUE"""),"MF")</f>
        <v>MF</v>
      </c>
      <c r="N222" s="109">
        <f>IFERROR(__xludf.DUMMYFUNCTION("""COMPUTED_VALUE"""),1.113818433453807)</f>
        <v>1.113818433</v>
      </c>
      <c r="O222" s="71" t="str">
        <f>IFERROR(__xludf.DUMMYFUNCTION("""COMPUTED_VALUE"""),"")</f>
        <v/>
      </c>
      <c r="P222" s="71" t="str">
        <f>IFERROR(__xludf.DUMMYFUNCTION("""COMPUTED_VALUE"""),"")</f>
        <v/>
      </c>
      <c r="Q222" s="78" t="str">
        <f>IFERROR(__xludf.DUMMYFUNCTION("""COMPUTED_VALUE"""),"")</f>
        <v/>
      </c>
      <c r="R222" s="78" t="str">
        <f>IFERROR(__xludf.DUMMYFUNCTION("""COMPUTED_VALUE"""),"")</f>
        <v/>
      </c>
      <c r="S222" s="80" t="str">
        <f>IFERROR(__xludf.DUMMYFUNCTION("""COMPUTED_VALUE"""),"")</f>
        <v/>
      </c>
      <c r="T222" s="80" t="str">
        <f>IFERROR(__xludf.DUMMYFUNCTION("""COMPUTED_VALUE"""),"")</f>
        <v/>
      </c>
      <c r="U222" s="71" t="str">
        <f>IFERROR(__xludf.DUMMYFUNCTION("""COMPUTED_VALUE"""),"")</f>
        <v/>
      </c>
      <c r="V222" s="78" t="str">
        <f>IFERROR(__xludf.DUMMYFUNCTION("""COMPUTED_VALUE"""),"")</f>
        <v/>
      </c>
      <c r="W222" s="62" t="str">
        <f>IFERROR(__xludf.DUMMYFUNCTION("""COMPUTED_VALUE"""),"")</f>
        <v/>
      </c>
      <c r="X222" s="80" t="str">
        <f>IFERROR(__xludf.DUMMYFUNCTION("""COMPUTED_VALUE"""),"")</f>
        <v/>
      </c>
      <c r="Y222" s="109" t="str">
        <f>IFERROR(__xludf.DUMMYFUNCTION("""COMPUTED_VALUE"""),"")</f>
        <v/>
      </c>
      <c r="Z222" s="71"/>
      <c r="AA222" s="71"/>
      <c r="AB222" s="71"/>
    </row>
    <row r="223">
      <c r="A223" s="105">
        <f>IFERROR(__xludf.DUMMYFUNCTION("""COMPUTED_VALUE"""),46114.5503271875)</f>
        <v>46114.55033</v>
      </c>
      <c r="B223" s="71" t="str">
        <f>IFERROR(__xludf.DUMMYFUNCTION("""COMPUTED_VALUE"""),"Kyra Turner")</f>
        <v>Kyra Turner</v>
      </c>
      <c r="C223" s="71" t="b">
        <f>IFERROR(__xludf.DUMMYFUNCTION("""COMPUTED_VALUE"""),FALSE)</f>
        <v>0</v>
      </c>
      <c r="D223" s="132">
        <f>IFERROR(__xludf.DUMMYFUNCTION("""COMPUTED_VALUE"""),0.5027777777795563)</f>
        <v>0.5027777778</v>
      </c>
      <c r="E223" s="78">
        <f>IFERROR(__xludf.DUMMYFUNCTION("""COMPUTED_VALUE"""),0.045833333329937886)</f>
        <v>0.04583333333</v>
      </c>
      <c r="F223" s="132">
        <f>IFERROR(__xludf.DUMMYFUNCTION("""COMPUTED_VALUE"""),0.5486111111094942)</f>
        <v>0.5486111111</v>
      </c>
      <c r="G223" s="78">
        <f>IFERROR(__xludf.DUMMYFUNCTION("""COMPUTED_VALUE"""),0.13749999999708962)</f>
        <v>0.1375</v>
      </c>
      <c r="H223" s="71">
        <f>IFERROR(__xludf.DUMMYFUNCTION("""COMPUTED_VALUE"""),76.0)</f>
        <v>76</v>
      </c>
      <c r="I223" s="80">
        <f>IFERROR(__xludf.DUMMYFUNCTION("""COMPUTED_VALUE"""),57.57575757697625)</f>
        <v>57.57575758</v>
      </c>
      <c r="J223" s="71" t="str">
        <f>IFERROR(__xludf.DUMMYFUNCTION("""COMPUTED_VALUE"""),"Lunch")</f>
        <v>Lunch</v>
      </c>
      <c r="K223" s="106">
        <f>IFERROR(__xludf.DUMMYFUNCTION("""COMPUTED_VALUE"""),46114.0)</f>
        <v>46114</v>
      </c>
      <c r="L223" s="71" t="str">
        <f>IFERROR(__xludf.DUMMYFUNCTION("""COMPUTED_VALUE"""),"Thursday")</f>
        <v>Thursday</v>
      </c>
      <c r="M223" s="71" t="str">
        <f>IFERROR(__xludf.DUMMYFUNCTION("""COMPUTED_VALUE"""),"BF")</f>
        <v>BF</v>
      </c>
      <c r="N223" s="109">
        <f>IFERROR(__xludf.DUMMYFUNCTION("""COMPUTED_VALUE"""),2.0308444038108493)</f>
        <v>2.030844404</v>
      </c>
      <c r="O223" s="71" t="str">
        <f>IFERROR(__xludf.DUMMYFUNCTION("""COMPUTED_VALUE"""),"")</f>
        <v/>
      </c>
      <c r="P223" s="71" t="str">
        <f>IFERROR(__xludf.DUMMYFUNCTION("""COMPUTED_VALUE"""),"")</f>
        <v/>
      </c>
      <c r="Q223" s="78" t="str">
        <f>IFERROR(__xludf.DUMMYFUNCTION("""COMPUTED_VALUE"""),"")</f>
        <v/>
      </c>
      <c r="R223" s="78" t="str">
        <f>IFERROR(__xludf.DUMMYFUNCTION("""COMPUTED_VALUE"""),"")</f>
        <v/>
      </c>
      <c r="S223" s="80" t="str">
        <f>IFERROR(__xludf.DUMMYFUNCTION("""COMPUTED_VALUE"""),"")</f>
        <v/>
      </c>
      <c r="T223" s="80" t="str">
        <f>IFERROR(__xludf.DUMMYFUNCTION("""COMPUTED_VALUE"""),"")</f>
        <v/>
      </c>
      <c r="U223" s="71" t="str">
        <f>IFERROR(__xludf.DUMMYFUNCTION("""COMPUTED_VALUE"""),"")</f>
        <v/>
      </c>
      <c r="V223" s="78" t="str">
        <f>IFERROR(__xludf.DUMMYFUNCTION("""COMPUTED_VALUE"""),"")</f>
        <v/>
      </c>
      <c r="W223" s="62" t="str">
        <f>IFERROR(__xludf.DUMMYFUNCTION("""COMPUTED_VALUE"""),"")</f>
        <v/>
      </c>
      <c r="X223" s="80" t="str">
        <f>IFERROR(__xludf.DUMMYFUNCTION("""COMPUTED_VALUE"""),"")</f>
        <v/>
      </c>
      <c r="Y223" s="109" t="str">
        <f>IFERROR(__xludf.DUMMYFUNCTION("""COMPUTED_VALUE"""),"")</f>
        <v/>
      </c>
      <c r="Z223" s="71"/>
      <c r="AA223" s="71"/>
      <c r="AB223" s="71"/>
    </row>
    <row r="224">
      <c r="A224" s="105">
        <f>IFERROR(__xludf.DUMMYFUNCTION("""COMPUTED_VALUE"""),46114.64534847222)</f>
        <v>46114.64535</v>
      </c>
      <c r="B224" s="71" t="str">
        <f>IFERROR(__xludf.DUMMYFUNCTION("""COMPUTED_VALUE"""),"Kyra Turner")</f>
        <v>Kyra Turner</v>
      </c>
      <c r="C224" s="71" t="b">
        <f>IFERROR(__xludf.DUMMYFUNCTION("""COMPUTED_VALUE"""),TRUE)</f>
        <v>1</v>
      </c>
      <c r="D224" s="132">
        <f>IFERROR(__xludf.DUMMYFUNCTION("""COMPUTED_VALUE"""),0.5513888888890506)</f>
        <v>0.5513888889</v>
      </c>
      <c r="E224" s="78">
        <f>IFERROR(__xludf.DUMMYFUNCTION("""COMPUTED_VALUE"""),0.09166666666715173)</f>
        <v>0.09166666667</v>
      </c>
      <c r="F224" s="132">
        <f>IFERROR(__xludf.DUMMYFUNCTION("""COMPUTED_VALUE"""),0.6430555555562023)</f>
        <v>0.6430555556</v>
      </c>
      <c r="G224" s="78" t="str">
        <f>IFERROR(__xludf.DUMMYFUNCTION("""COMPUTED_VALUE"""),"")</f>
        <v/>
      </c>
      <c r="H224" s="71">
        <f>IFERROR(__xludf.DUMMYFUNCTION("""COMPUTED_VALUE"""),114.0)</f>
        <v>114</v>
      </c>
      <c r="I224" s="80" t="str">
        <f>IFERROR(__xludf.DUMMYFUNCTION("""COMPUTED_VALUE"""),"")</f>
        <v/>
      </c>
      <c r="J224" s="71" t="str">
        <f>IFERROR(__xludf.DUMMYFUNCTION("""COMPUTED_VALUE"""),"Lunch")</f>
        <v>Lunch</v>
      </c>
      <c r="K224" s="106">
        <f>IFERROR(__xludf.DUMMYFUNCTION("""COMPUTED_VALUE"""),46114.0)</f>
        <v>46114</v>
      </c>
      <c r="L224" s="71" t="str">
        <f>IFERROR(__xludf.DUMMYFUNCTION("""COMPUTED_VALUE"""),"Thursday")</f>
        <v>Thursday</v>
      </c>
      <c r="M224" s="71" t="str">
        <f>IFERROR(__xludf.DUMMYFUNCTION("""COMPUTED_VALUE"""),"BF")</f>
        <v>BF</v>
      </c>
      <c r="N224" s="109" t="str">
        <f>IFERROR(__xludf.DUMMYFUNCTION("""COMPUTED_VALUE"""),"")</f>
        <v/>
      </c>
      <c r="O224" s="71" t="str">
        <f>IFERROR(__xludf.DUMMYFUNCTION("""COMPUTED_VALUE"""),"")</f>
        <v/>
      </c>
      <c r="P224" s="71" t="str">
        <f>IFERROR(__xludf.DUMMYFUNCTION("""COMPUTED_VALUE"""),"")</f>
        <v/>
      </c>
      <c r="Q224" s="78" t="str">
        <f>IFERROR(__xludf.DUMMYFUNCTION("""COMPUTED_VALUE"""),"")</f>
        <v/>
      </c>
      <c r="R224" s="78" t="str">
        <f>IFERROR(__xludf.DUMMYFUNCTION("""COMPUTED_VALUE"""),"")</f>
        <v/>
      </c>
      <c r="S224" s="80" t="str">
        <f>IFERROR(__xludf.DUMMYFUNCTION("""COMPUTED_VALUE"""),"")</f>
        <v/>
      </c>
      <c r="T224" s="80" t="str">
        <f>IFERROR(__xludf.DUMMYFUNCTION("""COMPUTED_VALUE"""),"")</f>
        <v/>
      </c>
      <c r="U224" s="71" t="str">
        <f>IFERROR(__xludf.DUMMYFUNCTION("""COMPUTED_VALUE"""),"")</f>
        <v/>
      </c>
      <c r="V224" s="78" t="str">
        <f>IFERROR(__xludf.DUMMYFUNCTION("""COMPUTED_VALUE"""),"")</f>
        <v/>
      </c>
      <c r="W224" s="62" t="str">
        <f>IFERROR(__xludf.DUMMYFUNCTION("""COMPUTED_VALUE"""),"")</f>
        <v/>
      </c>
      <c r="X224" s="80" t="str">
        <f>IFERROR(__xludf.DUMMYFUNCTION("""COMPUTED_VALUE"""),"")</f>
        <v/>
      </c>
      <c r="Y224" s="109" t="str">
        <f>IFERROR(__xludf.DUMMYFUNCTION("""COMPUTED_VALUE"""),"")</f>
        <v/>
      </c>
      <c r="Z224" s="71"/>
      <c r="AA224" s="71"/>
      <c r="AB224" s="71"/>
    </row>
    <row r="225">
      <c r="A225" s="105">
        <f>IFERROR(__xludf.DUMMYFUNCTION("""COMPUTED_VALUE"""),46114.85563789352)</f>
        <v>46114.85564</v>
      </c>
      <c r="B225" s="71" t="str">
        <f>IFERROR(__xludf.DUMMYFUNCTION("""COMPUTED_VALUE"""),"Leah Bucci")</f>
        <v>Leah Bucci</v>
      </c>
      <c r="C225" s="71" t="b">
        <f>IFERROR(__xludf.DUMMYFUNCTION("""COMPUTED_VALUE"""),FALSE)</f>
        <v>0</v>
      </c>
      <c r="D225" s="132">
        <f>IFERROR(__xludf.DUMMYFUNCTION("""COMPUTED_VALUE"""),0.6875)</f>
        <v>0.6875</v>
      </c>
      <c r="E225" s="78">
        <f>IFERROR(__xludf.DUMMYFUNCTION("""COMPUTED_VALUE"""),0.16666666666424135)</f>
        <v>0.1666666667</v>
      </c>
      <c r="F225" s="132">
        <f>IFERROR(__xludf.DUMMYFUNCTION("""COMPUTED_VALUE"""),0.8541666666642413)</f>
        <v>0.8541666667</v>
      </c>
      <c r="G225" s="78">
        <f>IFERROR(__xludf.DUMMYFUNCTION("""COMPUTED_VALUE"""),0.16666666666424135)</f>
        <v>0.1666666667</v>
      </c>
      <c r="H225" s="71">
        <f>IFERROR(__xludf.DUMMYFUNCTION("""COMPUTED_VALUE"""),160.0)</f>
        <v>160</v>
      </c>
      <c r="I225" s="80">
        <f>IFERROR(__xludf.DUMMYFUNCTION("""COMPUTED_VALUE"""),40.00000000058208)</f>
        <v>40</v>
      </c>
      <c r="J225" s="71" t="str">
        <f>IFERROR(__xludf.DUMMYFUNCTION("""COMPUTED_VALUE"""),"Dinner")</f>
        <v>Dinner</v>
      </c>
      <c r="K225" s="106">
        <f>IFERROR(__xludf.DUMMYFUNCTION("""COMPUTED_VALUE"""),46114.0)</f>
        <v>46114</v>
      </c>
      <c r="L225" s="71" t="str">
        <f>IFERROR(__xludf.DUMMYFUNCTION("""COMPUTED_VALUE"""),"Thursday")</f>
        <v>Thursday</v>
      </c>
      <c r="M225" s="71" t="str">
        <f>IFERROR(__xludf.DUMMYFUNCTION("""COMPUTED_VALUE"""),"BF")</f>
        <v>BF</v>
      </c>
      <c r="N225" s="109">
        <f>IFERROR(__xludf.DUMMYFUNCTION("""COMPUTED_VALUE"""),0.9002557544757033)</f>
        <v>0.9002557545</v>
      </c>
      <c r="O225" s="71">
        <f>IFERROR(__xludf.DUMMYFUNCTION("""COMPUTED_VALUE"""),70.0)</f>
        <v>70</v>
      </c>
      <c r="P225" s="71">
        <f>IFERROR(__xludf.DUMMYFUNCTION("""COMPUTED_VALUE"""),457.0)</f>
        <v>457</v>
      </c>
      <c r="Q225" s="78">
        <f>IFERROR(__xludf.DUMMYFUNCTION("""COMPUTED_VALUE"""),0.05208333333575865)</f>
        <v>0.05208333334</v>
      </c>
      <c r="R225" s="78">
        <f>IFERROR(__xludf.DUMMYFUNCTION("""COMPUTED_VALUE"""),0.4826388888832298)</f>
        <v>0.4826388889</v>
      </c>
      <c r="S225" s="80">
        <f>IFERROR(__xludf.DUMMYFUNCTION("""COMPUTED_VALUE"""),55.999999997392294)</f>
        <v>56</v>
      </c>
      <c r="T225" s="80">
        <f>IFERROR(__xludf.DUMMYFUNCTION("""COMPUTED_VALUE"""),35.363094002356775)</f>
        <v>35.363094</v>
      </c>
      <c r="U225" s="71">
        <f>IFERROR(__xludf.DUMMYFUNCTION("""COMPUTED_VALUE"""),527.0)</f>
        <v>527</v>
      </c>
      <c r="V225" s="78">
        <f>IFERROR(__xludf.DUMMYFUNCTION("""COMPUTED_VALUE"""),0.5347222222189885)</f>
        <v>0.5347222222</v>
      </c>
      <c r="W225" s="62">
        <f>IFERROR(__xludf.DUMMYFUNCTION("""COMPUTED_VALUE"""),41.064935065183406)</f>
        <v>41.06493507</v>
      </c>
      <c r="X225" s="80">
        <f>IFERROR(__xludf.DUMMYFUNCTION("""COMPUTED_VALUE"""),39.49047520136388)</f>
        <v>39.4904752</v>
      </c>
      <c r="Y225" s="109">
        <f>IFERROR(__xludf.DUMMYFUNCTION("""COMPUTED_VALUE"""),0.6084819594052435)</f>
        <v>0.6084819594</v>
      </c>
      <c r="Z225" s="71"/>
      <c r="AA225" s="71"/>
      <c r="AB225" s="71"/>
    </row>
    <row r="226">
      <c r="A226" s="105">
        <f>IFERROR(__xludf.DUMMYFUNCTION("""COMPUTED_VALUE"""),46115.438240937496)</f>
        <v>46115.43824</v>
      </c>
      <c r="B226" s="71" t="str">
        <f>IFERROR(__xludf.DUMMYFUNCTION("""COMPUTED_VALUE"""),"Kaylie Forgue")</f>
        <v>Kaylie Forgue</v>
      </c>
      <c r="C226" s="71" t="b">
        <f>IFERROR(__xludf.DUMMYFUNCTION("""COMPUTED_VALUE"""),FALSE)</f>
        <v>0</v>
      </c>
      <c r="D226" s="132">
        <f>IFERROR(__xludf.DUMMYFUNCTION("""COMPUTED_VALUE"""),0.37152777778101154)</f>
        <v>0.3715277778</v>
      </c>
      <c r="E226" s="78">
        <f>IFERROR(__xludf.DUMMYFUNCTION("""COMPUTED_VALUE"""),0.0625)</f>
        <v>0.0625</v>
      </c>
      <c r="F226" s="132">
        <f>IFERROR(__xludf.DUMMYFUNCTION("""COMPUTED_VALUE"""),0.43402777778101154)</f>
        <v>0.4340277778</v>
      </c>
      <c r="G226" s="78">
        <f>IFERROR(__xludf.DUMMYFUNCTION("""COMPUTED_VALUE"""),0.0625)</f>
        <v>0.0625</v>
      </c>
      <c r="H226" s="71">
        <f>IFERROR(__xludf.DUMMYFUNCTION("""COMPUTED_VALUE"""),53.0)</f>
        <v>53</v>
      </c>
      <c r="I226" s="80">
        <f>IFERROR(__xludf.DUMMYFUNCTION("""COMPUTED_VALUE"""),35.333333333333336)</f>
        <v>35.33333333</v>
      </c>
      <c r="J226" s="71" t="str">
        <f>IFERROR(__xludf.DUMMYFUNCTION("""COMPUTED_VALUE"""),"Breakfast")</f>
        <v>Breakfast</v>
      </c>
      <c r="K226" s="106">
        <f>IFERROR(__xludf.DUMMYFUNCTION("""COMPUTED_VALUE"""),46115.0)</f>
        <v>46115</v>
      </c>
      <c r="L226" s="71" t="str">
        <f>IFERROR(__xludf.DUMMYFUNCTION("""COMPUTED_VALUE"""),"Friday")</f>
        <v>Friday</v>
      </c>
      <c r="M226" s="71" t="str">
        <f>IFERROR(__xludf.DUMMYFUNCTION("""COMPUTED_VALUE"""),"BF")</f>
        <v>BF</v>
      </c>
      <c r="N226" s="109">
        <f>IFERROR(__xludf.DUMMYFUNCTION("""COMPUTED_VALUE"""),1.246297144628068)</f>
        <v>1.246297145</v>
      </c>
      <c r="O226" s="71" t="str">
        <f>IFERROR(__xludf.DUMMYFUNCTION("""COMPUTED_VALUE"""),"")</f>
        <v/>
      </c>
      <c r="P226" s="71" t="str">
        <f>IFERROR(__xludf.DUMMYFUNCTION("""COMPUTED_VALUE"""),"")</f>
        <v/>
      </c>
      <c r="Q226" s="78" t="str">
        <f>IFERROR(__xludf.DUMMYFUNCTION("""COMPUTED_VALUE"""),"")</f>
        <v/>
      </c>
      <c r="R226" s="78" t="str">
        <f>IFERROR(__xludf.DUMMYFUNCTION("""COMPUTED_VALUE"""),"")</f>
        <v/>
      </c>
      <c r="S226" s="80" t="str">
        <f>IFERROR(__xludf.DUMMYFUNCTION("""COMPUTED_VALUE"""),"")</f>
        <v/>
      </c>
      <c r="T226" s="80" t="str">
        <f>IFERROR(__xludf.DUMMYFUNCTION("""COMPUTED_VALUE"""),"")</f>
        <v/>
      </c>
      <c r="U226" s="71" t="str">
        <f>IFERROR(__xludf.DUMMYFUNCTION("""COMPUTED_VALUE"""),"")</f>
        <v/>
      </c>
      <c r="V226" s="78" t="str">
        <f>IFERROR(__xludf.DUMMYFUNCTION("""COMPUTED_VALUE"""),"")</f>
        <v/>
      </c>
      <c r="W226" s="62" t="str">
        <f>IFERROR(__xludf.DUMMYFUNCTION("""COMPUTED_VALUE"""),"")</f>
        <v/>
      </c>
      <c r="X226" s="80" t="str">
        <f>IFERROR(__xludf.DUMMYFUNCTION("""COMPUTED_VALUE"""),"")</f>
        <v/>
      </c>
      <c r="Y226" s="109" t="str">
        <f>IFERROR(__xludf.DUMMYFUNCTION("""COMPUTED_VALUE"""),"")</f>
        <v/>
      </c>
      <c r="Z226" s="71"/>
      <c r="AA226" s="71"/>
      <c r="AB226" s="71"/>
    </row>
    <row r="227">
      <c r="A227" s="105">
        <f>IFERROR(__xludf.DUMMYFUNCTION("""COMPUTED_VALUE"""),46115.57690940972)</f>
        <v>46115.57691</v>
      </c>
      <c r="B227" s="71" t="str">
        <f>IFERROR(__xludf.DUMMYFUNCTION("""COMPUTED_VALUE"""),"Brynn Hornig")</f>
        <v>Brynn Hornig</v>
      </c>
      <c r="C227" s="71" t="b">
        <f>IFERROR(__xludf.DUMMYFUNCTION("""COMPUTED_VALUE"""),FALSE)</f>
        <v>0</v>
      </c>
      <c r="D227" s="132">
        <f>IFERROR(__xludf.DUMMYFUNCTION("""COMPUTED_VALUE"""),0.45833333333575865)</f>
        <v>0.4583333333</v>
      </c>
      <c r="E227" s="78">
        <f>IFERROR(__xludf.DUMMYFUNCTION("""COMPUTED_VALUE"""),0.125)</f>
        <v>0.125</v>
      </c>
      <c r="F227" s="132">
        <f>IFERROR(__xludf.DUMMYFUNCTION("""COMPUTED_VALUE"""),0.5833333333357587)</f>
        <v>0.5833333333</v>
      </c>
      <c r="G227" s="78">
        <f>IFERROR(__xludf.DUMMYFUNCTION("""COMPUTED_VALUE"""),0.125)</f>
        <v>0.125</v>
      </c>
      <c r="H227" s="71">
        <f>IFERROR(__xludf.DUMMYFUNCTION("""COMPUTED_VALUE"""),44.0)</f>
        <v>44</v>
      </c>
      <c r="I227" s="80">
        <f>IFERROR(__xludf.DUMMYFUNCTION("""COMPUTED_VALUE"""),14.666666666666666)</f>
        <v>14.66666667</v>
      </c>
      <c r="J227" s="71" t="str">
        <f>IFERROR(__xludf.DUMMYFUNCTION("""COMPUTED_VALUE"""),"Lunch")</f>
        <v>Lunch</v>
      </c>
      <c r="K227" s="106">
        <f>IFERROR(__xludf.DUMMYFUNCTION("""COMPUTED_VALUE"""),46115.0)</f>
        <v>46115</v>
      </c>
      <c r="L227" s="71" t="str">
        <f>IFERROR(__xludf.DUMMYFUNCTION("""COMPUTED_VALUE"""),"Friday")</f>
        <v>Friday</v>
      </c>
      <c r="M227" s="71" t="str">
        <f>IFERROR(__xludf.DUMMYFUNCTION("""COMPUTED_VALUE"""),"BF")</f>
        <v>BF</v>
      </c>
      <c r="N227" s="109">
        <f>IFERROR(__xludf.DUMMYFUNCTION("""COMPUTED_VALUE"""),0.5173308902229715)</f>
        <v>0.5173308902</v>
      </c>
      <c r="O227" s="71" t="str">
        <f>IFERROR(__xludf.DUMMYFUNCTION("""COMPUTED_VALUE"""),"")</f>
        <v/>
      </c>
      <c r="P227" s="71" t="str">
        <f>IFERROR(__xludf.DUMMYFUNCTION("""COMPUTED_VALUE"""),"")</f>
        <v/>
      </c>
      <c r="Q227" s="78" t="str">
        <f>IFERROR(__xludf.DUMMYFUNCTION("""COMPUTED_VALUE"""),"")</f>
        <v/>
      </c>
      <c r="R227" s="78" t="str">
        <f>IFERROR(__xludf.DUMMYFUNCTION("""COMPUTED_VALUE"""),"")</f>
        <v/>
      </c>
      <c r="S227" s="80" t="str">
        <f>IFERROR(__xludf.DUMMYFUNCTION("""COMPUTED_VALUE"""),"")</f>
        <v/>
      </c>
      <c r="T227" s="80" t="str">
        <f>IFERROR(__xludf.DUMMYFUNCTION("""COMPUTED_VALUE"""),"")</f>
        <v/>
      </c>
      <c r="U227" s="71" t="str">
        <f>IFERROR(__xludf.DUMMYFUNCTION("""COMPUTED_VALUE"""),"")</f>
        <v/>
      </c>
      <c r="V227" s="78" t="str">
        <f>IFERROR(__xludf.DUMMYFUNCTION("""COMPUTED_VALUE"""),"")</f>
        <v/>
      </c>
      <c r="W227" s="62" t="str">
        <f>IFERROR(__xludf.DUMMYFUNCTION("""COMPUTED_VALUE"""),"")</f>
        <v/>
      </c>
      <c r="X227" s="80" t="str">
        <f>IFERROR(__xludf.DUMMYFUNCTION("""COMPUTED_VALUE"""),"")</f>
        <v/>
      </c>
      <c r="Y227" s="109" t="str">
        <f>IFERROR(__xludf.DUMMYFUNCTION("""COMPUTED_VALUE"""),"")</f>
        <v/>
      </c>
      <c r="Z227" s="71"/>
      <c r="AA227" s="71"/>
      <c r="AB227" s="71"/>
    </row>
    <row r="228">
      <c r="A228" s="105">
        <f>IFERROR(__xludf.DUMMYFUNCTION("""COMPUTED_VALUE"""),46115.621983136574)</f>
        <v>46115.62198</v>
      </c>
      <c r="B228" s="71" t="str">
        <f>IFERROR(__xludf.DUMMYFUNCTION("""COMPUTED_VALUE"""),"Oluwatimilehin Shodipe")</f>
        <v>Oluwatimilehin Shodipe</v>
      </c>
      <c r="C228" s="71" t="b">
        <f>IFERROR(__xludf.DUMMYFUNCTION("""COMPUTED_VALUE"""),FALSE)</f>
        <v>0</v>
      </c>
      <c r="D228" s="132">
        <f>IFERROR(__xludf.DUMMYFUNCTION("""COMPUTED_VALUE"""),0.48263888889050577)</f>
        <v>0.4826388889</v>
      </c>
      <c r="E228" s="78">
        <f>IFERROR(__xludf.DUMMYFUNCTION("""COMPUTED_VALUE"""),0.13888888889050577)</f>
        <v>0.1388888889</v>
      </c>
      <c r="F228" s="132">
        <f>IFERROR(__xludf.DUMMYFUNCTION("""COMPUTED_VALUE"""),0.6215277777810115)</f>
        <v>0.6215277778</v>
      </c>
      <c r="G228" s="78">
        <f>IFERROR(__xludf.DUMMYFUNCTION("""COMPUTED_VALUE"""),0.13888888889050577)</f>
        <v>0.1388888889</v>
      </c>
      <c r="H228" s="71">
        <f>IFERROR(__xludf.DUMMYFUNCTION("""COMPUTED_VALUE"""),127.0)</f>
        <v>127</v>
      </c>
      <c r="I228" s="80">
        <f>IFERROR(__xludf.DUMMYFUNCTION("""COMPUTED_VALUE"""),38.09999999955646)</f>
        <v>38.1</v>
      </c>
      <c r="J228" s="71" t="str">
        <f>IFERROR(__xludf.DUMMYFUNCTION("""COMPUTED_VALUE"""),"Lunch")</f>
        <v>Lunch</v>
      </c>
      <c r="K228" s="106">
        <f>IFERROR(__xludf.DUMMYFUNCTION("""COMPUTED_VALUE"""),46115.0)</f>
        <v>46115</v>
      </c>
      <c r="L228" s="71" t="str">
        <f>IFERROR(__xludf.DUMMYFUNCTION("""COMPUTED_VALUE"""),"Friday")</f>
        <v>Friday</v>
      </c>
      <c r="M228" s="71" t="str">
        <f>IFERROR(__xludf.DUMMYFUNCTION("""COMPUTED_VALUE"""),"MF")</f>
        <v>MF</v>
      </c>
      <c r="N228" s="109">
        <f>IFERROR(__xludf.DUMMYFUNCTION("""COMPUTED_VALUE"""),0.7577943270727167)</f>
        <v>0.7577943271</v>
      </c>
      <c r="O228" s="71" t="str">
        <f>IFERROR(__xludf.DUMMYFUNCTION("""COMPUTED_VALUE"""),"")</f>
        <v/>
      </c>
      <c r="P228" s="71" t="str">
        <f>IFERROR(__xludf.DUMMYFUNCTION("""COMPUTED_VALUE"""),"")</f>
        <v/>
      </c>
      <c r="Q228" s="78" t="str">
        <f>IFERROR(__xludf.DUMMYFUNCTION("""COMPUTED_VALUE"""),"")</f>
        <v/>
      </c>
      <c r="R228" s="78" t="str">
        <f>IFERROR(__xludf.DUMMYFUNCTION("""COMPUTED_VALUE"""),"")</f>
        <v/>
      </c>
      <c r="S228" s="80" t="str">
        <f>IFERROR(__xludf.DUMMYFUNCTION("""COMPUTED_VALUE"""),"")</f>
        <v/>
      </c>
      <c r="T228" s="80" t="str">
        <f>IFERROR(__xludf.DUMMYFUNCTION("""COMPUTED_VALUE"""),"")</f>
        <v/>
      </c>
      <c r="U228" s="71" t="str">
        <f>IFERROR(__xludf.DUMMYFUNCTION("""COMPUTED_VALUE"""),"")</f>
        <v/>
      </c>
      <c r="V228" s="78" t="str">
        <f>IFERROR(__xludf.DUMMYFUNCTION("""COMPUTED_VALUE"""),"")</f>
        <v/>
      </c>
      <c r="W228" s="62" t="str">
        <f>IFERROR(__xludf.DUMMYFUNCTION("""COMPUTED_VALUE"""),"")</f>
        <v/>
      </c>
      <c r="X228" s="80" t="str">
        <f>IFERROR(__xludf.DUMMYFUNCTION("""COMPUTED_VALUE"""),"")</f>
        <v/>
      </c>
      <c r="Y228" s="109" t="str">
        <f>IFERROR(__xludf.DUMMYFUNCTION("""COMPUTED_VALUE"""),"")</f>
        <v/>
      </c>
      <c r="Z228" s="71"/>
      <c r="AA228" s="71"/>
      <c r="AB228" s="71"/>
    </row>
    <row r="229">
      <c r="A229" s="105">
        <f>IFERROR(__xludf.DUMMYFUNCTION("""COMPUTED_VALUE"""),46115.749628958336)</f>
        <v>46115.74963</v>
      </c>
      <c r="B229" s="71" t="str">
        <f>IFERROR(__xludf.DUMMYFUNCTION("""COMPUTED_VALUE"""),"Leah Bucci")</f>
        <v>Leah Bucci</v>
      </c>
      <c r="C229" s="71" t="b">
        <f>IFERROR(__xludf.DUMMYFUNCTION("""COMPUTED_VALUE"""),FALSE)</f>
        <v>0</v>
      </c>
      <c r="D229" s="132">
        <f>IFERROR(__xludf.DUMMYFUNCTION("""COMPUTED_VALUE"""),0.6701388888905058)</f>
        <v>0.6701388889</v>
      </c>
      <c r="E229" s="78">
        <f>IFERROR(__xludf.DUMMYFUNCTION("""COMPUTED_VALUE"""),0.07291666666424135)</f>
        <v>0.07291666666</v>
      </c>
      <c r="F229" s="132">
        <f>IFERROR(__xludf.DUMMYFUNCTION("""COMPUTED_VALUE"""),0.7430555555547471)</f>
        <v>0.7430555556</v>
      </c>
      <c r="G229" s="78">
        <f>IFERROR(__xludf.DUMMYFUNCTION("""COMPUTED_VALUE"""),0.07291666666424135)</f>
        <v>0.07291666666</v>
      </c>
      <c r="H229" s="71">
        <f>IFERROR(__xludf.DUMMYFUNCTION("""COMPUTED_VALUE"""),61.0)</f>
        <v>61</v>
      </c>
      <c r="I229" s="80">
        <f>IFERROR(__xludf.DUMMYFUNCTION("""COMPUTED_VALUE"""),34.85714285830226)</f>
        <v>34.85714286</v>
      </c>
      <c r="J229" s="71" t="str">
        <f>IFERROR(__xludf.DUMMYFUNCTION("""COMPUTED_VALUE"""),"Dinner")</f>
        <v>Dinner</v>
      </c>
      <c r="K229" s="106">
        <f>IFERROR(__xludf.DUMMYFUNCTION("""COMPUTED_VALUE"""),46115.0)</f>
        <v>46115</v>
      </c>
      <c r="L229" s="71" t="str">
        <f>IFERROR(__xludf.DUMMYFUNCTION("""COMPUTED_VALUE"""),"Friday")</f>
        <v>Friday</v>
      </c>
      <c r="M229" s="71" t="str">
        <f>IFERROR(__xludf.DUMMYFUNCTION("""COMPUTED_VALUE"""),"MF")</f>
        <v>MF</v>
      </c>
      <c r="N229" s="109">
        <f>IFERROR(__xludf.DUMMYFUNCTION("""COMPUTED_VALUE"""),0.7515606604436268)</f>
        <v>0.7515606604</v>
      </c>
      <c r="O229" s="71" t="str">
        <f>IFERROR(__xludf.DUMMYFUNCTION("""COMPUTED_VALUE"""),"")</f>
        <v/>
      </c>
      <c r="P229" s="71" t="str">
        <f>IFERROR(__xludf.DUMMYFUNCTION("""COMPUTED_VALUE"""),"")</f>
        <v/>
      </c>
      <c r="Q229" s="78" t="str">
        <f>IFERROR(__xludf.DUMMYFUNCTION("""COMPUTED_VALUE"""),"")</f>
        <v/>
      </c>
      <c r="R229" s="78" t="str">
        <f>IFERROR(__xludf.DUMMYFUNCTION("""COMPUTED_VALUE"""),"")</f>
        <v/>
      </c>
      <c r="S229" s="80" t="str">
        <f>IFERROR(__xludf.DUMMYFUNCTION("""COMPUTED_VALUE"""),"")</f>
        <v/>
      </c>
      <c r="T229" s="80" t="str">
        <f>IFERROR(__xludf.DUMMYFUNCTION("""COMPUTED_VALUE"""),"")</f>
        <v/>
      </c>
      <c r="U229" s="71" t="str">
        <f>IFERROR(__xludf.DUMMYFUNCTION("""COMPUTED_VALUE"""),"")</f>
        <v/>
      </c>
      <c r="V229" s="78" t="str">
        <f>IFERROR(__xludf.DUMMYFUNCTION("""COMPUTED_VALUE"""),"")</f>
        <v/>
      </c>
      <c r="W229" s="62" t="str">
        <f>IFERROR(__xludf.DUMMYFUNCTION("""COMPUTED_VALUE"""),"")</f>
        <v/>
      </c>
      <c r="X229" s="80" t="str">
        <f>IFERROR(__xludf.DUMMYFUNCTION("""COMPUTED_VALUE"""),"")</f>
        <v/>
      </c>
      <c r="Y229" s="109" t="str">
        <f>IFERROR(__xludf.DUMMYFUNCTION("""COMPUTED_VALUE"""),"")</f>
        <v/>
      </c>
      <c r="Z229" s="71"/>
      <c r="AA229" s="71"/>
      <c r="AB229" s="71"/>
    </row>
    <row r="230">
      <c r="A230" s="105">
        <f>IFERROR(__xludf.DUMMYFUNCTION("""COMPUTED_VALUE"""),46115.83054920139)</f>
        <v>46115.83055</v>
      </c>
      <c r="B230" s="71" t="str">
        <f>IFERROR(__xludf.DUMMYFUNCTION("""COMPUTED_VALUE"""),"Orpheus Wilson")</f>
        <v>Orpheus Wilson</v>
      </c>
      <c r="C230" s="71" t="b">
        <f>IFERROR(__xludf.DUMMYFUNCTION("""COMPUTED_VALUE"""),FALSE)</f>
        <v>0</v>
      </c>
      <c r="D230" s="132">
        <f>IFERROR(__xludf.DUMMYFUNCTION("""COMPUTED_VALUE"""),0.7548611111124046)</f>
        <v>0.7548611111</v>
      </c>
      <c r="E230" s="78">
        <f>IFERROR(__xludf.DUMMYFUNCTION("""COMPUTED_VALUE"""),0.07499999999708962)</f>
        <v>0.075</v>
      </c>
      <c r="F230" s="132">
        <f>IFERROR(__xludf.DUMMYFUNCTION("""COMPUTED_VALUE"""),0.8298611111094942)</f>
        <v>0.8298611111</v>
      </c>
      <c r="G230" s="78">
        <f>IFERROR(__xludf.DUMMYFUNCTION("""COMPUTED_VALUE"""),0.07499999999708962)</f>
        <v>0.075</v>
      </c>
      <c r="H230" s="71">
        <f>IFERROR(__xludf.DUMMYFUNCTION("""COMPUTED_VALUE"""),95.0)</f>
        <v>95</v>
      </c>
      <c r="I230" s="80">
        <f>IFERROR(__xludf.DUMMYFUNCTION("""COMPUTED_VALUE"""),52.777777779825826)</f>
        <v>52.77777778</v>
      </c>
      <c r="J230" s="71" t="str">
        <f>IFERROR(__xludf.DUMMYFUNCTION("""COMPUTED_VALUE"""),"Dinner")</f>
        <v>Dinner</v>
      </c>
      <c r="K230" s="106">
        <f>IFERROR(__xludf.DUMMYFUNCTION("""COMPUTED_VALUE"""),46115.0)</f>
        <v>46115</v>
      </c>
      <c r="L230" s="71" t="str">
        <f>IFERROR(__xludf.DUMMYFUNCTION("""COMPUTED_VALUE"""),"Friday")</f>
        <v>Friday</v>
      </c>
      <c r="M230" s="71" t="str">
        <f>IFERROR(__xludf.DUMMYFUNCTION("""COMPUTED_VALUE"""),"MF")</f>
        <v>MF</v>
      </c>
      <c r="N230" s="109">
        <f>IFERROR(__xludf.DUMMYFUNCTION("""COMPUTED_VALUE"""),1.1379504535468634)</f>
        <v>1.137950454</v>
      </c>
      <c r="O230" s="71">
        <f>IFERROR(__xludf.DUMMYFUNCTION("""COMPUTED_VALUE"""),283.0)</f>
        <v>283</v>
      </c>
      <c r="P230" s="71">
        <f>IFERROR(__xludf.DUMMYFUNCTION("""COMPUTED_VALUE"""),97.0)</f>
        <v>97</v>
      </c>
      <c r="Q230" s="78">
        <f>IFERROR(__xludf.DUMMYFUNCTION("""COMPUTED_VALUE"""),0.28680555555183673)</f>
        <v>0.2868055556</v>
      </c>
      <c r="R230" s="78">
        <f>IFERROR(__xludf.DUMMYFUNCTION("""COMPUTED_VALUE"""),0.1875)</f>
        <v>0.1875</v>
      </c>
      <c r="S230" s="80">
        <f>IFERROR(__xludf.DUMMYFUNCTION("""COMPUTED_VALUE"""),41.911640212561515)</f>
        <v>41.91164021</v>
      </c>
      <c r="T230" s="80">
        <f>IFERROR(__xludf.DUMMYFUNCTION("""COMPUTED_VALUE"""),25.0)</f>
        <v>25</v>
      </c>
      <c r="U230" s="71">
        <f>IFERROR(__xludf.DUMMYFUNCTION("""COMPUTED_VALUE"""),380.0)</f>
        <v>380</v>
      </c>
      <c r="V230" s="78">
        <f>IFERROR(__xludf.DUMMYFUNCTION("""COMPUTED_VALUE"""),0.47430555555183673)</f>
        <v>0.4743055556</v>
      </c>
      <c r="W230" s="62">
        <f>IFERROR(__xludf.DUMMYFUNCTION("""COMPUTED_VALUE"""),33.38213762837301)</f>
        <v>33.38213763</v>
      </c>
      <c r="X230" s="80">
        <f>IFERROR(__xludf.DUMMYFUNCTION("""COMPUTED_VALUE"""),35.1469841275369)</f>
        <v>35.14698413</v>
      </c>
      <c r="Y230" s="109">
        <f>IFERROR(__xludf.DUMMYFUNCTION("""COMPUTED_VALUE"""),0.7308108155762316)</f>
        <v>0.7308108156</v>
      </c>
      <c r="Z230" s="71"/>
      <c r="AA230" s="71"/>
      <c r="AB230" s="71"/>
    </row>
    <row r="231">
      <c r="A231" s="105">
        <f>IFERROR(__xludf.DUMMYFUNCTION("""COMPUTED_VALUE"""),46118.43577488426)</f>
        <v>46118.43577</v>
      </c>
      <c r="B231" s="71" t="str">
        <f>IFERROR(__xludf.DUMMYFUNCTION("""COMPUTED_VALUE"""),"Sophia Kluck")</f>
        <v>Sophia Kluck</v>
      </c>
      <c r="C231" s="71" t="b">
        <f>IFERROR(__xludf.DUMMYFUNCTION("""COMPUTED_VALUE"""),FALSE)</f>
        <v>0</v>
      </c>
      <c r="D231" s="132">
        <f>IFERROR(__xludf.DUMMYFUNCTION("""COMPUTED_VALUE"""),0.3687500000014552)</f>
        <v>0.36875</v>
      </c>
      <c r="E231" s="78">
        <f>IFERROR(__xludf.DUMMYFUNCTION("""COMPUTED_VALUE"""),0.06458333333284827)</f>
        <v>0.06458333333</v>
      </c>
      <c r="F231" s="132">
        <f>IFERROR(__xludf.DUMMYFUNCTION("""COMPUTED_VALUE"""),0.43333333333430346)</f>
        <v>0.4333333333</v>
      </c>
      <c r="G231" s="78">
        <f>IFERROR(__xludf.DUMMYFUNCTION("""COMPUTED_VALUE"""),0.06458333333284827)</f>
        <v>0.06458333333</v>
      </c>
      <c r="H231" s="71">
        <f>IFERROR(__xludf.DUMMYFUNCTION("""COMPUTED_VALUE"""),48.0)</f>
        <v>48</v>
      </c>
      <c r="I231" s="80">
        <f>IFERROR(__xludf.DUMMYFUNCTION("""COMPUTED_VALUE"""),30.96774193571646)</f>
        <v>30.96774194</v>
      </c>
      <c r="J231" s="71" t="str">
        <f>IFERROR(__xludf.DUMMYFUNCTION("""COMPUTED_VALUE"""),"Breakfast")</f>
        <v>Breakfast</v>
      </c>
      <c r="K231" s="106">
        <f>IFERROR(__xludf.DUMMYFUNCTION("""COMPUTED_VALUE"""),46118.0)</f>
        <v>46118</v>
      </c>
      <c r="L231" s="71" t="str">
        <f>IFERROR(__xludf.DUMMYFUNCTION("""COMPUTED_VALUE"""),"Monday")</f>
        <v>Monday</v>
      </c>
      <c r="M231" s="71" t="str">
        <f>IFERROR(__xludf.DUMMYFUNCTION("""COMPUTED_VALUE"""),"BF")</f>
        <v>BF</v>
      </c>
      <c r="N231" s="109">
        <f>IFERROR(__xludf.DUMMYFUNCTION("""COMPUTED_VALUE"""),1.0923115570772348)</f>
        <v>1.092311557</v>
      </c>
      <c r="O231" s="71" t="str">
        <f>IFERROR(__xludf.DUMMYFUNCTION("""COMPUTED_VALUE"""),"")</f>
        <v/>
      </c>
      <c r="P231" s="71" t="str">
        <f>IFERROR(__xludf.DUMMYFUNCTION("""COMPUTED_VALUE"""),"")</f>
        <v/>
      </c>
      <c r="Q231" s="78" t="str">
        <f>IFERROR(__xludf.DUMMYFUNCTION("""COMPUTED_VALUE"""),"")</f>
        <v/>
      </c>
      <c r="R231" s="78" t="str">
        <f>IFERROR(__xludf.DUMMYFUNCTION("""COMPUTED_VALUE"""),"")</f>
        <v/>
      </c>
      <c r="S231" s="80" t="str">
        <f>IFERROR(__xludf.DUMMYFUNCTION("""COMPUTED_VALUE"""),"")</f>
        <v/>
      </c>
      <c r="T231" s="80" t="str">
        <f>IFERROR(__xludf.DUMMYFUNCTION("""COMPUTED_VALUE"""),"")</f>
        <v/>
      </c>
      <c r="U231" s="71" t="str">
        <f>IFERROR(__xludf.DUMMYFUNCTION("""COMPUTED_VALUE"""),"")</f>
        <v/>
      </c>
      <c r="V231" s="78" t="str">
        <f>IFERROR(__xludf.DUMMYFUNCTION("""COMPUTED_VALUE"""),"")</f>
        <v/>
      </c>
      <c r="W231" s="62" t="str">
        <f>IFERROR(__xludf.DUMMYFUNCTION("""COMPUTED_VALUE"""),"")</f>
        <v/>
      </c>
      <c r="X231" s="80" t="str">
        <f>IFERROR(__xludf.DUMMYFUNCTION("""COMPUTED_VALUE"""),"")</f>
        <v/>
      </c>
      <c r="Y231" s="109" t="str">
        <f>IFERROR(__xludf.DUMMYFUNCTION("""COMPUTED_VALUE"""),"")</f>
        <v/>
      </c>
      <c r="Z231" s="71"/>
      <c r="AA231" s="71"/>
      <c r="AB231" s="71"/>
    </row>
    <row r="232">
      <c r="A232" s="105">
        <f>IFERROR(__xludf.DUMMYFUNCTION("""COMPUTED_VALUE"""),46118.64190699074)</f>
        <v>46118.64191</v>
      </c>
      <c r="B232" s="71" t="str">
        <f>IFERROR(__xludf.DUMMYFUNCTION("""COMPUTED_VALUE"""),"Brynn Hornig")</f>
        <v>Brynn Hornig</v>
      </c>
      <c r="C232" s="71" t="b">
        <f>IFERROR(__xludf.DUMMYFUNCTION("""COMPUTED_VALUE"""),FALSE)</f>
        <v>0</v>
      </c>
      <c r="D232" s="132">
        <f>IFERROR(__xludf.DUMMYFUNCTION("""COMPUTED_VALUE"""),0.5208333333357587)</f>
        <v>0.5208333333</v>
      </c>
      <c r="E232" s="78">
        <f>IFERROR(__xludf.DUMMYFUNCTION("""COMPUTED_VALUE"""),0.125)</f>
        <v>0.125</v>
      </c>
      <c r="F232" s="132">
        <f>IFERROR(__xludf.DUMMYFUNCTION("""COMPUTED_VALUE"""),0.6458333333357587)</f>
        <v>0.6458333333</v>
      </c>
      <c r="G232" s="78">
        <f>IFERROR(__xludf.DUMMYFUNCTION("""COMPUTED_VALUE"""),0.125)</f>
        <v>0.125</v>
      </c>
      <c r="H232" s="71">
        <f>IFERROR(__xludf.DUMMYFUNCTION("""COMPUTED_VALUE"""),111.0)</f>
        <v>111</v>
      </c>
      <c r="I232" s="80">
        <f>IFERROR(__xludf.DUMMYFUNCTION("""COMPUTED_VALUE"""),37.0)</f>
        <v>37</v>
      </c>
      <c r="J232" s="71" t="str">
        <f>IFERROR(__xludf.DUMMYFUNCTION("""COMPUTED_VALUE"""),"Lunch")</f>
        <v>Lunch</v>
      </c>
      <c r="K232" s="106">
        <f>IFERROR(__xludf.DUMMYFUNCTION("""COMPUTED_VALUE"""),46118.0)</f>
        <v>46118</v>
      </c>
      <c r="L232" s="71" t="str">
        <f>IFERROR(__xludf.DUMMYFUNCTION("""COMPUTED_VALUE"""),"Monday")</f>
        <v>Monday</v>
      </c>
      <c r="M232" s="71" t="str">
        <f>IFERROR(__xludf.DUMMYFUNCTION("""COMPUTED_VALUE"""),"BF")</f>
        <v>BF</v>
      </c>
      <c r="N232" s="109">
        <f>IFERROR(__xludf.DUMMYFUNCTION("""COMPUTED_VALUE"""),1.3050847457897692)</f>
        <v>1.305084746</v>
      </c>
      <c r="O232" s="71" t="str">
        <f>IFERROR(__xludf.DUMMYFUNCTION("""COMPUTED_VALUE"""),"")</f>
        <v/>
      </c>
      <c r="P232" s="71" t="str">
        <f>IFERROR(__xludf.DUMMYFUNCTION("""COMPUTED_VALUE"""),"")</f>
        <v/>
      </c>
      <c r="Q232" s="78" t="str">
        <f>IFERROR(__xludf.DUMMYFUNCTION("""COMPUTED_VALUE"""),"")</f>
        <v/>
      </c>
      <c r="R232" s="78" t="str">
        <f>IFERROR(__xludf.DUMMYFUNCTION("""COMPUTED_VALUE"""),"")</f>
        <v/>
      </c>
      <c r="S232" s="80" t="str">
        <f>IFERROR(__xludf.DUMMYFUNCTION("""COMPUTED_VALUE"""),"")</f>
        <v/>
      </c>
      <c r="T232" s="80" t="str">
        <f>IFERROR(__xludf.DUMMYFUNCTION("""COMPUTED_VALUE"""),"")</f>
        <v/>
      </c>
      <c r="U232" s="71" t="str">
        <f>IFERROR(__xludf.DUMMYFUNCTION("""COMPUTED_VALUE"""),"")</f>
        <v/>
      </c>
      <c r="V232" s="78" t="str">
        <f>IFERROR(__xludf.DUMMYFUNCTION("""COMPUTED_VALUE"""),"")</f>
        <v/>
      </c>
      <c r="W232" s="62" t="str">
        <f>IFERROR(__xludf.DUMMYFUNCTION("""COMPUTED_VALUE"""),"")</f>
        <v/>
      </c>
      <c r="X232" s="80" t="str">
        <f>IFERROR(__xludf.DUMMYFUNCTION("""COMPUTED_VALUE"""),"")</f>
        <v/>
      </c>
      <c r="Y232" s="109" t="str">
        <f>IFERROR(__xludf.DUMMYFUNCTION("""COMPUTED_VALUE"""),"")</f>
        <v/>
      </c>
      <c r="Z232" s="71"/>
      <c r="AA232" s="71"/>
      <c r="AB232" s="71"/>
    </row>
    <row r="233">
      <c r="A233" s="105">
        <f>IFERROR(__xludf.DUMMYFUNCTION("""COMPUTED_VALUE"""),46118.74560559027)</f>
        <v>46118.74561</v>
      </c>
      <c r="B233" s="71" t="str">
        <f>IFERROR(__xludf.DUMMYFUNCTION("""COMPUTED_VALUE"""),"Orpheus Wilson")</f>
        <v>Orpheus Wilson</v>
      </c>
      <c r="C233" s="71" t="b">
        <f>IFERROR(__xludf.DUMMYFUNCTION("""COMPUTED_VALUE"""),FALSE)</f>
        <v>0</v>
      </c>
      <c r="D233" s="132">
        <f>IFERROR(__xludf.DUMMYFUNCTION("""COMPUTED_VALUE"""),0.6701388888905058)</f>
        <v>0.6701388889</v>
      </c>
      <c r="E233" s="78">
        <f>IFERROR(__xludf.DUMMYFUNCTION("""COMPUTED_VALUE"""),0.07638888889050577)</f>
        <v>0.07638888889</v>
      </c>
      <c r="F233" s="132">
        <f>IFERROR(__xludf.DUMMYFUNCTION("""COMPUTED_VALUE"""),0.7465277777810115)</f>
        <v>0.7465277778</v>
      </c>
      <c r="G233" s="78">
        <f>IFERROR(__xludf.DUMMYFUNCTION("""COMPUTED_VALUE"""),0.07638888889050577)</f>
        <v>0.07638888889</v>
      </c>
      <c r="H233" s="71">
        <f>IFERROR(__xludf.DUMMYFUNCTION("""COMPUTED_VALUE"""),89.0)</f>
        <v>89</v>
      </c>
      <c r="I233" s="80">
        <f>IFERROR(__xludf.DUMMYFUNCTION("""COMPUTED_VALUE"""),48.54545454442701)</f>
        <v>48.54545454</v>
      </c>
      <c r="J233" s="71" t="str">
        <f>IFERROR(__xludf.DUMMYFUNCTION("""COMPUTED_VALUE"""),"Dinner")</f>
        <v>Dinner</v>
      </c>
      <c r="K233" s="106">
        <f>IFERROR(__xludf.DUMMYFUNCTION("""COMPUTED_VALUE"""),46118.0)</f>
        <v>46118</v>
      </c>
      <c r="L233" s="71" t="str">
        <f>IFERROR(__xludf.DUMMYFUNCTION("""COMPUTED_VALUE"""),"Monday")</f>
        <v>Monday</v>
      </c>
      <c r="M233" s="71" t="str">
        <f>IFERROR(__xludf.DUMMYFUNCTION("""COMPUTED_VALUE"""),"MF")</f>
        <v>MF</v>
      </c>
      <c r="N233" s="109">
        <f>IFERROR(__xludf.DUMMYFUNCTION("""COMPUTED_VALUE"""),1.0466966276398548)</f>
        <v>1.046696628</v>
      </c>
      <c r="O233" s="71" t="str">
        <f>IFERROR(__xludf.DUMMYFUNCTION("""COMPUTED_VALUE"""),"")</f>
        <v/>
      </c>
      <c r="P233" s="71" t="str">
        <f>IFERROR(__xludf.DUMMYFUNCTION("""COMPUTED_VALUE"""),"")</f>
        <v/>
      </c>
      <c r="Q233" s="78" t="str">
        <f>IFERROR(__xludf.DUMMYFUNCTION("""COMPUTED_VALUE"""),"")</f>
        <v/>
      </c>
      <c r="R233" s="78" t="str">
        <f>IFERROR(__xludf.DUMMYFUNCTION("""COMPUTED_VALUE"""),"")</f>
        <v/>
      </c>
      <c r="S233" s="80" t="str">
        <f>IFERROR(__xludf.DUMMYFUNCTION("""COMPUTED_VALUE"""),"")</f>
        <v/>
      </c>
      <c r="T233" s="80" t="str">
        <f>IFERROR(__xludf.DUMMYFUNCTION("""COMPUTED_VALUE"""),"")</f>
        <v/>
      </c>
      <c r="U233" s="71" t="str">
        <f>IFERROR(__xludf.DUMMYFUNCTION("""COMPUTED_VALUE"""),"")</f>
        <v/>
      </c>
      <c r="V233" s="78" t="str">
        <f>IFERROR(__xludf.DUMMYFUNCTION("""COMPUTED_VALUE"""),"")</f>
        <v/>
      </c>
      <c r="W233" s="62" t="str">
        <f>IFERROR(__xludf.DUMMYFUNCTION("""COMPUTED_VALUE"""),"")</f>
        <v/>
      </c>
      <c r="X233" s="80" t="str">
        <f>IFERROR(__xludf.DUMMYFUNCTION("""COMPUTED_VALUE"""),"")</f>
        <v/>
      </c>
      <c r="Y233" s="109" t="str">
        <f>IFERROR(__xludf.DUMMYFUNCTION("""COMPUTED_VALUE"""),"")</f>
        <v/>
      </c>
      <c r="Z233" s="71"/>
      <c r="AA233" s="71"/>
      <c r="AB233" s="71"/>
    </row>
    <row r="234">
      <c r="A234" s="105">
        <f>IFERROR(__xludf.DUMMYFUNCTION("""COMPUTED_VALUE"""),46118.86647631944)</f>
        <v>46118.86648</v>
      </c>
      <c r="B234" s="71" t="str">
        <f>IFERROR(__xludf.DUMMYFUNCTION("""COMPUTED_VALUE"""),"Maureen Surgot")</f>
        <v>Maureen Surgot</v>
      </c>
      <c r="C234" s="71" t="b">
        <f>IFERROR(__xludf.DUMMYFUNCTION("""COMPUTED_VALUE"""),FALSE)</f>
        <v>0</v>
      </c>
      <c r="D234" s="132">
        <f>IFERROR(__xludf.DUMMYFUNCTION("""COMPUTED_VALUE"""),0.75)</f>
        <v>0.75</v>
      </c>
      <c r="E234" s="78">
        <f>IFERROR(__xludf.DUMMYFUNCTION("""COMPUTED_VALUE"""),0.125)</f>
        <v>0.125</v>
      </c>
      <c r="F234" s="132">
        <f>IFERROR(__xludf.DUMMYFUNCTION("""COMPUTED_VALUE"""),0.875)</f>
        <v>0.875</v>
      </c>
      <c r="G234" s="78">
        <f>IFERROR(__xludf.DUMMYFUNCTION("""COMPUTED_VALUE"""),0.125)</f>
        <v>0.125</v>
      </c>
      <c r="H234" s="71">
        <f>IFERROR(__xludf.DUMMYFUNCTION("""COMPUTED_VALUE"""),134.0)</f>
        <v>134</v>
      </c>
      <c r="I234" s="80">
        <f>IFERROR(__xludf.DUMMYFUNCTION("""COMPUTED_VALUE"""),44.666666666666664)</f>
        <v>44.66666667</v>
      </c>
      <c r="J234" s="71" t="str">
        <f>IFERROR(__xludf.DUMMYFUNCTION("""COMPUTED_VALUE"""),"Dinner")</f>
        <v>Dinner</v>
      </c>
      <c r="K234" s="106">
        <f>IFERROR(__xludf.DUMMYFUNCTION("""COMPUTED_VALUE"""),46118.0)</f>
        <v>46118</v>
      </c>
      <c r="L234" s="71" t="str">
        <f>IFERROR(__xludf.DUMMYFUNCTION("""COMPUTED_VALUE"""),"Monday")</f>
        <v>Monday</v>
      </c>
      <c r="M234" s="71" t="str">
        <f>IFERROR(__xludf.DUMMYFUNCTION("""COMPUTED_VALUE"""),"MF")</f>
        <v>MF</v>
      </c>
      <c r="N234" s="109">
        <f>IFERROR(__xludf.DUMMYFUNCTION("""COMPUTED_VALUE"""),0.9630654364380788)</f>
        <v>0.9630654364</v>
      </c>
      <c r="O234" s="71" t="str">
        <f>IFERROR(__xludf.DUMMYFUNCTION("""COMPUTED_VALUE"""),"")</f>
        <v/>
      </c>
      <c r="P234" s="71" t="str">
        <f>IFERROR(__xludf.DUMMYFUNCTION("""COMPUTED_VALUE"""),"")</f>
        <v/>
      </c>
      <c r="Q234" s="78" t="str">
        <f>IFERROR(__xludf.DUMMYFUNCTION("""COMPUTED_VALUE"""),"")</f>
        <v/>
      </c>
      <c r="R234" s="78" t="str">
        <f>IFERROR(__xludf.DUMMYFUNCTION("""COMPUTED_VALUE"""),"")</f>
        <v/>
      </c>
      <c r="S234" s="80" t="str">
        <f>IFERROR(__xludf.DUMMYFUNCTION("""COMPUTED_VALUE"""),"")</f>
        <v/>
      </c>
      <c r="T234" s="80" t="str">
        <f>IFERROR(__xludf.DUMMYFUNCTION("""COMPUTED_VALUE"""),"")</f>
        <v/>
      </c>
      <c r="U234" s="71" t="str">
        <f>IFERROR(__xludf.DUMMYFUNCTION("""COMPUTED_VALUE"""),"")</f>
        <v/>
      </c>
      <c r="V234" s="78" t="str">
        <f>IFERROR(__xludf.DUMMYFUNCTION("""COMPUTED_VALUE"""),"")</f>
        <v/>
      </c>
      <c r="W234" s="62" t="str">
        <f>IFERROR(__xludf.DUMMYFUNCTION("""COMPUTED_VALUE"""),"")</f>
        <v/>
      </c>
      <c r="X234" s="80" t="str">
        <f>IFERROR(__xludf.DUMMYFUNCTION("""COMPUTED_VALUE"""),"")</f>
        <v/>
      </c>
      <c r="Y234" s="109" t="str">
        <f>IFERROR(__xludf.DUMMYFUNCTION("""COMPUTED_VALUE"""),"")</f>
        <v/>
      </c>
      <c r="Z234" s="71"/>
      <c r="AA234" s="71"/>
      <c r="AB234" s="71"/>
    </row>
    <row r="235">
      <c r="A235" s="105">
        <f>IFERROR(__xludf.DUMMYFUNCTION("""COMPUTED_VALUE"""),46121.97298421296)</f>
        <v>46121.97298</v>
      </c>
      <c r="B235" s="71" t="str">
        <f>IFERROR(__xludf.DUMMYFUNCTION("""COMPUTED_VALUE"""),"Denise Romanszysn")</f>
        <v>Denise Romanszysn</v>
      </c>
      <c r="C235" s="71" t="b">
        <f>IFERROR(__xludf.DUMMYFUNCTION("""COMPUTED_VALUE"""),FALSE)</f>
        <v>0</v>
      </c>
      <c r="D235" s="132">
        <f>IFERROR(__xludf.DUMMYFUNCTION("""COMPUTED_VALUE"""),0.44097222221898846)</f>
        <v>0.4409722222</v>
      </c>
      <c r="E235" s="78">
        <f>IFERROR(__xludf.DUMMYFUNCTION("""COMPUTED_VALUE"""),0.04513888889050577)</f>
        <v>0.04513888889</v>
      </c>
      <c r="F235" s="132">
        <f>IFERROR(__xludf.DUMMYFUNCTION("""COMPUTED_VALUE"""),0.48611111110949423)</f>
        <v>0.4861111111</v>
      </c>
      <c r="G235" s="78">
        <f>IFERROR(__xludf.DUMMYFUNCTION("""COMPUTED_VALUE"""),0.04513888889050577)</f>
        <v>0.04513888889</v>
      </c>
      <c r="H235" s="71">
        <f>IFERROR(__xludf.DUMMYFUNCTION("""COMPUTED_VALUE"""),76.0)</f>
        <v>76</v>
      </c>
      <c r="I235" s="80">
        <f>IFERROR(__xludf.DUMMYFUNCTION("""COMPUTED_VALUE"""),70.15384615133324)</f>
        <v>70.15384615</v>
      </c>
      <c r="J235" s="71" t="str">
        <f>IFERROR(__xludf.DUMMYFUNCTION("""COMPUTED_VALUE"""),"Breakfast/Lunch")</f>
        <v>Breakfast/Lunch</v>
      </c>
      <c r="K235" s="106">
        <f>IFERROR(__xludf.DUMMYFUNCTION("""COMPUTED_VALUE"""),46118.0)</f>
        <v>46118</v>
      </c>
      <c r="L235" s="71" t="str">
        <f>IFERROR(__xludf.DUMMYFUNCTION("""COMPUTED_VALUE"""),"Monday")</f>
        <v>Monday</v>
      </c>
      <c r="M235" s="71" t="str">
        <f>IFERROR(__xludf.DUMMYFUNCTION("""COMPUTED_VALUE"""),"BF")</f>
        <v>BF</v>
      </c>
      <c r="N235" s="109">
        <f>IFERROR(__xludf.DUMMYFUNCTION("""COMPUTED_VALUE"""),2.0232480171375804)</f>
        <v>2.023248017</v>
      </c>
      <c r="O235" s="71" t="str">
        <f>IFERROR(__xludf.DUMMYFUNCTION("""COMPUTED_VALUE"""),"")</f>
        <v/>
      </c>
      <c r="P235" s="71" t="str">
        <f>IFERROR(__xludf.DUMMYFUNCTION("""COMPUTED_VALUE"""),"")</f>
        <v/>
      </c>
      <c r="Q235" s="78" t="str">
        <f>IFERROR(__xludf.DUMMYFUNCTION("""COMPUTED_VALUE"""),"")</f>
        <v/>
      </c>
      <c r="R235" s="78" t="str">
        <f>IFERROR(__xludf.DUMMYFUNCTION("""COMPUTED_VALUE"""),"")</f>
        <v/>
      </c>
      <c r="S235" s="80" t="str">
        <f>IFERROR(__xludf.DUMMYFUNCTION("""COMPUTED_VALUE"""),"")</f>
        <v/>
      </c>
      <c r="T235" s="80" t="str">
        <f>IFERROR(__xludf.DUMMYFUNCTION("""COMPUTED_VALUE"""),"")</f>
        <v/>
      </c>
      <c r="U235" s="71" t="str">
        <f>IFERROR(__xludf.DUMMYFUNCTION("""COMPUTED_VALUE"""),"")</f>
        <v/>
      </c>
      <c r="V235" s="78" t="str">
        <f>IFERROR(__xludf.DUMMYFUNCTION("""COMPUTED_VALUE"""),"")</f>
        <v/>
      </c>
      <c r="W235" s="62" t="str">
        <f>IFERROR(__xludf.DUMMYFUNCTION("""COMPUTED_VALUE"""),"")</f>
        <v/>
      </c>
      <c r="X235" s="80" t="str">
        <f>IFERROR(__xludf.DUMMYFUNCTION("""COMPUTED_VALUE"""),"")</f>
        <v/>
      </c>
      <c r="Y235" s="109" t="str">
        <f>IFERROR(__xludf.DUMMYFUNCTION("""COMPUTED_VALUE"""),"")</f>
        <v/>
      </c>
      <c r="Z235" s="71"/>
      <c r="AA235" s="71"/>
      <c r="AB235" s="71"/>
    </row>
    <row r="236">
      <c r="A236" s="105">
        <f>IFERROR(__xludf.DUMMYFUNCTION("""COMPUTED_VALUE"""),46121.97365222222)</f>
        <v>46121.97365</v>
      </c>
      <c r="B236" s="71" t="str">
        <f>IFERROR(__xludf.DUMMYFUNCTION("""COMPUTED_VALUE"""),"Denise Romanszysn")</f>
        <v>Denise Romanszysn</v>
      </c>
      <c r="C236" s="71" t="b">
        <f>IFERROR(__xludf.DUMMYFUNCTION("""COMPUTED_VALUE"""),FALSE)</f>
        <v>0</v>
      </c>
      <c r="D236" s="132">
        <f>IFERROR(__xludf.DUMMYFUNCTION("""COMPUTED_VALUE"""),0.5520833333357587)</f>
        <v>0.5520833333</v>
      </c>
      <c r="E236" s="78">
        <f>IFERROR(__xludf.DUMMYFUNCTION("""COMPUTED_VALUE"""),0.06944444444525288)</f>
        <v>0.06944444445</v>
      </c>
      <c r="F236" s="132">
        <f>IFERROR(__xludf.DUMMYFUNCTION("""COMPUTED_VALUE"""),0.6215277777810115)</f>
        <v>0.6215277778</v>
      </c>
      <c r="G236" s="78">
        <f>IFERROR(__xludf.DUMMYFUNCTION("""COMPUTED_VALUE"""),0.06944444444525288)</f>
        <v>0.06944444445</v>
      </c>
      <c r="H236" s="71">
        <f>IFERROR(__xludf.DUMMYFUNCTION("""COMPUTED_VALUE"""),105.0)</f>
        <v>105</v>
      </c>
      <c r="I236" s="80">
        <f>IFERROR(__xludf.DUMMYFUNCTION("""COMPUTED_VALUE"""),62.999999999266585)</f>
        <v>63</v>
      </c>
      <c r="J236" s="71" t="str">
        <f>IFERROR(__xludf.DUMMYFUNCTION("""COMPUTED_VALUE"""),"Lunch")</f>
        <v>Lunch</v>
      </c>
      <c r="K236" s="106">
        <f>IFERROR(__xludf.DUMMYFUNCTION("""COMPUTED_VALUE"""),46118.0)</f>
        <v>46118</v>
      </c>
      <c r="L236" s="71" t="str">
        <f>IFERROR(__xludf.DUMMYFUNCTION("""COMPUTED_VALUE"""),"Monday")</f>
        <v>Monday</v>
      </c>
      <c r="M236" s="71" t="str">
        <f>IFERROR(__xludf.DUMMYFUNCTION("""COMPUTED_VALUE"""),"MF")</f>
        <v>MF</v>
      </c>
      <c r="N236" s="109">
        <f>IFERROR(__xludf.DUMMYFUNCTION("""COMPUTED_VALUE"""),1.2530457376792952)</f>
        <v>1.253045738</v>
      </c>
      <c r="O236" s="71">
        <f>IFERROR(__xludf.DUMMYFUNCTION("""COMPUTED_VALUE"""),328.0)</f>
        <v>328</v>
      </c>
      <c r="P236" s="71">
        <f>IFERROR(__xludf.DUMMYFUNCTION("""COMPUTED_VALUE"""),235.0)</f>
        <v>235</v>
      </c>
      <c r="Q236" s="78">
        <f>IFERROR(__xludf.DUMMYFUNCTION("""COMPUTED_VALUE"""),0.27083333333575865)</f>
        <v>0.2708333333</v>
      </c>
      <c r="R236" s="78">
        <f>IFERROR(__xludf.DUMMYFUNCTION("""COMPUTED_VALUE"""),0.23472222222335404)</f>
        <v>0.2347222222</v>
      </c>
      <c r="S236" s="80">
        <f>IFERROR(__xludf.DUMMYFUNCTION("""COMPUTED_VALUE"""),52.070707070120086)</f>
        <v>52.07070707</v>
      </c>
      <c r="T236" s="80">
        <f>IFERROR(__xludf.DUMMYFUNCTION("""COMPUTED_VALUE"""),46.0405293623499)</f>
        <v>46.04052936</v>
      </c>
      <c r="U236" s="71">
        <f>IFERROR(__xludf.DUMMYFUNCTION("""COMPUTED_VALUE"""),563.0)</f>
        <v>563</v>
      </c>
      <c r="V236" s="78">
        <f>IFERROR(__xludf.DUMMYFUNCTION("""COMPUTED_VALUE"""),0.5055555555591127)</f>
        <v>0.5055555556</v>
      </c>
      <c r="W236" s="62">
        <f>IFERROR(__xludf.DUMMYFUNCTION("""COMPUTED_VALUE"""),46.40109890077242)</f>
        <v>46.4010989</v>
      </c>
      <c r="X236" s="80">
        <f>IFERROR(__xludf.DUMMYFUNCTION("""COMPUTED_VALUE"""),49.055618216235)</f>
        <v>49.05561822</v>
      </c>
      <c r="Y236" s="109">
        <f>IFERROR(__xludf.DUMMYFUNCTION("""COMPUTED_VALUE"""),0.954187203615754)</f>
        <v>0.9541872036</v>
      </c>
      <c r="Z236" s="71"/>
      <c r="AA236" s="71"/>
      <c r="AB236" s="71"/>
    </row>
    <row r="237">
      <c r="A237" s="105">
        <f>IFERROR(__xludf.DUMMYFUNCTION("""COMPUTED_VALUE"""),46119.49595016203)</f>
        <v>46119.49595</v>
      </c>
      <c r="B237" s="71" t="str">
        <f>IFERROR(__xludf.DUMMYFUNCTION("""COMPUTED_VALUE"""),"Kaylie Forgue")</f>
        <v>Kaylie Forgue</v>
      </c>
      <c r="C237" s="71" t="b">
        <f>IFERROR(__xludf.DUMMYFUNCTION("""COMPUTED_VALUE"""),FALSE)</f>
        <v>0</v>
      </c>
      <c r="D237" s="132">
        <f>IFERROR(__xludf.DUMMYFUNCTION("""COMPUTED_VALUE"""),0.4430555555591127)</f>
        <v>0.4430555556</v>
      </c>
      <c r="E237" s="78">
        <f>IFERROR(__xludf.DUMMYFUNCTION("""COMPUTED_VALUE"""),0.049999999995634425)</f>
        <v>0.05</v>
      </c>
      <c r="F237" s="132">
        <f>IFERROR(__xludf.DUMMYFUNCTION("""COMPUTED_VALUE"""),0.4930555555547471)</f>
        <v>0.4930555556</v>
      </c>
      <c r="G237" s="78">
        <f>IFERROR(__xludf.DUMMYFUNCTION("""COMPUTED_VALUE"""),0.049999999995634425)</f>
        <v>0.05</v>
      </c>
      <c r="H237" s="71">
        <f>IFERROR(__xludf.DUMMYFUNCTION("""COMPUTED_VALUE"""),142.0)</f>
        <v>142</v>
      </c>
      <c r="I237" s="80">
        <f>IFERROR(__xludf.DUMMYFUNCTION("""COMPUTED_VALUE"""),118.33333334366519)</f>
        <v>118.3333333</v>
      </c>
      <c r="J237" s="71" t="str">
        <f>IFERROR(__xludf.DUMMYFUNCTION("""COMPUTED_VALUE"""),"Breakfast/Lunch")</f>
        <v>Breakfast/Lunch</v>
      </c>
      <c r="K237" s="106">
        <f>IFERROR(__xludf.DUMMYFUNCTION("""COMPUTED_VALUE"""),46119.0)</f>
        <v>46119</v>
      </c>
      <c r="L237" s="71" t="str">
        <f>IFERROR(__xludf.DUMMYFUNCTION("""COMPUTED_VALUE"""),"Tuesday")</f>
        <v>Tuesday</v>
      </c>
      <c r="M237" s="71" t="str">
        <f>IFERROR(__xludf.DUMMYFUNCTION("""COMPUTED_VALUE"""),"BF")</f>
        <v>BF</v>
      </c>
      <c r="N237" s="109">
        <f>IFERROR(__xludf.DUMMYFUNCTION("""COMPUTED_VALUE"""),3.545663676893902)</f>
        <v>3.545663677</v>
      </c>
      <c r="O237" s="71" t="str">
        <f>IFERROR(__xludf.DUMMYFUNCTION("""COMPUTED_VALUE"""),"")</f>
        <v/>
      </c>
      <c r="P237" s="71" t="str">
        <f>IFERROR(__xludf.DUMMYFUNCTION("""COMPUTED_VALUE"""),"")</f>
        <v/>
      </c>
      <c r="Q237" s="78" t="str">
        <f>IFERROR(__xludf.DUMMYFUNCTION("""COMPUTED_VALUE"""),"")</f>
        <v/>
      </c>
      <c r="R237" s="78" t="str">
        <f>IFERROR(__xludf.DUMMYFUNCTION("""COMPUTED_VALUE"""),"")</f>
        <v/>
      </c>
      <c r="S237" s="80" t="str">
        <f>IFERROR(__xludf.DUMMYFUNCTION("""COMPUTED_VALUE"""),"")</f>
        <v/>
      </c>
      <c r="T237" s="80" t="str">
        <f>IFERROR(__xludf.DUMMYFUNCTION("""COMPUTED_VALUE"""),"")</f>
        <v/>
      </c>
      <c r="U237" s="71" t="str">
        <f>IFERROR(__xludf.DUMMYFUNCTION("""COMPUTED_VALUE"""),"")</f>
        <v/>
      </c>
      <c r="V237" s="78" t="str">
        <f>IFERROR(__xludf.DUMMYFUNCTION("""COMPUTED_VALUE"""),"")</f>
        <v/>
      </c>
      <c r="W237" s="62" t="str">
        <f>IFERROR(__xludf.DUMMYFUNCTION("""COMPUTED_VALUE"""),"")</f>
        <v/>
      </c>
      <c r="X237" s="80" t="str">
        <f>IFERROR(__xludf.DUMMYFUNCTION("""COMPUTED_VALUE"""),"")</f>
        <v/>
      </c>
      <c r="Y237" s="109" t="str">
        <f>IFERROR(__xludf.DUMMYFUNCTION("""COMPUTED_VALUE"""),"")</f>
        <v/>
      </c>
      <c r="Z237" s="71"/>
      <c r="AA237" s="71"/>
      <c r="AB237" s="71"/>
    </row>
    <row r="238">
      <c r="A238" s="105">
        <f>IFERROR(__xludf.DUMMYFUNCTION("""COMPUTED_VALUE"""),46119.54399613426)</f>
        <v>46119.544</v>
      </c>
      <c r="B238" s="71" t="str">
        <f>IFERROR(__xludf.DUMMYFUNCTION("""COMPUTED_VALUE"""),"Kyra Turner")</f>
        <v>Kyra Turner</v>
      </c>
      <c r="C238" s="71" t="b">
        <f>IFERROR(__xludf.DUMMYFUNCTION("""COMPUTED_VALUE"""),FALSE)</f>
        <v>0</v>
      </c>
      <c r="D238" s="132">
        <f>IFERROR(__xludf.DUMMYFUNCTION("""COMPUTED_VALUE"""),0.48333333333721384)</f>
        <v>0.4833333333</v>
      </c>
      <c r="E238" s="78">
        <f>IFERROR(__xludf.DUMMYFUNCTION("""COMPUTED_VALUE"""),0.0583333333270275)</f>
        <v>0.05833333333</v>
      </c>
      <c r="F238" s="132">
        <f>IFERROR(__xludf.DUMMYFUNCTION("""COMPUTED_VALUE"""),0.5416666666642413)</f>
        <v>0.5416666667</v>
      </c>
      <c r="G238" s="78">
        <f>IFERROR(__xludf.DUMMYFUNCTION("""COMPUTED_VALUE"""),0.1312499999985448)</f>
        <v>0.13125</v>
      </c>
      <c r="H238" s="71">
        <f>IFERROR(__xludf.DUMMYFUNCTION("""COMPUTED_VALUE"""),183.0)</f>
        <v>183</v>
      </c>
      <c r="I238" s="80">
        <f>IFERROR(__xludf.DUMMYFUNCTION("""COMPUTED_VALUE"""),110.1587301599515)</f>
        <v>110.1587302</v>
      </c>
      <c r="J238" s="71" t="str">
        <f>IFERROR(__xludf.DUMMYFUNCTION("""COMPUTED_VALUE"""),"Lunch")</f>
        <v>Lunch</v>
      </c>
      <c r="K238" s="106">
        <f>IFERROR(__xludf.DUMMYFUNCTION("""COMPUTED_VALUE"""),46119.0)</f>
        <v>46119</v>
      </c>
      <c r="L238" s="71" t="str">
        <f>IFERROR(__xludf.DUMMYFUNCTION("""COMPUTED_VALUE"""),"Tuesday")</f>
        <v>Tuesday</v>
      </c>
      <c r="M238" s="71" t="str">
        <f>IFERROR(__xludf.DUMMYFUNCTION("""COMPUTED_VALUE"""),"MF")</f>
        <v>MF</v>
      </c>
      <c r="N238" s="109">
        <f>IFERROR(__xludf.DUMMYFUNCTION("""COMPUTED_VALUE"""),2.191014718995203)</f>
        <v>2.191014719</v>
      </c>
      <c r="O238" s="71" t="str">
        <f>IFERROR(__xludf.DUMMYFUNCTION("""COMPUTED_VALUE"""),"")</f>
        <v/>
      </c>
      <c r="P238" s="71" t="str">
        <f>IFERROR(__xludf.DUMMYFUNCTION("""COMPUTED_VALUE"""),"")</f>
        <v/>
      </c>
      <c r="Q238" s="78" t="str">
        <f>IFERROR(__xludf.DUMMYFUNCTION("""COMPUTED_VALUE"""),"")</f>
        <v/>
      </c>
      <c r="R238" s="78" t="str">
        <f>IFERROR(__xludf.DUMMYFUNCTION("""COMPUTED_VALUE"""),"")</f>
        <v/>
      </c>
      <c r="S238" s="80" t="str">
        <f>IFERROR(__xludf.DUMMYFUNCTION("""COMPUTED_VALUE"""),"")</f>
        <v/>
      </c>
      <c r="T238" s="80" t="str">
        <f>IFERROR(__xludf.DUMMYFUNCTION("""COMPUTED_VALUE"""),"")</f>
        <v/>
      </c>
      <c r="U238" s="71" t="str">
        <f>IFERROR(__xludf.DUMMYFUNCTION("""COMPUTED_VALUE"""),"")</f>
        <v/>
      </c>
      <c r="V238" s="78" t="str">
        <f>IFERROR(__xludf.DUMMYFUNCTION("""COMPUTED_VALUE"""),"")</f>
        <v/>
      </c>
      <c r="W238" s="62" t="str">
        <f>IFERROR(__xludf.DUMMYFUNCTION("""COMPUTED_VALUE"""),"")</f>
        <v/>
      </c>
      <c r="X238" s="80" t="str">
        <f>IFERROR(__xludf.DUMMYFUNCTION("""COMPUTED_VALUE"""),"")</f>
        <v/>
      </c>
      <c r="Y238" s="109" t="str">
        <f>IFERROR(__xludf.DUMMYFUNCTION("""COMPUTED_VALUE"""),"")</f>
        <v/>
      </c>
      <c r="Z238" s="71"/>
      <c r="AA238" s="71"/>
      <c r="AB238" s="71"/>
    </row>
    <row r="239">
      <c r="A239" s="105">
        <f>IFERROR(__xludf.DUMMYFUNCTION("""COMPUTED_VALUE"""),46119.62545090278)</f>
        <v>46119.62545</v>
      </c>
      <c r="B239" s="71" t="str">
        <f>IFERROR(__xludf.DUMMYFUNCTION("""COMPUTED_VALUE"""),"Kyra Turner")</f>
        <v>Kyra Turner</v>
      </c>
      <c r="C239" s="71" t="b">
        <f>IFERROR(__xludf.DUMMYFUNCTION("""COMPUTED_VALUE"""),TRUE)</f>
        <v>1</v>
      </c>
      <c r="D239" s="132">
        <f>IFERROR(__xludf.DUMMYFUNCTION("""COMPUTED_VALUE"""),0.5486111111094942)</f>
        <v>0.5486111111</v>
      </c>
      <c r="E239" s="78">
        <f>IFERROR(__xludf.DUMMYFUNCTION("""COMPUTED_VALUE"""),0.0729166666715173)</f>
        <v>0.07291666667</v>
      </c>
      <c r="F239" s="132">
        <f>IFERROR(__xludf.DUMMYFUNCTION("""COMPUTED_VALUE"""),0.6215277777810115)</f>
        <v>0.6215277778</v>
      </c>
      <c r="G239" s="78" t="str">
        <f>IFERROR(__xludf.DUMMYFUNCTION("""COMPUTED_VALUE"""),"")</f>
        <v/>
      </c>
      <c r="H239" s="71">
        <f>IFERROR(__xludf.DUMMYFUNCTION("""COMPUTED_VALUE"""),164.0)</f>
        <v>164</v>
      </c>
      <c r="I239" s="80" t="str">
        <f>IFERROR(__xludf.DUMMYFUNCTION("""COMPUTED_VALUE"""),"")</f>
        <v/>
      </c>
      <c r="J239" s="71" t="str">
        <f>IFERROR(__xludf.DUMMYFUNCTION("""COMPUTED_VALUE"""),"Lunch")</f>
        <v>Lunch</v>
      </c>
      <c r="K239" s="106">
        <f>IFERROR(__xludf.DUMMYFUNCTION("""COMPUTED_VALUE"""),46119.0)</f>
        <v>46119</v>
      </c>
      <c r="L239" s="71" t="str">
        <f>IFERROR(__xludf.DUMMYFUNCTION("""COMPUTED_VALUE"""),"Tuesday")</f>
        <v>Tuesday</v>
      </c>
      <c r="M239" s="71" t="str">
        <f>IFERROR(__xludf.DUMMYFUNCTION("""COMPUTED_VALUE"""),"MF")</f>
        <v>MF</v>
      </c>
      <c r="N239" s="109" t="str">
        <f>IFERROR(__xludf.DUMMYFUNCTION("""COMPUTED_VALUE"""),"")</f>
        <v/>
      </c>
      <c r="O239" s="71" t="str">
        <f>IFERROR(__xludf.DUMMYFUNCTION("""COMPUTED_VALUE"""),"")</f>
        <v/>
      </c>
      <c r="P239" s="71" t="str">
        <f>IFERROR(__xludf.DUMMYFUNCTION("""COMPUTED_VALUE"""),"")</f>
        <v/>
      </c>
      <c r="Q239" s="78" t="str">
        <f>IFERROR(__xludf.DUMMYFUNCTION("""COMPUTED_VALUE"""),"")</f>
        <v/>
      </c>
      <c r="R239" s="78" t="str">
        <f>IFERROR(__xludf.DUMMYFUNCTION("""COMPUTED_VALUE"""),"")</f>
        <v/>
      </c>
      <c r="S239" s="80" t="str">
        <f>IFERROR(__xludf.DUMMYFUNCTION("""COMPUTED_VALUE"""),"")</f>
        <v/>
      </c>
      <c r="T239" s="80" t="str">
        <f>IFERROR(__xludf.DUMMYFUNCTION("""COMPUTED_VALUE"""),"")</f>
        <v/>
      </c>
      <c r="U239" s="71" t="str">
        <f>IFERROR(__xludf.DUMMYFUNCTION("""COMPUTED_VALUE"""),"")</f>
        <v/>
      </c>
      <c r="V239" s="78" t="str">
        <f>IFERROR(__xludf.DUMMYFUNCTION("""COMPUTED_VALUE"""),"")</f>
        <v/>
      </c>
      <c r="W239" s="62" t="str">
        <f>IFERROR(__xludf.DUMMYFUNCTION("""COMPUTED_VALUE"""),"")</f>
        <v/>
      </c>
      <c r="X239" s="80" t="str">
        <f>IFERROR(__xludf.DUMMYFUNCTION("""COMPUTED_VALUE"""),"")</f>
        <v/>
      </c>
      <c r="Y239" s="109" t="str">
        <f>IFERROR(__xludf.DUMMYFUNCTION("""COMPUTED_VALUE"""),"")</f>
        <v/>
      </c>
      <c r="Z239" s="71"/>
      <c r="AA239" s="71"/>
      <c r="AB239" s="71"/>
    </row>
    <row r="240">
      <c r="A240" s="105">
        <f>IFERROR(__xludf.DUMMYFUNCTION("""COMPUTED_VALUE"""),46119.85352056713)</f>
        <v>46119.85352</v>
      </c>
      <c r="B240" s="71" t="str">
        <f>IFERROR(__xludf.DUMMYFUNCTION("""COMPUTED_VALUE"""),"Leah Bucci")</f>
        <v>Leah Bucci</v>
      </c>
      <c r="C240" s="71" t="b">
        <f>IFERROR(__xludf.DUMMYFUNCTION("""COMPUTED_VALUE"""),FALSE)</f>
        <v>0</v>
      </c>
      <c r="D240" s="132">
        <f>IFERROR(__xludf.DUMMYFUNCTION("""COMPUTED_VALUE"""),0.6875)</f>
        <v>0.6875</v>
      </c>
      <c r="E240" s="78">
        <f>IFERROR(__xludf.DUMMYFUNCTION("""COMPUTED_VALUE"""),0.16111111111240461)</f>
        <v>0.1611111111</v>
      </c>
      <c r="F240" s="132">
        <f>IFERROR(__xludf.DUMMYFUNCTION("""COMPUTED_VALUE"""),0.8486111111124046)</f>
        <v>0.8486111111</v>
      </c>
      <c r="G240" s="78">
        <f>IFERROR(__xludf.DUMMYFUNCTION("""COMPUTED_VALUE"""),0.16111111111240461)</f>
        <v>0.1611111111</v>
      </c>
      <c r="H240" s="71">
        <f>IFERROR(__xludf.DUMMYFUNCTION("""COMPUTED_VALUE"""),173.0)</f>
        <v>173</v>
      </c>
      <c r="I240" s="80">
        <f>IFERROR(__xludf.DUMMYFUNCTION("""COMPUTED_VALUE"""),44.74137930998562)</f>
        <v>44.74137931</v>
      </c>
      <c r="J240" s="71" t="str">
        <f>IFERROR(__xludf.DUMMYFUNCTION("""COMPUTED_VALUE"""),"Dinner")</f>
        <v>Dinner</v>
      </c>
      <c r="K240" s="106">
        <f>IFERROR(__xludf.DUMMYFUNCTION("""COMPUTED_VALUE"""),46119.0)</f>
        <v>46119</v>
      </c>
      <c r="L240" s="71" t="str">
        <f>IFERROR(__xludf.DUMMYFUNCTION("""COMPUTED_VALUE"""),"Tuesday")</f>
        <v>Tuesday</v>
      </c>
      <c r="M240" s="71" t="str">
        <f>IFERROR(__xludf.DUMMYFUNCTION("""COMPUTED_VALUE"""),"BF")</f>
        <v>BF</v>
      </c>
      <c r="N240" s="109">
        <f>IFERROR(__xludf.DUMMYFUNCTION("""COMPUTED_VALUE"""),1.0069671046602147)</f>
        <v>1.006967105</v>
      </c>
      <c r="O240" s="71" t="str">
        <f>IFERROR(__xludf.DUMMYFUNCTION("""COMPUTED_VALUE"""),"")</f>
        <v/>
      </c>
      <c r="P240" s="71" t="str">
        <f>IFERROR(__xludf.DUMMYFUNCTION("""COMPUTED_VALUE"""),"")</f>
        <v/>
      </c>
      <c r="Q240" s="78" t="str">
        <f>IFERROR(__xludf.DUMMYFUNCTION("""COMPUTED_VALUE"""),"")</f>
        <v/>
      </c>
      <c r="R240" s="78" t="str">
        <f>IFERROR(__xludf.DUMMYFUNCTION("""COMPUTED_VALUE"""),"")</f>
        <v/>
      </c>
      <c r="S240" s="80" t="str">
        <f>IFERROR(__xludf.DUMMYFUNCTION("""COMPUTED_VALUE"""),"")</f>
        <v/>
      </c>
      <c r="T240" s="80" t="str">
        <f>IFERROR(__xludf.DUMMYFUNCTION("""COMPUTED_VALUE"""),"")</f>
        <v/>
      </c>
      <c r="U240" s="71" t="str">
        <f>IFERROR(__xludf.DUMMYFUNCTION("""COMPUTED_VALUE"""),"")</f>
        <v/>
      </c>
      <c r="V240" s="78" t="str">
        <f>IFERROR(__xludf.DUMMYFUNCTION("""COMPUTED_VALUE"""),"")</f>
        <v/>
      </c>
      <c r="W240" s="62" t="str">
        <f>IFERROR(__xludf.DUMMYFUNCTION("""COMPUTED_VALUE"""),"")</f>
        <v/>
      </c>
      <c r="X240" s="80" t="str">
        <f>IFERROR(__xludf.DUMMYFUNCTION("""COMPUTED_VALUE"""),"")</f>
        <v/>
      </c>
      <c r="Y240" s="109" t="str">
        <f>IFERROR(__xludf.DUMMYFUNCTION("""COMPUTED_VALUE"""),"")</f>
        <v/>
      </c>
      <c r="Z240" s="71"/>
      <c r="AA240" s="71"/>
      <c r="AB240" s="71"/>
    </row>
    <row r="241">
      <c r="A241" s="105">
        <f>IFERROR(__xludf.DUMMYFUNCTION("""COMPUTED_VALUE"""),46119.87106096065)</f>
        <v>46119.87106</v>
      </c>
      <c r="B241" s="71" t="str">
        <f>IFERROR(__xludf.DUMMYFUNCTION("""COMPUTED_VALUE"""),"Laila Maisuria")</f>
        <v>Laila Maisuria</v>
      </c>
      <c r="C241" s="71" t="b">
        <f>IFERROR(__xludf.DUMMYFUNCTION("""COMPUTED_VALUE"""),FALSE)</f>
        <v>0</v>
      </c>
      <c r="D241" s="132">
        <f>IFERROR(__xludf.DUMMYFUNCTION("""COMPUTED_VALUE"""),0.75)</f>
        <v>0.75</v>
      </c>
      <c r="E241" s="78">
        <f>IFERROR(__xludf.DUMMYFUNCTION("""COMPUTED_VALUE"""),0.12013888888759539)</f>
        <v>0.1201388889</v>
      </c>
      <c r="F241" s="132">
        <f>IFERROR(__xludf.DUMMYFUNCTION("""COMPUTED_VALUE"""),0.8701388888875954)</f>
        <v>0.8701388889</v>
      </c>
      <c r="G241" s="78">
        <f>IFERROR(__xludf.DUMMYFUNCTION("""COMPUTED_VALUE"""),0.12013888888759539)</f>
        <v>0.1201388889</v>
      </c>
      <c r="H241" s="71">
        <f>IFERROR(__xludf.DUMMYFUNCTION("""COMPUTED_VALUE"""),149.0)</f>
        <v>149</v>
      </c>
      <c r="I241" s="80">
        <f>IFERROR(__xludf.DUMMYFUNCTION("""COMPUTED_VALUE"""),51.67630057859107)</f>
        <v>51.67630058</v>
      </c>
      <c r="J241" s="71" t="str">
        <f>IFERROR(__xludf.DUMMYFUNCTION("""COMPUTED_VALUE"""),"Dinner")</f>
        <v>Dinner</v>
      </c>
      <c r="K241" s="106">
        <f>IFERROR(__xludf.DUMMYFUNCTION("""COMPUTED_VALUE"""),46119.0)</f>
        <v>46119</v>
      </c>
      <c r="L241" s="71" t="str">
        <f>IFERROR(__xludf.DUMMYFUNCTION("""COMPUTED_VALUE"""),"Tuesday")</f>
        <v>Tuesday</v>
      </c>
      <c r="M241" s="71" t="str">
        <f>IFERROR(__xludf.DUMMYFUNCTION("""COMPUTED_VALUE"""),"MF")</f>
        <v>MF</v>
      </c>
      <c r="N241" s="109">
        <f>IFERROR(__xludf.DUMMYFUNCTION("""COMPUTED_VALUE"""),1.1142013202289438)</f>
        <v>1.11420132</v>
      </c>
      <c r="O241" s="71">
        <f>IFERROR(__xludf.DUMMYFUNCTION("""COMPUTED_VALUE"""),496.0)</f>
        <v>496</v>
      </c>
      <c r="P241" s="71">
        <f>IFERROR(__xludf.DUMMYFUNCTION("""COMPUTED_VALUE"""),315.0)</f>
        <v>315</v>
      </c>
      <c r="Q241" s="78">
        <f>IFERROR(__xludf.DUMMYFUNCTION("""COMPUTED_VALUE"""),0.2513888888861402)</f>
        <v>0.2513888889</v>
      </c>
      <c r="R241" s="78">
        <f>IFERROR(__xludf.DUMMYFUNCTION("""COMPUTED_VALUE"""),0.21111111110803904)</f>
        <v>0.2111111111</v>
      </c>
      <c r="S241" s="80">
        <f>IFERROR(__xludf.DUMMYFUNCTION("""COMPUTED_VALUE"""),80.91751536927129)</f>
        <v>80.91751537</v>
      </c>
      <c r="T241" s="80">
        <f>IFERROR(__xludf.DUMMYFUNCTION("""COMPUTED_VALUE"""),81.5373563268254)</f>
        <v>81.53735633</v>
      </c>
      <c r="U241" s="71">
        <f>IFERROR(__xludf.DUMMYFUNCTION("""COMPUTED_VALUE"""),811.0)</f>
        <v>811</v>
      </c>
      <c r="V241" s="78">
        <f>IFERROR(__xludf.DUMMYFUNCTION("""COMPUTED_VALUE"""),0.46249999999417923)</f>
        <v>0.4625</v>
      </c>
      <c r="W241" s="62">
        <f>IFERROR(__xludf.DUMMYFUNCTION("""COMPUTED_VALUE"""),73.0630630639826)</f>
        <v>73.06306306</v>
      </c>
      <c r="X241" s="80">
        <f>IFERROR(__xludf.DUMMYFUNCTION("""COMPUTED_VALUE"""),81.22743584804834)</f>
        <v>81.22743585</v>
      </c>
      <c r="Y241" s="109">
        <f>IFERROR(__xludf.DUMMYFUNCTION("""COMPUTED_VALUE"""),1.1718131584111353)</f>
        <v>1.171813158</v>
      </c>
      <c r="Z241" s="71"/>
      <c r="AA241" s="71"/>
      <c r="AB241" s="71"/>
    </row>
    <row r="242">
      <c r="A242" s="105">
        <f>IFERROR(__xludf.DUMMYFUNCTION("""COMPUTED_VALUE"""),46120.39920733796)</f>
        <v>46120.39921</v>
      </c>
      <c r="B242" s="71" t="str">
        <f>IFERROR(__xludf.DUMMYFUNCTION("""COMPUTED_VALUE"""),"Kaylie Forgue")</f>
        <v>Kaylie Forgue</v>
      </c>
      <c r="C242" s="71" t="b">
        <f>IFERROR(__xludf.DUMMYFUNCTION("""COMPUTED_VALUE"""),FALSE)</f>
        <v>0</v>
      </c>
      <c r="D242" s="132">
        <f>IFERROR(__xludf.DUMMYFUNCTION("""COMPUTED_VALUE"""),0.31597222221898846)</f>
        <v>0.3159722222</v>
      </c>
      <c r="E242" s="78">
        <f>IFERROR(__xludf.DUMMYFUNCTION("""COMPUTED_VALUE"""),0.07986111111677019)</f>
        <v>0.07986111112</v>
      </c>
      <c r="F242" s="132">
        <f>IFERROR(__xludf.DUMMYFUNCTION("""COMPUTED_VALUE"""),0.39583333333575865)</f>
        <v>0.3958333333</v>
      </c>
      <c r="G242" s="78">
        <f>IFERROR(__xludf.DUMMYFUNCTION("""COMPUTED_VALUE"""),0.11111111111677019)</f>
        <v>0.1111111111</v>
      </c>
      <c r="H242" s="71">
        <f>IFERROR(__xludf.DUMMYFUNCTION("""COMPUTED_VALUE"""),156.0)</f>
        <v>156</v>
      </c>
      <c r="I242" s="80">
        <f>IFERROR(__xludf.DUMMYFUNCTION("""COMPUTED_VALUE"""),74.24999999621832)</f>
        <v>74.25</v>
      </c>
      <c r="J242" s="71" t="str">
        <f>IFERROR(__xludf.DUMMYFUNCTION("""COMPUTED_VALUE"""),"Breakfast")</f>
        <v>Breakfast</v>
      </c>
      <c r="K242" s="106">
        <f>IFERROR(__xludf.DUMMYFUNCTION("""COMPUTED_VALUE"""),46120.0)</f>
        <v>46120</v>
      </c>
      <c r="L242" s="71" t="str">
        <f>IFERROR(__xludf.DUMMYFUNCTION("""COMPUTED_VALUE"""),"Wednesday")</f>
        <v>Wednesday</v>
      </c>
      <c r="M242" s="71" t="str">
        <f>IFERROR(__xludf.DUMMYFUNCTION("""COMPUTED_VALUE"""),"BF")</f>
        <v>BF</v>
      </c>
      <c r="N242" s="109">
        <f>IFERROR(__xludf.DUMMYFUNCTION("""COMPUTED_VALUE"""),2.6189876316204037)</f>
        <v>2.618987632</v>
      </c>
      <c r="O242" s="71" t="str">
        <f>IFERROR(__xludf.DUMMYFUNCTION("""COMPUTED_VALUE"""),"")</f>
        <v/>
      </c>
      <c r="P242" s="71" t="str">
        <f>IFERROR(__xludf.DUMMYFUNCTION("""COMPUTED_VALUE"""),"")</f>
        <v/>
      </c>
      <c r="Q242" s="78" t="str">
        <f>IFERROR(__xludf.DUMMYFUNCTION("""COMPUTED_VALUE"""),"")</f>
        <v/>
      </c>
      <c r="R242" s="78" t="str">
        <f>IFERROR(__xludf.DUMMYFUNCTION("""COMPUTED_VALUE"""),"")</f>
        <v/>
      </c>
      <c r="S242" s="80" t="str">
        <f>IFERROR(__xludf.DUMMYFUNCTION("""COMPUTED_VALUE"""),"")</f>
        <v/>
      </c>
      <c r="T242" s="80" t="str">
        <f>IFERROR(__xludf.DUMMYFUNCTION("""COMPUTED_VALUE"""),"")</f>
        <v/>
      </c>
      <c r="U242" s="71" t="str">
        <f>IFERROR(__xludf.DUMMYFUNCTION("""COMPUTED_VALUE"""),"")</f>
        <v/>
      </c>
      <c r="V242" s="78" t="str">
        <f>IFERROR(__xludf.DUMMYFUNCTION("""COMPUTED_VALUE"""),"")</f>
        <v/>
      </c>
      <c r="W242" s="62" t="str">
        <f>IFERROR(__xludf.DUMMYFUNCTION("""COMPUTED_VALUE"""),"")</f>
        <v/>
      </c>
      <c r="X242" s="80" t="str">
        <f>IFERROR(__xludf.DUMMYFUNCTION("""COMPUTED_VALUE"""),"")</f>
        <v/>
      </c>
      <c r="Y242" s="109" t="str">
        <f>IFERROR(__xludf.DUMMYFUNCTION("""COMPUTED_VALUE"""),"")</f>
        <v/>
      </c>
      <c r="Z242" s="71"/>
      <c r="AA242" s="71"/>
      <c r="AB242" s="71"/>
    </row>
    <row r="243">
      <c r="A243" s="105">
        <f>IFERROR(__xludf.DUMMYFUNCTION("""COMPUTED_VALUE"""),46120.4317004051)</f>
        <v>46120.4317</v>
      </c>
      <c r="B243" s="71" t="str">
        <f>IFERROR(__xludf.DUMMYFUNCTION("""COMPUTED_VALUE"""),"Kaylie Forgue")</f>
        <v>Kaylie Forgue</v>
      </c>
      <c r="C243" s="71" t="b">
        <f>IFERROR(__xludf.DUMMYFUNCTION("""COMPUTED_VALUE"""),TRUE)</f>
        <v>1</v>
      </c>
      <c r="D243" s="132">
        <f>IFERROR(__xludf.DUMMYFUNCTION("""COMPUTED_VALUE"""),0.39722222222189885)</f>
        <v>0.3972222222</v>
      </c>
      <c r="E243" s="78">
        <f>IFERROR(__xludf.DUMMYFUNCTION("""COMPUTED_VALUE"""),0.03125)</f>
        <v>0.03125</v>
      </c>
      <c r="F243" s="132">
        <f>IFERROR(__xludf.DUMMYFUNCTION("""COMPUTED_VALUE"""),0.42847222222189885)</f>
        <v>0.4284722222</v>
      </c>
      <c r="G243" s="78" t="str">
        <f>IFERROR(__xludf.DUMMYFUNCTION("""COMPUTED_VALUE"""),"")</f>
        <v/>
      </c>
      <c r="H243" s="71">
        <f>IFERROR(__xludf.DUMMYFUNCTION("""COMPUTED_VALUE"""),42.0)</f>
        <v>42</v>
      </c>
      <c r="I243" s="80" t="str">
        <f>IFERROR(__xludf.DUMMYFUNCTION("""COMPUTED_VALUE"""),"")</f>
        <v/>
      </c>
      <c r="J243" s="71" t="str">
        <f>IFERROR(__xludf.DUMMYFUNCTION("""COMPUTED_VALUE"""),"Breakfast")</f>
        <v>Breakfast</v>
      </c>
      <c r="K243" s="106">
        <f>IFERROR(__xludf.DUMMYFUNCTION("""COMPUTED_VALUE"""),46120.0)</f>
        <v>46120</v>
      </c>
      <c r="L243" s="71" t="str">
        <f>IFERROR(__xludf.DUMMYFUNCTION("""COMPUTED_VALUE"""),"Wednesday")</f>
        <v>Wednesday</v>
      </c>
      <c r="M243" s="71" t="str">
        <f>IFERROR(__xludf.DUMMYFUNCTION("""COMPUTED_VALUE"""),"BF")</f>
        <v>BF</v>
      </c>
      <c r="N243" s="109" t="str">
        <f>IFERROR(__xludf.DUMMYFUNCTION("""COMPUTED_VALUE"""),"")</f>
        <v/>
      </c>
      <c r="O243" s="71" t="str">
        <f>IFERROR(__xludf.DUMMYFUNCTION("""COMPUTED_VALUE"""),"")</f>
        <v/>
      </c>
      <c r="P243" s="71" t="str">
        <f>IFERROR(__xludf.DUMMYFUNCTION("""COMPUTED_VALUE"""),"")</f>
        <v/>
      </c>
      <c r="Q243" s="78" t="str">
        <f>IFERROR(__xludf.DUMMYFUNCTION("""COMPUTED_VALUE"""),"")</f>
        <v/>
      </c>
      <c r="R243" s="78" t="str">
        <f>IFERROR(__xludf.DUMMYFUNCTION("""COMPUTED_VALUE"""),"")</f>
        <v/>
      </c>
      <c r="S243" s="80" t="str">
        <f>IFERROR(__xludf.DUMMYFUNCTION("""COMPUTED_VALUE"""),"")</f>
        <v/>
      </c>
      <c r="T243" s="80" t="str">
        <f>IFERROR(__xludf.DUMMYFUNCTION("""COMPUTED_VALUE"""),"")</f>
        <v/>
      </c>
      <c r="U243" s="71" t="str">
        <f>IFERROR(__xludf.DUMMYFUNCTION("""COMPUTED_VALUE"""),"")</f>
        <v/>
      </c>
      <c r="V243" s="78" t="str">
        <f>IFERROR(__xludf.DUMMYFUNCTION("""COMPUTED_VALUE"""),"")</f>
        <v/>
      </c>
      <c r="W243" s="62" t="str">
        <f>IFERROR(__xludf.DUMMYFUNCTION("""COMPUTED_VALUE"""),"")</f>
        <v/>
      </c>
      <c r="X243" s="80" t="str">
        <f>IFERROR(__xludf.DUMMYFUNCTION("""COMPUTED_VALUE"""),"")</f>
        <v/>
      </c>
      <c r="Y243" s="109" t="str">
        <f>IFERROR(__xludf.DUMMYFUNCTION("""COMPUTED_VALUE"""),"")</f>
        <v/>
      </c>
      <c r="Z243" s="71"/>
      <c r="AA243" s="71"/>
      <c r="AB243" s="71"/>
    </row>
    <row r="244">
      <c r="A244" s="105">
        <f>IFERROR(__xludf.DUMMYFUNCTION("""COMPUTED_VALUE"""),46120.47689122685)</f>
        <v>46120.47689</v>
      </c>
      <c r="B244" s="71" t="str">
        <f>IFERROR(__xludf.DUMMYFUNCTION("""COMPUTED_VALUE"""),"Oluwatimilehin Shodipe")</f>
        <v>Oluwatimilehin Shodipe</v>
      </c>
      <c r="C244" s="71" t="b">
        <f>IFERROR(__xludf.DUMMYFUNCTION("""COMPUTED_VALUE"""),FALSE)</f>
        <v>0</v>
      </c>
      <c r="D244" s="132">
        <f>IFERROR(__xludf.DUMMYFUNCTION("""COMPUTED_VALUE"""),0.4305555555547471)</f>
        <v>0.4305555556</v>
      </c>
      <c r="E244" s="78">
        <f>IFERROR(__xludf.DUMMYFUNCTION("""COMPUTED_VALUE"""),0.04861111110949423)</f>
        <v>0.04861111111</v>
      </c>
      <c r="F244" s="132">
        <f>IFERROR(__xludf.DUMMYFUNCTION("""COMPUTED_VALUE"""),0.47916666666424135)</f>
        <v>0.4791666667</v>
      </c>
      <c r="G244" s="78">
        <f>IFERROR(__xludf.DUMMYFUNCTION("""COMPUTED_VALUE"""),0.04861111110949423)</f>
        <v>0.04861111111</v>
      </c>
      <c r="H244" s="71">
        <f>IFERROR(__xludf.DUMMYFUNCTION("""COMPUTED_VALUE"""),84.0)</f>
        <v>84</v>
      </c>
      <c r="I244" s="80">
        <f>IFERROR(__xludf.DUMMYFUNCTION("""COMPUTED_VALUE"""),72.00000000239483)</f>
        <v>72</v>
      </c>
      <c r="J244" s="71" t="str">
        <f>IFERROR(__xludf.DUMMYFUNCTION("""COMPUTED_VALUE"""),"Breakfast/Lunch")</f>
        <v>Breakfast/Lunch</v>
      </c>
      <c r="K244" s="106">
        <f>IFERROR(__xludf.DUMMYFUNCTION("""COMPUTED_VALUE"""),46120.0)</f>
        <v>46120</v>
      </c>
      <c r="L244" s="71" t="str">
        <f>IFERROR(__xludf.DUMMYFUNCTION("""COMPUTED_VALUE"""),"Wednesday")</f>
        <v>Wednesday</v>
      </c>
      <c r="M244" s="71" t="str">
        <f>IFERROR(__xludf.DUMMYFUNCTION("""COMPUTED_VALUE"""),"BF")</f>
        <v>BF</v>
      </c>
      <c r="N244" s="109">
        <f>IFERROR(__xludf.DUMMYFUNCTION("""COMPUTED_VALUE"""),1.907529636736538)</f>
        <v>1.907529637</v>
      </c>
      <c r="O244" s="71" t="str">
        <f>IFERROR(__xludf.DUMMYFUNCTION("""COMPUTED_VALUE"""),"")</f>
        <v/>
      </c>
      <c r="P244" s="71" t="str">
        <f>IFERROR(__xludf.DUMMYFUNCTION("""COMPUTED_VALUE"""),"")</f>
        <v/>
      </c>
      <c r="Q244" s="78" t="str">
        <f>IFERROR(__xludf.DUMMYFUNCTION("""COMPUTED_VALUE"""),"")</f>
        <v/>
      </c>
      <c r="R244" s="78" t="str">
        <f>IFERROR(__xludf.DUMMYFUNCTION("""COMPUTED_VALUE"""),"")</f>
        <v/>
      </c>
      <c r="S244" s="80" t="str">
        <f>IFERROR(__xludf.DUMMYFUNCTION("""COMPUTED_VALUE"""),"")</f>
        <v/>
      </c>
      <c r="T244" s="80" t="str">
        <f>IFERROR(__xludf.DUMMYFUNCTION("""COMPUTED_VALUE"""),"")</f>
        <v/>
      </c>
      <c r="U244" s="71" t="str">
        <f>IFERROR(__xludf.DUMMYFUNCTION("""COMPUTED_VALUE"""),"")</f>
        <v/>
      </c>
      <c r="V244" s="78" t="str">
        <f>IFERROR(__xludf.DUMMYFUNCTION("""COMPUTED_VALUE"""),"")</f>
        <v/>
      </c>
      <c r="W244" s="62" t="str">
        <f>IFERROR(__xludf.DUMMYFUNCTION("""COMPUTED_VALUE"""),"")</f>
        <v/>
      </c>
      <c r="X244" s="80" t="str">
        <f>IFERROR(__xludf.DUMMYFUNCTION("""COMPUTED_VALUE"""),"")</f>
        <v/>
      </c>
      <c r="Y244" s="109" t="str">
        <f>IFERROR(__xludf.DUMMYFUNCTION("""COMPUTED_VALUE"""),"")</f>
        <v/>
      </c>
      <c r="Z244" s="71"/>
      <c r="AA244" s="71"/>
      <c r="AB244" s="71"/>
    </row>
    <row r="245">
      <c r="A245" s="105">
        <f>IFERROR(__xludf.DUMMYFUNCTION("""COMPUTED_VALUE"""),46120.50712494213)</f>
        <v>46120.50712</v>
      </c>
      <c r="B245" s="71" t="str">
        <f>IFERROR(__xludf.DUMMYFUNCTION("""COMPUTED_VALUE"""),"Oluwatimilehin Shodipe")</f>
        <v>Oluwatimilehin Shodipe</v>
      </c>
      <c r="C245" s="71" t="b">
        <f>IFERROR(__xludf.DUMMYFUNCTION("""COMPUTED_VALUE"""),FALSE)</f>
        <v>0</v>
      </c>
      <c r="D245" s="132">
        <f>IFERROR(__xludf.DUMMYFUNCTION("""COMPUTED_VALUE"""),0.48402777777664596)</f>
        <v>0.4840277778</v>
      </c>
      <c r="E245" s="78">
        <f>IFERROR(__xludf.DUMMYFUNCTION("""COMPUTED_VALUE"""),0.026388888887595385)</f>
        <v>0.02638888889</v>
      </c>
      <c r="F245" s="132">
        <f>IFERROR(__xludf.DUMMYFUNCTION("""COMPUTED_VALUE"""),0.5104166666642413)</f>
        <v>0.5104166667</v>
      </c>
      <c r="G245" s="78">
        <f>IFERROR(__xludf.DUMMYFUNCTION("""COMPUTED_VALUE"""),0.026388888887595385)</f>
        <v>0.02638888889</v>
      </c>
      <c r="H245" s="71">
        <f>IFERROR(__xludf.DUMMYFUNCTION("""COMPUTED_VALUE"""),22.0)</f>
        <v>22</v>
      </c>
      <c r="I245" s="80">
        <f>IFERROR(__xludf.DUMMYFUNCTION("""COMPUTED_VALUE"""),34.73684210696585)</f>
        <v>34.73684211</v>
      </c>
      <c r="J245" s="71" t="str">
        <f>IFERROR(__xludf.DUMMYFUNCTION("""COMPUTED_VALUE"""),"Lunch")</f>
        <v>Lunch</v>
      </c>
      <c r="K245" s="106">
        <f>IFERROR(__xludf.DUMMYFUNCTION("""COMPUTED_VALUE"""),46120.0)</f>
        <v>46120</v>
      </c>
      <c r="L245" s="71" t="str">
        <f>IFERROR(__xludf.DUMMYFUNCTION("""COMPUTED_VALUE"""),"Wednesday")</f>
        <v>Wednesday</v>
      </c>
      <c r="M245" s="71" t="str">
        <f>IFERROR(__xludf.DUMMYFUNCTION("""COMPUTED_VALUE"""),"MF")</f>
        <v>MF</v>
      </c>
      <c r="N245" s="109">
        <f>IFERROR(__xludf.DUMMYFUNCTION("""COMPUTED_VALUE"""),0.690902411794904)</f>
        <v>0.6909024118</v>
      </c>
      <c r="O245" s="71" t="str">
        <f>IFERROR(__xludf.DUMMYFUNCTION("""COMPUTED_VALUE"""),"")</f>
        <v/>
      </c>
      <c r="P245" s="71" t="str">
        <f>IFERROR(__xludf.DUMMYFUNCTION("""COMPUTED_VALUE"""),"")</f>
        <v/>
      </c>
      <c r="Q245" s="78" t="str">
        <f>IFERROR(__xludf.DUMMYFUNCTION("""COMPUTED_VALUE"""),"")</f>
        <v/>
      </c>
      <c r="R245" s="78" t="str">
        <f>IFERROR(__xludf.DUMMYFUNCTION("""COMPUTED_VALUE"""),"")</f>
        <v/>
      </c>
      <c r="S245" s="80" t="str">
        <f>IFERROR(__xludf.DUMMYFUNCTION("""COMPUTED_VALUE"""),"")</f>
        <v/>
      </c>
      <c r="T245" s="80" t="str">
        <f>IFERROR(__xludf.DUMMYFUNCTION("""COMPUTED_VALUE"""),"")</f>
        <v/>
      </c>
      <c r="U245" s="71" t="str">
        <f>IFERROR(__xludf.DUMMYFUNCTION("""COMPUTED_VALUE"""),"")</f>
        <v/>
      </c>
      <c r="V245" s="78" t="str">
        <f>IFERROR(__xludf.DUMMYFUNCTION("""COMPUTED_VALUE"""),"")</f>
        <v/>
      </c>
      <c r="W245" s="62" t="str">
        <f>IFERROR(__xludf.DUMMYFUNCTION("""COMPUTED_VALUE"""),"")</f>
        <v/>
      </c>
      <c r="X245" s="80" t="str">
        <f>IFERROR(__xludf.DUMMYFUNCTION("""COMPUTED_VALUE"""),"")</f>
        <v/>
      </c>
      <c r="Y245" s="109" t="str">
        <f>IFERROR(__xludf.DUMMYFUNCTION("""COMPUTED_VALUE"""),"")</f>
        <v/>
      </c>
      <c r="Z245" s="71"/>
      <c r="AA245" s="71"/>
      <c r="AB245" s="71"/>
    </row>
    <row r="246">
      <c r="A246" s="105">
        <f>IFERROR(__xludf.DUMMYFUNCTION("""COMPUTED_VALUE"""),46120.61914134259)</f>
        <v>46120.61914</v>
      </c>
      <c r="B246" s="71" t="str">
        <f>IFERROR(__xludf.DUMMYFUNCTION("""COMPUTED_VALUE"""),"Evan Morgan")</f>
        <v>Evan Morgan</v>
      </c>
      <c r="C246" s="71" t="b">
        <f>IFERROR(__xludf.DUMMYFUNCTION("""COMPUTED_VALUE"""),FALSE)</f>
        <v>0</v>
      </c>
      <c r="D246" s="132">
        <f>IFERROR(__xludf.DUMMYFUNCTION("""COMPUTED_VALUE"""),0.5416666666642413)</f>
        <v>0.5416666667</v>
      </c>
      <c r="E246" s="78">
        <f>IFERROR(__xludf.DUMMYFUNCTION("""COMPUTED_VALUE"""),0.08333333333575865)</f>
        <v>0.08333333334</v>
      </c>
      <c r="F246" s="132">
        <f>IFERROR(__xludf.DUMMYFUNCTION("""COMPUTED_VALUE"""),0.625)</f>
        <v>0.625</v>
      </c>
      <c r="G246" s="78">
        <f>IFERROR(__xludf.DUMMYFUNCTION("""COMPUTED_VALUE"""),0.08333333333575865)</f>
        <v>0.08333333334</v>
      </c>
      <c r="H246" s="71">
        <f>IFERROR(__xludf.DUMMYFUNCTION("""COMPUTED_VALUE"""),75.0)</f>
        <v>75</v>
      </c>
      <c r="I246" s="80">
        <f>IFERROR(__xludf.DUMMYFUNCTION("""COMPUTED_VALUE"""),37.499999998908606)</f>
        <v>37.5</v>
      </c>
      <c r="J246" s="71" t="str">
        <f>IFERROR(__xludf.DUMMYFUNCTION("""COMPUTED_VALUE"""),"Lunch")</f>
        <v>Lunch</v>
      </c>
      <c r="K246" s="106">
        <f>IFERROR(__xludf.DUMMYFUNCTION("""COMPUTED_VALUE"""),46120.0)</f>
        <v>46120</v>
      </c>
      <c r="L246" s="71" t="str">
        <f>IFERROR(__xludf.DUMMYFUNCTION("""COMPUTED_VALUE"""),"Wednesday")</f>
        <v>Wednesday</v>
      </c>
      <c r="M246" s="71" t="str">
        <f>IFERROR(__xludf.DUMMYFUNCTION("""COMPUTED_VALUE"""),"MF")</f>
        <v>MF</v>
      </c>
      <c r="N246" s="109">
        <f>IFERROR(__xludf.DUMMYFUNCTION("""COMPUTED_VALUE"""),0.7458605581294132)</f>
        <v>0.7458605581</v>
      </c>
      <c r="O246" s="71" t="str">
        <f>IFERROR(__xludf.DUMMYFUNCTION("""COMPUTED_VALUE"""),"")</f>
        <v/>
      </c>
      <c r="P246" s="71" t="str">
        <f>IFERROR(__xludf.DUMMYFUNCTION("""COMPUTED_VALUE"""),"")</f>
        <v/>
      </c>
      <c r="Q246" s="78" t="str">
        <f>IFERROR(__xludf.DUMMYFUNCTION("""COMPUTED_VALUE"""),"")</f>
        <v/>
      </c>
      <c r="R246" s="78" t="str">
        <f>IFERROR(__xludf.DUMMYFUNCTION("""COMPUTED_VALUE"""),"")</f>
        <v/>
      </c>
      <c r="S246" s="80" t="str">
        <f>IFERROR(__xludf.DUMMYFUNCTION("""COMPUTED_VALUE"""),"")</f>
        <v/>
      </c>
      <c r="T246" s="80" t="str">
        <f>IFERROR(__xludf.DUMMYFUNCTION("""COMPUTED_VALUE"""),"")</f>
        <v/>
      </c>
      <c r="U246" s="71" t="str">
        <f>IFERROR(__xludf.DUMMYFUNCTION("""COMPUTED_VALUE"""),"")</f>
        <v/>
      </c>
      <c r="V246" s="78" t="str">
        <f>IFERROR(__xludf.DUMMYFUNCTION("""COMPUTED_VALUE"""),"")</f>
        <v/>
      </c>
      <c r="W246" s="62" t="str">
        <f>IFERROR(__xludf.DUMMYFUNCTION("""COMPUTED_VALUE"""),"")</f>
        <v/>
      </c>
      <c r="X246" s="80" t="str">
        <f>IFERROR(__xludf.DUMMYFUNCTION("""COMPUTED_VALUE"""),"")</f>
        <v/>
      </c>
      <c r="Y246" s="109" t="str">
        <f>IFERROR(__xludf.DUMMYFUNCTION("""COMPUTED_VALUE"""),"")</f>
        <v/>
      </c>
      <c r="Z246" s="71"/>
      <c r="AA246" s="71"/>
      <c r="AB246" s="71"/>
    </row>
    <row r="247">
      <c r="A247" s="105">
        <f>IFERROR(__xludf.DUMMYFUNCTION("""COMPUTED_VALUE"""),46120.7420675926)</f>
        <v>46120.74207</v>
      </c>
      <c r="B247" s="71" t="str">
        <f>IFERROR(__xludf.DUMMYFUNCTION("""COMPUTED_VALUE"""),"Evan Morgan")</f>
        <v>Evan Morgan</v>
      </c>
      <c r="C247" s="71" t="b">
        <f>IFERROR(__xludf.DUMMYFUNCTION("""COMPUTED_VALUE"""),FALSE)</f>
        <v>0</v>
      </c>
      <c r="D247" s="132">
        <f>IFERROR(__xludf.DUMMYFUNCTION("""COMPUTED_VALUE"""),0.6666666666642413)</f>
        <v>0.6666666667</v>
      </c>
      <c r="E247" s="78">
        <f>IFERROR(__xludf.DUMMYFUNCTION("""COMPUTED_VALUE"""),0.06944444444525288)</f>
        <v>0.06944444445</v>
      </c>
      <c r="F247" s="132">
        <f>IFERROR(__xludf.DUMMYFUNCTION("""COMPUTED_VALUE"""),0.7361111111094942)</f>
        <v>0.7361111111</v>
      </c>
      <c r="G247" s="78">
        <f>IFERROR(__xludf.DUMMYFUNCTION("""COMPUTED_VALUE"""),0.06944444444525288)</f>
        <v>0.06944444445</v>
      </c>
      <c r="H247" s="71">
        <f>IFERROR(__xludf.DUMMYFUNCTION("""COMPUTED_VALUE"""),115.0)</f>
        <v>115</v>
      </c>
      <c r="I247" s="80">
        <f>IFERROR(__xludf.DUMMYFUNCTION("""COMPUTED_VALUE"""),68.99999999919673)</f>
        <v>69</v>
      </c>
      <c r="J247" s="71" t="str">
        <f>IFERROR(__xludf.DUMMYFUNCTION("""COMPUTED_VALUE"""),"Dinner")</f>
        <v>Dinner</v>
      </c>
      <c r="K247" s="106">
        <f>IFERROR(__xludf.DUMMYFUNCTION("""COMPUTED_VALUE"""),46120.0)</f>
        <v>46120</v>
      </c>
      <c r="L247" s="71" t="str">
        <f>IFERROR(__xludf.DUMMYFUNCTION("""COMPUTED_VALUE"""),"Wednesday")</f>
        <v>Wednesday</v>
      </c>
      <c r="M247" s="71" t="str">
        <f>IFERROR(__xludf.DUMMYFUNCTION("""COMPUTED_VALUE"""),"MF")</f>
        <v>MF</v>
      </c>
      <c r="N247" s="109">
        <f>IFERROR(__xludf.DUMMYFUNCTION("""COMPUTED_VALUE"""),1.4877204876146384)</f>
        <v>1.487720488</v>
      </c>
      <c r="O247" s="71" t="str">
        <f>IFERROR(__xludf.DUMMYFUNCTION("""COMPUTED_VALUE"""),"")</f>
        <v/>
      </c>
      <c r="P247" s="71" t="str">
        <f>IFERROR(__xludf.DUMMYFUNCTION("""COMPUTED_VALUE"""),"")</f>
        <v/>
      </c>
      <c r="Q247" s="78" t="str">
        <f>IFERROR(__xludf.DUMMYFUNCTION("""COMPUTED_VALUE"""),"")</f>
        <v/>
      </c>
      <c r="R247" s="78" t="str">
        <f>IFERROR(__xludf.DUMMYFUNCTION("""COMPUTED_VALUE"""),"")</f>
        <v/>
      </c>
      <c r="S247" s="80" t="str">
        <f>IFERROR(__xludf.DUMMYFUNCTION("""COMPUTED_VALUE"""),"")</f>
        <v/>
      </c>
      <c r="T247" s="80" t="str">
        <f>IFERROR(__xludf.DUMMYFUNCTION("""COMPUTED_VALUE"""),"")</f>
        <v/>
      </c>
      <c r="U247" s="71" t="str">
        <f>IFERROR(__xludf.DUMMYFUNCTION("""COMPUTED_VALUE"""),"")</f>
        <v/>
      </c>
      <c r="V247" s="78" t="str">
        <f>IFERROR(__xludf.DUMMYFUNCTION("""COMPUTED_VALUE"""),"")</f>
        <v/>
      </c>
      <c r="W247" s="62" t="str">
        <f>IFERROR(__xludf.DUMMYFUNCTION("""COMPUTED_VALUE"""),"")</f>
        <v/>
      </c>
      <c r="X247" s="80" t="str">
        <f>IFERROR(__xludf.DUMMYFUNCTION("""COMPUTED_VALUE"""),"")</f>
        <v/>
      </c>
      <c r="Y247" s="109" t="str">
        <f>IFERROR(__xludf.DUMMYFUNCTION("""COMPUTED_VALUE"""),"")</f>
        <v/>
      </c>
      <c r="Z247" s="71"/>
      <c r="AA247" s="71"/>
      <c r="AB247" s="71"/>
    </row>
    <row r="248">
      <c r="A248" s="105">
        <f>IFERROR(__xludf.DUMMYFUNCTION("""COMPUTED_VALUE"""),46120.84776052083)</f>
        <v>46120.84776</v>
      </c>
      <c r="B248" s="71" t="str">
        <f>IFERROR(__xludf.DUMMYFUNCTION("""COMPUTED_VALUE"""),"Maureen Surgot")</f>
        <v>Maureen Surgot</v>
      </c>
      <c r="C248" s="71" t="b">
        <f>IFERROR(__xludf.DUMMYFUNCTION("""COMPUTED_VALUE"""),FALSE)</f>
        <v>0</v>
      </c>
      <c r="D248" s="132">
        <f>IFERROR(__xludf.DUMMYFUNCTION("""COMPUTED_VALUE"""),0.6875)</f>
        <v>0.6875</v>
      </c>
      <c r="E248" s="78">
        <f>IFERROR(__xludf.DUMMYFUNCTION("""COMPUTED_VALUE"""),0.16666666666424135)</f>
        <v>0.1666666667</v>
      </c>
      <c r="F248" s="132">
        <f>IFERROR(__xludf.DUMMYFUNCTION("""COMPUTED_VALUE"""),0.8541666666642413)</f>
        <v>0.8541666667</v>
      </c>
      <c r="G248" s="78">
        <f>IFERROR(__xludf.DUMMYFUNCTION("""COMPUTED_VALUE"""),0.16666666666424135)</f>
        <v>0.1666666667</v>
      </c>
      <c r="H248" s="71">
        <f>IFERROR(__xludf.DUMMYFUNCTION("""COMPUTED_VALUE"""),135.0)</f>
        <v>135</v>
      </c>
      <c r="I248" s="80">
        <f>IFERROR(__xludf.DUMMYFUNCTION("""COMPUTED_VALUE"""),33.75000000049113)</f>
        <v>33.75</v>
      </c>
      <c r="J248" s="71" t="str">
        <f>IFERROR(__xludf.DUMMYFUNCTION("""COMPUTED_VALUE"""),"Dinner")</f>
        <v>Dinner</v>
      </c>
      <c r="K248" s="106">
        <f>IFERROR(__xludf.DUMMYFUNCTION("""COMPUTED_VALUE"""),46120.0)</f>
        <v>46120</v>
      </c>
      <c r="L248" s="71" t="str">
        <f>IFERROR(__xludf.DUMMYFUNCTION("""COMPUTED_VALUE"""),"Wednesday")</f>
        <v>Wednesday</v>
      </c>
      <c r="M248" s="71" t="str">
        <f>IFERROR(__xludf.DUMMYFUNCTION("""COMPUTED_VALUE"""),"BF")</f>
        <v>BF</v>
      </c>
      <c r="N248" s="109">
        <f>IFERROR(__xludf.DUMMYFUNCTION("""COMPUTED_VALUE"""),0.7595907928388747)</f>
        <v>0.7595907928</v>
      </c>
      <c r="O248" s="71">
        <f>IFERROR(__xludf.DUMMYFUNCTION("""COMPUTED_VALUE"""),212.0)</f>
        <v>212</v>
      </c>
      <c r="P248" s="71">
        <f>IFERROR(__xludf.DUMMYFUNCTION("""COMPUTED_VALUE"""),417.0)</f>
        <v>417</v>
      </c>
      <c r="Q248" s="78">
        <f>IFERROR(__xludf.DUMMYFUNCTION("""COMPUTED_VALUE"""),0.17916666666860692)</f>
        <v>0.1791666667</v>
      </c>
      <c r="R248" s="78">
        <f>IFERROR(__xludf.DUMMYFUNCTION("""COMPUTED_VALUE"""),0.32638888889050577)</f>
        <v>0.3263888889</v>
      </c>
      <c r="S248" s="80">
        <f>IFERROR(__xludf.DUMMYFUNCTION("""COMPUTED_VALUE"""),47.07894736835706)</f>
        <v>47.07894737</v>
      </c>
      <c r="T248" s="80">
        <f>IFERROR(__xludf.DUMMYFUNCTION("""COMPUTED_VALUE"""),59.99999999970142)</f>
        <v>60</v>
      </c>
      <c r="U248" s="71">
        <f>IFERROR(__xludf.DUMMYFUNCTION("""COMPUTED_VALUE"""),629.0)</f>
        <v>629</v>
      </c>
      <c r="V248" s="78">
        <f>IFERROR(__xludf.DUMMYFUNCTION("""COMPUTED_VALUE"""),0.5055555555591127)</f>
        <v>0.5055555556</v>
      </c>
      <c r="W248" s="62">
        <f>IFERROR(__xludf.DUMMYFUNCTION("""COMPUTED_VALUE"""),51.840659340294586)</f>
        <v>51.84065934</v>
      </c>
      <c r="X248" s="80">
        <f>IFERROR(__xludf.DUMMYFUNCTION("""COMPUTED_VALUE"""),53.53947368402925)</f>
        <v>53.53947368</v>
      </c>
      <c r="Y248" s="109">
        <f>IFERROR(__xludf.DUMMYFUNCTION("""COMPUTED_VALUE"""),0.9541306912234709)</f>
        <v>0.9541306912</v>
      </c>
      <c r="Z248" s="71"/>
      <c r="AA248" s="71"/>
      <c r="AB248" s="71"/>
    </row>
    <row r="249">
      <c r="A249" s="105">
        <f>IFERROR(__xludf.DUMMYFUNCTION("""COMPUTED_VALUE"""),46121.377390208334)</f>
        <v>46121.37739</v>
      </c>
      <c r="B249" s="71" t="str">
        <f>IFERROR(__xludf.DUMMYFUNCTION("""COMPUTED_VALUE"""),"Evan Morgan")</f>
        <v>Evan Morgan</v>
      </c>
      <c r="C249" s="71" t="b">
        <f>IFERROR(__xludf.DUMMYFUNCTION("""COMPUTED_VALUE"""),FALSE)</f>
        <v>0</v>
      </c>
      <c r="D249" s="132">
        <f>IFERROR(__xludf.DUMMYFUNCTION("""COMPUTED_VALUE"""),0.29166666666424135)</f>
        <v>0.2916666667</v>
      </c>
      <c r="E249" s="78">
        <f>IFERROR(__xludf.DUMMYFUNCTION("""COMPUTED_VALUE"""),0.0729166666715173)</f>
        <v>0.07291666667</v>
      </c>
      <c r="F249" s="132">
        <f>IFERROR(__xludf.DUMMYFUNCTION("""COMPUTED_VALUE"""),0.36458333333575865)</f>
        <v>0.3645833333</v>
      </c>
      <c r="G249" s="78">
        <f>IFERROR(__xludf.DUMMYFUNCTION("""COMPUTED_VALUE"""),0.0729166666715173)</f>
        <v>0.07291666667</v>
      </c>
      <c r="H249" s="71">
        <f>IFERROR(__xludf.DUMMYFUNCTION("""COMPUTED_VALUE"""),15.0)</f>
        <v>15</v>
      </c>
      <c r="I249" s="80">
        <f>IFERROR(__xludf.DUMMYFUNCTION("""COMPUTED_VALUE"""),8.571428570858373)</f>
        <v>8.571428571</v>
      </c>
      <c r="J249" s="71" t="str">
        <f>IFERROR(__xludf.DUMMYFUNCTION("""COMPUTED_VALUE"""),"Breakfast")</f>
        <v>Breakfast</v>
      </c>
      <c r="K249" s="106">
        <f>IFERROR(__xludf.DUMMYFUNCTION("""COMPUTED_VALUE"""),46121.0)</f>
        <v>46121</v>
      </c>
      <c r="L249" s="71" t="str">
        <f>IFERROR(__xludf.DUMMYFUNCTION("""COMPUTED_VALUE"""),"Thursday")</f>
        <v>Thursday</v>
      </c>
      <c r="M249" s="71" t="str">
        <f>IFERROR(__xludf.DUMMYFUNCTION("""COMPUTED_VALUE"""),"BF")</f>
        <v>BF</v>
      </c>
      <c r="N249" s="109">
        <f>IFERROR(__xludf.DUMMYFUNCTION("""COMPUTED_VALUE"""),0.3023362345257801)</f>
        <v>0.3023362345</v>
      </c>
      <c r="O249" s="71" t="str">
        <f>IFERROR(__xludf.DUMMYFUNCTION("""COMPUTED_VALUE"""),"")</f>
        <v/>
      </c>
      <c r="P249" s="71" t="str">
        <f>IFERROR(__xludf.DUMMYFUNCTION("""COMPUTED_VALUE"""),"")</f>
        <v/>
      </c>
      <c r="Q249" s="78" t="str">
        <f>IFERROR(__xludf.DUMMYFUNCTION("""COMPUTED_VALUE"""),"")</f>
        <v/>
      </c>
      <c r="R249" s="78" t="str">
        <f>IFERROR(__xludf.DUMMYFUNCTION("""COMPUTED_VALUE"""),"")</f>
        <v/>
      </c>
      <c r="S249" s="80" t="str">
        <f>IFERROR(__xludf.DUMMYFUNCTION("""COMPUTED_VALUE"""),"")</f>
        <v/>
      </c>
      <c r="T249" s="80" t="str">
        <f>IFERROR(__xludf.DUMMYFUNCTION("""COMPUTED_VALUE"""),"")</f>
        <v/>
      </c>
      <c r="U249" s="71" t="str">
        <f>IFERROR(__xludf.DUMMYFUNCTION("""COMPUTED_VALUE"""),"")</f>
        <v/>
      </c>
      <c r="V249" s="78" t="str">
        <f>IFERROR(__xludf.DUMMYFUNCTION("""COMPUTED_VALUE"""),"")</f>
        <v/>
      </c>
      <c r="W249" s="62" t="str">
        <f>IFERROR(__xludf.DUMMYFUNCTION("""COMPUTED_VALUE"""),"")</f>
        <v/>
      </c>
      <c r="X249" s="80" t="str">
        <f>IFERROR(__xludf.DUMMYFUNCTION("""COMPUTED_VALUE"""),"")</f>
        <v/>
      </c>
      <c r="Y249" s="109" t="str">
        <f>IFERROR(__xludf.DUMMYFUNCTION("""COMPUTED_VALUE"""),"")</f>
        <v/>
      </c>
      <c r="Z249" s="71"/>
      <c r="AA249" s="71"/>
      <c r="AB249" s="71"/>
    </row>
    <row r="250">
      <c r="A250" s="105">
        <f>IFERROR(__xludf.DUMMYFUNCTION("""COMPUTED_VALUE"""),46121.45251400463)</f>
        <v>46121.45251</v>
      </c>
      <c r="B250" s="71" t="str">
        <f>IFERROR(__xludf.DUMMYFUNCTION("""COMPUTED_VALUE"""),"Sophia Kluck")</f>
        <v>Sophia Kluck</v>
      </c>
      <c r="C250" s="71" t="b">
        <f>IFERROR(__xludf.DUMMYFUNCTION("""COMPUTED_VALUE"""),FALSE)</f>
        <v>0</v>
      </c>
      <c r="D250" s="132">
        <f>IFERROR(__xludf.DUMMYFUNCTION("""COMPUTED_VALUE"""),0.35972222222335404)</f>
        <v>0.3597222222</v>
      </c>
      <c r="E250" s="78">
        <f>IFERROR(__xludf.DUMMYFUNCTION("""COMPUTED_VALUE"""),0.08958333333430346)</f>
        <v>0.08958333333</v>
      </c>
      <c r="F250" s="132">
        <f>IFERROR(__xludf.DUMMYFUNCTION("""COMPUTED_VALUE"""),0.4493055555576575)</f>
        <v>0.4493055556</v>
      </c>
      <c r="G250" s="78">
        <f>IFERROR(__xludf.DUMMYFUNCTION("""COMPUTED_VALUE"""),0.1131944444423425)</f>
        <v>0.1131944444</v>
      </c>
      <c r="H250" s="71">
        <f>IFERROR(__xludf.DUMMYFUNCTION("""COMPUTED_VALUE"""),54.0)</f>
        <v>54</v>
      </c>
      <c r="I250" s="80">
        <f>IFERROR(__xludf.DUMMYFUNCTION("""COMPUTED_VALUE"""),26.50306748515472)</f>
        <v>26.50306749</v>
      </c>
      <c r="J250" s="71" t="str">
        <f>IFERROR(__xludf.DUMMYFUNCTION("""COMPUTED_VALUE"""),"Breakfast")</f>
        <v>Breakfast</v>
      </c>
      <c r="K250" s="106">
        <f>IFERROR(__xludf.DUMMYFUNCTION("""COMPUTED_VALUE"""),46121.0)</f>
        <v>46121</v>
      </c>
      <c r="L250" s="71" t="str">
        <f>IFERROR(__xludf.DUMMYFUNCTION("""COMPUTED_VALUE"""),"Thursday")</f>
        <v>Thursday</v>
      </c>
      <c r="M250" s="71" t="str">
        <f>IFERROR(__xludf.DUMMYFUNCTION("""COMPUTED_VALUE"""),"BF")</f>
        <v>BF</v>
      </c>
      <c r="N250" s="109">
        <f>IFERROR(__xludf.DUMMYFUNCTION("""COMPUTED_VALUE"""),0.9348310565273579)</f>
        <v>0.9348310565</v>
      </c>
      <c r="O250" s="71" t="str">
        <f>IFERROR(__xludf.DUMMYFUNCTION("""COMPUTED_VALUE"""),"")</f>
        <v/>
      </c>
      <c r="P250" s="71" t="str">
        <f>IFERROR(__xludf.DUMMYFUNCTION("""COMPUTED_VALUE"""),"")</f>
        <v/>
      </c>
      <c r="Q250" s="78" t="str">
        <f>IFERROR(__xludf.DUMMYFUNCTION("""COMPUTED_VALUE"""),"")</f>
        <v/>
      </c>
      <c r="R250" s="78" t="str">
        <f>IFERROR(__xludf.DUMMYFUNCTION("""COMPUTED_VALUE"""),"")</f>
        <v/>
      </c>
      <c r="S250" s="80" t="str">
        <f>IFERROR(__xludf.DUMMYFUNCTION("""COMPUTED_VALUE"""),"")</f>
        <v/>
      </c>
      <c r="T250" s="80" t="str">
        <f>IFERROR(__xludf.DUMMYFUNCTION("""COMPUTED_VALUE"""),"")</f>
        <v/>
      </c>
      <c r="U250" s="71" t="str">
        <f>IFERROR(__xludf.DUMMYFUNCTION("""COMPUTED_VALUE"""),"")</f>
        <v/>
      </c>
      <c r="V250" s="78" t="str">
        <f>IFERROR(__xludf.DUMMYFUNCTION("""COMPUTED_VALUE"""),"")</f>
        <v/>
      </c>
      <c r="W250" s="62" t="str">
        <f>IFERROR(__xludf.DUMMYFUNCTION("""COMPUTED_VALUE"""),"")</f>
        <v/>
      </c>
      <c r="X250" s="80" t="str">
        <f>IFERROR(__xludf.DUMMYFUNCTION("""COMPUTED_VALUE"""),"")</f>
        <v/>
      </c>
      <c r="Y250" s="109" t="str">
        <f>IFERROR(__xludf.DUMMYFUNCTION("""COMPUTED_VALUE"""),"")</f>
        <v/>
      </c>
      <c r="Z250" s="71"/>
      <c r="AA250" s="71"/>
      <c r="AB250" s="71"/>
    </row>
    <row r="251">
      <c r="A251" s="105">
        <f>IFERROR(__xludf.DUMMYFUNCTION("""COMPUTED_VALUE"""),46121.47539706019)</f>
        <v>46121.4754</v>
      </c>
      <c r="B251" s="71" t="str">
        <f>IFERROR(__xludf.DUMMYFUNCTION("""COMPUTED_VALUE"""),"Sophia Kluck")</f>
        <v>Sophia Kluck</v>
      </c>
      <c r="C251" s="71" t="b">
        <f>IFERROR(__xludf.DUMMYFUNCTION("""COMPUTED_VALUE"""),TRUE)</f>
        <v>1</v>
      </c>
      <c r="D251" s="132">
        <f>IFERROR(__xludf.DUMMYFUNCTION("""COMPUTED_VALUE"""),0.45138888889050577)</f>
        <v>0.4513888889</v>
      </c>
      <c r="E251" s="78">
        <f>IFERROR(__xludf.DUMMYFUNCTION("""COMPUTED_VALUE"""),0.02361111110803904)</f>
        <v>0.02361111111</v>
      </c>
      <c r="F251" s="132">
        <f>IFERROR(__xludf.DUMMYFUNCTION("""COMPUTED_VALUE"""),0.4749999999985448)</f>
        <v>0.475</v>
      </c>
      <c r="G251" s="78" t="str">
        <f>IFERROR(__xludf.DUMMYFUNCTION("""COMPUTED_VALUE"""),"")</f>
        <v/>
      </c>
      <c r="H251" s="71">
        <f>IFERROR(__xludf.DUMMYFUNCTION("""COMPUTED_VALUE"""),18.0)</f>
        <v>18</v>
      </c>
      <c r="I251" s="80" t="str">
        <f>IFERROR(__xludf.DUMMYFUNCTION("""COMPUTED_VALUE"""),"")</f>
        <v/>
      </c>
      <c r="J251" s="71" t="str">
        <f>IFERROR(__xludf.DUMMYFUNCTION("""COMPUTED_VALUE"""),"Breakfast/Lunch")</f>
        <v>Breakfast/Lunch</v>
      </c>
      <c r="K251" s="106">
        <f>IFERROR(__xludf.DUMMYFUNCTION("""COMPUTED_VALUE"""),46121.0)</f>
        <v>46121</v>
      </c>
      <c r="L251" s="71" t="str">
        <f>IFERROR(__xludf.DUMMYFUNCTION("""COMPUTED_VALUE"""),"Thursday")</f>
        <v>Thursday</v>
      </c>
      <c r="M251" s="71" t="str">
        <f>IFERROR(__xludf.DUMMYFUNCTION("""COMPUTED_VALUE"""),"BF")</f>
        <v>BF</v>
      </c>
      <c r="N251" s="109" t="str">
        <f>IFERROR(__xludf.DUMMYFUNCTION("""COMPUTED_VALUE"""),"")</f>
        <v/>
      </c>
      <c r="O251" s="71" t="str">
        <f>IFERROR(__xludf.DUMMYFUNCTION("""COMPUTED_VALUE"""),"")</f>
        <v/>
      </c>
      <c r="P251" s="71" t="str">
        <f>IFERROR(__xludf.DUMMYFUNCTION("""COMPUTED_VALUE"""),"")</f>
        <v/>
      </c>
      <c r="Q251" s="78" t="str">
        <f>IFERROR(__xludf.DUMMYFUNCTION("""COMPUTED_VALUE"""),"")</f>
        <v/>
      </c>
      <c r="R251" s="78" t="str">
        <f>IFERROR(__xludf.DUMMYFUNCTION("""COMPUTED_VALUE"""),"")</f>
        <v/>
      </c>
      <c r="S251" s="80" t="str">
        <f>IFERROR(__xludf.DUMMYFUNCTION("""COMPUTED_VALUE"""),"")</f>
        <v/>
      </c>
      <c r="T251" s="80" t="str">
        <f>IFERROR(__xludf.DUMMYFUNCTION("""COMPUTED_VALUE"""),"")</f>
        <v/>
      </c>
      <c r="U251" s="71" t="str">
        <f>IFERROR(__xludf.DUMMYFUNCTION("""COMPUTED_VALUE"""),"")</f>
        <v/>
      </c>
      <c r="V251" s="78" t="str">
        <f>IFERROR(__xludf.DUMMYFUNCTION("""COMPUTED_VALUE"""),"")</f>
        <v/>
      </c>
      <c r="W251" s="62" t="str">
        <f>IFERROR(__xludf.DUMMYFUNCTION("""COMPUTED_VALUE"""),"")</f>
        <v/>
      </c>
      <c r="X251" s="80" t="str">
        <f>IFERROR(__xludf.DUMMYFUNCTION("""COMPUTED_VALUE"""),"")</f>
        <v/>
      </c>
      <c r="Y251" s="109" t="str">
        <f>IFERROR(__xludf.DUMMYFUNCTION("""COMPUTED_VALUE"""),"")</f>
        <v/>
      </c>
      <c r="Z251" s="71"/>
      <c r="AA251" s="71"/>
      <c r="AB251" s="71"/>
    </row>
    <row r="252">
      <c r="A252" s="105">
        <f>IFERROR(__xludf.DUMMYFUNCTION("""COMPUTED_VALUE"""),46121.527727719906)</f>
        <v>46121.52773</v>
      </c>
      <c r="B252" s="71" t="str">
        <f>IFERROR(__xludf.DUMMYFUNCTION("""COMPUTED_VALUE"""),"Emmett Khan")</f>
        <v>Emmett Khan</v>
      </c>
      <c r="C252" s="71" t="b">
        <f>IFERROR(__xludf.DUMMYFUNCTION("""COMPUTED_VALUE"""),FALSE)</f>
        <v>0</v>
      </c>
      <c r="D252" s="132">
        <f>IFERROR(__xludf.DUMMYFUNCTION("""COMPUTED_VALUE"""),0.47916666666424135)</f>
        <v>0.4791666667</v>
      </c>
      <c r="E252" s="78">
        <f>IFERROR(__xludf.DUMMYFUNCTION("""COMPUTED_VALUE"""),0.05208333333575865)</f>
        <v>0.05208333334</v>
      </c>
      <c r="F252" s="132">
        <f>IFERROR(__xludf.DUMMYFUNCTION("""COMPUTED_VALUE"""),0.53125)</f>
        <v>0.53125</v>
      </c>
      <c r="G252" s="78">
        <f>IFERROR(__xludf.DUMMYFUNCTION("""COMPUTED_VALUE"""),0.05208333333575865)</f>
        <v>0.05208333334</v>
      </c>
      <c r="H252" s="71">
        <f>IFERROR(__xludf.DUMMYFUNCTION("""COMPUTED_VALUE"""),61.0)</f>
        <v>61</v>
      </c>
      <c r="I252" s="80">
        <f>IFERROR(__xludf.DUMMYFUNCTION("""COMPUTED_VALUE"""),48.799999997727575)</f>
        <v>48.8</v>
      </c>
      <c r="J252" s="71" t="str">
        <f>IFERROR(__xludf.DUMMYFUNCTION("""COMPUTED_VALUE"""),"Lunch")</f>
        <v>Lunch</v>
      </c>
      <c r="K252" s="106">
        <f>IFERROR(__xludf.DUMMYFUNCTION("""COMPUTED_VALUE"""),46121.0)</f>
        <v>46121</v>
      </c>
      <c r="L252" s="71" t="str">
        <f>IFERROR(__xludf.DUMMYFUNCTION("""COMPUTED_VALUE"""),"Thursday")</f>
        <v>Thursday</v>
      </c>
      <c r="M252" s="71" t="str">
        <f>IFERROR(__xludf.DUMMYFUNCTION("""COMPUTED_VALUE"""),"MF")</f>
        <v>MF</v>
      </c>
      <c r="N252" s="109">
        <f>IFERROR(__xludf.DUMMYFUNCTION("""COMPUTED_VALUE"""),0.9706132062954606)</f>
        <v>0.9706132063</v>
      </c>
      <c r="O252" s="71" t="str">
        <f>IFERROR(__xludf.DUMMYFUNCTION("""COMPUTED_VALUE"""),"")</f>
        <v/>
      </c>
      <c r="P252" s="71" t="str">
        <f>IFERROR(__xludf.DUMMYFUNCTION("""COMPUTED_VALUE"""),"")</f>
        <v/>
      </c>
      <c r="Q252" s="78" t="str">
        <f>IFERROR(__xludf.DUMMYFUNCTION("""COMPUTED_VALUE"""),"")</f>
        <v/>
      </c>
      <c r="R252" s="78" t="str">
        <f>IFERROR(__xludf.DUMMYFUNCTION("""COMPUTED_VALUE"""),"")</f>
        <v/>
      </c>
      <c r="S252" s="80" t="str">
        <f>IFERROR(__xludf.DUMMYFUNCTION("""COMPUTED_VALUE"""),"")</f>
        <v/>
      </c>
      <c r="T252" s="80" t="str">
        <f>IFERROR(__xludf.DUMMYFUNCTION("""COMPUTED_VALUE"""),"")</f>
        <v/>
      </c>
      <c r="U252" s="71" t="str">
        <f>IFERROR(__xludf.DUMMYFUNCTION("""COMPUTED_VALUE"""),"")</f>
        <v/>
      </c>
      <c r="V252" s="78" t="str">
        <f>IFERROR(__xludf.DUMMYFUNCTION("""COMPUTED_VALUE"""),"")</f>
        <v/>
      </c>
      <c r="W252" s="62" t="str">
        <f>IFERROR(__xludf.DUMMYFUNCTION("""COMPUTED_VALUE"""),"")</f>
        <v/>
      </c>
      <c r="X252" s="80" t="str">
        <f>IFERROR(__xludf.DUMMYFUNCTION("""COMPUTED_VALUE"""),"")</f>
        <v/>
      </c>
      <c r="Y252" s="109" t="str">
        <f>IFERROR(__xludf.DUMMYFUNCTION("""COMPUTED_VALUE"""),"")</f>
        <v/>
      </c>
      <c r="Z252" s="71"/>
      <c r="AA252" s="71"/>
      <c r="AB252" s="71"/>
    </row>
    <row r="253">
      <c r="A253" s="105">
        <f>IFERROR(__xludf.DUMMYFUNCTION("""COMPUTED_VALUE"""),46121.56785319444)</f>
        <v>46121.56785</v>
      </c>
      <c r="B253" s="71" t="str">
        <f>IFERROR(__xludf.DUMMYFUNCTION("""COMPUTED_VALUE"""),"Kyra Turner")</f>
        <v>Kyra Turner</v>
      </c>
      <c r="C253" s="71" t="b">
        <f>IFERROR(__xludf.DUMMYFUNCTION("""COMPUTED_VALUE"""),FALSE)</f>
        <v>0</v>
      </c>
      <c r="D253" s="132">
        <f>IFERROR(__xludf.DUMMYFUNCTION("""COMPUTED_VALUE"""),0.5020833333328483)</f>
        <v>0.5020833333</v>
      </c>
      <c r="E253" s="78">
        <f>IFERROR(__xludf.DUMMYFUNCTION("""COMPUTED_VALUE"""),0.06180555556056788)</f>
        <v>0.06180555556</v>
      </c>
      <c r="F253" s="132">
        <f>IFERROR(__xludf.DUMMYFUNCTION("""COMPUTED_VALUE"""),0.5638888888934162)</f>
        <v>0.5638888889</v>
      </c>
      <c r="G253" s="78">
        <f>IFERROR(__xludf.DUMMYFUNCTION("""COMPUTED_VALUE"""),0.13750000000436557)</f>
        <v>0.1375</v>
      </c>
      <c r="H253" s="71">
        <f>IFERROR(__xludf.DUMMYFUNCTION("""COMPUTED_VALUE"""),94.0)</f>
        <v>94</v>
      </c>
      <c r="I253" s="80">
        <f>IFERROR(__xludf.DUMMYFUNCTION("""COMPUTED_VALUE"""),46.06060605914365)</f>
        <v>46.06060606</v>
      </c>
      <c r="J253" s="71" t="str">
        <f>IFERROR(__xludf.DUMMYFUNCTION("""COMPUTED_VALUE"""),"Lunch")</f>
        <v>Lunch</v>
      </c>
      <c r="K253" s="106">
        <f>IFERROR(__xludf.DUMMYFUNCTION("""COMPUTED_VALUE"""),46121.0)</f>
        <v>46121</v>
      </c>
      <c r="L253" s="71" t="str">
        <f>IFERROR(__xludf.DUMMYFUNCTION("""COMPUTED_VALUE"""),"Thursday")</f>
        <v>Thursday</v>
      </c>
      <c r="M253" s="71" t="str">
        <f>IFERROR(__xludf.DUMMYFUNCTION("""COMPUTED_VALUE"""),"BF")</f>
        <v>BF</v>
      </c>
      <c r="N253" s="109">
        <f>IFERROR(__xludf.DUMMYFUNCTION("""COMPUTED_VALUE"""),1.624675522962708)</f>
        <v>1.624675523</v>
      </c>
      <c r="O253" s="71" t="str">
        <f>IFERROR(__xludf.DUMMYFUNCTION("""COMPUTED_VALUE"""),"")</f>
        <v/>
      </c>
      <c r="P253" s="71" t="str">
        <f>IFERROR(__xludf.DUMMYFUNCTION("""COMPUTED_VALUE"""),"")</f>
        <v/>
      </c>
      <c r="Q253" s="78" t="str">
        <f>IFERROR(__xludf.DUMMYFUNCTION("""COMPUTED_VALUE"""),"")</f>
        <v/>
      </c>
      <c r="R253" s="78" t="str">
        <f>IFERROR(__xludf.DUMMYFUNCTION("""COMPUTED_VALUE"""),"")</f>
        <v/>
      </c>
      <c r="S253" s="80" t="str">
        <f>IFERROR(__xludf.DUMMYFUNCTION("""COMPUTED_VALUE"""),"")</f>
        <v/>
      </c>
      <c r="T253" s="80" t="str">
        <f>IFERROR(__xludf.DUMMYFUNCTION("""COMPUTED_VALUE"""),"")</f>
        <v/>
      </c>
      <c r="U253" s="71" t="str">
        <f>IFERROR(__xludf.DUMMYFUNCTION("""COMPUTED_VALUE"""),"")</f>
        <v/>
      </c>
      <c r="V253" s="78" t="str">
        <f>IFERROR(__xludf.DUMMYFUNCTION("""COMPUTED_VALUE"""),"")</f>
        <v/>
      </c>
      <c r="W253" s="62" t="str">
        <f>IFERROR(__xludf.DUMMYFUNCTION("""COMPUTED_VALUE"""),"")</f>
        <v/>
      </c>
      <c r="X253" s="80" t="str">
        <f>IFERROR(__xludf.DUMMYFUNCTION("""COMPUTED_VALUE"""),"")</f>
        <v/>
      </c>
      <c r="Y253" s="109" t="str">
        <f>IFERROR(__xludf.DUMMYFUNCTION("""COMPUTED_VALUE"""),"")</f>
        <v/>
      </c>
      <c r="Z253" s="71"/>
      <c r="AA253" s="71"/>
      <c r="AB253" s="71"/>
    </row>
    <row r="254">
      <c r="A254" s="105">
        <f>IFERROR(__xludf.DUMMYFUNCTION("""COMPUTED_VALUE"""),46121.64300228009)</f>
        <v>46121.643</v>
      </c>
      <c r="B254" s="71" t="str">
        <f>IFERROR(__xludf.DUMMYFUNCTION("""COMPUTED_VALUE"""),"Kyra Turner")</f>
        <v>Kyra Turner</v>
      </c>
      <c r="C254" s="71" t="b">
        <f>IFERROR(__xludf.DUMMYFUNCTION("""COMPUTED_VALUE"""),TRUE)</f>
        <v>1</v>
      </c>
      <c r="D254" s="132">
        <f>IFERROR(__xludf.DUMMYFUNCTION("""COMPUTED_VALUE"""),0.5666666666656965)</f>
        <v>0.5666666667</v>
      </c>
      <c r="E254" s="78">
        <f>IFERROR(__xludf.DUMMYFUNCTION("""COMPUTED_VALUE"""),0.07569444444379769)</f>
        <v>0.07569444444</v>
      </c>
      <c r="F254" s="132">
        <f>IFERROR(__xludf.DUMMYFUNCTION("""COMPUTED_VALUE"""),0.6423611111094942)</f>
        <v>0.6423611111</v>
      </c>
      <c r="G254" s="78" t="str">
        <f>IFERROR(__xludf.DUMMYFUNCTION("""COMPUTED_VALUE"""),"")</f>
        <v/>
      </c>
      <c r="H254" s="71">
        <f>IFERROR(__xludf.DUMMYFUNCTION("""COMPUTED_VALUE"""),58.0)</f>
        <v>58</v>
      </c>
      <c r="I254" s="80" t="str">
        <f>IFERROR(__xludf.DUMMYFUNCTION("""COMPUTED_VALUE"""),"")</f>
        <v/>
      </c>
      <c r="J254" s="71" t="str">
        <f>IFERROR(__xludf.DUMMYFUNCTION("""COMPUTED_VALUE"""),"Lunch")</f>
        <v>Lunch</v>
      </c>
      <c r="K254" s="106">
        <f>IFERROR(__xludf.DUMMYFUNCTION("""COMPUTED_VALUE"""),46121.0)</f>
        <v>46121</v>
      </c>
      <c r="L254" s="71" t="str">
        <f>IFERROR(__xludf.DUMMYFUNCTION("""COMPUTED_VALUE"""),"Thursday")</f>
        <v>Thursday</v>
      </c>
      <c r="M254" s="71" t="str">
        <f>IFERROR(__xludf.DUMMYFUNCTION("""COMPUTED_VALUE"""),"BF")</f>
        <v>BF</v>
      </c>
      <c r="N254" s="109" t="str">
        <f>IFERROR(__xludf.DUMMYFUNCTION("""COMPUTED_VALUE"""),"")</f>
        <v/>
      </c>
      <c r="O254" s="71" t="str">
        <f>IFERROR(__xludf.DUMMYFUNCTION("""COMPUTED_VALUE"""),"")</f>
        <v/>
      </c>
      <c r="P254" s="71" t="str">
        <f>IFERROR(__xludf.DUMMYFUNCTION("""COMPUTED_VALUE"""),"")</f>
        <v/>
      </c>
      <c r="Q254" s="78" t="str">
        <f>IFERROR(__xludf.DUMMYFUNCTION("""COMPUTED_VALUE"""),"")</f>
        <v/>
      </c>
      <c r="R254" s="78" t="str">
        <f>IFERROR(__xludf.DUMMYFUNCTION("""COMPUTED_VALUE"""),"")</f>
        <v/>
      </c>
      <c r="S254" s="80" t="str">
        <f>IFERROR(__xludf.DUMMYFUNCTION("""COMPUTED_VALUE"""),"")</f>
        <v/>
      </c>
      <c r="T254" s="80" t="str">
        <f>IFERROR(__xludf.DUMMYFUNCTION("""COMPUTED_VALUE"""),"")</f>
        <v/>
      </c>
      <c r="U254" s="71" t="str">
        <f>IFERROR(__xludf.DUMMYFUNCTION("""COMPUTED_VALUE"""),"")</f>
        <v/>
      </c>
      <c r="V254" s="78" t="str">
        <f>IFERROR(__xludf.DUMMYFUNCTION("""COMPUTED_VALUE"""),"")</f>
        <v/>
      </c>
      <c r="W254" s="62" t="str">
        <f>IFERROR(__xludf.DUMMYFUNCTION("""COMPUTED_VALUE"""),"")</f>
        <v/>
      </c>
      <c r="X254" s="80" t="str">
        <f>IFERROR(__xludf.DUMMYFUNCTION("""COMPUTED_VALUE"""),"")</f>
        <v/>
      </c>
      <c r="Y254" s="109" t="str">
        <f>IFERROR(__xludf.DUMMYFUNCTION("""COMPUTED_VALUE"""),"")</f>
        <v/>
      </c>
      <c r="Z254" s="71"/>
      <c r="AA254" s="71"/>
      <c r="AB254" s="71"/>
    </row>
    <row r="255">
      <c r="A255" s="105">
        <f>IFERROR(__xludf.DUMMYFUNCTION("""COMPUTED_VALUE"""),46121.777981458334)</f>
        <v>46121.77798</v>
      </c>
      <c r="B255" s="71" t="str">
        <f>IFERROR(__xludf.DUMMYFUNCTION("""COMPUTED_VALUE"""),"Emmett Khan")</f>
        <v>Emmett Khan</v>
      </c>
      <c r="C255" s="71" t="b">
        <f>IFERROR(__xludf.DUMMYFUNCTION("""COMPUTED_VALUE"""),FALSE)</f>
        <v>0</v>
      </c>
      <c r="D255" s="132">
        <f>IFERROR(__xludf.DUMMYFUNCTION("""COMPUTED_VALUE"""),0.7083333333357587)</f>
        <v>0.7083333333</v>
      </c>
      <c r="E255" s="78">
        <f>IFERROR(__xludf.DUMMYFUNCTION("""COMPUTED_VALUE"""),0.07291666666424135)</f>
        <v>0.07291666666</v>
      </c>
      <c r="F255" s="132">
        <f>IFERROR(__xludf.DUMMYFUNCTION("""COMPUTED_VALUE"""),0.78125)</f>
        <v>0.78125</v>
      </c>
      <c r="G255" s="78">
        <f>IFERROR(__xludf.DUMMYFUNCTION("""COMPUTED_VALUE"""),0.07291666666424135)</f>
        <v>0.07291666666</v>
      </c>
      <c r="H255" s="71">
        <f>IFERROR(__xludf.DUMMYFUNCTION("""COMPUTED_VALUE"""),83.0)</f>
        <v>83</v>
      </c>
      <c r="I255" s="80">
        <f>IFERROR(__xludf.DUMMYFUNCTION("""COMPUTED_VALUE"""),47.42857143014898)</f>
        <v>47.42857143</v>
      </c>
      <c r="J255" s="71" t="str">
        <f>IFERROR(__xludf.DUMMYFUNCTION("""COMPUTED_VALUE"""),"Dinner")</f>
        <v>Dinner</v>
      </c>
      <c r="K255" s="106">
        <f>IFERROR(__xludf.DUMMYFUNCTION("""COMPUTED_VALUE"""),46121.0)</f>
        <v>46121</v>
      </c>
      <c r="L255" s="71" t="str">
        <f>IFERROR(__xludf.DUMMYFUNCTION("""COMPUTED_VALUE"""),"Thursday")</f>
        <v>Thursday</v>
      </c>
      <c r="M255" s="71" t="str">
        <f>IFERROR(__xludf.DUMMYFUNCTION("""COMPUTED_VALUE"""),"MF")</f>
        <v>MF</v>
      </c>
      <c r="N255" s="109">
        <f>IFERROR(__xludf.DUMMYFUNCTION("""COMPUTED_VALUE"""),1.0226153248659184)</f>
        <v>1.022615325</v>
      </c>
      <c r="O255" s="71" t="str">
        <f>IFERROR(__xludf.DUMMYFUNCTION("""COMPUTED_VALUE"""),"")</f>
        <v/>
      </c>
      <c r="P255" s="71" t="str">
        <f>IFERROR(__xludf.DUMMYFUNCTION("""COMPUTED_VALUE"""),"")</f>
        <v/>
      </c>
      <c r="Q255" s="78" t="str">
        <f>IFERROR(__xludf.DUMMYFUNCTION("""COMPUTED_VALUE"""),"")</f>
        <v/>
      </c>
      <c r="R255" s="78" t="str">
        <f>IFERROR(__xludf.DUMMYFUNCTION("""COMPUTED_VALUE"""),"")</f>
        <v/>
      </c>
      <c r="S255" s="80" t="str">
        <f>IFERROR(__xludf.DUMMYFUNCTION("""COMPUTED_VALUE"""),"")</f>
        <v/>
      </c>
      <c r="T255" s="80" t="str">
        <f>IFERROR(__xludf.DUMMYFUNCTION("""COMPUTED_VALUE"""),"")</f>
        <v/>
      </c>
      <c r="U255" s="71" t="str">
        <f>IFERROR(__xludf.DUMMYFUNCTION("""COMPUTED_VALUE"""),"")</f>
        <v/>
      </c>
      <c r="V255" s="78" t="str">
        <f>IFERROR(__xludf.DUMMYFUNCTION("""COMPUTED_VALUE"""),"")</f>
        <v/>
      </c>
      <c r="W255" s="62" t="str">
        <f>IFERROR(__xludf.DUMMYFUNCTION("""COMPUTED_VALUE"""),"")</f>
        <v/>
      </c>
      <c r="X255" s="80" t="str">
        <f>IFERROR(__xludf.DUMMYFUNCTION("""COMPUTED_VALUE"""),"")</f>
        <v/>
      </c>
      <c r="Y255" s="109" t="str">
        <f>IFERROR(__xludf.DUMMYFUNCTION("""COMPUTED_VALUE"""),"")</f>
        <v/>
      </c>
      <c r="Z255" s="71"/>
      <c r="AA255" s="71"/>
      <c r="AB255" s="71"/>
    </row>
    <row r="256">
      <c r="A256" s="105">
        <f>IFERROR(__xludf.DUMMYFUNCTION("""COMPUTED_VALUE"""),46121.84658378472)</f>
        <v>46121.84658</v>
      </c>
      <c r="B256" s="71" t="str">
        <f>IFERROR(__xludf.DUMMYFUNCTION("""COMPUTED_VALUE"""),"Leah Bucci")</f>
        <v>Leah Bucci</v>
      </c>
      <c r="C256" s="71" t="b">
        <f>IFERROR(__xludf.DUMMYFUNCTION("""COMPUTED_VALUE"""),FALSE)</f>
        <v>0</v>
      </c>
      <c r="D256" s="132">
        <f>IFERROR(__xludf.DUMMYFUNCTION("""COMPUTED_VALUE"""),0.6875)</f>
        <v>0.6875</v>
      </c>
      <c r="E256" s="78">
        <f>IFERROR(__xludf.DUMMYFUNCTION("""COMPUTED_VALUE"""),0.13541666666424135)</f>
        <v>0.1354166667</v>
      </c>
      <c r="F256" s="132">
        <f>IFERROR(__xludf.DUMMYFUNCTION("""COMPUTED_VALUE"""),0.8229166666642413)</f>
        <v>0.8229166667</v>
      </c>
      <c r="G256" s="78">
        <f>IFERROR(__xludf.DUMMYFUNCTION("""COMPUTED_VALUE"""),0.15972222221898846)</f>
        <v>0.1597222222</v>
      </c>
      <c r="H256" s="71">
        <f>IFERROR(__xludf.DUMMYFUNCTION("""COMPUTED_VALUE"""),162.0)</f>
        <v>162</v>
      </c>
      <c r="I256" s="80">
        <f>IFERROR(__xludf.DUMMYFUNCTION("""COMPUTED_VALUE"""),49.043478261862504)</f>
        <v>49.04347826</v>
      </c>
      <c r="J256" s="71" t="str">
        <f>IFERROR(__xludf.DUMMYFUNCTION("""COMPUTED_VALUE"""),"Dinner")</f>
        <v>Dinner</v>
      </c>
      <c r="K256" s="106">
        <f>IFERROR(__xludf.DUMMYFUNCTION("""COMPUTED_VALUE"""),46121.0)</f>
        <v>46121</v>
      </c>
      <c r="L256" s="71" t="str">
        <f>IFERROR(__xludf.DUMMYFUNCTION("""COMPUTED_VALUE"""),"Thursday")</f>
        <v>Thursday</v>
      </c>
      <c r="M256" s="71" t="str">
        <f>IFERROR(__xludf.DUMMYFUNCTION("""COMPUTED_VALUE"""),"BF")</f>
        <v>BF</v>
      </c>
      <c r="N256" s="109">
        <f>IFERROR(__xludf.DUMMYFUNCTION("""COMPUTED_VALUE"""),1.1037918381025822)</f>
        <v>1.103791838</v>
      </c>
      <c r="O256" s="71" t="str">
        <f>IFERROR(__xludf.DUMMYFUNCTION("""COMPUTED_VALUE"""),"")</f>
        <v/>
      </c>
      <c r="P256" s="71" t="str">
        <f>IFERROR(__xludf.DUMMYFUNCTION("""COMPUTED_VALUE"""),"")</f>
        <v/>
      </c>
      <c r="Q256" s="78" t="str">
        <f>IFERROR(__xludf.DUMMYFUNCTION("""COMPUTED_VALUE"""),"")</f>
        <v/>
      </c>
      <c r="R256" s="78" t="str">
        <f>IFERROR(__xludf.DUMMYFUNCTION("""COMPUTED_VALUE"""),"")</f>
        <v/>
      </c>
      <c r="S256" s="80" t="str">
        <f>IFERROR(__xludf.DUMMYFUNCTION("""COMPUTED_VALUE"""),"")</f>
        <v/>
      </c>
      <c r="T256" s="80" t="str">
        <f>IFERROR(__xludf.DUMMYFUNCTION("""COMPUTED_VALUE"""),"")</f>
        <v/>
      </c>
      <c r="U256" s="71" t="str">
        <f>IFERROR(__xludf.DUMMYFUNCTION("""COMPUTED_VALUE"""),"")</f>
        <v/>
      </c>
      <c r="V256" s="78" t="str">
        <f>IFERROR(__xludf.DUMMYFUNCTION("""COMPUTED_VALUE"""),"")</f>
        <v/>
      </c>
      <c r="W256" s="62" t="str">
        <f>IFERROR(__xludf.DUMMYFUNCTION("""COMPUTED_VALUE"""),"")</f>
        <v/>
      </c>
      <c r="X256" s="80" t="str">
        <f>IFERROR(__xludf.DUMMYFUNCTION("""COMPUTED_VALUE"""),"")</f>
        <v/>
      </c>
      <c r="Y256" s="109" t="str">
        <f>IFERROR(__xludf.DUMMYFUNCTION("""COMPUTED_VALUE"""),"")</f>
        <v/>
      </c>
      <c r="Z256" s="71"/>
      <c r="AA256" s="71"/>
      <c r="AB256" s="71"/>
    </row>
    <row r="257">
      <c r="A257" s="105">
        <f>IFERROR(__xludf.DUMMYFUNCTION("""COMPUTED_VALUE"""),46121.850836412035)</f>
        <v>46121.85084</v>
      </c>
      <c r="B257" s="71" t="str">
        <f>IFERROR(__xludf.DUMMYFUNCTION("""COMPUTED_VALUE"""),"Leah Bucci")</f>
        <v>Leah Bucci</v>
      </c>
      <c r="C257" s="71" t="b">
        <f>IFERROR(__xludf.DUMMYFUNCTION("""COMPUTED_VALUE"""),TRUE)</f>
        <v>1</v>
      </c>
      <c r="D257" s="132">
        <f>IFERROR(__xludf.DUMMYFUNCTION("""COMPUTED_VALUE"""),0.8263888888905058)</f>
        <v>0.8263888889</v>
      </c>
      <c r="E257" s="78">
        <f>IFERROR(__xludf.DUMMYFUNCTION("""COMPUTED_VALUE"""),0.024305555554747116)</f>
        <v>0.02430555555</v>
      </c>
      <c r="F257" s="132">
        <f>IFERROR(__xludf.DUMMYFUNCTION("""COMPUTED_VALUE"""),0.8506944444452529)</f>
        <v>0.8506944444</v>
      </c>
      <c r="G257" s="78" t="str">
        <f>IFERROR(__xludf.DUMMYFUNCTION("""COMPUTED_VALUE"""),"")</f>
        <v/>
      </c>
      <c r="H257" s="71">
        <f>IFERROR(__xludf.DUMMYFUNCTION("""COMPUTED_VALUE"""),26.0)</f>
        <v>26</v>
      </c>
      <c r="I257" s="80" t="str">
        <f>IFERROR(__xludf.DUMMYFUNCTION("""COMPUTED_VALUE"""),"")</f>
        <v/>
      </c>
      <c r="J257" s="71" t="str">
        <f>IFERROR(__xludf.DUMMYFUNCTION("""COMPUTED_VALUE"""),"Dinner")</f>
        <v>Dinner</v>
      </c>
      <c r="K257" s="106">
        <f>IFERROR(__xludf.DUMMYFUNCTION("""COMPUTED_VALUE"""),46121.0)</f>
        <v>46121</v>
      </c>
      <c r="L257" s="71" t="str">
        <f>IFERROR(__xludf.DUMMYFUNCTION("""COMPUTED_VALUE"""),"Thursday")</f>
        <v>Thursday</v>
      </c>
      <c r="M257" s="71" t="str">
        <f>IFERROR(__xludf.DUMMYFUNCTION("""COMPUTED_VALUE"""),"BF")</f>
        <v>BF</v>
      </c>
      <c r="N257" s="109" t="str">
        <f>IFERROR(__xludf.DUMMYFUNCTION("""COMPUTED_VALUE"""),"")</f>
        <v/>
      </c>
      <c r="O257" s="71">
        <f>IFERROR(__xludf.DUMMYFUNCTION("""COMPUTED_VALUE"""),144.0)</f>
        <v>144</v>
      </c>
      <c r="P257" s="71">
        <f>IFERROR(__xludf.DUMMYFUNCTION("""COMPUTED_VALUE"""),427.0)</f>
        <v>427</v>
      </c>
      <c r="Q257" s="78">
        <f>IFERROR(__xludf.DUMMYFUNCTION("""COMPUTED_VALUE"""),0.125)</f>
        <v>0.125</v>
      </c>
      <c r="R257" s="78">
        <f>IFERROR(__xludf.DUMMYFUNCTION("""COMPUTED_VALUE"""),0.48333333333721384)</f>
        <v>0.4833333333</v>
      </c>
      <c r="S257" s="80">
        <f>IFERROR(__xludf.DUMMYFUNCTION("""COMPUTED_VALUE"""),48.11428571393827)</f>
        <v>48.11428571</v>
      </c>
      <c r="T257" s="80">
        <f>IFERROR(__xludf.DUMMYFUNCTION("""COMPUTED_VALUE"""),32.54464509425481)</f>
        <v>32.54464509</v>
      </c>
      <c r="U257" s="71">
        <f>IFERROR(__xludf.DUMMYFUNCTION("""COMPUTED_VALUE"""),571.0)</f>
        <v>571</v>
      </c>
      <c r="V257" s="78">
        <f>IFERROR(__xludf.DUMMYFUNCTION("""COMPUTED_VALUE"""),0.6083333333372138)</f>
        <v>0.6083333333</v>
      </c>
      <c r="W257" s="62">
        <f>IFERROR(__xludf.DUMMYFUNCTION("""COMPUTED_VALUE"""),39.109589040846416)</f>
        <v>39.10958904</v>
      </c>
      <c r="X257" s="80">
        <f>IFERROR(__xludf.DUMMYFUNCTION("""COMPUTED_VALUE"""),37.73452530081597)</f>
        <v>37.7345253</v>
      </c>
      <c r="Y257" s="109">
        <f>IFERROR(__xludf.DUMMYFUNCTION("""COMPUTED_VALUE"""),0.5144977879572349)</f>
        <v>0.514497788</v>
      </c>
      <c r="Z257" s="71"/>
      <c r="AA257" s="71"/>
      <c r="AB257" s="71"/>
    </row>
    <row r="258">
      <c r="A258" s="105">
        <f>IFERROR(__xludf.DUMMYFUNCTION("""COMPUTED_VALUE"""),46122.440165196764)</f>
        <v>46122.44017</v>
      </c>
      <c r="B258" s="71" t="str">
        <f>IFERROR(__xludf.DUMMYFUNCTION("""COMPUTED_VALUE"""),"Kaylie Forgue")</f>
        <v>Kaylie Forgue</v>
      </c>
      <c r="C258" s="71" t="b">
        <f>IFERROR(__xludf.DUMMYFUNCTION("""COMPUTED_VALUE"""),FALSE)</f>
        <v>0</v>
      </c>
      <c r="D258" s="132">
        <f>IFERROR(__xludf.DUMMYFUNCTION("""COMPUTED_VALUE"""),0.37361111110658385)</f>
        <v>0.3736111111</v>
      </c>
      <c r="E258" s="78">
        <f>IFERROR(__xludf.DUMMYFUNCTION("""COMPUTED_VALUE"""),0.0625)</f>
        <v>0.0625</v>
      </c>
      <c r="F258" s="132">
        <f>IFERROR(__xludf.DUMMYFUNCTION("""COMPUTED_VALUE"""),0.43611111110658385)</f>
        <v>0.4361111111</v>
      </c>
      <c r="G258" s="78">
        <f>IFERROR(__xludf.DUMMYFUNCTION("""COMPUTED_VALUE"""),0.0625)</f>
        <v>0.0625</v>
      </c>
      <c r="H258" s="71">
        <f>IFERROR(__xludf.DUMMYFUNCTION("""COMPUTED_VALUE"""),69.0)</f>
        <v>69</v>
      </c>
      <c r="I258" s="80">
        <f>IFERROR(__xludf.DUMMYFUNCTION("""COMPUTED_VALUE"""),46.0)</f>
        <v>46</v>
      </c>
      <c r="J258" s="71" t="str">
        <f>IFERROR(__xludf.DUMMYFUNCTION("""COMPUTED_VALUE"""),"Breakfast")</f>
        <v>Breakfast</v>
      </c>
      <c r="K258" s="106">
        <f>IFERROR(__xludf.DUMMYFUNCTION("""COMPUTED_VALUE"""),46122.0)</f>
        <v>46122</v>
      </c>
      <c r="L258" s="71" t="str">
        <f>IFERROR(__xludf.DUMMYFUNCTION("""COMPUTED_VALUE"""),"Friday")</f>
        <v>Friday</v>
      </c>
      <c r="M258" s="71" t="str">
        <f>IFERROR(__xludf.DUMMYFUNCTION("""COMPUTED_VALUE"""),"BF")</f>
        <v>BF</v>
      </c>
      <c r="N258" s="109">
        <f>IFERROR(__xludf.DUMMYFUNCTION("""COMPUTED_VALUE"""),1.6225377920629562)</f>
        <v>1.622537792</v>
      </c>
      <c r="O258" s="71" t="str">
        <f>IFERROR(__xludf.DUMMYFUNCTION("""COMPUTED_VALUE"""),"")</f>
        <v/>
      </c>
      <c r="P258" s="71" t="str">
        <f>IFERROR(__xludf.DUMMYFUNCTION("""COMPUTED_VALUE"""),"")</f>
        <v/>
      </c>
      <c r="Q258" s="78" t="str">
        <f>IFERROR(__xludf.DUMMYFUNCTION("""COMPUTED_VALUE"""),"")</f>
        <v/>
      </c>
      <c r="R258" s="78" t="str">
        <f>IFERROR(__xludf.DUMMYFUNCTION("""COMPUTED_VALUE"""),"")</f>
        <v/>
      </c>
      <c r="S258" s="80" t="str">
        <f>IFERROR(__xludf.DUMMYFUNCTION("""COMPUTED_VALUE"""),"")</f>
        <v/>
      </c>
      <c r="T258" s="80" t="str">
        <f>IFERROR(__xludf.DUMMYFUNCTION("""COMPUTED_VALUE"""),"")</f>
        <v/>
      </c>
      <c r="U258" s="71" t="str">
        <f>IFERROR(__xludf.DUMMYFUNCTION("""COMPUTED_VALUE"""),"")</f>
        <v/>
      </c>
      <c r="V258" s="78" t="str">
        <f>IFERROR(__xludf.DUMMYFUNCTION("""COMPUTED_VALUE"""),"")</f>
        <v/>
      </c>
      <c r="W258" s="62" t="str">
        <f>IFERROR(__xludf.DUMMYFUNCTION("""COMPUTED_VALUE"""),"")</f>
        <v/>
      </c>
      <c r="X258" s="80" t="str">
        <f>IFERROR(__xludf.DUMMYFUNCTION("""COMPUTED_VALUE"""),"")</f>
        <v/>
      </c>
      <c r="Y258" s="109" t="str">
        <f>IFERROR(__xludf.DUMMYFUNCTION("""COMPUTED_VALUE"""),"")</f>
        <v/>
      </c>
      <c r="Z258" s="71"/>
      <c r="AA258" s="71"/>
      <c r="AB258" s="71"/>
    </row>
    <row r="259">
      <c r="A259" s="105">
        <f>IFERROR(__xludf.DUMMYFUNCTION("""COMPUTED_VALUE"""),46122.57991917824)</f>
        <v>46122.57992</v>
      </c>
      <c r="B259" s="71" t="str">
        <f>IFERROR(__xludf.DUMMYFUNCTION("""COMPUTED_VALUE"""),"Brynn Hornig")</f>
        <v>Brynn Hornig</v>
      </c>
      <c r="C259" s="71" t="b">
        <f>IFERROR(__xludf.DUMMYFUNCTION("""COMPUTED_VALUE"""),FALSE)</f>
        <v>0</v>
      </c>
      <c r="D259" s="132">
        <f>IFERROR(__xludf.DUMMYFUNCTION("""COMPUTED_VALUE"""),0.45833333333575865)</f>
        <v>0.4583333333</v>
      </c>
      <c r="E259" s="78">
        <f>IFERROR(__xludf.DUMMYFUNCTION("""COMPUTED_VALUE"""),0.125)</f>
        <v>0.125</v>
      </c>
      <c r="F259" s="132">
        <f>IFERROR(__xludf.DUMMYFUNCTION("""COMPUTED_VALUE"""),0.5833333333357587)</f>
        <v>0.5833333333</v>
      </c>
      <c r="G259" s="78">
        <f>IFERROR(__xludf.DUMMYFUNCTION("""COMPUTED_VALUE"""),0.125)</f>
        <v>0.125</v>
      </c>
      <c r="H259" s="71">
        <f>IFERROR(__xludf.DUMMYFUNCTION("""COMPUTED_VALUE"""),76.0)</f>
        <v>76</v>
      </c>
      <c r="I259" s="80">
        <f>IFERROR(__xludf.DUMMYFUNCTION("""COMPUTED_VALUE"""),25.333333333333332)</f>
        <v>25.33333333</v>
      </c>
      <c r="J259" s="71" t="str">
        <f>IFERROR(__xludf.DUMMYFUNCTION("""COMPUTED_VALUE"""),"Lunch")</f>
        <v>Lunch</v>
      </c>
      <c r="K259" s="106">
        <f>IFERROR(__xludf.DUMMYFUNCTION("""COMPUTED_VALUE"""),46122.0)</f>
        <v>46122</v>
      </c>
      <c r="L259" s="71" t="str">
        <f>IFERROR(__xludf.DUMMYFUNCTION("""COMPUTED_VALUE"""),"Friday")</f>
        <v>Friday</v>
      </c>
      <c r="M259" s="71" t="str">
        <f>IFERROR(__xludf.DUMMYFUNCTION("""COMPUTED_VALUE"""),"BF")</f>
        <v>BF</v>
      </c>
      <c r="N259" s="109">
        <f>IFERROR(__xludf.DUMMYFUNCTION("""COMPUTED_VALUE"""),0.8935715376578599)</f>
        <v>0.8935715377</v>
      </c>
      <c r="O259" s="71" t="str">
        <f>IFERROR(__xludf.DUMMYFUNCTION("""COMPUTED_VALUE"""),"")</f>
        <v/>
      </c>
      <c r="P259" s="71" t="str">
        <f>IFERROR(__xludf.DUMMYFUNCTION("""COMPUTED_VALUE"""),"")</f>
        <v/>
      </c>
      <c r="Q259" s="78" t="str">
        <f>IFERROR(__xludf.DUMMYFUNCTION("""COMPUTED_VALUE"""),"")</f>
        <v/>
      </c>
      <c r="R259" s="78" t="str">
        <f>IFERROR(__xludf.DUMMYFUNCTION("""COMPUTED_VALUE"""),"")</f>
        <v/>
      </c>
      <c r="S259" s="80" t="str">
        <f>IFERROR(__xludf.DUMMYFUNCTION("""COMPUTED_VALUE"""),"")</f>
        <v/>
      </c>
      <c r="T259" s="80" t="str">
        <f>IFERROR(__xludf.DUMMYFUNCTION("""COMPUTED_VALUE"""),"")</f>
        <v/>
      </c>
      <c r="U259" s="71" t="str">
        <f>IFERROR(__xludf.DUMMYFUNCTION("""COMPUTED_VALUE"""),"")</f>
        <v/>
      </c>
      <c r="V259" s="78" t="str">
        <f>IFERROR(__xludf.DUMMYFUNCTION("""COMPUTED_VALUE"""),"")</f>
        <v/>
      </c>
      <c r="W259" s="62" t="str">
        <f>IFERROR(__xludf.DUMMYFUNCTION("""COMPUTED_VALUE"""),"")</f>
        <v/>
      </c>
      <c r="X259" s="80" t="str">
        <f>IFERROR(__xludf.DUMMYFUNCTION("""COMPUTED_VALUE"""),"")</f>
        <v/>
      </c>
      <c r="Y259" s="109" t="str">
        <f>IFERROR(__xludf.DUMMYFUNCTION("""COMPUTED_VALUE"""),"")</f>
        <v/>
      </c>
      <c r="Z259" s="71"/>
      <c r="AA259" s="71"/>
      <c r="AB259" s="71"/>
    </row>
    <row r="260">
      <c r="A260" s="105">
        <f>IFERROR(__xludf.DUMMYFUNCTION("""COMPUTED_VALUE"""),46122.62504946759)</f>
        <v>46122.62505</v>
      </c>
      <c r="B260" s="71" t="str">
        <f>IFERROR(__xludf.DUMMYFUNCTION("""COMPUTED_VALUE"""),"Oluwatimilehin Shodipe")</f>
        <v>Oluwatimilehin Shodipe</v>
      </c>
      <c r="C260" s="71" t="b">
        <f>IFERROR(__xludf.DUMMYFUNCTION("""COMPUTED_VALUE"""),FALSE)</f>
        <v>0</v>
      </c>
      <c r="D260" s="132">
        <f>IFERROR(__xludf.DUMMYFUNCTION("""COMPUTED_VALUE"""),0.48611111110949423)</f>
        <v>0.4861111111</v>
      </c>
      <c r="E260" s="78">
        <f>IFERROR(__xludf.DUMMYFUNCTION("""COMPUTED_VALUE"""),0.13888888889050577)</f>
        <v>0.1388888889</v>
      </c>
      <c r="F260" s="132">
        <f>IFERROR(__xludf.DUMMYFUNCTION("""COMPUTED_VALUE"""),0.625)</f>
        <v>0.625</v>
      </c>
      <c r="G260" s="78">
        <f>IFERROR(__xludf.DUMMYFUNCTION("""COMPUTED_VALUE"""),0.13888888889050577)</f>
        <v>0.1388888889</v>
      </c>
      <c r="H260" s="71">
        <f>IFERROR(__xludf.DUMMYFUNCTION("""COMPUTED_VALUE"""),182.0)</f>
        <v>182</v>
      </c>
      <c r="I260" s="80">
        <f>IFERROR(__xludf.DUMMYFUNCTION("""COMPUTED_VALUE"""),54.59999999936437)</f>
        <v>54.6</v>
      </c>
      <c r="J260" s="71" t="str">
        <f>IFERROR(__xludf.DUMMYFUNCTION("""COMPUTED_VALUE"""),"Lunch")</f>
        <v>Lunch</v>
      </c>
      <c r="K260" s="106">
        <f>IFERROR(__xludf.DUMMYFUNCTION("""COMPUTED_VALUE"""),46122.0)</f>
        <v>46122</v>
      </c>
      <c r="L260" s="71" t="str">
        <f>IFERROR(__xludf.DUMMYFUNCTION("""COMPUTED_VALUE"""),"Friday")</f>
        <v>Friday</v>
      </c>
      <c r="M260" s="71" t="str">
        <f>IFERROR(__xludf.DUMMYFUNCTION("""COMPUTED_VALUE"""),"MF")</f>
        <v>MF</v>
      </c>
      <c r="N260" s="109">
        <f>IFERROR(__xludf.DUMMYFUNCTION("""COMPUTED_VALUE"""),1.085972972655389)</f>
        <v>1.085972973</v>
      </c>
      <c r="O260" s="71" t="str">
        <f>IFERROR(__xludf.DUMMYFUNCTION("""COMPUTED_VALUE"""),"")</f>
        <v/>
      </c>
      <c r="P260" s="71" t="str">
        <f>IFERROR(__xludf.DUMMYFUNCTION("""COMPUTED_VALUE"""),"")</f>
        <v/>
      </c>
      <c r="Q260" s="78" t="str">
        <f>IFERROR(__xludf.DUMMYFUNCTION("""COMPUTED_VALUE"""),"")</f>
        <v/>
      </c>
      <c r="R260" s="78" t="str">
        <f>IFERROR(__xludf.DUMMYFUNCTION("""COMPUTED_VALUE"""),"")</f>
        <v/>
      </c>
      <c r="S260" s="80" t="str">
        <f>IFERROR(__xludf.DUMMYFUNCTION("""COMPUTED_VALUE"""),"")</f>
        <v/>
      </c>
      <c r="T260" s="80" t="str">
        <f>IFERROR(__xludf.DUMMYFUNCTION("""COMPUTED_VALUE"""),"")</f>
        <v/>
      </c>
      <c r="U260" s="71" t="str">
        <f>IFERROR(__xludf.DUMMYFUNCTION("""COMPUTED_VALUE"""),"")</f>
        <v/>
      </c>
      <c r="V260" s="78" t="str">
        <f>IFERROR(__xludf.DUMMYFUNCTION("""COMPUTED_VALUE"""),"")</f>
        <v/>
      </c>
      <c r="W260" s="62" t="str">
        <f>IFERROR(__xludf.DUMMYFUNCTION("""COMPUTED_VALUE"""),"")</f>
        <v/>
      </c>
      <c r="X260" s="80" t="str">
        <f>IFERROR(__xludf.DUMMYFUNCTION("""COMPUTED_VALUE"""),"")</f>
        <v/>
      </c>
      <c r="Y260" s="109" t="str">
        <f>IFERROR(__xludf.DUMMYFUNCTION("""COMPUTED_VALUE"""),"")</f>
        <v/>
      </c>
      <c r="Z260" s="71"/>
      <c r="AA260" s="71"/>
      <c r="AB260" s="71"/>
    </row>
    <row r="261">
      <c r="A261" s="105">
        <f>IFERROR(__xludf.DUMMYFUNCTION("""COMPUTED_VALUE"""),46122.74988512731)</f>
        <v>46122.74989</v>
      </c>
      <c r="B261" s="71" t="str">
        <f>IFERROR(__xludf.DUMMYFUNCTION("""COMPUTED_VALUE"""),"Leah Bucci")</f>
        <v>Leah Bucci</v>
      </c>
      <c r="C261" s="71" t="b">
        <f>IFERROR(__xludf.DUMMYFUNCTION("""COMPUTED_VALUE"""),FALSE)</f>
        <v>0</v>
      </c>
      <c r="D261" s="132">
        <f>IFERROR(__xludf.DUMMYFUNCTION("""COMPUTED_VALUE"""),0.6666666666642413)</f>
        <v>0.6666666667</v>
      </c>
      <c r="E261" s="78">
        <f>IFERROR(__xludf.DUMMYFUNCTION("""COMPUTED_VALUE"""),0.07986111111677019)</f>
        <v>0.07986111112</v>
      </c>
      <c r="F261" s="132">
        <f>IFERROR(__xludf.DUMMYFUNCTION("""COMPUTED_VALUE"""),0.7465277777810115)</f>
        <v>0.7465277778</v>
      </c>
      <c r="G261" s="78">
        <f>IFERROR(__xludf.DUMMYFUNCTION("""COMPUTED_VALUE"""),0.07986111111677019)</f>
        <v>0.07986111112</v>
      </c>
      <c r="H261" s="71">
        <f>IFERROR(__xludf.DUMMYFUNCTION("""COMPUTED_VALUE"""),101.0)</f>
        <v>101</v>
      </c>
      <c r="I261" s="80">
        <f>IFERROR(__xludf.DUMMYFUNCTION("""COMPUTED_VALUE"""),52.69565217017895)</f>
        <v>52.69565217</v>
      </c>
      <c r="J261" s="71" t="str">
        <f>IFERROR(__xludf.DUMMYFUNCTION("""COMPUTED_VALUE"""),"Dinner")</f>
        <v>Dinner</v>
      </c>
      <c r="K261" s="106">
        <f>IFERROR(__xludf.DUMMYFUNCTION("""COMPUTED_VALUE"""),46122.0)</f>
        <v>46122</v>
      </c>
      <c r="L261" s="71" t="str">
        <f>IFERROR(__xludf.DUMMYFUNCTION("""COMPUTED_VALUE"""),"Friday")</f>
        <v>Friday</v>
      </c>
      <c r="M261" s="71" t="str">
        <f>IFERROR(__xludf.DUMMYFUNCTION("""COMPUTED_VALUE"""),"MF")</f>
        <v>MF</v>
      </c>
      <c r="N261" s="109">
        <f>IFERROR(__xludf.DUMMYFUNCTION("""COMPUTED_VALUE"""),1.1361797296043865)</f>
        <v>1.13617973</v>
      </c>
      <c r="O261" s="71" t="str">
        <f>IFERROR(__xludf.DUMMYFUNCTION("""COMPUTED_VALUE"""),"")</f>
        <v/>
      </c>
      <c r="P261" s="71" t="str">
        <f>IFERROR(__xludf.DUMMYFUNCTION("""COMPUTED_VALUE"""),"")</f>
        <v/>
      </c>
      <c r="Q261" s="78" t="str">
        <f>IFERROR(__xludf.DUMMYFUNCTION("""COMPUTED_VALUE"""),"")</f>
        <v/>
      </c>
      <c r="R261" s="78" t="str">
        <f>IFERROR(__xludf.DUMMYFUNCTION("""COMPUTED_VALUE"""),"")</f>
        <v/>
      </c>
      <c r="S261" s="80" t="str">
        <f>IFERROR(__xludf.DUMMYFUNCTION("""COMPUTED_VALUE"""),"")</f>
        <v/>
      </c>
      <c r="T261" s="80" t="str">
        <f>IFERROR(__xludf.DUMMYFUNCTION("""COMPUTED_VALUE"""),"")</f>
        <v/>
      </c>
      <c r="U261" s="71" t="str">
        <f>IFERROR(__xludf.DUMMYFUNCTION("""COMPUTED_VALUE"""),"")</f>
        <v/>
      </c>
      <c r="V261" s="78" t="str">
        <f>IFERROR(__xludf.DUMMYFUNCTION("""COMPUTED_VALUE"""),"")</f>
        <v/>
      </c>
      <c r="W261" s="62" t="str">
        <f>IFERROR(__xludf.DUMMYFUNCTION("""COMPUTED_VALUE"""),"")</f>
        <v/>
      </c>
      <c r="X261" s="80" t="str">
        <f>IFERROR(__xludf.DUMMYFUNCTION("""COMPUTED_VALUE"""),"")</f>
        <v/>
      </c>
      <c r="Y261" s="109" t="str">
        <f>IFERROR(__xludf.DUMMYFUNCTION("""COMPUTED_VALUE"""),"")</f>
        <v/>
      </c>
      <c r="Z261" s="71"/>
      <c r="AA261" s="71"/>
      <c r="AB261" s="71"/>
    </row>
    <row r="262">
      <c r="A262" s="105">
        <f>IFERROR(__xludf.DUMMYFUNCTION("""COMPUTED_VALUE"""),46122.7889766088)</f>
        <v>46122.78898</v>
      </c>
      <c r="B262" s="71" t="str">
        <f>IFERROR(__xludf.DUMMYFUNCTION("""COMPUTED_VALUE"""),"Orpheus Wilson")</f>
        <v>Orpheus Wilson</v>
      </c>
      <c r="C262" s="71" t="b">
        <f>IFERROR(__xludf.DUMMYFUNCTION("""COMPUTED_VALUE"""),FALSE)</f>
        <v>0</v>
      </c>
      <c r="D262" s="132">
        <f>IFERROR(__xludf.DUMMYFUNCTION("""COMPUTED_VALUE"""),0.7513888888934162)</f>
        <v>0.7513888889</v>
      </c>
      <c r="E262" s="78">
        <f>IFERROR(__xludf.DUMMYFUNCTION("""COMPUTED_VALUE"""),0.03402777777228039)</f>
        <v>0.03402777777</v>
      </c>
      <c r="F262" s="132">
        <f>IFERROR(__xludf.DUMMYFUNCTION("""COMPUTED_VALUE"""),0.7854166666656965)</f>
        <v>0.7854166667</v>
      </c>
      <c r="G262" s="78">
        <f>IFERROR(__xludf.DUMMYFUNCTION("""COMPUTED_VALUE"""),0.070138888884685)</f>
        <v>0.07013888888</v>
      </c>
      <c r="H262" s="71">
        <f>IFERROR(__xludf.DUMMYFUNCTION("""COMPUTED_VALUE"""),59.0)</f>
        <v>59</v>
      </c>
      <c r="I262" s="80">
        <f>IFERROR(__xludf.DUMMYFUNCTION("""COMPUTED_VALUE"""),73.6633663410488)</f>
        <v>73.66336634</v>
      </c>
      <c r="J262" s="71" t="str">
        <f>IFERROR(__xludf.DUMMYFUNCTION("""COMPUTED_VALUE"""),"Dinner")</f>
        <v>Dinner</v>
      </c>
      <c r="K262" s="106">
        <f>IFERROR(__xludf.DUMMYFUNCTION("""COMPUTED_VALUE"""),46122.0)</f>
        <v>46122</v>
      </c>
      <c r="L262" s="71" t="str">
        <f>IFERROR(__xludf.DUMMYFUNCTION("""COMPUTED_VALUE"""),"Friday")</f>
        <v>Friday</v>
      </c>
      <c r="M262" s="71" t="str">
        <f>IFERROR(__xludf.DUMMYFUNCTION("""COMPUTED_VALUE"""),"MF")</f>
        <v>MF</v>
      </c>
      <c r="N262" s="109">
        <f>IFERROR(__xludf.DUMMYFUNCTION("""COMPUTED_VALUE"""),1.58826810570314)</f>
        <v>1.588268106</v>
      </c>
      <c r="O262" s="71" t="str">
        <f>IFERROR(__xludf.DUMMYFUNCTION("""COMPUTED_VALUE"""),"")</f>
        <v/>
      </c>
      <c r="P262" s="71" t="str">
        <f>IFERROR(__xludf.DUMMYFUNCTION("""COMPUTED_VALUE"""),"")</f>
        <v/>
      </c>
      <c r="Q262" s="78" t="str">
        <f>IFERROR(__xludf.DUMMYFUNCTION("""COMPUTED_VALUE"""),"")</f>
        <v/>
      </c>
      <c r="R262" s="78" t="str">
        <f>IFERROR(__xludf.DUMMYFUNCTION("""COMPUTED_VALUE"""),"")</f>
        <v/>
      </c>
      <c r="S262" s="80" t="str">
        <f>IFERROR(__xludf.DUMMYFUNCTION("""COMPUTED_VALUE"""),"")</f>
        <v/>
      </c>
      <c r="T262" s="80" t="str">
        <f>IFERROR(__xludf.DUMMYFUNCTION("""COMPUTED_VALUE"""),"")</f>
        <v/>
      </c>
      <c r="U262" s="71" t="str">
        <f>IFERROR(__xludf.DUMMYFUNCTION("""COMPUTED_VALUE"""),"")</f>
        <v/>
      </c>
      <c r="V262" s="78" t="str">
        <f>IFERROR(__xludf.DUMMYFUNCTION("""COMPUTED_VALUE"""),"")</f>
        <v/>
      </c>
      <c r="W262" s="62" t="str">
        <f>IFERROR(__xludf.DUMMYFUNCTION("""COMPUTED_VALUE"""),"")</f>
        <v/>
      </c>
      <c r="X262" s="80" t="str">
        <f>IFERROR(__xludf.DUMMYFUNCTION("""COMPUTED_VALUE"""),"")</f>
        <v/>
      </c>
      <c r="Y262" s="109" t="str">
        <f>IFERROR(__xludf.DUMMYFUNCTION("""COMPUTED_VALUE"""),"")</f>
        <v/>
      </c>
      <c r="Z262" s="71"/>
      <c r="AA262" s="71"/>
      <c r="AB262" s="71"/>
    </row>
    <row r="263">
      <c r="A263" s="105">
        <f>IFERROR(__xludf.DUMMYFUNCTION("""COMPUTED_VALUE"""),46122.83097618056)</f>
        <v>46122.83098</v>
      </c>
      <c r="B263" s="71" t="str">
        <f>IFERROR(__xludf.DUMMYFUNCTION("""COMPUTED_VALUE"""),"Orpheus Wilson")</f>
        <v>Orpheus Wilson</v>
      </c>
      <c r="C263" s="71" t="b">
        <f>IFERROR(__xludf.DUMMYFUNCTION("""COMPUTED_VALUE"""),TRUE)</f>
        <v>1</v>
      </c>
      <c r="D263" s="132">
        <f>IFERROR(__xludf.DUMMYFUNCTION("""COMPUTED_VALUE"""),0.7909722222248092)</f>
        <v>0.7909722222</v>
      </c>
      <c r="E263" s="78">
        <f>IFERROR(__xludf.DUMMYFUNCTION("""COMPUTED_VALUE"""),0.036111111112404615)</f>
        <v>0.03611111111</v>
      </c>
      <c r="F263" s="132">
        <f>IFERROR(__xludf.DUMMYFUNCTION("""COMPUTED_VALUE"""),0.8270833333372138)</f>
        <v>0.8270833333</v>
      </c>
      <c r="G263" s="78" t="str">
        <f>IFERROR(__xludf.DUMMYFUNCTION("""COMPUTED_VALUE"""),"")</f>
        <v/>
      </c>
      <c r="H263" s="71">
        <f>IFERROR(__xludf.DUMMYFUNCTION("""COMPUTED_VALUE"""),65.0)</f>
        <v>65</v>
      </c>
      <c r="I263" s="80" t="str">
        <f>IFERROR(__xludf.DUMMYFUNCTION("""COMPUTED_VALUE"""),"")</f>
        <v/>
      </c>
      <c r="J263" s="71" t="str">
        <f>IFERROR(__xludf.DUMMYFUNCTION("""COMPUTED_VALUE"""),"Dinner")</f>
        <v>Dinner</v>
      </c>
      <c r="K263" s="106">
        <f>IFERROR(__xludf.DUMMYFUNCTION("""COMPUTED_VALUE"""),46122.0)</f>
        <v>46122</v>
      </c>
      <c r="L263" s="71" t="str">
        <f>IFERROR(__xludf.DUMMYFUNCTION("""COMPUTED_VALUE"""),"Friday")</f>
        <v>Friday</v>
      </c>
      <c r="M263" s="71" t="str">
        <f>IFERROR(__xludf.DUMMYFUNCTION("""COMPUTED_VALUE"""),"MF")</f>
        <v>MF</v>
      </c>
      <c r="N263" s="109" t="str">
        <f>IFERROR(__xludf.DUMMYFUNCTION("""COMPUTED_VALUE"""),"")</f>
        <v/>
      </c>
      <c r="O263" s="71">
        <f>IFERROR(__xludf.DUMMYFUNCTION("""COMPUTED_VALUE"""),407.0)</f>
        <v>407</v>
      </c>
      <c r="P263" s="71">
        <f>IFERROR(__xludf.DUMMYFUNCTION("""COMPUTED_VALUE"""),145.0)</f>
        <v>145</v>
      </c>
      <c r="Q263" s="78">
        <f>IFERROR(__xludf.DUMMYFUNCTION("""COMPUTED_VALUE"""),0.28888888889196096)</f>
        <v>0.2888888889</v>
      </c>
      <c r="R263" s="78">
        <f>IFERROR(__xludf.DUMMYFUNCTION("""COMPUTED_VALUE"""),0.1875)</f>
        <v>0.1875</v>
      </c>
      <c r="S263" s="80">
        <f>IFERROR(__xludf.DUMMYFUNCTION("""COMPUTED_VALUE"""),60.319672836864044)</f>
        <v>60.31967284</v>
      </c>
      <c r="T263" s="80">
        <f>IFERROR(__xludf.DUMMYFUNCTION("""COMPUTED_VALUE"""),35.666666666666664)</f>
        <v>35.66666667</v>
      </c>
      <c r="U263" s="71">
        <f>IFERROR(__xludf.DUMMYFUNCTION("""COMPUTED_VALUE"""),552.0)</f>
        <v>552</v>
      </c>
      <c r="V263" s="78">
        <f>IFERROR(__xludf.DUMMYFUNCTION("""COMPUTED_VALUE"""),0.47638888889196096)</f>
        <v>0.4763888889</v>
      </c>
      <c r="W263" s="62">
        <f>IFERROR(__xludf.DUMMYFUNCTION("""COMPUTED_VALUE"""),48.279883381612855)</f>
        <v>48.27988338</v>
      </c>
      <c r="X263" s="80">
        <f>IFERROR(__xludf.DUMMYFUNCTION("""COMPUTED_VALUE"""),50.458470368785086)</f>
        <v>50.45847037</v>
      </c>
      <c r="Y263" s="109">
        <f>IFERROR(__xludf.DUMMYFUNCTION("""COMPUTED_VALUE"""),0.8659848627793343)</f>
        <v>0.8659848628</v>
      </c>
      <c r="Z263" s="71"/>
      <c r="AA263" s="71"/>
      <c r="AB263" s="71"/>
    </row>
    <row r="264">
      <c r="A264" s="105">
        <f>IFERROR(__xludf.DUMMYFUNCTION("""COMPUTED_VALUE"""),46125.43694049769)</f>
        <v>46125.43694</v>
      </c>
      <c r="B264" s="71" t="str">
        <f>IFERROR(__xludf.DUMMYFUNCTION("""COMPUTED_VALUE"""),"Sophia Kluck")</f>
        <v>Sophia Kluck</v>
      </c>
      <c r="C264" s="71" t="b">
        <f>IFERROR(__xludf.DUMMYFUNCTION("""COMPUTED_VALUE"""),FALSE)</f>
        <v>0</v>
      </c>
      <c r="D264" s="132">
        <f>IFERROR(__xludf.DUMMYFUNCTION("""COMPUTED_VALUE"""),0.3687500000014552)</f>
        <v>0.36875</v>
      </c>
      <c r="E264" s="78">
        <f>IFERROR(__xludf.DUMMYFUNCTION("""COMPUTED_VALUE"""),0.06597222221898846)</f>
        <v>0.06597222222</v>
      </c>
      <c r="F264" s="132">
        <f>IFERROR(__xludf.DUMMYFUNCTION("""COMPUTED_VALUE"""),0.43472222222044365)</f>
        <v>0.4347222222</v>
      </c>
      <c r="G264" s="78">
        <f>IFERROR(__xludf.DUMMYFUNCTION("""COMPUTED_VALUE"""),0.06597222221898846)</f>
        <v>0.06597222222</v>
      </c>
      <c r="H264" s="71">
        <f>IFERROR(__xludf.DUMMYFUNCTION("""COMPUTED_VALUE"""),49.0)</f>
        <v>49</v>
      </c>
      <c r="I264" s="80">
        <f>IFERROR(__xludf.DUMMYFUNCTION("""COMPUTED_VALUE"""),30.94736842256958)</f>
        <v>30.94736842</v>
      </c>
      <c r="J264" s="71" t="str">
        <f>IFERROR(__xludf.DUMMYFUNCTION("""COMPUTED_VALUE"""),"Breakfast")</f>
        <v>Breakfast</v>
      </c>
      <c r="K264" s="106">
        <f>IFERROR(__xludf.DUMMYFUNCTION("""COMPUTED_VALUE"""),46125.0)</f>
        <v>46125</v>
      </c>
      <c r="L264" s="71" t="str">
        <f>IFERROR(__xludf.DUMMYFUNCTION("""COMPUTED_VALUE"""),"Monday")</f>
        <v>Monday</v>
      </c>
      <c r="M264" s="71" t="str">
        <f>IFERROR(__xludf.DUMMYFUNCTION("""COMPUTED_VALUE"""),"BF")</f>
        <v>BF</v>
      </c>
      <c r="N264" s="109">
        <f>IFERROR(__xludf.DUMMYFUNCTION("""COMPUTED_VALUE"""),1.0915929310981498)</f>
        <v>1.091592931</v>
      </c>
      <c r="O264" s="71" t="str">
        <f>IFERROR(__xludf.DUMMYFUNCTION("""COMPUTED_VALUE"""),"")</f>
        <v/>
      </c>
      <c r="P264" s="71" t="str">
        <f>IFERROR(__xludf.DUMMYFUNCTION("""COMPUTED_VALUE"""),"")</f>
        <v/>
      </c>
      <c r="Q264" s="78" t="str">
        <f>IFERROR(__xludf.DUMMYFUNCTION("""COMPUTED_VALUE"""),"")</f>
        <v/>
      </c>
      <c r="R264" s="78" t="str">
        <f>IFERROR(__xludf.DUMMYFUNCTION("""COMPUTED_VALUE"""),"")</f>
        <v/>
      </c>
      <c r="S264" s="80" t="str">
        <f>IFERROR(__xludf.DUMMYFUNCTION("""COMPUTED_VALUE"""),"")</f>
        <v/>
      </c>
      <c r="T264" s="80" t="str">
        <f>IFERROR(__xludf.DUMMYFUNCTION("""COMPUTED_VALUE"""),"")</f>
        <v/>
      </c>
      <c r="U264" s="71" t="str">
        <f>IFERROR(__xludf.DUMMYFUNCTION("""COMPUTED_VALUE"""),"")</f>
        <v/>
      </c>
      <c r="V264" s="78" t="str">
        <f>IFERROR(__xludf.DUMMYFUNCTION("""COMPUTED_VALUE"""),"")</f>
        <v/>
      </c>
      <c r="W264" s="62" t="str">
        <f>IFERROR(__xludf.DUMMYFUNCTION("""COMPUTED_VALUE"""),"")</f>
        <v/>
      </c>
      <c r="X264" s="80" t="str">
        <f>IFERROR(__xludf.DUMMYFUNCTION("""COMPUTED_VALUE"""),"")</f>
        <v/>
      </c>
      <c r="Y264" s="109" t="str">
        <f>IFERROR(__xludf.DUMMYFUNCTION("""COMPUTED_VALUE"""),"")</f>
        <v/>
      </c>
      <c r="Z264" s="71"/>
      <c r="AA264" s="71"/>
      <c r="AB264" s="71"/>
    </row>
    <row r="265">
      <c r="A265" s="105">
        <f>IFERROR(__xludf.DUMMYFUNCTION("""COMPUTED_VALUE"""),46125.6412055324)</f>
        <v>46125.64121</v>
      </c>
      <c r="B265" s="71" t="str">
        <f>IFERROR(__xludf.DUMMYFUNCTION("""COMPUTED_VALUE"""),"Brynn Hornig")</f>
        <v>Brynn Hornig</v>
      </c>
      <c r="C265" s="71" t="b">
        <f>IFERROR(__xludf.DUMMYFUNCTION("""COMPUTED_VALUE"""),FALSE)</f>
        <v>0</v>
      </c>
      <c r="D265" s="132">
        <f>IFERROR(__xludf.DUMMYFUNCTION("""COMPUTED_VALUE"""),0.5208333333357587)</f>
        <v>0.5208333333</v>
      </c>
      <c r="E265" s="78">
        <f>IFERROR(__xludf.DUMMYFUNCTION("""COMPUTED_VALUE"""),0.125)</f>
        <v>0.125</v>
      </c>
      <c r="F265" s="132">
        <f>IFERROR(__xludf.DUMMYFUNCTION("""COMPUTED_VALUE"""),0.6458333333357587)</f>
        <v>0.6458333333</v>
      </c>
      <c r="G265" s="78">
        <f>IFERROR(__xludf.DUMMYFUNCTION("""COMPUTED_VALUE"""),0.125)</f>
        <v>0.125</v>
      </c>
      <c r="H265" s="71">
        <f>IFERROR(__xludf.DUMMYFUNCTION("""COMPUTED_VALUE"""),144.0)</f>
        <v>144</v>
      </c>
      <c r="I265" s="80">
        <f>IFERROR(__xludf.DUMMYFUNCTION("""COMPUTED_VALUE"""),48.0)</f>
        <v>48</v>
      </c>
      <c r="J265" s="71" t="str">
        <f>IFERROR(__xludf.DUMMYFUNCTION("""COMPUTED_VALUE"""),"Lunch")</f>
        <v>Lunch</v>
      </c>
      <c r="K265" s="106">
        <f>IFERROR(__xludf.DUMMYFUNCTION("""COMPUTED_VALUE"""),46125.0)</f>
        <v>46125</v>
      </c>
      <c r="L265" s="71" t="str">
        <f>IFERROR(__xludf.DUMMYFUNCTION("""COMPUTED_VALUE"""),"Monday")</f>
        <v>Monday</v>
      </c>
      <c r="M265" s="71" t="str">
        <f>IFERROR(__xludf.DUMMYFUNCTION("""COMPUTED_VALUE"""),"BF")</f>
        <v>BF</v>
      </c>
      <c r="N265" s="109">
        <f>IFERROR(__xludf.DUMMYFUNCTION("""COMPUTED_VALUE"""),1.6930829134569978)</f>
        <v>1.693082913</v>
      </c>
      <c r="O265" s="71" t="str">
        <f>IFERROR(__xludf.DUMMYFUNCTION("""COMPUTED_VALUE"""),"")</f>
        <v/>
      </c>
      <c r="P265" s="71" t="str">
        <f>IFERROR(__xludf.DUMMYFUNCTION("""COMPUTED_VALUE"""),"")</f>
        <v/>
      </c>
      <c r="Q265" s="78" t="str">
        <f>IFERROR(__xludf.DUMMYFUNCTION("""COMPUTED_VALUE"""),"")</f>
        <v/>
      </c>
      <c r="R265" s="78" t="str">
        <f>IFERROR(__xludf.DUMMYFUNCTION("""COMPUTED_VALUE"""),"")</f>
        <v/>
      </c>
      <c r="S265" s="80" t="str">
        <f>IFERROR(__xludf.DUMMYFUNCTION("""COMPUTED_VALUE"""),"")</f>
        <v/>
      </c>
      <c r="T265" s="80" t="str">
        <f>IFERROR(__xludf.DUMMYFUNCTION("""COMPUTED_VALUE"""),"")</f>
        <v/>
      </c>
      <c r="U265" s="71" t="str">
        <f>IFERROR(__xludf.DUMMYFUNCTION("""COMPUTED_VALUE"""),"")</f>
        <v/>
      </c>
      <c r="V265" s="78" t="str">
        <f>IFERROR(__xludf.DUMMYFUNCTION("""COMPUTED_VALUE"""),"")</f>
        <v/>
      </c>
      <c r="W265" s="62" t="str">
        <f>IFERROR(__xludf.DUMMYFUNCTION("""COMPUTED_VALUE"""),"")</f>
        <v/>
      </c>
      <c r="X265" s="80" t="str">
        <f>IFERROR(__xludf.DUMMYFUNCTION("""COMPUTED_VALUE"""),"")</f>
        <v/>
      </c>
      <c r="Y265" s="109" t="str">
        <f>IFERROR(__xludf.DUMMYFUNCTION("""COMPUTED_VALUE"""),"")</f>
        <v/>
      </c>
      <c r="Z265" s="71"/>
      <c r="AA265" s="71"/>
      <c r="AB265" s="71"/>
    </row>
    <row r="266">
      <c r="A266" s="105">
        <f>IFERROR(__xludf.DUMMYFUNCTION("""COMPUTED_VALUE"""),46125.75994054398)</f>
        <v>46125.75994</v>
      </c>
      <c r="B266" s="71" t="str">
        <f>IFERROR(__xludf.DUMMYFUNCTION("""COMPUTED_VALUE"""),"Orpheus Wilson")</f>
        <v>Orpheus Wilson</v>
      </c>
      <c r="C266" s="71" t="b">
        <f>IFERROR(__xludf.DUMMYFUNCTION("""COMPUTED_VALUE"""),FALSE)</f>
        <v>0</v>
      </c>
      <c r="D266" s="132">
        <f>IFERROR(__xludf.DUMMYFUNCTION("""COMPUTED_VALUE"""),0.6687499999970896)</f>
        <v>0.66875</v>
      </c>
      <c r="E266" s="78">
        <f>IFERROR(__xludf.DUMMYFUNCTION("""COMPUTED_VALUE"""),0.07638888889050577)</f>
        <v>0.07638888889</v>
      </c>
      <c r="F266" s="132">
        <f>IFERROR(__xludf.DUMMYFUNCTION("""COMPUTED_VALUE"""),0.7451388888875954)</f>
        <v>0.7451388889</v>
      </c>
      <c r="G266" s="78">
        <f>IFERROR(__xludf.DUMMYFUNCTION("""COMPUTED_VALUE"""),0.07638888889050577)</f>
        <v>0.07638888889</v>
      </c>
      <c r="H266" s="71">
        <f>IFERROR(__xludf.DUMMYFUNCTION("""COMPUTED_VALUE"""),110.0)</f>
        <v>110</v>
      </c>
      <c r="I266" s="80">
        <f>IFERROR(__xludf.DUMMYFUNCTION("""COMPUTED_VALUE"""),59.99999999873001)</f>
        <v>60</v>
      </c>
      <c r="J266" s="71" t="str">
        <f>IFERROR(__xludf.DUMMYFUNCTION("""COMPUTED_VALUE"""),"Dinner")</f>
        <v>Dinner</v>
      </c>
      <c r="K266" s="106">
        <f>IFERROR(__xludf.DUMMYFUNCTION("""COMPUTED_VALUE"""),46125.0)</f>
        <v>46125</v>
      </c>
      <c r="L266" s="71" t="str">
        <f>IFERROR(__xludf.DUMMYFUNCTION("""COMPUTED_VALUE"""),"Monday")</f>
        <v>Monday</v>
      </c>
      <c r="M266" s="71" t="str">
        <f>IFERROR(__xludf.DUMMYFUNCTION("""COMPUTED_VALUE"""),"MF")</f>
        <v>MF</v>
      </c>
      <c r="N266" s="109">
        <f>IFERROR(__xludf.DUMMYFUNCTION("""COMPUTED_VALUE"""),1.293669989217798)</f>
        <v>1.293669989</v>
      </c>
      <c r="O266" s="71" t="str">
        <f>IFERROR(__xludf.DUMMYFUNCTION("""COMPUTED_VALUE"""),"")</f>
        <v/>
      </c>
      <c r="P266" s="71" t="str">
        <f>IFERROR(__xludf.DUMMYFUNCTION("""COMPUTED_VALUE"""),"")</f>
        <v/>
      </c>
      <c r="Q266" s="78" t="str">
        <f>IFERROR(__xludf.DUMMYFUNCTION("""COMPUTED_VALUE"""),"")</f>
        <v/>
      </c>
      <c r="R266" s="78" t="str">
        <f>IFERROR(__xludf.DUMMYFUNCTION("""COMPUTED_VALUE"""),"")</f>
        <v/>
      </c>
      <c r="S266" s="80" t="str">
        <f>IFERROR(__xludf.DUMMYFUNCTION("""COMPUTED_VALUE"""),"")</f>
        <v/>
      </c>
      <c r="T266" s="80" t="str">
        <f>IFERROR(__xludf.DUMMYFUNCTION("""COMPUTED_VALUE"""),"")</f>
        <v/>
      </c>
      <c r="U266" s="71" t="str">
        <f>IFERROR(__xludf.DUMMYFUNCTION("""COMPUTED_VALUE"""),"")</f>
        <v/>
      </c>
      <c r="V266" s="78" t="str">
        <f>IFERROR(__xludf.DUMMYFUNCTION("""COMPUTED_VALUE"""),"")</f>
        <v/>
      </c>
      <c r="W266" s="62" t="str">
        <f>IFERROR(__xludf.DUMMYFUNCTION("""COMPUTED_VALUE"""),"")</f>
        <v/>
      </c>
      <c r="X266" s="80" t="str">
        <f>IFERROR(__xludf.DUMMYFUNCTION("""COMPUTED_VALUE"""),"")</f>
        <v/>
      </c>
      <c r="Y266" s="109" t="str">
        <f>IFERROR(__xludf.DUMMYFUNCTION("""COMPUTED_VALUE"""),"")</f>
        <v/>
      </c>
      <c r="Z266" s="71"/>
      <c r="AA266" s="71"/>
      <c r="AB266" s="71"/>
    </row>
    <row r="267">
      <c r="A267" s="105">
        <f>IFERROR(__xludf.DUMMYFUNCTION("""COMPUTED_VALUE"""),46125.866670358795)</f>
        <v>46125.86667</v>
      </c>
      <c r="B267" s="71" t="str">
        <f>IFERROR(__xludf.DUMMYFUNCTION("""COMPUTED_VALUE"""),"Maureen Surgot")</f>
        <v>Maureen Surgot</v>
      </c>
      <c r="C267" s="71" t="b">
        <f>IFERROR(__xludf.DUMMYFUNCTION("""COMPUTED_VALUE"""),FALSE)</f>
        <v>0</v>
      </c>
      <c r="D267" s="132">
        <f>IFERROR(__xludf.DUMMYFUNCTION("""COMPUTED_VALUE"""),0.75)</f>
        <v>0.75</v>
      </c>
      <c r="E267" s="78">
        <f>IFERROR(__xludf.DUMMYFUNCTION("""COMPUTED_VALUE"""),0.125)</f>
        <v>0.125</v>
      </c>
      <c r="F267" s="132">
        <f>IFERROR(__xludf.DUMMYFUNCTION("""COMPUTED_VALUE"""),0.875)</f>
        <v>0.875</v>
      </c>
      <c r="G267" s="78">
        <f>IFERROR(__xludf.DUMMYFUNCTION("""COMPUTED_VALUE"""),0.125)</f>
        <v>0.125</v>
      </c>
      <c r="H267" s="71">
        <f>IFERROR(__xludf.DUMMYFUNCTION("""COMPUTED_VALUE"""),164.0)</f>
        <v>164</v>
      </c>
      <c r="I267" s="80">
        <f>IFERROR(__xludf.DUMMYFUNCTION("""COMPUTED_VALUE"""),54.666666666666664)</f>
        <v>54.66666667</v>
      </c>
      <c r="J267" s="71" t="str">
        <f>IFERROR(__xludf.DUMMYFUNCTION("""COMPUTED_VALUE"""),"Dinner")</f>
        <v>Dinner</v>
      </c>
      <c r="K267" s="106">
        <f>IFERROR(__xludf.DUMMYFUNCTION("""COMPUTED_VALUE"""),46125.0)</f>
        <v>46125</v>
      </c>
      <c r="L267" s="71" t="str">
        <f>IFERROR(__xludf.DUMMYFUNCTION("""COMPUTED_VALUE"""),"Monday")</f>
        <v>Monday</v>
      </c>
      <c r="M267" s="71" t="str">
        <f>IFERROR(__xludf.DUMMYFUNCTION("""COMPUTED_VALUE"""),"MF")</f>
        <v>MF</v>
      </c>
      <c r="N267" s="109">
        <f>IFERROR(__xludf.DUMMYFUNCTION("""COMPUTED_VALUE"""),1.1786771013122757)</f>
        <v>1.178677101</v>
      </c>
      <c r="O267" s="71">
        <f>IFERROR(__xludf.DUMMYFUNCTION("""COMPUTED_VALUE"""),274.0)</f>
        <v>274</v>
      </c>
      <c r="P267" s="71">
        <f>IFERROR(__xludf.DUMMYFUNCTION("""COMPUTED_VALUE"""),193.0)</f>
        <v>193</v>
      </c>
      <c r="Q267" s="78">
        <f>IFERROR(__xludf.DUMMYFUNCTION("""COMPUTED_VALUE"""),0.20138888889050577)</f>
        <v>0.2013888889</v>
      </c>
      <c r="R267" s="78">
        <f>IFERROR(__xludf.DUMMYFUNCTION("""COMPUTED_VALUE"""),0.19097222221898846)</f>
        <v>0.1909722222</v>
      </c>
      <c r="S267" s="80">
        <f>IFERROR(__xludf.DUMMYFUNCTION("""COMPUTED_VALUE"""),57.33333333269834)</f>
        <v>57.33333333</v>
      </c>
      <c r="T267" s="80">
        <f>IFERROR(__xludf.DUMMYFUNCTION("""COMPUTED_VALUE"""),39.47368421128479)</f>
        <v>39.47368421</v>
      </c>
      <c r="U267" s="71">
        <f>IFERROR(__xludf.DUMMYFUNCTION("""COMPUTED_VALUE"""),467.0)</f>
        <v>467</v>
      </c>
      <c r="V267" s="78">
        <f>IFERROR(__xludf.DUMMYFUNCTION("""COMPUTED_VALUE"""),0.39236111110949423)</f>
        <v>0.3923611111</v>
      </c>
      <c r="W267" s="62">
        <f>IFERROR(__xludf.DUMMYFUNCTION("""COMPUTED_VALUE"""),49.59292035418667)</f>
        <v>49.59292035</v>
      </c>
      <c r="X267" s="80">
        <f>IFERROR(__xludf.DUMMYFUNCTION("""COMPUTED_VALUE"""),48.40350877199156)</f>
        <v>48.40350877</v>
      </c>
      <c r="Y267" s="109">
        <f>IFERROR(__xludf.DUMMYFUNCTION("""COMPUTED_VALUE"""),0.9772223998108329)</f>
        <v>0.9772223998</v>
      </c>
      <c r="Z267" s="71"/>
      <c r="AA267" s="71"/>
      <c r="AB267" s="71"/>
    </row>
    <row r="268">
      <c r="A268" s="105">
        <f>IFERROR(__xludf.DUMMYFUNCTION("""COMPUTED_VALUE"""),46126.513314861106)</f>
        <v>46126.51331</v>
      </c>
      <c r="B268" s="71" t="str">
        <f>IFERROR(__xludf.DUMMYFUNCTION("""COMPUTED_VALUE"""),"Kaylie Forgue")</f>
        <v>Kaylie Forgue</v>
      </c>
      <c r="C268" s="71" t="b">
        <f>IFERROR(__xludf.DUMMYFUNCTION("""COMPUTED_VALUE"""),FALSE)</f>
        <v>0</v>
      </c>
      <c r="D268" s="132">
        <f>IFERROR(__xludf.DUMMYFUNCTION("""COMPUTED_VALUE"""),0.4444444444452529)</f>
        <v>0.4444444444</v>
      </c>
      <c r="E268" s="78">
        <f>IFERROR(__xludf.DUMMYFUNCTION("""COMPUTED_VALUE"""),0.05625000000145519)</f>
        <v>0.05625</v>
      </c>
      <c r="F268" s="132">
        <f>IFERROR(__xludf.DUMMYFUNCTION("""COMPUTED_VALUE"""),0.5006944444467081)</f>
        <v>0.5006944444</v>
      </c>
      <c r="G268" s="78">
        <f>IFERROR(__xludf.DUMMYFUNCTION("""COMPUTED_VALUE"""),0.07569444444379769)</f>
        <v>0.07569444444</v>
      </c>
      <c r="H268" s="71">
        <f>IFERROR(__xludf.DUMMYFUNCTION("""COMPUTED_VALUE"""),133.0)</f>
        <v>133</v>
      </c>
      <c r="I268" s="80">
        <f>IFERROR(__xludf.DUMMYFUNCTION("""COMPUTED_VALUE"""),86.9724770649633)</f>
        <v>86.97247706</v>
      </c>
      <c r="J268" s="71" t="str">
        <f>IFERROR(__xludf.DUMMYFUNCTION("""COMPUTED_VALUE"""),"Breakfast/Lunch")</f>
        <v>Breakfast/Lunch</v>
      </c>
      <c r="K268" s="106">
        <f>IFERROR(__xludf.DUMMYFUNCTION("""COMPUTED_VALUE"""),46126.0)</f>
        <v>46126</v>
      </c>
      <c r="L268" s="71" t="str">
        <f>IFERROR(__xludf.DUMMYFUNCTION("""COMPUTED_VALUE"""),"Tuesday")</f>
        <v>Tuesday</v>
      </c>
      <c r="M268" s="71" t="str">
        <f>IFERROR(__xludf.DUMMYFUNCTION("""COMPUTED_VALUE"""),"BF")</f>
        <v>BF</v>
      </c>
      <c r="N268" s="109">
        <f>IFERROR(__xludf.DUMMYFUNCTION("""COMPUTED_VALUE"""),2.6835072010514702)</f>
        <v>2.683507201</v>
      </c>
      <c r="O268" s="71" t="str">
        <f>IFERROR(__xludf.DUMMYFUNCTION("""COMPUTED_VALUE"""),"")</f>
        <v/>
      </c>
      <c r="P268" s="71" t="str">
        <f>IFERROR(__xludf.DUMMYFUNCTION("""COMPUTED_VALUE"""),"")</f>
        <v/>
      </c>
      <c r="Q268" s="78" t="str">
        <f>IFERROR(__xludf.DUMMYFUNCTION("""COMPUTED_VALUE"""),"")</f>
        <v/>
      </c>
      <c r="R268" s="78" t="str">
        <f>IFERROR(__xludf.DUMMYFUNCTION("""COMPUTED_VALUE"""),"")</f>
        <v/>
      </c>
      <c r="S268" s="80" t="str">
        <f>IFERROR(__xludf.DUMMYFUNCTION("""COMPUTED_VALUE"""),"")</f>
        <v/>
      </c>
      <c r="T268" s="80" t="str">
        <f>IFERROR(__xludf.DUMMYFUNCTION("""COMPUTED_VALUE"""),"")</f>
        <v/>
      </c>
      <c r="U268" s="71" t="str">
        <f>IFERROR(__xludf.DUMMYFUNCTION("""COMPUTED_VALUE"""),"")</f>
        <v/>
      </c>
      <c r="V268" s="78" t="str">
        <f>IFERROR(__xludf.DUMMYFUNCTION("""COMPUTED_VALUE"""),"")</f>
        <v/>
      </c>
      <c r="W268" s="62" t="str">
        <f>IFERROR(__xludf.DUMMYFUNCTION("""COMPUTED_VALUE"""),"")</f>
        <v/>
      </c>
      <c r="X268" s="80" t="str">
        <f>IFERROR(__xludf.DUMMYFUNCTION("""COMPUTED_VALUE"""),"")</f>
        <v/>
      </c>
      <c r="Y268" s="109" t="str">
        <f>IFERROR(__xludf.DUMMYFUNCTION("""COMPUTED_VALUE"""),"")</f>
        <v/>
      </c>
      <c r="Z268" s="71"/>
      <c r="AA268" s="71"/>
      <c r="AB268" s="71"/>
    </row>
    <row r="269">
      <c r="A269" s="105">
        <f>IFERROR(__xludf.DUMMYFUNCTION("""COMPUTED_VALUE"""),46126.60215520833)</f>
        <v>46126.60216</v>
      </c>
      <c r="B269" s="71" t="str">
        <f>IFERROR(__xludf.DUMMYFUNCTION("""COMPUTED_VALUE"""),"Kaylie Forgue")</f>
        <v>Kaylie Forgue</v>
      </c>
      <c r="C269" s="71" t="b">
        <f>IFERROR(__xludf.DUMMYFUNCTION("""COMPUTED_VALUE"""),TRUE)</f>
        <v>1</v>
      </c>
      <c r="D269" s="132">
        <f>IFERROR(__xludf.DUMMYFUNCTION("""COMPUTED_VALUE"""),0.5020833333328483)</f>
        <v>0.5020833333</v>
      </c>
      <c r="E269" s="78">
        <f>IFERROR(__xludf.DUMMYFUNCTION("""COMPUTED_VALUE"""),0.0194444444423425)</f>
        <v>0.01944444444</v>
      </c>
      <c r="F269" s="132">
        <f>IFERROR(__xludf.DUMMYFUNCTION("""COMPUTED_VALUE"""),0.5215277777751908)</f>
        <v>0.5215277778</v>
      </c>
      <c r="G269" s="78" t="str">
        <f>IFERROR(__xludf.DUMMYFUNCTION("""COMPUTED_VALUE"""),"")</f>
        <v/>
      </c>
      <c r="H269" s="71">
        <f>IFERROR(__xludf.DUMMYFUNCTION("""COMPUTED_VALUE"""),25.0)</f>
        <v>25</v>
      </c>
      <c r="I269" s="80" t="str">
        <f>IFERROR(__xludf.DUMMYFUNCTION("""COMPUTED_VALUE"""),"")</f>
        <v/>
      </c>
      <c r="J269" s="71" t="str">
        <f>IFERROR(__xludf.DUMMYFUNCTION("""COMPUTED_VALUE"""),"Lunch")</f>
        <v>Lunch</v>
      </c>
      <c r="K269" s="106">
        <f>IFERROR(__xludf.DUMMYFUNCTION("""COMPUTED_VALUE"""),46126.0)</f>
        <v>46126</v>
      </c>
      <c r="L269" s="71" t="str">
        <f>IFERROR(__xludf.DUMMYFUNCTION("""COMPUTED_VALUE"""),"Tuesday")</f>
        <v>Tuesday</v>
      </c>
      <c r="M269" s="71" t="str">
        <f>IFERROR(__xludf.DUMMYFUNCTION("""COMPUTED_VALUE"""),"BF")</f>
        <v>BF</v>
      </c>
      <c r="N269" s="109" t="str">
        <f>IFERROR(__xludf.DUMMYFUNCTION("""COMPUTED_VALUE"""),"")</f>
        <v/>
      </c>
      <c r="O269" s="71" t="str">
        <f>IFERROR(__xludf.DUMMYFUNCTION("""COMPUTED_VALUE"""),"")</f>
        <v/>
      </c>
      <c r="P269" s="71" t="str">
        <f>IFERROR(__xludf.DUMMYFUNCTION("""COMPUTED_VALUE"""),"")</f>
        <v/>
      </c>
      <c r="Q269" s="78" t="str">
        <f>IFERROR(__xludf.DUMMYFUNCTION("""COMPUTED_VALUE"""),"")</f>
        <v/>
      </c>
      <c r="R269" s="78" t="str">
        <f>IFERROR(__xludf.DUMMYFUNCTION("""COMPUTED_VALUE"""),"")</f>
        <v/>
      </c>
      <c r="S269" s="80" t="str">
        <f>IFERROR(__xludf.DUMMYFUNCTION("""COMPUTED_VALUE"""),"")</f>
        <v/>
      </c>
      <c r="T269" s="80" t="str">
        <f>IFERROR(__xludf.DUMMYFUNCTION("""COMPUTED_VALUE"""),"")</f>
        <v/>
      </c>
      <c r="U269" s="71" t="str">
        <f>IFERROR(__xludf.DUMMYFUNCTION("""COMPUTED_VALUE"""),"")</f>
        <v/>
      </c>
      <c r="V269" s="78" t="str">
        <f>IFERROR(__xludf.DUMMYFUNCTION("""COMPUTED_VALUE"""),"")</f>
        <v/>
      </c>
      <c r="W269" s="62" t="str">
        <f>IFERROR(__xludf.DUMMYFUNCTION("""COMPUTED_VALUE"""),"")</f>
        <v/>
      </c>
      <c r="X269" s="80" t="str">
        <f>IFERROR(__xludf.DUMMYFUNCTION("""COMPUTED_VALUE"""),"")</f>
        <v/>
      </c>
      <c r="Y269" s="109" t="str">
        <f>IFERROR(__xludf.DUMMYFUNCTION("""COMPUTED_VALUE"""),"")</f>
        <v/>
      </c>
      <c r="Z269" s="71"/>
      <c r="AA269" s="71"/>
      <c r="AB269" s="71"/>
    </row>
    <row r="270">
      <c r="A270" s="105">
        <f>IFERROR(__xludf.DUMMYFUNCTION("""COMPUTED_VALUE"""),46126.85281292824)</f>
        <v>46126.85281</v>
      </c>
      <c r="B270" s="71" t="str">
        <f>IFERROR(__xludf.DUMMYFUNCTION("""COMPUTED_VALUE"""),"Leah Bucci")</f>
        <v>Leah Bucci</v>
      </c>
      <c r="C270" s="71" t="b">
        <f>IFERROR(__xludf.DUMMYFUNCTION("""COMPUTED_VALUE"""),FALSE)</f>
        <v>0</v>
      </c>
      <c r="D270" s="132">
        <f>IFERROR(__xludf.DUMMYFUNCTION("""COMPUTED_VALUE"""),0.6875)</f>
        <v>0.6875</v>
      </c>
      <c r="E270" s="78">
        <f>IFERROR(__xludf.DUMMYFUNCTION("""COMPUTED_VALUE"""),0.15972222221898846)</f>
        <v>0.1597222222</v>
      </c>
      <c r="F270" s="132">
        <f>IFERROR(__xludf.DUMMYFUNCTION("""COMPUTED_VALUE"""),0.8472222222189885)</f>
        <v>0.8472222222</v>
      </c>
      <c r="G270" s="78">
        <f>IFERROR(__xludf.DUMMYFUNCTION("""COMPUTED_VALUE"""),0.15972222221898846)</f>
        <v>0.1597222222</v>
      </c>
      <c r="H270" s="71">
        <f>IFERROR(__xludf.DUMMYFUNCTION("""COMPUTED_VALUE"""),128.0)</f>
        <v>128</v>
      </c>
      <c r="I270" s="80">
        <f>IFERROR(__xludf.DUMMYFUNCTION("""COMPUTED_VALUE"""),33.39130434850213)</f>
        <v>33.39130435</v>
      </c>
      <c r="J270" s="71" t="str">
        <f>IFERROR(__xludf.DUMMYFUNCTION("""COMPUTED_VALUE"""),"Dinner")</f>
        <v>Dinner</v>
      </c>
      <c r="K270" s="106">
        <f>IFERROR(__xludf.DUMMYFUNCTION("""COMPUTED_VALUE"""),46126.0)</f>
        <v>46126</v>
      </c>
      <c r="L270" s="71" t="str">
        <f>IFERROR(__xludf.DUMMYFUNCTION("""COMPUTED_VALUE"""),"Tuesday")</f>
        <v>Tuesday</v>
      </c>
      <c r="M270" s="71" t="str">
        <f>IFERROR(__xludf.DUMMYFUNCTION("""COMPUTED_VALUE"""),"BF")</f>
        <v>BF</v>
      </c>
      <c r="N270" s="109">
        <f>IFERROR(__xludf.DUMMYFUNCTION("""COMPUTED_VALUE"""),0.7515178472187795)</f>
        <v>0.7515178472</v>
      </c>
      <c r="O270" s="71" t="str">
        <f>IFERROR(__xludf.DUMMYFUNCTION("""COMPUTED_VALUE"""),"")</f>
        <v/>
      </c>
      <c r="P270" s="71" t="str">
        <f>IFERROR(__xludf.DUMMYFUNCTION("""COMPUTED_VALUE"""),"")</f>
        <v/>
      </c>
      <c r="Q270" s="78" t="str">
        <f>IFERROR(__xludf.DUMMYFUNCTION("""COMPUTED_VALUE"""),"")</f>
        <v/>
      </c>
      <c r="R270" s="78" t="str">
        <f>IFERROR(__xludf.DUMMYFUNCTION("""COMPUTED_VALUE"""),"")</f>
        <v/>
      </c>
      <c r="S270" s="80" t="str">
        <f>IFERROR(__xludf.DUMMYFUNCTION("""COMPUTED_VALUE"""),"")</f>
        <v/>
      </c>
      <c r="T270" s="80" t="str">
        <f>IFERROR(__xludf.DUMMYFUNCTION("""COMPUTED_VALUE"""),"")</f>
        <v/>
      </c>
      <c r="U270" s="71" t="str">
        <f>IFERROR(__xludf.DUMMYFUNCTION("""COMPUTED_VALUE"""),"")</f>
        <v/>
      </c>
      <c r="V270" s="78" t="str">
        <f>IFERROR(__xludf.DUMMYFUNCTION("""COMPUTED_VALUE"""),"")</f>
        <v/>
      </c>
      <c r="W270" s="62" t="str">
        <f>IFERROR(__xludf.DUMMYFUNCTION("""COMPUTED_VALUE"""),"")</f>
        <v/>
      </c>
      <c r="X270" s="80" t="str">
        <f>IFERROR(__xludf.DUMMYFUNCTION("""COMPUTED_VALUE"""),"")</f>
        <v/>
      </c>
      <c r="Y270" s="109" t="str">
        <f>IFERROR(__xludf.DUMMYFUNCTION("""COMPUTED_VALUE"""),"")</f>
        <v/>
      </c>
      <c r="Z270" s="71"/>
      <c r="AA270" s="71"/>
      <c r="AB270" s="71"/>
    </row>
    <row r="271">
      <c r="A271" s="105">
        <f>IFERROR(__xludf.DUMMYFUNCTION("""COMPUTED_VALUE"""),46126.86870979167)</f>
        <v>46126.86871</v>
      </c>
      <c r="B271" s="71" t="str">
        <f>IFERROR(__xludf.DUMMYFUNCTION("""COMPUTED_VALUE"""),"Laila Maisuria")</f>
        <v>Laila Maisuria</v>
      </c>
      <c r="C271" s="71" t="b">
        <f>IFERROR(__xludf.DUMMYFUNCTION("""COMPUTED_VALUE"""),FALSE)</f>
        <v>0</v>
      </c>
      <c r="D271" s="132">
        <f>IFERROR(__xludf.DUMMYFUNCTION("""COMPUTED_VALUE"""),0.7527777777795563)</f>
        <v>0.7527777778</v>
      </c>
      <c r="E271" s="78">
        <f>IFERROR(__xludf.DUMMYFUNCTION("""COMPUTED_VALUE"""),0.11527777777519077)</f>
        <v>0.1152777778</v>
      </c>
      <c r="F271" s="132">
        <f>IFERROR(__xludf.DUMMYFUNCTION("""COMPUTED_VALUE"""),0.8680555555547471)</f>
        <v>0.8680555556</v>
      </c>
      <c r="G271" s="78">
        <f>IFERROR(__xludf.DUMMYFUNCTION("""COMPUTED_VALUE"""),0.11527777777519077)</f>
        <v>0.1152777778</v>
      </c>
      <c r="H271" s="71">
        <f>IFERROR(__xludf.DUMMYFUNCTION("""COMPUTED_VALUE"""),116.0)</f>
        <v>116</v>
      </c>
      <c r="I271" s="80">
        <f>IFERROR(__xludf.DUMMYFUNCTION("""COMPUTED_VALUE"""),41.92771084431441)</f>
        <v>41.92771084</v>
      </c>
      <c r="J271" s="71" t="str">
        <f>IFERROR(__xludf.DUMMYFUNCTION("""COMPUTED_VALUE"""),"Dinner")</f>
        <v>Dinner</v>
      </c>
      <c r="K271" s="106">
        <f>IFERROR(__xludf.DUMMYFUNCTION("""COMPUTED_VALUE"""),46126.0)</f>
        <v>46126</v>
      </c>
      <c r="L271" s="71" t="str">
        <f>IFERROR(__xludf.DUMMYFUNCTION("""COMPUTED_VALUE"""),"Tuesday")</f>
        <v>Tuesday</v>
      </c>
      <c r="M271" s="71" t="str">
        <f>IFERROR(__xludf.DUMMYFUNCTION("""COMPUTED_VALUE"""),"MF")</f>
        <v>MF</v>
      </c>
      <c r="N271" s="109">
        <f>IFERROR(__xludf.DUMMYFUNCTION("""COMPUTED_VALUE"""),0.9040103539506544)</f>
        <v>0.904010354</v>
      </c>
      <c r="O271" s="71">
        <f>IFERROR(__xludf.DUMMYFUNCTION("""COMPUTED_VALUE"""),116.0)</f>
        <v>116</v>
      </c>
      <c r="P271" s="71">
        <f>IFERROR(__xludf.DUMMYFUNCTION("""COMPUTED_VALUE"""),286.0)</f>
        <v>286</v>
      </c>
      <c r="Q271" s="78">
        <f>IFERROR(__xludf.DUMMYFUNCTION("""COMPUTED_VALUE"""),0.11527777777519077)</f>
        <v>0.1152777778</v>
      </c>
      <c r="R271" s="78">
        <f>IFERROR(__xludf.DUMMYFUNCTION("""COMPUTED_VALUE"""),0.23541666666278616)</f>
        <v>0.2354166667</v>
      </c>
      <c r="S271" s="80">
        <f>IFERROR(__xludf.DUMMYFUNCTION("""COMPUTED_VALUE"""),41.92771084431441)</f>
        <v>41.92771084</v>
      </c>
      <c r="T271" s="80">
        <f>IFERROR(__xludf.DUMMYFUNCTION("""COMPUTED_VALUE"""),60.181890706732716)</f>
        <v>60.18189071</v>
      </c>
      <c r="U271" s="71">
        <f>IFERROR(__xludf.DUMMYFUNCTION("""COMPUTED_VALUE"""),402.0)</f>
        <v>402</v>
      </c>
      <c r="V271" s="78">
        <f>IFERROR(__xludf.DUMMYFUNCTION("""COMPUTED_VALUE"""),0.3506944444379769)</f>
        <v>0.3506944444</v>
      </c>
      <c r="W271" s="62">
        <f>IFERROR(__xludf.DUMMYFUNCTION("""COMPUTED_VALUE"""),47.7623762385046)</f>
        <v>47.76237624</v>
      </c>
      <c r="X271" s="80">
        <f>IFERROR(__xludf.DUMMYFUNCTION("""COMPUTED_VALUE"""),54.097164085926615)</f>
        <v>54.09716409</v>
      </c>
      <c r="Y271" s="109">
        <f>IFERROR(__xludf.DUMMYFUNCTION("""COMPUTED_VALUE"""),0.6985750905548371)</f>
        <v>0.6985750906</v>
      </c>
      <c r="Z271" s="71"/>
      <c r="AA271" s="71"/>
      <c r="AB271" s="71"/>
    </row>
    <row r="272">
      <c r="A272" s="105">
        <f>IFERROR(__xludf.DUMMYFUNCTION("""COMPUTED_VALUE"""),46127.40096619213)</f>
        <v>46127.40097</v>
      </c>
      <c r="B272" s="71" t="str">
        <f>IFERROR(__xludf.DUMMYFUNCTION("""COMPUTED_VALUE"""),"Kaylie Forgue")</f>
        <v>Kaylie Forgue</v>
      </c>
      <c r="C272" s="71" t="b">
        <f>IFERROR(__xludf.DUMMYFUNCTION("""COMPUTED_VALUE"""),FALSE)</f>
        <v>0</v>
      </c>
      <c r="D272" s="132">
        <f>IFERROR(__xludf.DUMMYFUNCTION("""COMPUTED_VALUE"""),0.31388888889341615)</f>
        <v>0.3138888889</v>
      </c>
      <c r="E272" s="78">
        <f>IFERROR(__xludf.DUMMYFUNCTION("""COMPUTED_VALUE"""),0.0819444444423425)</f>
        <v>0.08194444444</v>
      </c>
      <c r="F272" s="132">
        <f>IFERROR(__xludf.DUMMYFUNCTION("""COMPUTED_VALUE"""),0.39583333333575865)</f>
        <v>0.3958333333</v>
      </c>
      <c r="G272" s="78">
        <f>IFERROR(__xludf.DUMMYFUNCTION("""COMPUTED_VALUE"""),0.0819444444423425)</f>
        <v>0.08194444444</v>
      </c>
      <c r="H272" s="71">
        <f>IFERROR(__xludf.DUMMYFUNCTION("""COMPUTED_VALUE"""),69.0)</f>
        <v>69</v>
      </c>
      <c r="I272" s="80">
        <f>IFERROR(__xludf.DUMMYFUNCTION("""COMPUTED_VALUE"""),35.08474576361182)</f>
        <v>35.08474576</v>
      </c>
      <c r="J272" s="71" t="str">
        <f>IFERROR(__xludf.DUMMYFUNCTION("""COMPUTED_VALUE"""),"Breakfast")</f>
        <v>Breakfast</v>
      </c>
      <c r="K272" s="106">
        <f>IFERROR(__xludf.DUMMYFUNCTION("""COMPUTED_VALUE"""),46127.0)</f>
        <v>46127</v>
      </c>
      <c r="L272" s="71" t="str">
        <f>IFERROR(__xludf.DUMMYFUNCTION("""COMPUTED_VALUE"""),"Wednesday")</f>
        <v>Wednesday</v>
      </c>
      <c r="M272" s="71" t="str">
        <f>IFERROR(__xludf.DUMMYFUNCTION("""COMPUTED_VALUE"""),"BF")</f>
        <v>BF</v>
      </c>
      <c r="N272" s="109">
        <f>IFERROR(__xludf.DUMMYFUNCTION("""COMPUTED_VALUE"""),1.2375288244865408)</f>
        <v>1.237528824</v>
      </c>
      <c r="O272" s="71" t="str">
        <f>IFERROR(__xludf.DUMMYFUNCTION("""COMPUTED_VALUE"""),"")</f>
        <v/>
      </c>
      <c r="P272" s="71" t="str">
        <f>IFERROR(__xludf.DUMMYFUNCTION("""COMPUTED_VALUE"""),"")</f>
        <v/>
      </c>
      <c r="Q272" s="78" t="str">
        <f>IFERROR(__xludf.DUMMYFUNCTION("""COMPUTED_VALUE"""),"")</f>
        <v/>
      </c>
      <c r="R272" s="78" t="str">
        <f>IFERROR(__xludf.DUMMYFUNCTION("""COMPUTED_VALUE"""),"")</f>
        <v/>
      </c>
      <c r="S272" s="80" t="str">
        <f>IFERROR(__xludf.DUMMYFUNCTION("""COMPUTED_VALUE"""),"")</f>
        <v/>
      </c>
      <c r="T272" s="80" t="str">
        <f>IFERROR(__xludf.DUMMYFUNCTION("""COMPUTED_VALUE"""),"")</f>
        <v/>
      </c>
      <c r="U272" s="71" t="str">
        <f>IFERROR(__xludf.DUMMYFUNCTION("""COMPUTED_VALUE"""),"")</f>
        <v/>
      </c>
      <c r="V272" s="78" t="str">
        <f>IFERROR(__xludf.DUMMYFUNCTION("""COMPUTED_VALUE"""),"")</f>
        <v/>
      </c>
      <c r="W272" s="62" t="str">
        <f>IFERROR(__xludf.DUMMYFUNCTION("""COMPUTED_VALUE"""),"")</f>
        <v/>
      </c>
      <c r="X272" s="80" t="str">
        <f>IFERROR(__xludf.DUMMYFUNCTION("""COMPUTED_VALUE"""),"")</f>
        <v/>
      </c>
      <c r="Y272" s="109" t="str">
        <f>IFERROR(__xludf.DUMMYFUNCTION("""COMPUTED_VALUE"""),"")</f>
        <v/>
      </c>
      <c r="Z272" s="71"/>
      <c r="AA272" s="71"/>
      <c r="AB272" s="71"/>
    </row>
    <row r="273">
      <c r="A273" s="105">
        <f>IFERROR(__xludf.DUMMYFUNCTION("""COMPUTED_VALUE"""),46127.48048266204)</f>
        <v>46127.48048</v>
      </c>
      <c r="B273" s="71" t="str">
        <f>IFERROR(__xludf.DUMMYFUNCTION("""COMPUTED_VALUE"""),"Oluwatimilehin Shodipe")</f>
        <v>Oluwatimilehin Shodipe</v>
      </c>
      <c r="C273" s="71" t="b">
        <f>IFERROR(__xludf.DUMMYFUNCTION("""COMPUTED_VALUE"""),FALSE)</f>
        <v>0</v>
      </c>
      <c r="D273" s="132">
        <f>IFERROR(__xludf.DUMMYFUNCTION("""COMPUTED_VALUE"""),0.43402777778101154)</f>
        <v>0.4340277778</v>
      </c>
      <c r="E273" s="78">
        <f>IFERROR(__xludf.DUMMYFUNCTION("""COMPUTED_VALUE"""),0.04513888888322981)</f>
        <v>0.04513888888</v>
      </c>
      <c r="F273" s="132">
        <f>IFERROR(__xludf.DUMMYFUNCTION("""COMPUTED_VALUE"""),0.47916666666424135)</f>
        <v>0.4791666667</v>
      </c>
      <c r="G273" s="78">
        <f>IFERROR(__xludf.DUMMYFUNCTION("""COMPUTED_VALUE"""),0.04513888888322981)</f>
        <v>0.04513888888</v>
      </c>
      <c r="H273" s="71">
        <f>IFERROR(__xludf.DUMMYFUNCTION("""COMPUTED_VALUE"""),59.0)</f>
        <v>59</v>
      </c>
      <c r="I273" s="80">
        <f>IFERROR(__xludf.DUMMYFUNCTION("""COMPUTED_VALUE"""),54.46153846836632)</f>
        <v>54.46153847</v>
      </c>
      <c r="J273" s="71" t="str">
        <f>IFERROR(__xludf.DUMMYFUNCTION("""COMPUTED_VALUE"""),"Breakfast/Lunch")</f>
        <v>Breakfast/Lunch</v>
      </c>
      <c r="K273" s="106">
        <f>IFERROR(__xludf.DUMMYFUNCTION("""COMPUTED_VALUE"""),46127.0)</f>
        <v>46127</v>
      </c>
      <c r="L273" s="71" t="str">
        <f>IFERROR(__xludf.DUMMYFUNCTION("""COMPUTED_VALUE"""),"Wednesday")</f>
        <v>Wednesday</v>
      </c>
      <c r="M273" s="71" t="str">
        <f>IFERROR(__xludf.DUMMYFUNCTION("""COMPUTED_VALUE"""),"BF")</f>
        <v>BF</v>
      </c>
      <c r="N273" s="109">
        <f>IFERROR(__xludf.DUMMYFUNCTION("""COMPUTED_VALUE"""),1.4638953651808606)</f>
        <v>1.463895365</v>
      </c>
      <c r="O273" s="71" t="str">
        <f>IFERROR(__xludf.DUMMYFUNCTION("""COMPUTED_VALUE"""),"")</f>
        <v/>
      </c>
      <c r="P273" s="71" t="str">
        <f>IFERROR(__xludf.DUMMYFUNCTION("""COMPUTED_VALUE"""),"")</f>
        <v/>
      </c>
      <c r="Q273" s="78" t="str">
        <f>IFERROR(__xludf.DUMMYFUNCTION("""COMPUTED_VALUE"""),"")</f>
        <v/>
      </c>
      <c r="R273" s="78" t="str">
        <f>IFERROR(__xludf.DUMMYFUNCTION("""COMPUTED_VALUE"""),"")</f>
        <v/>
      </c>
      <c r="S273" s="80" t="str">
        <f>IFERROR(__xludf.DUMMYFUNCTION("""COMPUTED_VALUE"""),"")</f>
        <v/>
      </c>
      <c r="T273" s="80" t="str">
        <f>IFERROR(__xludf.DUMMYFUNCTION("""COMPUTED_VALUE"""),"")</f>
        <v/>
      </c>
      <c r="U273" s="71" t="str">
        <f>IFERROR(__xludf.DUMMYFUNCTION("""COMPUTED_VALUE"""),"")</f>
        <v/>
      </c>
      <c r="V273" s="78" t="str">
        <f>IFERROR(__xludf.DUMMYFUNCTION("""COMPUTED_VALUE"""),"")</f>
        <v/>
      </c>
      <c r="W273" s="62" t="str">
        <f>IFERROR(__xludf.DUMMYFUNCTION("""COMPUTED_VALUE"""),"")</f>
        <v/>
      </c>
      <c r="X273" s="80" t="str">
        <f>IFERROR(__xludf.DUMMYFUNCTION("""COMPUTED_VALUE"""),"")</f>
        <v/>
      </c>
      <c r="Y273" s="109" t="str">
        <f>IFERROR(__xludf.DUMMYFUNCTION("""COMPUTED_VALUE"""),"")</f>
        <v/>
      </c>
      <c r="Z273" s="71"/>
      <c r="AA273" s="71"/>
      <c r="AB273" s="71"/>
    </row>
    <row r="274">
      <c r="A274" s="105">
        <f>IFERROR(__xludf.DUMMYFUNCTION("""COMPUTED_VALUE"""),46127.510647187504)</f>
        <v>46127.51065</v>
      </c>
      <c r="B274" s="71" t="str">
        <f>IFERROR(__xludf.DUMMYFUNCTION("""COMPUTED_VALUE"""),"Oluwatimilehin Shodipe")</f>
        <v>Oluwatimilehin Shodipe</v>
      </c>
      <c r="C274" s="71" t="b">
        <f>IFERROR(__xludf.DUMMYFUNCTION("""COMPUTED_VALUE"""),FALSE)</f>
        <v>0</v>
      </c>
      <c r="D274" s="132">
        <f>IFERROR(__xludf.DUMMYFUNCTION("""COMPUTED_VALUE"""),0.48611111110949423)</f>
        <v>0.4861111111</v>
      </c>
      <c r="E274" s="78">
        <f>IFERROR(__xludf.DUMMYFUNCTION("""COMPUTED_VALUE"""),0.024305555554747116)</f>
        <v>0.02430555555</v>
      </c>
      <c r="F274" s="132">
        <f>IFERROR(__xludf.DUMMYFUNCTION("""COMPUTED_VALUE"""),0.5104166666642413)</f>
        <v>0.5104166667</v>
      </c>
      <c r="G274" s="78">
        <f>IFERROR(__xludf.DUMMYFUNCTION("""COMPUTED_VALUE"""),0.024305555554747116)</f>
        <v>0.02430555555</v>
      </c>
      <c r="H274" s="71">
        <f>IFERROR(__xludf.DUMMYFUNCTION("""COMPUTED_VALUE"""),27.0)</f>
        <v>27</v>
      </c>
      <c r="I274" s="80">
        <f>IFERROR(__xludf.DUMMYFUNCTION("""COMPUTED_VALUE"""),46.28571428725382)</f>
        <v>46.28571429</v>
      </c>
      <c r="J274" s="71" t="str">
        <f>IFERROR(__xludf.DUMMYFUNCTION("""COMPUTED_VALUE"""),"Lunch")</f>
        <v>Lunch</v>
      </c>
      <c r="K274" s="106">
        <f>IFERROR(__xludf.DUMMYFUNCTION("""COMPUTED_VALUE"""),46127.0)</f>
        <v>46127</v>
      </c>
      <c r="L274" s="71" t="str">
        <f>IFERROR(__xludf.DUMMYFUNCTION("""COMPUTED_VALUE"""),"Wednesday")</f>
        <v>Wednesday</v>
      </c>
      <c r="M274" s="71" t="str">
        <f>IFERROR(__xludf.DUMMYFUNCTION("""COMPUTED_VALUE"""),"MF")</f>
        <v>MF</v>
      </c>
      <c r="N274" s="109">
        <f>IFERROR(__xludf.DUMMYFUNCTION("""COMPUTED_VALUE"""),0.9206050318057181)</f>
        <v>0.9206050318</v>
      </c>
      <c r="O274" s="71" t="str">
        <f>IFERROR(__xludf.DUMMYFUNCTION("""COMPUTED_VALUE"""),"")</f>
        <v/>
      </c>
      <c r="P274" s="71" t="str">
        <f>IFERROR(__xludf.DUMMYFUNCTION("""COMPUTED_VALUE"""),"")</f>
        <v/>
      </c>
      <c r="Q274" s="78" t="str">
        <f>IFERROR(__xludf.DUMMYFUNCTION("""COMPUTED_VALUE"""),"")</f>
        <v/>
      </c>
      <c r="R274" s="78" t="str">
        <f>IFERROR(__xludf.DUMMYFUNCTION("""COMPUTED_VALUE"""),"")</f>
        <v/>
      </c>
      <c r="S274" s="80" t="str">
        <f>IFERROR(__xludf.DUMMYFUNCTION("""COMPUTED_VALUE"""),"")</f>
        <v/>
      </c>
      <c r="T274" s="80" t="str">
        <f>IFERROR(__xludf.DUMMYFUNCTION("""COMPUTED_VALUE"""),"")</f>
        <v/>
      </c>
      <c r="U274" s="71" t="str">
        <f>IFERROR(__xludf.DUMMYFUNCTION("""COMPUTED_VALUE"""),"")</f>
        <v/>
      </c>
      <c r="V274" s="78" t="str">
        <f>IFERROR(__xludf.DUMMYFUNCTION("""COMPUTED_VALUE"""),"")</f>
        <v/>
      </c>
      <c r="W274" s="62" t="str">
        <f>IFERROR(__xludf.DUMMYFUNCTION("""COMPUTED_VALUE"""),"")</f>
        <v/>
      </c>
      <c r="X274" s="80" t="str">
        <f>IFERROR(__xludf.DUMMYFUNCTION("""COMPUTED_VALUE"""),"")</f>
        <v/>
      </c>
      <c r="Y274" s="109" t="str">
        <f>IFERROR(__xludf.DUMMYFUNCTION("""COMPUTED_VALUE"""),"")</f>
        <v/>
      </c>
      <c r="Z274" s="71"/>
      <c r="AA274" s="71"/>
      <c r="AB274" s="71"/>
    </row>
    <row r="275">
      <c r="A275" s="105">
        <f>IFERROR(__xludf.DUMMYFUNCTION("""COMPUTED_VALUE"""),46127.623428182866)</f>
        <v>46127.62343</v>
      </c>
      <c r="B275" s="71" t="str">
        <f>IFERROR(__xludf.DUMMYFUNCTION("""COMPUTED_VALUE"""),"Brynn Hornig")</f>
        <v>Brynn Hornig</v>
      </c>
      <c r="C275" s="71" t="b">
        <f>IFERROR(__xludf.DUMMYFUNCTION("""COMPUTED_VALUE"""),FALSE)</f>
        <v>0</v>
      </c>
      <c r="D275" s="132">
        <f>IFERROR(__xludf.DUMMYFUNCTION("""COMPUTED_VALUE"""),0.5416666666642413)</f>
        <v>0.5416666667</v>
      </c>
      <c r="E275" s="78">
        <f>IFERROR(__xludf.DUMMYFUNCTION("""COMPUTED_VALUE"""),0.08333333333575865)</f>
        <v>0.08333333334</v>
      </c>
      <c r="F275" s="132">
        <f>IFERROR(__xludf.DUMMYFUNCTION("""COMPUTED_VALUE"""),0.625)</f>
        <v>0.625</v>
      </c>
      <c r="G275" s="78">
        <f>IFERROR(__xludf.DUMMYFUNCTION("""COMPUTED_VALUE"""),0.08333333333575865)</f>
        <v>0.08333333334</v>
      </c>
      <c r="H275" s="71">
        <f>IFERROR(__xludf.DUMMYFUNCTION("""COMPUTED_VALUE"""),84.0)</f>
        <v>84</v>
      </c>
      <c r="I275" s="80">
        <f>IFERROR(__xludf.DUMMYFUNCTION("""COMPUTED_VALUE"""),41.99999999877764)</f>
        <v>42</v>
      </c>
      <c r="J275" s="71" t="str">
        <f>IFERROR(__xludf.DUMMYFUNCTION("""COMPUTED_VALUE"""),"Lunch")</f>
        <v>Lunch</v>
      </c>
      <c r="K275" s="106">
        <f>IFERROR(__xludf.DUMMYFUNCTION("""COMPUTED_VALUE"""),46127.0)</f>
        <v>46127</v>
      </c>
      <c r="L275" s="71" t="str">
        <f>IFERROR(__xludf.DUMMYFUNCTION("""COMPUTED_VALUE"""),"Wednesday")</f>
        <v>Wednesday</v>
      </c>
      <c r="M275" s="71" t="str">
        <f>IFERROR(__xludf.DUMMYFUNCTION("""COMPUTED_VALUE"""),"MF")</f>
        <v>MF</v>
      </c>
      <c r="N275" s="109">
        <f>IFERROR(__xludf.DUMMYFUNCTION("""COMPUTED_VALUE"""),0.8353638251049428)</f>
        <v>0.8353638251</v>
      </c>
      <c r="O275" s="71" t="str">
        <f>IFERROR(__xludf.DUMMYFUNCTION("""COMPUTED_VALUE"""),"")</f>
        <v/>
      </c>
      <c r="P275" s="71" t="str">
        <f>IFERROR(__xludf.DUMMYFUNCTION("""COMPUTED_VALUE"""),"")</f>
        <v/>
      </c>
      <c r="Q275" s="78" t="str">
        <f>IFERROR(__xludf.DUMMYFUNCTION("""COMPUTED_VALUE"""),"")</f>
        <v/>
      </c>
      <c r="R275" s="78" t="str">
        <f>IFERROR(__xludf.DUMMYFUNCTION("""COMPUTED_VALUE"""),"")</f>
        <v/>
      </c>
      <c r="S275" s="80" t="str">
        <f>IFERROR(__xludf.DUMMYFUNCTION("""COMPUTED_VALUE"""),"")</f>
        <v/>
      </c>
      <c r="T275" s="80" t="str">
        <f>IFERROR(__xludf.DUMMYFUNCTION("""COMPUTED_VALUE"""),"")</f>
        <v/>
      </c>
      <c r="U275" s="71" t="str">
        <f>IFERROR(__xludf.DUMMYFUNCTION("""COMPUTED_VALUE"""),"")</f>
        <v/>
      </c>
      <c r="V275" s="78" t="str">
        <f>IFERROR(__xludf.DUMMYFUNCTION("""COMPUTED_VALUE"""),"")</f>
        <v/>
      </c>
      <c r="W275" s="62" t="str">
        <f>IFERROR(__xludf.DUMMYFUNCTION("""COMPUTED_VALUE"""),"")</f>
        <v/>
      </c>
      <c r="X275" s="80" t="str">
        <f>IFERROR(__xludf.DUMMYFUNCTION("""COMPUTED_VALUE"""),"")</f>
        <v/>
      </c>
      <c r="Y275" s="109" t="str">
        <f>IFERROR(__xludf.DUMMYFUNCTION("""COMPUTED_VALUE"""),"")</f>
        <v/>
      </c>
      <c r="Z275" s="71"/>
      <c r="AA275" s="71"/>
      <c r="AB275" s="71"/>
    </row>
    <row r="276">
      <c r="A276" s="105">
        <f>IFERROR(__xludf.DUMMYFUNCTION("""COMPUTED_VALUE"""),46127.848144386575)</f>
        <v>46127.84814</v>
      </c>
      <c r="B276" s="71" t="str">
        <f>IFERROR(__xludf.DUMMYFUNCTION("""COMPUTED_VALUE"""),"Maureen Surgot")</f>
        <v>Maureen Surgot</v>
      </c>
      <c r="C276" s="71" t="b">
        <f>IFERROR(__xludf.DUMMYFUNCTION("""COMPUTED_VALUE"""),FALSE)</f>
        <v>0</v>
      </c>
      <c r="D276" s="132">
        <f>IFERROR(__xludf.DUMMYFUNCTION("""COMPUTED_VALUE"""),0.6875)</f>
        <v>0.6875</v>
      </c>
      <c r="E276" s="78">
        <f>IFERROR(__xludf.DUMMYFUNCTION("""COMPUTED_VALUE"""),0.16666666666424135)</f>
        <v>0.1666666667</v>
      </c>
      <c r="F276" s="132">
        <f>IFERROR(__xludf.DUMMYFUNCTION("""COMPUTED_VALUE"""),0.8541666666642413)</f>
        <v>0.8541666667</v>
      </c>
      <c r="G276" s="78">
        <f>IFERROR(__xludf.DUMMYFUNCTION("""COMPUTED_VALUE"""),0.16666666666424135)</f>
        <v>0.1666666667</v>
      </c>
      <c r="H276" s="71">
        <f>IFERROR(__xludf.DUMMYFUNCTION("""COMPUTED_VALUE"""),156.0)</f>
        <v>156</v>
      </c>
      <c r="I276" s="80">
        <f>IFERROR(__xludf.DUMMYFUNCTION("""COMPUTED_VALUE"""),39.000000000567525)</f>
        <v>39</v>
      </c>
      <c r="J276" s="71" t="str">
        <f>IFERROR(__xludf.DUMMYFUNCTION("""COMPUTED_VALUE"""),"Dinner")</f>
        <v>Dinner</v>
      </c>
      <c r="K276" s="106">
        <f>IFERROR(__xludf.DUMMYFUNCTION("""COMPUTED_VALUE"""),46127.0)</f>
        <v>46127</v>
      </c>
      <c r="L276" s="71" t="str">
        <f>IFERROR(__xludf.DUMMYFUNCTION("""COMPUTED_VALUE"""),"Wednesday")</f>
        <v>Wednesday</v>
      </c>
      <c r="M276" s="71" t="str">
        <f>IFERROR(__xludf.DUMMYFUNCTION("""COMPUTED_VALUE"""),"BF")</f>
        <v>BF</v>
      </c>
      <c r="N276" s="109">
        <f>IFERROR(__xludf.DUMMYFUNCTION("""COMPUTED_VALUE"""),0.8777493606138107)</f>
        <v>0.8777493606</v>
      </c>
      <c r="O276" s="71" t="str">
        <f>IFERROR(__xludf.DUMMYFUNCTION("""COMPUTED_VALUE"""),"")</f>
        <v/>
      </c>
      <c r="P276" s="71" t="str">
        <f>IFERROR(__xludf.DUMMYFUNCTION("""COMPUTED_VALUE"""),"")</f>
        <v/>
      </c>
      <c r="Q276" s="78" t="str">
        <f>IFERROR(__xludf.DUMMYFUNCTION("""COMPUTED_VALUE"""),"")</f>
        <v/>
      </c>
      <c r="R276" s="78" t="str">
        <f>IFERROR(__xludf.DUMMYFUNCTION("""COMPUTED_VALUE"""),"")</f>
        <v/>
      </c>
      <c r="S276" s="80" t="str">
        <f>IFERROR(__xludf.DUMMYFUNCTION("""COMPUTED_VALUE"""),"")</f>
        <v/>
      </c>
      <c r="T276" s="80" t="str">
        <f>IFERROR(__xludf.DUMMYFUNCTION("""COMPUTED_VALUE"""),"")</f>
        <v/>
      </c>
      <c r="U276" s="71" t="str">
        <f>IFERROR(__xludf.DUMMYFUNCTION("""COMPUTED_VALUE"""),"")</f>
        <v/>
      </c>
      <c r="V276" s="78" t="str">
        <f>IFERROR(__xludf.DUMMYFUNCTION("""COMPUTED_VALUE"""),"")</f>
        <v/>
      </c>
      <c r="W276" s="62" t="str">
        <f>IFERROR(__xludf.DUMMYFUNCTION("""COMPUTED_VALUE"""),"")</f>
        <v/>
      </c>
      <c r="X276" s="80" t="str">
        <f>IFERROR(__xludf.DUMMYFUNCTION("""COMPUTED_VALUE"""),"")</f>
        <v/>
      </c>
      <c r="Y276" s="109" t="str">
        <f>IFERROR(__xludf.DUMMYFUNCTION("""COMPUTED_VALUE"""),"")</f>
        <v/>
      </c>
      <c r="Z276" s="71"/>
      <c r="AA276" s="71"/>
      <c r="AB276" s="71"/>
    </row>
    <row r="277">
      <c r="A277" s="105">
        <f>IFERROR(__xludf.DUMMYFUNCTION("""COMPUTED_VALUE"""),46127.87145489584)</f>
        <v>46127.87145</v>
      </c>
      <c r="B277" s="71" t="str">
        <f>IFERROR(__xludf.DUMMYFUNCTION("""COMPUTED_VALUE"""),"Brynn Hornig")</f>
        <v>Brynn Hornig</v>
      </c>
      <c r="C277" s="71" t="b">
        <f>IFERROR(__xludf.DUMMYFUNCTION("""COMPUTED_VALUE"""),FALSE)</f>
        <v>0</v>
      </c>
      <c r="D277" s="132">
        <f>IFERROR(__xludf.DUMMYFUNCTION("""COMPUTED_VALUE"""),0.75)</f>
        <v>0.75</v>
      </c>
      <c r="E277" s="78">
        <f>IFERROR(__xludf.DUMMYFUNCTION("""COMPUTED_VALUE"""),0.125)</f>
        <v>0.125</v>
      </c>
      <c r="F277" s="132">
        <f>IFERROR(__xludf.DUMMYFUNCTION("""COMPUTED_VALUE"""),0.875)</f>
        <v>0.875</v>
      </c>
      <c r="G277" s="78">
        <f>IFERROR(__xludf.DUMMYFUNCTION("""COMPUTED_VALUE"""),0.125)</f>
        <v>0.125</v>
      </c>
      <c r="H277" s="71">
        <f>IFERROR(__xludf.DUMMYFUNCTION("""COMPUTED_VALUE"""),100.0)</f>
        <v>100</v>
      </c>
      <c r="I277" s="80">
        <f>IFERROR(__xludf.DUMMYFUNCTION("""COMPUTED_VALUE"""),33.333333333333336)</f>
        <v>33.33333333</v>
      </c>
      <c r="J277" s="71" t="str">
        <f>IFERROR(__xludf.DUMMYFUNCTION("""COMPUTED_VALUE"""),"Dinner")</f>
        <v>Dinner</v>
      </c>
      <c r="K277" s="106">
        <f>IFERROR(__xludf.DUMMYFUNCTION("""COMPUTED_VALUE"""),46127.0)</f>
        <v>46127</v>
      </c>
      <c r="L277" s="71" t="str">
        <f>IFERROR(__xludf.DUMMYFUNCTION("""COMPUTED_VALUE"""),"Wednesday")</f>
        <v>Wednesday</v>
      </c>
      <c r="M277" s="71" t="str">
        <f>IFERROR(__xludf.DUMMYFUNCTION("""COMPUTED_VALUE"""),"MF")</f>
        <v>MF</v>
      </c>
      <c r="N277" s="109">
        <f>IFERROR(__xludf.DUMMYFUNCTION("""COMPUTED_VALUE"""),0.7187055495806559)</f>
        <v>0.7187055496</v>
      </c>
      <c r="O277" s="71">
        <f>IFERROR(__xludf.DUMMYFUNCTION("""COMPUTED_VALUE"""),211.0)</f>
        <v>211</v>
      </c>
      <c r="P277" s="71">
        <f>IFERROR(__xludf.DUMMYFUNCTION("""COMPUTED_VALUE"""),284.0)</f>
        <v>284</v>
      </c>
      <c r="Q277" s="78">
        <f>IFERROR(__xludf.DUMMYFUNCTION("""COMPUTED_VALUE"""),0.23263888889050577)</f>
        <v>0.2326388889</v>
      </c>
      <c r="R277" s="78">
        <f>IFERROR(__xludf.DUMMYFUNCTION("""COMPUTED_VALUE"""),0.29374999998981366)</f>
        <v>0.29375</v>
      </c>
      <c r="S277" s="80">
        <f>IFERROR(__xludf.DUMMYFUNCTION("""COMPUTED_VALUE"""),40.53968253978827)</f>
        <v>40.53968254</v>
      </c>
      <c r="T277" s="80">
        <f>IFERROR(__xludf.DUMMYFUNCTION("""COMPUTED_VALUE"""),42.84876141084856)</f>
        <v>42.84876141</v>
      </c>
      <c r="U277" s="71">
        <f>IFERROR(__xludf.DUMMYFUNCTION("""COMPUTED_VALUE"""),495.0)</f>
        <v>495</v>
      </c>
      <c r="V277" s="78">
        <f>IFERROR(__xludf.DUMMYFUNCTION("""COMPUTED_VALUE"""),0.5263888888803194)</f>
        <v>0.5263888889</v>
      </c>
      <c r="W277" s="62">
        <f>IFERROR(__xludf.DUMMYFUNCTION("""COMPUTED_VALUE"""),39.182058048131275)</f>
        <v>39.18205805</v>
      </c>
      <c r="X277" s="80">
        <f>IFERROR(__xludf.DUMMYFUNCTION("""COMPUTED_VALUE"""),41.69422197531841)</f>
        <v>41.69422198</v>
      </c>
      <c r="Y277" s="109">
        <f>IFERROR(__xludf.DUMMYFUNCTION("""COMPUTED_VALUE"""),0.8308064218681702)</f>
        <v>0.8308064219</v>
      </c>
      <c r="Z277" s="71"/>
      <c r="AA277" s="71"/>
      <c r="AB277" s="71"/>
    </row>
    <row r="278">
      <c r="A278" s="105">
        <f>IFERROR(__xludf.DUMMYFUNCTION("""COMPUTED_VALUE"""),46128.362814039356)</f>
        <v>46128.36281</v>
      </c>
      <c r="B278" s="71" t="str">
        <f>IFERROR(__xludf.DUMMYFUNCTION("""COMPUTED_VALUE"""),"Evan Morgan")</f>
        <v>Evan Morgan</v>
      </c>
      <c r="C278" s="71" t="b">
        <f>IFERROR(__xludf.DUMMYFUNCTION("""COMPUTED_VALUE"""),FALSE)</f>
        <v>0</v>
      </c>
      <c r="D278" s="132">
        <f>IFERROR(__xludf.DUMMYFUNCTION("""COMPUTED_VALUE"""),0.29166666666424135)</f>
        <v>0.2916666667</v>
      </c>
      <c r="E278" s="78">
        <f>IFERROR(__xludf.DUMMYFUNCTION("""COMPUTED_VALUE"""),0.07083333333866904)</f>
        <v>0.07083333334</v>
      </c>
      <c r="F278" s="132">
        <f>IFERROR(__xludf.DUMMYFUNCTION("""COMPUTED_VALUE"""),0.3625000000029104)</f>
        <v>0.3625</v>
      </c>
      <c r="G278" s="78">
        <f>IFERROR(__xludf.DUMMYFUNCTION("""COMPUTED_VALUE"""),0.07083333333866904)</f>
        <v>0.07083333334</v>
      </c>
      <c r="H278" s="71">
        <f>IFERROR(__xludf.DUMMYFUNCTION("""COMPUTED_VALUE"""),18.0)</f>
        <v>18</v>
      </c>
      <c r="I278" s="80">
        <f>IFERROR(__xludf.DUMMYFUNCTION("""COMPUTED_VALUE"""),10.58823529332006)</f>
        <v>10.58823529</v>
      </c>
      <c r="J278" s="71" t="str">
        <f>IFERROR(__xludf.DUMMYFUNCTION("""COMPUTED_VALUE"""),"Breakfast")</f>
        <v>Breakfast</v>
      </c>
      <c r="K278" s="106">
        <f>IFERROR(__xludf.DUMMYFUNCTION("""COMPUTED_VALUE"""),46128.0)</f>
        <v>46128</v>
      </c>
      <c r="L278" s="71" t="str">
        <f>IFERROR(__xludf.DUMMYFUNCTION("""COMPUTED_VALUE"""),"Thursday")</f>
        <v>Thursday</v>
      </c>
      <c r="M278" s="71" t="str">
        <f>IFERROR(__xludf.DUMMYFUNCTION("""COMPUTED_VALUE"""),"BF")</f>
        <v>BF</v>
      </c>
      <c r="N278" s="109">
        <f>IFERROR(__xludf.DUMMYFUNCTION("""COMPUTED_VALUE"""),0.3734741720579695)</f>
        <v>0.3734741721</v>
      </c>
      <c r="O278" s="71" t="str">
        <f>IFERROR(__xludf.DUMMYFUNCTION("""COMPUTED_VALUE"""),"")</f>
        <v/>
      </c>
      <c r="P278" s="71" t="str">
        <f>IFERROR(__xludf.DUMMYFUNCTION("""COMPUTED_VALUE"""),"")</f>
        <v/>
      </c>
      <c r="Q278" s="78" t="str">
        <f>IFERROR(__xludf.DUMMYFUNCTION("""COMPUTED_VALUE"""),"")</f>
        <v/>
      </c>
      <c r="R278" s="78" t="str">
        <f>IFERROR(__xludf.DUMMYFUNCTION("""COMPUTED_VALUE"""),"")</f>
        <v/>
      </c>
      <c r="S278" s="80" t="str">
        <f>IFERROR(__xludf.DUMMYFUNCTION("""COMPUTED_VALUE"""),"")</f>
        <v/>
      </c>
      <c r="T278" s="80" t="str">
        <f>IFERROR(__xludf.DUMMYFUNCTION("""COMPUTED_VALUE"""),"")</f>
        <v/>
      </c>
      <c r="U278" s="71" t="str">
        <f>IFERROR(__xludf.DUMMYFUNCTION("""COMPUTED_VALUE"""),"")</f>
        <v/>
      </c>
      <c r="V278" s="78" t="str">
        <f>IFERROR(__xludf.DUMMYFUNCTION("""COMPUTED_VALUE"""),"")</f>
        <v/>
      </c>
      <c r="W278" s="62" t="str">
        <f>IFERROR(__xludf.DUMMYFUNCTION("""COMPUTED_VALUE"""),"")</f>
        <v/>
      </c>
      <c r="X278" s="80" t="str">
        <f>IFERROR(__xludf.DUMMYFUNCTION("""COMPUTED_VALUE"""),"")</f>
        <v/>
      </c>
      <c r="Y278" s="109" t="str">
        <f>IFERROR(__xludf.DUMMYFUNCTION("""COMPUTED_VALUE"""),"")</f>
        <v/>
      </c>
      <c r="Z278" s="71"/>
      <c r="AA278" s="71"/>
      <c r="AB278" s="71"/>
    </row>
    <row r="279">
      <c r="A279" s="105">
        <f>IFERROR(__xludf.DUMMYFUNCTION("""COMPUTED_VALUE"""),46128.40876547454)</f>
        <v>46128.40877</v>
      </c>
      <c r="B279" s="71" t="str">
        <f>IFERROR(__xludf.DUMMYFUNCTION("""COMPUTED_VALUE"""),"Sophia Kluck")</f>
        <v>Sophia Kluck</v>
      </c>
      <c r="C279" s="71" t="b">
        <f>IFERROR(__xludf.DUMMYFUNCTION("""COMPUTED_VALUE"""),FALSE)</f>
        <v>0</v>
      </c>
      <c r="D279" s="132">
        <f>IFERROR(__xludf.DUMMYFUNCTION("""COMPUTED_VALUE"""),0.3687500000014552)</f>
        <v>0.36875</v>
      </c>
      <c r="E279" s="78">
        <f>IFERROR(__xludf.DUMMYFUNCTION("""COMPUTED_VALUE"""),0.03749999999854481)</f>
        <v>0.0375</v>
      </c>
      <c r="F279" s="132">
        <f>IFERROR(__xludf.DUMMYFUNCTION("""COMPUTED_VALUE"""),0.40625)</f>
        <v>0.40625</v>
      </c>
      <c r="G279" s="78">
        <f>IFERROR(__xludf.DUMMYFUNCTION("""COMPUTED_VALUE"""),0.03749999999854481)</f>
        <v>0.0375</v>
      </c>
      <c r="H279" s="71">
        <f>IFERROR(__xludf.DUMMYFUNCTION("""COMPUTED_VALUE"""),32.0)</f>
        <v>32</v>
      </c>
      <c r="I279" s="80">
        <f>IFERROR(__xludf.DUMMYFUNCTION("""COMPUTED_VALUE"""),35.555555556935296)</f>
        <v>35.55555556</v>
      </c>
      <c r="J279" s="71" t="str">
        <f>IFERROR(__xludf.DUMMYFUNCTION("""COMPUTED_VALUE"""),"Breakfast")</f>
        <v>Breakfast</v>
      </c>
      <c r="K279" s="106">
        <f>IFERROR(__xludf.DUMMYFUNCTION("""COMPUTED_VALUE"""),46128.0)</f>
        <v>46128</v>
      </c>
      <c r="L279" s="71" t="str">
        <f>IFERROR(__xludf.DUMMYFUNCTION("""COMPUTED_VALUE"""),"Thursday")</f>
        <v>Thursday</v>
      </c>
      <c r="M279" s="71" t="str">
        <f>IFERROR(__xludf.DUMMYFUNCTION("""COMPUTED_VALUE"""),"BF")</f>
        <v>BF</v>
      </c>
      <c r="N279" s="109">
        <f>IFERROR(__xludf.DUMMYFUNCTION("""COMPUTED_VALUE"""),1.254135491498295)</f>
        <v>1.254135491</v>
      </c>
      <c r="O279" s="71" t="str">
        <f>IFERROR(__xludf.DUMMYFUNCTION("""COMPUTED_VALUE"""),"")</f>
        <v/>
      </c>
      <c r="P279" s="71" t="str">
        <f>IFERROR(__xludf.DUMMYFUNCTION("""COMPUTED_VALUE"""),"")</f>
        <v/>
      </c>
      <c r="Q279" s="78" t="str">
        <f>IFERROR(__xludf.DUMMYFUNCTION("""COMPUTED_VALUE"""),"")</f>
        <v/>
      </c>
      <c r="R279" s="78" t="str">
        <f>IFERROR(__xludf.DUMMYFUNCTION("""COMPUTED_VALUE"""),"")</f>
        <v/>
      </c>
      <c r="S279" s="80" t="str">
        <f>IFERROR(__xludf.DUMMYFUNCTION("""COMPUTED_VALUE"""),"")</f>
        <v/>
      </c>
      <c r="T279" s="80" t="str">
        <f>IFERROR(__xludf.DUMMYFUNCTION("""COMPUTED_VALUE"""),"")</f>
        <v/>
      </c>
      <c r="U279" s="71" t="str">
        <f>IFERROR(__xludf.DUMMYFUNCTION("""COMPUTED_VALUE"""),"")</f>
        <v/>
      </c>
      <c r="V279" s="78" t="str">
        <f>IFERROR(__xludf.DUMMYFUNCTION("""COMPUTED_VALUE"""),"")</f>
        <v/>
      </c>
      <c r="W279" s="62" t="str">
        <f>IFERROR(__xludf.DUMMYFUNCTION("""COMPUTED_VALUE"""),"")</f>
        <v/>
      </c>
      <c r="X279" s="80" t="str">
        <f>IFERROR(__xludf.DUMMYFUNCTION("""COMPUTED_VALUE"""),"")</f>
        <v/>
      </c>
      <c r="Y279" s="109" t="str">
        <f>IFERROR(__xludf.DUMMYFUNCTION("""COMPUTED_VALUE"""),"")</f>
        <v/>
      </c>
      <c r="Z279" s="71"/>
      <c r="AA279" s="71"/>
      <c r="AB279" s="71"/>
    </row>
    <row r="280">
      <c r="A280" s="105">
        <f>IFERROR(__xludf.DUMMYFUNCTION("""COMPUTED_VALUE"""),46128.52912063657)</f>
        <v>46128.52912</v>
      </c>
      <c r="B280" s="71" t="str">
        <f>IFERROR(__xludf.DUMMYFUNCTION("""COMPUTED_VALUE"""),"Emmett Khan")</f>
        <v>Emmett Khan</v>
      </c>
      <c r="C280" s="71" t="b">
        <f>IFERROR(__xludf.DUMMYFUNCTION("""COMPUTED_VALUE"""),FALSE)</f>
        <v>0</v>
      </c>
      <c r="D280" s="132">
        <f>IFERROR(__xludf.DUMMYFUNCTION("""COMPUTED_VALUE"""),0.47916666666424135)</f>
        <v>0.4791666667</v>
      </c>
      <c r="E280" s="78">
        <f>IFERROR(__xludf.DUMMYFUNCTION("""COMPUTED_VALUE"""),0.05208333333575865)</f>
        <v>0.05208333334</v>
      </c>
      <c r="F280" s="132">
        <f>IFERROR(__xludf.DUMMYFUNCTION("""COMPUTED_VALUE"""),0.53125)</f>
        <v>0.53125</v>
      </c>
      <c r="G280" s="78">
        <f>IFERROR(__xludf.DUMMYFUNCTION("""COMPUTED_VALUE"""),0.05208333333575865)</f>
        <v>0.05208333334</v>
      </c>
      <c r="H280" s="71">
        <f>IFERROR(__xludf.DUMMYFUNCTION("""COMPUTED_VALUE"""),109.0)</f>
        <v>109</v>
      </c>
      <c r="I280" s="80">
        <f>IFERROR(__xludf.DUMMYFUNCTION("""COMPUTED_VALUE"""),87.19999999593944)</f>
        <v>87.2</v>
      </c>
      <c r="J280" s="71" t="str">
        <f>IFERROR(__xludf.DUMMYFUNCTION("""COMPUTED_VALUE"""),"Lunch")</f>
        <v>Lunch</v>
      </c>
      <c r="K280" s="106">
        <f>IFERROR(__xludf.DUMMYFUNCTION("""COMPUTED_VALUE"""),46128.0)</f>
        <v>46128</v>
      </c>
      <c r="L280" s="71" t="str">
        <f>IFERROR(__xludf.DUMMYFUNCTION("""COMPUTED_VALUE"""),"Thursday")</f>
        <v>Thursday</v>
      </c>
      <c r="M280" s="71" t="str">
        <f>IFERROR(__xludf.DUMMYFUNCTION("""COMPUTED_VALUE"""),"MF")</f>
        <v>MF</v>
      </c>
      <c r="N280" s="109">
        <f>IFERROR(__xludf.DUMMYFUNCTION("""COMPUTED_VALUE"""),1.7343744178066427)</f>
        <v>1.734374418</v>
      </c>
      <c r="O280" s="71" t="str">
        <f>IFERROR(__xludf.DUMMYFUNCTION("""COMPUTED_VALUE"""),"")</f>
        <v/>
      </c>
      <c r="P280" s="71" t="str">
        <f>IFERROR(__xludf.DUMMYFUNCTION("""COMPUTED_VALUE"""),"")</f>
        <v/>
      </c>
      <c r="Q280" s="78" t="str">
        <f>IFERROR(__xludf.DUMMYFUNCTION("""COMPUTED_VALUE"""),"")</f>
        <v/>
      </c>
      <c r="R280" s="78" t="str">
        <f>IFERROR(__xludf.DUMMYFUNCTION("""COMPUTED_VALUE"""),"")</f>
        <v/>
      </c>
      <c r="S280" s="80" t="str">
        <f>IFERROR(__xludf.DUMMYFUNCTION("""COMPUTED_VALUE"""),"")</f>
        <v/>
      </c>
      <c r="T280" s="80" t="str">
        <f>IFERROR(__xludf.DUMMYFUNCTION("""COMPUTED_VALUE"""),"")</f>
        <v/>
      </c>
      <c r="U280" s="71" t="str">
        <f>IFERROR(__xludf.DUMMYFUNCTION("""COMPUTED_VALUE"""),"")</f>
        <v/>
      </c>
      <c r="V280" s="78" t="str">
        <f>IFERROR(__xludf.DUMMYFUNCTION("""COMPUTED_VALUE"""),"")</f>
        <v/>
      </c>
      <c r="W280" s="62" t="str">
        <f>IFERROR(__xludf.DUMMYFUNCTION("""COMPUTED_VALUE"""),"")</f>
        <v/>
      </c>
      <c r="X280" s="80" t="str">
        <f>IFERROR(__xludf.DUMMYFUNCTION("""COMPUTED_VALUE"""),"")</f>
        <v/>
      </c>
      <c r="Y280" s="109" t="str">
        <f>IFERROR(__xludf.DUMMYFUNCTION("""COMPUTED_VALUE"""),"")</f>
        <v/>
      </c>
      <c r="Z280" s="71"/>
      <c r="AA280" s="71"/>
      <c r="AB280" s="71"/>
    </row>
    <row r="281">
      <c r="A281" s="105">
        <f>IFERROR(__xludf.DUMMYFUNCTION("""COMPUTED_VALUE"""),46128.568252384255)</f>
        <v>46128.56825</v>
      </c>
      <c r="B281" s="71" t="str">
        <f>IFERROR(__xludf.DUMMYFUNCTION("""COMPUTED_VALUE"""),"Kyra Turner")</f>
        <v>Kyra Turner</v>
      </c>
      <c r="C281" s="71" t="b">
        <f>IFERROR(__xludf.DUMMYFUNCTION("""COMPUTED_VALUE"""),FALSE)</f>
        <v>0</v>
      </c>
      <c r="D281" s="132">
        <f>IFERROR(__xludf.DUMMYFUNCTION("""COMPUTED_VALUE"""),0.5006944444467081)</f>
        <v>0.5006944444</v>
      </c>
      <c r="E281" s="78">
        <f>IFERROR(__xludf.DUMMYFUNCTION("""COMPUTED_VALUE"""),0.06527777777228039)</f>
        <v>0.06527777777</v>
      </c>
      <c r="F281" s="132">
        <f>IFERROR(__xludf.DUMMYFUNCTION("""COMPUTED_VALUE"""),0.5659722222189885)</f>
        <v>0.5659722222</v>
      </c>
      <c r="G281" s="78">
        <f>IFERROR(__xludf.DUMMYFUNCTION("""COMPUTED_VALUE"""),0.13819444443652174)</f>
        <v>0.1381944444</v>
      </c>
      <c r="H281" s="71">
        <f>IFERROR(__xludf.DUMMYFUNCTION("""COMPUTED_VALUE"""),114.0)</f>
        <v>114</v>
      </c>
      <c r="I281" s="80">
        <f>IFERROR(__xludf.DUMMYFUNCTION("""COMPUTED_VALUE"""),59.39698492802835)</f>
        <v>59.39698493</v>
      </c>
      <c r="J281" s="71" t="str">
        <f>IFERROR(__xludf.DUMMYFUNCTION("""COMPUTED_VALUE"""),"Lunch")</f>
        <v>Lunch</v>
      </c>
      <c r="K281" s="106">
        <f>IFERROR(__xludf.DUMMYFUNCTION("""COMPUTED_VALUE"""),46128.0)</f>
        <v>46128</v>
      </c>
      <c r="L281" s="71" t="str">
        <f>IFERROR(__xludf.DUMMYFUNCTION("""COMPUTED_VALUE"""),"Thursday")</f>
        <v>Thursday</v>
      </c>
      <c r="M281" s="71" t="str">
        <f>IFERROR(__xludf.DUMMYFUNCTION("""COMPUTED_VALUE"""),"BF")</f>
        <v>BF</v>
      </c>
      <c r="N281" s="109">
        <f>IFERROR(__xludf.DUMMYFUNCTION("""COMPUTED_VALUE"""),2.095083756093909)</f>
        <v>2.095083756</v>
      </c>
      <c r="O281" s="71" t="str">
        <f>IFERROR(__xludf.DUMMYFUNCTION("""COMPUTED_VALUE"""),"")</f>
        <v/>
      </c>
      <c r="P281" s="71" t="str">
        <f>IFERROR(__xludf.DUMMYFUNCTION("""COMPUTED_VALUE"""),"")</f>
        <v/>
      </c>
      <c r="Q281" s="78" t="str">
        <f>IFERROR(__xludf.DUMMYFUNCTION("""COMPUTED_VALUE"""),"")</f>
        <v/>
      </c>
      <c r="R281" s="78" t="str">
        <f>IFERROR(__xludf.DUMMYFUNCTION("""COMPUTED_VALUE"""),"")</f>
        <v/>
      </c>
      <c r="S281" s="80" t="str">
        <f>IFERROR(__xludf.DUMMYFUNCTION("""COMPUTED_VALUE"""),"")</f>
        <v/>
      </c>
      <c r="T281" s="80" t="str">
        <f>IFERROR(__xludf.DUMMYFUNCTION("""COMPUTED_VALUE"""),"")</f>
        <v/>
      </c>
      <c r="U281" s="71" t="str">
        <f>IFERROR(__xludf.DUMMYFUNCTION("""COMPUTED_VALUE"""),"")</f>
        <v/>
      </c>
      <c r="V281" s="78" t="str">
        <f>IFERROR(__xludf.DUMMYFUNCTION("""COMPUTED_VALUE"""),"")</f>
        <v/>
      </c>
      <c r="W281" s="62" t="str">
        <f>IFERROR(__xludf.DUMMYFUNCTION("""COMPUTED_VALUE"""),"")</f>
        <v/>
      </c>
      <c r="X281" s="80" t="str">
        <f>IFERROR(__xludf.DUMMYFUNCTION("""COMPUTED_VALUE"""),"")</f>
        <v/>
      </c>
      <c r="Y281" s="109" t="str">
        <f>IFERROR(__xludf.DUMMYFUNCTION("""COMPUTED_VALUE"""),"")</f>
        <v/>
      </c>
      <c r="Z281" s="71"/>
      <c r="AA281" s="71"/>
      <c r="AB281" s="71"/>
    </row>
    <row r="282">
      <c r="A282" s="105">
        <f>IFERROR(__xludf.DUMMYFUNCTION("""COMPUTED_VALUE"""),46128.643501886574)</f>
        <v>46128.6435</v>
      </c>
      <c r="B282" s="71" t="str">
        <f>IFERROR(__xludf.DUMMYFUNCTION("""COMPUTED_VALUE"""),"Kyra Turner")</f>
        <v>Kyra Turner</v>
      </c>
      <c r="C282" s="71" t="b">
        <f>IFERROR(__xludf.DUMMYFUNCTION("""COMPUTED_VALUE"""),TRUE)</f>
        <v>1</v>
      </c>
      <c r="D282" s="132">
        <f>IFERROR(__xludf.DUMMYFUNCTION("""COMPUTED_VALUE"""),0.5694444444452529)</f>
        <v>0.5694444444</v>
      </c>
      <c r="E282" s="78">
        <f>IFERROR(__xludf.DUMMYFUNCTION("""COMPUTED_VALUE"""),0.07291666666424135)</f>
        <v>0.07291666666</v>
      </c>
      <c r="F282" s="132">
        <f>IFERROR(__xludf.DUMMYFUNCTION("""COMPUTED_VALUE"""),0.6423611111094942)</f>
        <v>0.6423611111</v>
      </c>
      <c r="G282" s="78" t="str">
        <f>IFERROR(__xludf.DUMMYFUNCTION("""COMPUTED_VALUE"""),"")</f>
        <v/>
      </c>
      <c r="H282" s="71">
        <f>IFERROR(__xludf.DUMMYFUNCTION("""COMPUTED_VALUE"""),83.0)</f>
        <v>83</v>
      </c>
      <c r="I282" s="80" t="str">
        <f>IFERROR(__xludf.DUMMYFUNCTION("""COMPUTED_VALUE"""),"")</f>
        <v/>
      </c>
      <c r="J282" s="71" t="str">
        <f>IFERROR(__xludf.DUMMYFUNCTION("""COMPUTED_VALUE"""),"Lunch")</f>
        <v>Lunch</v>
      </c>
      <c r="K282" s="106">
        <f>IFERROR(__xludf.DUMMYFUNCTION("""COMPUTED_VALUE"""),46128.0)</f>
        <v>46128</v>
      </c>
      <c r="L282" s="71" t="str">
        <f>IFERROR(__xludf.DUMMYFUNCTION("""COMPUTED_VALUE"""),"Thursday")</f>
        <v>Thursday</v>
      </c>
      <c r="M282" s="71" t="str">
        <f>IFERROR(__xludf.DUMMYFUNCTION("""COMPUTED_VALUE"""),"BF")</f>
        <v>BF</v>
      </c>
      <c r="N282" s="109" t="str">
        <f>IFERROR(__xludf.DUMMYFUNCTION("""COMPUTED_VALUE"""),"")</f>
        <v/>
      </c>
      <c r="O282" s="71" t="str">
        <f>IFERROR(__xludf.DUMMYFUNCTION("""COMPUTED_VALUE"""),"")</f>
        <v/>
      </c>
      <c r="P282" s="71" t="str">
        <f>IFERROR(__xludf.DUMMYFUNCTION("""COMPUTED_VALUE"""),"")</f>
        <v/>
      </c>
      <c r="Q282" s="78" t="str">
        <f>IFERROR(__xludf.DUMMYFUNCTION("""COMPUTED_VALUE"""),"")</f>
        <v/>
      </c>
      <c r="R282" s="78" t="str">
        <f>IFERROR(__xludf.DUMMYFUNCTION("""COMPUTED_VALUE"""),"")</f>
        <v/>
      </c>
      <c r="S282" s="80" t="str">
        <f>IFERROR(__xludf.DUMMYFUNCTION("""COMPUTED_VALUE"""),"")</f>
        <v/>
      </c>
      <c r="T282" s="80" t="str">
        <f>IFERROR(__xludf.DUMMYFUNCTION("""COMPUTED_VALUE"""),"")</f>
        <v/>
      </c>
      <c r="U282" s="71" t="str">
        <f>IFERROR(__xludf.DUMMYFUNCTION("""COMPUTED_VALUE"""),"")</f>
        <v/>
      </c>
      <c r="V282" s="78" t="str">
        <f>IFERROR(__xludf.DUMMYFUNCTION("""COMPUTED_VALUE"""),"")</f>
        <v/>
      </c>
      <c r="W282" s="62" t="str">
        <f>IFERROR(__xludf.DUMMYFUNCTION("""COMPUTED_VALUE"""),"")</f>
        <v/>
      </c>
      <c r="X282" s="80" t="str">
        <f>IFERROR(__xludf.DUMMYFUNCTION("""COMPUTED_VALUE"""),"")</f>
        <v/>
      </c>
      <c r="Y282" s="109" t="str">
        <f>IFERROR(__xludf.DUMMYFUNCTION("""COMPUTED_VALUE"""),"")</f>
        <v/>
      </c>
      <c r="Z282" s="71"/>
      <c r="AA282" s="71"/>
      <c r="AB282" s="71"/>
    </row>
    <row r="283">
      <c r="A283" s="105">
        <f>IFERROR(__xludf.DUMMYFUNCTION("""COMPUTED_VALUE"""),46128.774886087966)</f>
        <v>46128.77489</v>
      </c>
      <c r="B283" s="71" t="str">
        <f>IFERROR(__xludf.DUMMYFUNCTION("""COMPUTED_VALUE"""),"Emmett Khan")</f>
        <v>Emmett Khan</v>
      </c>
      <c r="C283" s="71" t="b">
        <f>IFERROR(__xludf.DUMMYFUNCTION("""COMPUTED_VALUE"""),FALSE)</f>
        <v>0</v>
      </c>
      <c r="D283" s="132">
        <f>IFERROR(__xludf.DUMMYFUNCTION("""COMPUTED_VALUE"""),0.7083333333357587)</f>
        <v>0.7083333333</v>
      </c>
      <c r="E283" s="78">
        <f>IFERROR(__xludf.DUMMYFUNCTION("""COMPUTED_VALUE"""),0.07291666666424135)</f>
        <v>0.07291666666</v>
      </c>
      <c r="F283" s="132">
        <f>IFERROR(__xludf.DUMMYFUNCTION("""COMPUTED_VALUE"""),0.78125)</f>
        <v>0.78125</v>
      </c>
      <c r="G283" s="78">
        <f>IFERROR(__xludf.DUMMYFUNCTION("""COMPUTED_VALUE"""),0.07291666666424135)</f>
        <v>0.07291666666</v>
      </c>
      <c r="H283" s="71">
        <f>IFERROR(__xludf.DUMMYFUNCTION("""COMPUTED_VALUE"""),102.0)</f>
        <v>102</v>
      </c>
      <c r="I283" s="80">
        <f>IFERROR(__xludf.DUMMYFUNCTION("""COMPUTED_VALUE"""),58.28571428765296)</f>
        <v>58.28571429</v>
      </c>
      <c r="J283" s="71" t="str">
        <f>IFERROR(__xludf.DUMMYFUNCTION("""COMPUTED_VALUE"""),"Dinner")</f>
        <v>Dinner</v>
      </c>
      <c r="K283" s="106">
        <f>IFERROR(__xludf.DUMMYFUNCTION("""COMPUTED_VALUE"""),46128.0)</f>
        <v>46128</v>
      </c>
      <c r="L283" s="71" t="str">
        <f>IFERROR(__xludf.DUMMYFUNCTION("""COMPUTED_VALUE"""),"Thursday")</f>
        <v>Thursday</v>
      </c>
      <c r="M283" s="71" t="str">
        <f>IFERROR(__xludf.DUMMYFUNCTION("""COMPUTED_VALUE"""),"MF")</f>
        <v>MF</v>
      </c>
      <c r="N283" s="109">
        <f>IFERROR(__xludf.DUMMYFUNCTION("""COMPUTED_VALUE"""),1.2567079895942612)</f>
        <v>1.25670799</v>
      </c>
      <c r="O283" s="71">
        <f>IFERROR(__xludf.DUMMYFUNCTION("""COMPUTED_VALUE"""),211.0)</f>
        <v>211</v>
      </c>
      <c r="P283" s="71">
        <f>IFERROR(__xludf.DUMMYFUNCTION("""COMPUTED_VALUE"""),247.0)</f>
        <v>247</v>
      </c>
      <c r="Q283" s="78">
        <f>IFERROR(__xludf.DUMMYFUNCTION("""COMPUTED_VALUE"""),0.125)</f>
        <v>0.125</v>
      </c>
      <c r="R283" s="78">
        <f>IFERROR(__xludf.DUMMYFUNCTION("""COMPUTED_VALUE"""),0.24652777777373558)</f>
        <v>0.2465277778</v>
      </c>
      <c r="S283" s="80">
        <f>IFERROR(__xludf.DUMMYFUNCTION("""COMPUTED_VALUE"""),72.7428571417962)</f>
        <v>72.74285714</v>
      </c>
      <c r="T283" s="80">
        <f>IFERROR(__xludf.DUMMYFUNCTION("""COMPUTED_VALUE"""),35.18025859276124)</f>
        <v>35.18025859</v>
      </c>
      <c r="U283" s="71">
        <f>IFERROR(__xludf.DUMMYFUNCTION("""COMPUTED_VALUE"""),458.0)</f>
        <v>458</v>
      </c>
      <c r="V283" s="78">
        <f>IFERROR(__xludf.DUMMYFUNCTION("""COMPUTED_VALUE"""),0.3715277777737356)</f>
        <v>0.3715277778</v>
      </c>
      <c r="W283" s="62">
        <f>IFERROR(__xludf.DUMMYFUNCTION("""COMPUTED_VALUE"""),51.364485981867254)</f>
        <v>51.36448598</v>
      </c>
      <c r="X283" s="80">
        <f>IFERROR(__xludf.DUMMYFUNCTION("""COMPUTED_VALUE"""),50.20529801237522)</f>
        <v>50.20529801</v>
      </c>
      <c r="Y283" s="109">
        <f>IFERROR(__xludf.DUMMYFUNCTION("""COMPUTED_VALUE"""),0.8835246543670306)</f>
        <v>0.8835246544</v>
      </c>
      <c r="Z283" s="71"/>
      <c r="AA283" s="71"/>
      <c r="AB283" s="71"/>
    </row>
    <row r="284">
      <c r="A284" s="105">
        <f>IFERROR(__xludf.DUMMYFUNCTION("""COMPUTED_VALUE"""),46129.571754143515)</f>
        <v>46129.57175</v>
      </c>
      <c r="B284" s="71" t="str">
        <f>IFERROR(__xludf.DUMMYFUNCTION("""COMPUTED_VALUE"""),"Kaylie Forgue")</f>
        <v>Kaylie Forgue</v>
      </c>
      <c r="C284" s="71" t="b">
        <f>IFERROR(__xludf.DUMMYFUNCTION("""COMPUTED_VALUE"""),FALSE)</f>
        <v>0</v>
      </c>
      <c r="D284" s="132">
        <f>IFERROR(__xludf.DUMMYFUNCTION("""COMPUTED_VALUE"""),0.3680555555547471)</f>
        <v>0.3680555556</v>
      </c>
      <c r="E284" s="78">
        <f>IFERROR(__xludf.DUMMYFUNCTION("""COMPUTED_VALUE"""),0.06597222222626442)</f>
        <v>0.06597222223</v>
      </c>
      <c r="F284" s="132">
        <f>IFERROR(__xludf.DUMMYFUNCTION("""COMPUTED_VALUE"""),0.43402777778101154)</f>
        <v>0.4340277778</v>
      </c>
      <c r="G284" s="78">
        <f>IFERROR(__xludf.DUMMYFUNCTION("""COMPUTED_VALUE"""),0.06597222222626442)</f>
        <v>0.06597222223</v>
      </c>
      <c r="H284" s="71">
        <f>IFERROR(__xludf.DUMMYFUNCTION("""COMPUTED_VALUE"""),78.0)</f>
        <v>78</v>
      </c>
      <c r="I284" s="80">
        <f>IFERROR(__xludf.DUMMYFUNCTION("""COMPUTED_VALUE"""),49.26315789171843)</f>
        <v>49.26315789</v>
      </c>
      <c r="J284" s="71" t="str">
        <f>IFERROR(__xludf.DUMMYFUNCTION("""COMPUTED_VALUE"""),"Breakfast")</f>
        <v>Breakfast</v>
      </c>
      <c r="K284" s="106">
        <f>IFERROR(__xludf.DUMMYFUNCTION("""COMPUTED_VALUE"""),46129.0)</f>
        <v>46129</v>
      </c>
      <c r="L284" s="71" t="str">
        <f>IFERROR(__xludf.DUMMYFUNCTION("""COMPUTED_VALUE"""),"Friday")</f>
        <v>Friday</v>
      </c>
      <c r="M284" s="71" t="str">
        <f>IFERROR(__xludf.DUMMYFUNCTION("""COMPUTED_VALUE"""),"BF")</f>
        <v>BF</v>
      </c>
      <c r="N284" s="109">
        <f>IFERROR(__xludf.DUMMYFUNCTION("""COMPUTED_VALUE"""),1.737637726862557)</f>
        <v>1.737637727</v>
      </c>
      <c r="O284" s="71" t="str">
        <f>IFERROR(__xludf.DUMMYFUNCTION("""COMPUTED_VALUE"""),"")</f>
        <v/>
      </c>
      <c r="P284" s="71" t="str">
        <f>IFERROR(__xludf.DUMMYFUNCTION("""COMPUTED_VALUE"""),"")</f>
        <v/>
      </c>
      <c r="Q284" s="78" t="str">
        <f>IFERROR(__xludf.DUMMYFUNCTION("""COMPUTED_VALUE"""),"")</f>
        <v/>
      </c>
      <c r="R284" s="78" t="str">
        <f>IFERROR(__xludf.DUMMYFUNCTION("""COMPUTED_VALUE"""),"")</f>
        <v/>
      </c>
      <c r="S284" s="80" t="str">
        <f>IFERROR(__xludf.DUMMYFUNCTION("""COMPUTED_VALUE"""),"")</f>
        <v/>
      </c>
      <c r="T284" s="80" t="str">
        <f>IFERROR(__xludf.DUMMYFUNCTION("""COMPUTED_VALUE"""),"")</f>
        <v/>
      </c>
      <c r="U284" s="71" t="str">
        <f>IFERROR(__xludf.DUMMYFUNCTION("""COMPUTED_VALUE"""),"")</f>
        <v/>
      </c>
      <c r="V284" s="78" t="str">
        <f>IFERROR(__xludf.DUMMYFUNCTION("""COMPUTED_VALUE"""),"")</f>
        <v/>
      </c>
      <c r="W284" s="62" t="str">
        <f>IFERROR(__xludf.DUMMYFUNCTION("""COMPUTED_VALUE"""),"")</f>
        <v/>
      </c>
      <c r="X284" s="80" t="str">
        <f>IFERROR(__xludf.DUMMYFUNCTION("""COMPUTED_VALUE"""),"")</f>
        <v/>
      </c>
      <c r="Y284" s="109" t="str">
        <f>IFERROR(__xludf.DUMMYFUNCTION("""COMPUTED_VALUE"""),"")</f>
        <v/>
      </c>
      <c r="Z284" s="71"/>
      <c r="AA284" s="71"/>
      <c r="AB284" s="71"/>
    </row>
    <row r="285">
      <c r="A285" s="105">
        <f>IFERROR(__xludf.DUMMYFUNCTION("""COMPUTED_VALUE"""),46129.57908763889)</f>
        <v>46129.57909</v>
      </c>
      <c r="B285" s="71" t="str">
        <f>IFERROR(__xludf.DUMMYFUNCTION("""COMPUTED_VALUE"""),"Brynn Hornig")</f>
        <v>Brynn Hornig</v>
      </c>
      <c r="C285" s="71" t="b">
        <f>IFERROR(__xludf.DUMMYFUNCTION("""COMPUTED_VALUE"""),FALSE)</f>
        <v>0</v>
      </c>
      <c r="D285" s="132">
        <f>IFERROR(__xludf.DUMMYFUNCTION("""COMPUTED_VALUE"""),0.45833333333575865)</f>
        <v>0.4583333333</v>
      </c>
      <c r="E285" s="78">
        <f>IFERROR(__xludf.DUMMYFUNCTION("""COMPUTED_VALUE"""),0.125)</f>
        <v>0.125</v>
      </c>
      <c r="F285" s="132">
        <f>IFERROR(__xludf.DUMMYFUNCTION("""COMPUTED_VALUE"""),0.5833333333357587)</f>
        <v>0.5833333333</v>
      </c>
      <c r="G285" s="78">
        <f>IFERROR(__xludf.DUMMYFUNCTION("""COMPUTED_VALUE"""),0.125)</f>
        <v>0.125</v>
      </c>
      <c r="H285" s="71">
        <f>IFERROR(__xludf.DUMMYFUNCTION("""COMPUTED_VALUE"""),90.0)</f>
        <v>90</v>
      </c>
      <c r="I285" s="80">
        <f>IFERROR(__xludf.DUMMYFUNCTION("""COMPUTED_VALUE"""),30.0)</f>
        <v>30</v>
      </c>
      <c r="J285" s="71" t="str">
        <f>IFERROR(__xludf.DUMMYFUNCTION("""COMPUTED_VALUE"""),"Lunch")</f>
        <v>Lunch</v>
      </c>
      <c r="K285" s="106">
        <f>IFERROR(__xludf.DUMMYFUNCTION("""COMPUTED_VALUE"""),46129.0)</f>
        <v>46129</v>
      </c>
      <c r="L285" s="71" t="str">
        <f>IFERROR(__xludf.DUMMYFUNCTION("""COMPUTED_VALUE"""),"Friday")</f>
        <v>Friday</v>
      </c>
      <c r="M285" s="71" t="str">
        <f>IFERROR(__xludf.DUMMYFUNCTION("""COMPUTED_VALUE"""),"BF")</f>
        <v>BF</v>
      </c>
      <c r="N285" s="109">
        <f>IFERROR(__xludf.DUMMYFUNCTION("""COMPUTED_VALUE"""),1.0581768209106235)</f>
        <v>1.058176821</v>
      </c>
      <c r="O285" s="71" t="str">
        <f>IFERROR(__xludf.DUMMYFUNCTION("""COMPUTED_VALUE"""),"")</f>
        <v/>
      </c>
      <c r="P285" s="71" t="str">
        <f>IFERROR(__xludf.DUMMYFUNCTION("""COMPUTED_VALUE"""),"")</f>
        <v/>
      </c>
      <c r="Q285" s="78" t="str">
        <f>IFERROR(__xludf.DUMMYFUNCTION("""COMPUTED_VALUE"""),"")</f>
        <v/>
      </c>
      <c r="R285" s="78" t="str">
        <f>IFERROR(__xludf.DUMMYFUNCTION("""COMPUTED_VALUE"""),"")</f>
        <v/>
      </c>
      <c r="S285" s="80" t="str">
        <f>IFERROR(__xludf.DUMMYFUNCTION("""COMPUTED_VALUE"""),"")</f>
        <v/>
      </c>
      <c r="T285" s="80" t="str">
        <f>IFERROR(__xludf.DUMMYFUNCTION("""COMPUTED_VALUE"""),"")</f>
        <v/>
      </c>
      <c r="U285" s="71" t="str">
        <f>IFERROR(__xludf.DUMMYFUNCTION("""COMPUTED_VALUE"""),"")</f>
        <v/>
      </c>
      <c r="V285" s="78" t="str">
        <f>IFERROR(__xludf.DUMMYFUNCTION("""COMPUTED_VALUE"""),"")</f>
        <v/>
      </c>
      <c r="W285" s="62" t="str">
        <f>IFERROR(__xludf.DUMMYFUNCTION("""COMPUTED_VALUE"""),"")</f>
        <v/>
      </c>
      <c r="X285" s="80" t="str">
        <f>IFERROR(__xludf.DUMMYFUNCTION("""COMPUTED_VALUE"""),"")</f>
        <v/>
      </c>
      <c r="Y285" s="109" t="str">
        <f>IFERROR(__xludf.DUMMYFUNCTION("""COMPUTED_VALUE"""),"")</f>
        <v/>
      </c>
      <c r="Z285" s="71"/>
      <c r="AA285" s="71"/>
      <c r="AB285" s="71"/>
    </row>
    <row r="286">
      <c r="A286" s="105">
        <f>IFERROR(__xludf.DUMMYFUNCTION("""COMPUTED_VALUE"""),46129.621306064815)</f>
        <v>46129.62131</v>
      </c>
      <c r="B286" s="71" t="str">
        <f>IFERROR(__xludf.DUMMYFUNCTION("""COMPUTED_VALUE"""),"Oluwatimilehin Shodipe")</f>
        <v>Oluwatimilehin Shodipe</v>
      </c>
      <c r="C286" s="71" t="b">
        <f>IFERROR(__xludf.DUMMYFUNCTION("""COMPUTED_VALUE"""),FALSE)</f>
        <v>0</v>
      </c>
      <c r="D286" s="132">
        <f>IFERROR(__xludf.DUMMYFUNCTION("""COMPUTED_VALUE"""),0.48402777777664596)</f>
        <v>0.4840277778</v>
      </c>
      <c r="E286" s="78">
        <f>IFERROR(__xludf.DUMMYFUNCTION("""COMPUTED_VALUE"""),0.14097222222335404)</f>
        <v>0.1409722222</v>
      </c>
      <c r="F286" s="132">
        <f>IFERROR(__xludf.DUMMYFUNCTION("""COMPUTED_VALUE"""),0.625)</f>
        <v>0.625</v>
      </c>
      <c r="G286" s="78">
        <f>IFERROR(__xludf.DUMMYFUNCTION("""COMPUTED_VALUE"""),0.14097222222335404)</f>
        <v>0.1409722222</v>
      </c>
      <c r="H286" s="71">
        <f>IFERROR(__xludf.DUMMYFUNCTION("""COMPUTED_VALUE"""),172.0)</f>
        <v>172</v>
      </c>
      <c r="I286" s="80">
        <f>IFERROR(__xludf.DUMMYFUNCTION("""COMPUTED_VALUE"""),50.83743842323717)</f>
        <v>50.83743842</v>
      </c>
      <c r="J286" s="71" t="str">
        <f>IFERROR(__xludf.DUMMYFUNCTION("""COMPUTED_VALUE"""),"Lunch")</f>
        <v>Lunch</v>
      </c>
      <c r="K286" s="106">
        <f>IFERROR(__xludf.DUMMYFUNCTION("""COMPUTED_VALUE"""),46129.0)</f>
        <v>46129</v>
      </c>
      <c r="L286" s="71" t="str">
        <f>IFERROR(__xludf.DUMMYFUNCTION("""COMPUTED_VALUE"""),"Friday")</f>
        <v>Friday</v>
      </c>
      <c r="M286" s="71" t="str">
        <f>IFERROR(__xludf.DUMMYFUNCTION("""COMPUTED_VALUE"""),"MF")</f>
        <v>MF</v>
      </c>
      <c r="N286" s="109">
        <f>IFERROR(__xludf.DUMMYFUNCTION("""COMPUTED_VALUE"""),1.0111370719287704)</f>
        <v>1.011137072</v>
      </c>
      <c r="O286" s="71" t="str">
        <f>IFERROR(__xludf.DUMMYFUNCTION("""COMPUTED_VALUE"""),"")</f>
        <v/>
      </c>
      <c r="P286" s="71" t="str">
        <f>IFERROR(__xludf.DUMMYFUNCTION("""COMPUTED_VALUE"""),"")</f>
        <v/>
      </c>
      <c r="Q286" s="78" t="str">
        <f>IFERROR(__xludf.DUMMYFUNCTION("""COMPUTED_VALUE"""),"")</f>
        <v/>
      </c>
      <c r="R286" s="78" t="str">
        <f>IFERROR(__xludf.DUMMYFUNCTION("""COMPUTED_VALUE"""),"")</f>
        <v/>
      </c>
      <c r="S286" s="80" t="str">
        <f>IFERROR(__xludf.DUMMYFUNCTION("""COMPUTED_VALUE"""),"")</f>
        <v/>
      </c>
      <c r="T286" s="80" t="str">
        <f>IFERROR(__xludf.DUMMYFUNCTION("""COMPUTED_VALUE"""),"")</f>
        <v/>
      </c>
      <c r="U286" s="71" t="str">
        <f>IFERROR(__xludf.DUMMYFUNCTION("""COMPUTED_VALUE"""),"")</f>
        <v/>
      </c>
      <c r="V286" s="78" t="str">
        <f>IFERROR(__xludf.DUMMYFUNCTION("""COMPUTED_VALUE"""),"")</f>
        <v/>
      </c>
      <c r="W286" s="62" t="str">
        <f>IFERROR(__xludf.DUMMYFUNCTION("""COMPUTED_VALUE"""),"")</f>
        <v/>
      </c>
      <c r="X286" s="80" t="str">
        <f>IFERROR(__xludf.DUMMYFUNCTION("""COMPUTED_VALUE"""),"")</f>
        <v/>
      </c>
      <c r="Y286" s="109" t="str">
        <f>IFERROR(__xludf.DUMMYFUNCTION("""COMPUTED_VALUE"""),"")</f>
        <v/>
      </c>
      <c r="Z286" s="71"/>
      <c r="AA286" s="71"/>
      <c r="AB286" s="71"/>
    </row>
    <row r="287">
      <c r="A287" s="105">
        <f>IFERROR(__xludf.DUMMYFUNCTION("""COMPUTED_VALUE"""),46129.7489105787)</f>
        <v>46129.74891</v>
      </c>
      <c r="B287" s="71" t="str">
        <f>IFERROR(__xludf.DUMMYFUNCTION("""COMPUTED_VALUE"""),"Leah Bucci")</f>
        <v>Leah Bucci</v>
      </c>
      <c r="C287" s="71" t="b">
        <f>IFERROR(__xludf.DUMMYFUNCTION("""COMPUTED_VALUE"""),FALSE)</f>
        <v>0</v>
      </c>
      <c r="D287" s="132">
        <f>IFERROR(__xludf.DUMMYFUNCTION("""COMPUTED_VALUE"""),0.6666666666642413)</f>
        <v>0.6666666667</v>
      </c>
      <c r="E287" s="78">
        <f>IFERROR(__xludf.DUMMYFUNCTION("""COMPUTED_VALUE"""),0.07986111111677019)</f>
        <v>0.07986111112</v>
      </c>
      <c r="F287" s="132">
        <f>IFERROR(__xludf.DUMMYFUNCTION("""COMPUTED_VALUE"""),0.7465277777810115)</f>
        <v>0.7465277778</v>
      </c>
      <c r="G287" s="78">
        <f>IFERROR(__xludf.DUMMYFUNCTION("""COMPUTED_VALUE"""),0.07986111111677019)</f>
        <v>0.07986111112</v>
      </c>
      <c r="H287" s="71">
        <f>IFERROR(__xludf.DUMMYFUNCTION("""COMPUTED_VALUE"""),109.0)</f>
        <v>109</v>
      </c>
      <c r="I287" s="80">
        <f>IFERROR(__xludf.DUMMYFUNCTION("""COMPUTED_VALUE"""),56.86956521336144)</f>
        <v>56.86956521</v>
      </c>
      <c r="J287" s="71" t="str">
        <f>IFERROR(__xludf.DUMMYFUNCTION("""COMPUTED_VALUE"""),"Dinner")</f>
        <v>Dinner</v>
      </c>
      <c r="K287" s="106">
        <f>IFERROR(__xludf.DUMMYFUNCTION("""COMPUTED_VALUE"""),46129.0)</f>
        <v>46129</v>
      </c>
      <c r="L287" s="71" t="str">
        <f>IFERROR(__xludf.DUMMYFUNCTION("""COMPUTED_VALUE"""),"Friday")</f>
        <v>Friday</v>
      </c>
      <c r="M287" s="71" t="str">
        <f>IFERROR(__xludf.DUMMYFUNCTION("""COMPUTED_VALUE"""),"MF")</f>
        <v>MF</v>
      </c>
      <c r="N287" s="109">
        <f>IFERROR(__xludf.DUMMYFUNCTION("""COMPUTED_VALUE"""),1.2261741636324566)</f>
        <v>1.226174164</v>
      </c>
      <c r="O287" s="71" t="str">
        <f>IFERROR(__xludf.DUMMYFUNCTION("""COMPUTED_VALUE"""),"")</f>
        <v/>
      </c>
      <c r="P287" s="71" t="str">
        <f>IFERROR(__xludf.DUMMYFUNCTION("""COMPUTED_VALUE"""),"")</f>
        <v/>
      </c>
      <c r="Q287" s="78" t="str">
        <f>IFERROR(__xludf.DUMMYFUNCTION("""COMPUTED_VALUE"""),"")</f>
        <v/>
      </c>
      <c r="R287" s="78" t="str">
        <f>IFERROR(__xludf.DUMMYFUNCTION("""COMPUTED_VALUE"""),"")</f>
        <v/>
      </c>
      <c r="S287" s="80" t="str">
        <f>IFERROR(__xludf.DUMMYFUNCTION("""COMPUTED_VALUE"""),"")</f>
        <v/>
      </c>
      <c r="T287" s="80" t="str">
        <f>IFERROR(__xludf.DUMMYFUNCTION("""COMPUTED_VALUE"""),"")</f>
        <v/>
      </c>
      <c r="U287" s="71" t="str">
        <f>IFERROR(__xludf.DUMMYFUNCTION("""COMPUTED_VALUE"""),"")</f>
        <v/>
      </c>
      <c r="V287" s="78" t="str">
        <f>IFERROR(__xludf.DUMMYFUNCTION("""COMPUTED_VALUE"""),"")</f>
        <v/>
      </c>
      <c r="W287" s="62" t="str">
        <f>IFERROR(__xludf.DUMMYFUNCTION("""COMPUTED_VALUE"""),"")</f>
        <v/>
      </c>
      <c r="X287" s="80" t="str">
        <f>IFERROR(__xludf.DUMMYFUNCTION("""COMPUTED_VALUE"""),"")</f>
        <v/>
      </c>
      <c r="Y287" s="109" t="str">
        <f>IFERROR(__xludf.DUMMYFUNCTION("""COMPUTED_VALUE"""),"")</f>
        <v/>
      </c>
      <c r="Z287" s="71"/>
      <c r="AA287" s="71"/>
      <c r="AB287" s="71"/>
    </row>
    <row r="288">
      <c r="A288" s="105">
        <f>IFERROR(__xludf.DUMMYFUNCTION("""COMPUTED_VALUE"""),46129.77611946759)</f>
        <v>46129.77612</v>
      </c>
      <c r="B288" s="71" t="str">
        <f>IFERROR(__xludf.DUMMYFUNCTION("""COMPUTED_VALUE"""),"Orpheus Wilson")</f>
        <v>Orpheus Wilson</v>
      </c>
      <c r="C288" s="71" t="b">
        <f>IFERROR(__xludf.DUMMYFUNCTION("""COMPUTED_VALUE"""),FALSE)</f>
        <v>0</v>
      </c>
      <c r="D288" s="132">
        <f>IFERROR(__xludf.DUMMYFUNCTION("""COMPUTED_VALUE"""),0.7534722222189885)</f>
        <v>0.7534722222</v>
      </c>
      <c r="E288" s="78">
        <f>IFERROR(__xludf.DUMMYFUNCTION("""COMPUTED_VALUE"""),0.018750000002910383)</f>
        <v>0.01875</v>
      </c>
      <c r="F288" s="132">
        <f>IFERROR(__xludf.DUMMYFUNCTION("""COMPUTED_VALUE"""),0.7722222222218988)</f>
        <v>0.7722222222</v>
      </c>
      <c r="G288" s="78">
        <f>IFERROR(__xludf.DUMMYFUNCTION("""COMPUTED_VALUE"""),0.018750000002910383)</f>
        <v>0.01875</v>
      </c>
      <c r="H288" s="71">
        <f>IFERROR(__xludf.DUMMYFUNCTION("""COMPUTED_VALUE"""),67.0)</f>
        <v>67</v>
      </c>
      <c r="I288" s="80">
        <f>IFERROR(__xludf.DUMMYFUNCTION("""COMPUTED_VALUE"""),148.88888886577828)</f>
        <v>148.8888889</v>
      </c>
      <c r="J288" s="71" t="str">
        <f>IFERROR(__xludf.DUMMYFUNCTION("""COMPUTED_VALUE"""),"Dinner")</f>
        <v>Dinner</v>
      </c>
      <c r="K288" s="106">
        <f>IFERROR(__xludf.DUMMYFUNCTION("""COMPUTED_VALUE"""),46129.0)</f>
        <v>46129</v>
      </c>
      <c r="L288" s="71" t="str">
        <f>IFERROR(__xludf.DUMMYFUNCTION("""COMPUTED_VALUE"""),"Friday")</f>
        <v>Friday</v>
      </c>
      <c r="M288" s="71" t="str">
        <f>IFERROR(__xludf.DUMMYFUNCTION("""COMPUTED_VALUE"""),"MF")</f>
        <v>MF</v>
      </c>
      <c r="N288" s="109">
        <f>IFERROR(__xludf.DUMMYFUNCTION("""COMPUTED_VALUE"""),3.2102181209619713)</f>
        <v>3.210218121</v>
      </c>
      <c r="O288" s="71" t="str">
        <f>IFERROR(__xludf.DUMMYFUNCTION("""COMPUTED_VALUE"""),"")</f>
        <v/>
      </c>
      <c r="P288" s="71" t="str">
        <f>IFERROR(__xludf.DUMMYFUNCTION("""COMPUTED_VALUE"""),"")</f>
        <v/>
      </c>
      <c r="Q288" s="78" t="str">
        <f>IFERROR(__xludf.DUMMYFUNCTION("""COMPUTED_VALUE"""),"")</f>
        <v/>
      </c>
      <c r="R288" s="78" t="str">
        <f>IFERROR(__xludf.DUMMYFUNCTION("""COMPUTED_VALUE"""),"")</f>
        <v/>
      </c>
      <c r="S288" s="80" t="str">
        <f>IFERROR(__xludf.DUMMYFUNCTION("""COMPUTED_VALUE"""),"")</f>
        <v/>
      </c>
      <c r="T288" s="80" t="str">
        <f>IFERROR(__xludf.DUMMYFUNCTION("""COMPUTED_VALUE"""),"")</f>
        <v/>
      </c>
      <c r="U288" s="71" t="str">
        <f>IFERROR(__xludf.DUMMYFUNCTION("""COMPUTED_VALUE"""),"")</f>
        <v/>
      </c>
      <c r="V288" s="78" t="str">
        <f>IFERROR(__xludf.DUMMYFUNCTION("""COMPUTED_VALUE"""),"")</f>
        <v/>
      </c>
      <c r="W288" s="62" t="str">
        <f>IFERROR(__xludf.DUMMYFUNCTION("""COMPUTED_VALUE"""),"")</f>
        <v/>
      </c>
      <c r="X288" s="80" t="str">
        <f>IFERROR(__xludf.DUMMYFUNCTION("""COMPUTED_VALUE"""),"")</f>
        <v/>
      </c>
      <c r="Y288" s="109" t="str">
        <f>IFERROR(__xludf.DUMMYFUNCTION("""COMPUTED_VALUE"""),"")</f>
        <v/>
      </c>
      <c r="Z288" s="71"/>
      <c r="AA288" s="71"/>
      <c r="AB288" s="71"/>
    </row>
    <row r="289">
      <c r="A289" s="105">
        <f>IFERROR(__xludf.DUMMYFUNCTION("""COMPUTED_VALUE"""),46129.83102940972)</f>
        <v>46129.83103</v>
      </c>
      <c r="B289" s="71" t="str">
        <f>IFERROR(__xludf.DUMMYFUNCTION("""COMPUTED_VALUE"""),"Orpheus Wilson")</f>
        <v>Orpheus Wilson</v>
      </c>
      <c r="C289" s="71" t="b">
        <f>IFERROR(__xludf.DUMMYFUNCTION("""COMPUTED_VALUE"""),FALSE)</f>
        <v>0</v>
      </c>
      <c r="D289" s="132">
        <f>IFERROR(__xludf.DUMMYFUNCTION("""COMPUTED_VALUE"""),0.7534722222189885)</f>
        <v>0.7534722222</v>
      </c>
      <c r="E289" s="78">
        <f>IFERROR(__xludf.DUMMYFUNCTION("""COMPUTED_VALUE"""),0.07361111111822538)</f>
        <v>0.07361111112</v>
      </c>
      <c r="F289" s="132">
        <f>IFERROR(__xludf.DUMMYFUNCTION("""COMPUTED_VALUE"""),0.8270833333372138)</f>
        <v>0.8270833333</v>
      </c>
      <c r="G289" s="78">
        <f>IFERROR(__xludf.DUMMYFUNCTION("""COMPUTED_VALUE"""),0.07361111111822538)</f>
        <v>0.07361111112</v>
      </c>
      <c r="H289" s="71">
        <f>IFERROR(__xludf.DUMMYFUNCTION("""COMPUTED_VALUE"""),105.0)</f>
        <v>105</v>
      </c>
      <c r="I289" s="80">
        <f>IFERROR(__xludf.DUMMYFUNCTION("""COMPUTED_VALUE"""),59.43396225840685)</f>
        <v>59.43396226</v>
      </c>
      <c r="J289" s="71" t="str">
        <f>IFERROR(__xludf.DUMMYFUNCTION("""COMPUTED_VALUE"""),"Dinner")</f>
        <v>Dinner</v>
      </c>
      <c r="K289" s="106">
        <f>IFERROR(__xludf.DUMMYFUNCTION("""COMPUTED_VALUE"""),46129.0)</f>
        <v>46129</v>
      </c>
      <c r="L289" s="71" t="str">
        <f>IFERROR(__xludf.DUMMYFUNCTION("""COMPUTED_VALUE"""),"Friday")</f>
        <v>Friday</v>
      </c>
      <c r="M289" s="71" t="str">
        <f>IFERROR(__xludf.DUMMYFUNCTION("""COMPUTED_VALUE"""),"MF")</f>
        <v>MF</v>
      </c>
      <c r="N289" s="109">
        <f>IFERROR(__xludf.DUMMYFUNCTION("""COMPUTED_VALUE"""),1.2814655552605276)</f>
        <v>1.281465555</v>
      </c>
      <c r="O289" s="71">
        <f>IFERROR(__xludf.DUMMYFUNCTION("""COMPUTED_VALUE"""),453.0)</f>
        <v>453</v>
      </c>
      <c r="P289" s="71">
        <f>IFERROR(__xludf.DUMMYFUNCTION("""COMPUTED_VALUE"""),168.0)</f>
        <v>168</v>
      </c>
      <c r="Q289" s="78">
        <f>IFERROR(__xludf.DUMMYFUNCTION("""COMPUTED_VALUE"""),0.31319444446126)</f>
        <v>0.3131944445</v>
      </c>
      <c r="R289" s="78">
        <f>IFERROR(__xludf.DUMMYFUNCTION("""COMPUTED_VALUE"""),0.19097222222626442)</f>
        <v>0.1909722222</v>
      </c>
      <c r="S289" s="80">
        <f>IFERROR(__xludf.DUMMYFUNCTION("""COMPUTED_VALUE"""),79.00746369019593)</f>
        <v>79.00746369</v>
      </c>
      <c r="T289" s="80">
        <f>IFERROR(__xludf.DUMMYFUNCTION("""COMPUTED_VALUE"""),39.63157894585922)</f>
        <v>39.63157895</v>
      </c>
      <c r="U289" s="71">
        <f>IFERROR(__xludf.DUMMYFUNCTION("""COMPUTED_VALUE"""),621.0)</f>
        <v>621</v>
      </c>
      <c r="V289" s="78">
        <f>IFERROR(__xludf.DUMMYFUNCTION("""COMPUTED_VALUE"""),0.5041666666875244)</f>
        <v>0.5041666667</v>
      </c>
      <c r="W289" s="62">
        <f>IFERROR(__xludf.DUMMYFUNCTION("""COMPUTED_VALUE"""),51.322314047463536)</f>
        <v>51.32231405</v>
      </c>
      <c r="X289" s="80">
        <f>IFERROR(__xludf.DUMMYFUNCTION("""COMPUTED_VALUE"""),65.88216877541703)</f>
        <v>65.88216878</v>
      </c>
      <c r="Y289" s="109">
        <f>IFERROR(__xludf.DUMMYFUNCTION("""COMPUTED_VALUE"""),1.296271520949784)</f>
        <v>1.296271521</v>
      </c>
      <c r="Z289" s="71"/>
      <c r="AA289" s="71"/>
      <c r="AB289" s="71"/>
    </row>
    <row r="290">
      <c r="A290" s="105">
        <f>IFERROR(__xludf.DUMMYFUNCTION("""COMPUTED_VALUE"""),46132.64133358796)</f>
        <v>46132.64133</v>
      </c>
      <c r="B290" s="71" t="str">
        <f>IFERROR(__xludf.DUMMYFUNCTION("""COMPUTED_VALUE"""),"Brynn Hornig")</f>
        <v>Brynn Hornig</v>
      </c>
      <c r="C290" s="71" t="b">
        <f>IFERROR(__xludf.DUMMYFUNCTION("""COMPUTED_VALUE"""),FALSE)</f>
        <v>0</v>
      </c>
      <c r="D290" s="132">
        <f>IFERROR(__xludf.DUMMYFUNCTION("""COMPUTED_VALUE"""),0.5208333333357587)</f>
        <v>0.5208333333</v>
      </c>
      <c r="E290" s="78">
        <f>IFERROR(__xludf.DUMMYFUNCTION("""COMPUTED_VALUE"""),0.125)</f>
        <v>0.125</v>
      </c>
      <c r="F290" s="132">
        <f>IFERROR(__xludf.DUMMYFUNCTION("""COMPUTED_VALUE"""),0.6458333333357587)</f>
        <v>0.6458333333</v>
      </c>
      <c r="G290" s="78">
        <f>IFERROR(__xludf.DUMMYFUNCTION("""COMPUTED_VALUE"""),0.125)</f>
        <v>0.125</v>
      </c>
      <c r="H290" s="71">
        <f>IFERROR(__xludf.DUMMYFUNCTION("""COMPUTED_VALUE"""),76.0)</f>
        <v>76</v>
      </c>
      <c r="I290" s="80">
        <f>IFERROR(__xludf.DUMMYFUNCTION("""COMPUTED_VALUE"""),25.333333333333332)</f>
        <v>25.33333333</v>
      </c>
      <c r="J290" s="71" t="str">
        <f>IFERROR(__xludf.DUMMYFUNCTION("""COMPUTED_VALUE"""),"Lunch")</f>
        <v>Lunch</v>
      </c>
      <c r="K290" s="106">
        <f>IFERROR(__xludf.DUMMYFUNCTION("""COMPUTED_VALUE"""),46132.0)</f>
        <v>46132</v>
      </c>
      <c r="L290" s="71" t="str">
        <f>IFERROR(__xludf.DUMMYFUNCTION("""COMPUTED_VALUE"""),"Monday")</f>
        <v>Monday</v>
      </c>
      <c r="M290" s="71" t="str">
        <f>IFERROR(__xludf.DUMMYFUNCTION("""COMPUTED_VALUE"""),"BF")</f>
        <v>BF</v>
      </c>
      <c r="N290" s="109">
        <f>IFERROR(__xludf.DUMMYFUNCTION("""COMPUTED_VALUE"""),0.8935715376578599)</f>
        <v>0.8935715377</v>
      </c>
      <c r="O290" s="71" t="str">
        <f>IFERROR(__xludf.DUMMYFUNCTION("""COMPUTED_VALUE"""),"")</f>
        <v/>
      </c>
      <c r="P290" s="71" t="str">
        <f>IFERROR(__xludf.DUMMYFUNCTION("""COMPUTED_VALUE"""),"")</f>
        <v/>
      </c>
      <c r="Q290" s="78" t="str">
        <f>IFERROR(__xludf.DUMMYFUNCTION("""COMPUTED_VALUE"""),"")</f>
        <v/>
      </c>
      <c r="R290" s="78" t="str">
        <f>IFERROR(__xludf.DUMMYFUNCTION("""COMPUTED_VALUE"""),"")</f>
        <v/>
      </c>
      <c r="S290" s="80" t="str">
        <f>IFERROR(__xludf.DUMMYFUNCTION("""COMPUTED_VALUE"""),"")</f>
        <v/>
      </c>
      <c r="T290" s="80" t="str">
        <f>IFERROR(__xludf.DUMMYFUNCTION("""COMPUTED_VALUE"""),"")</f>
        <v/>
      </c>
      <c r="U290" s="71" t="str">
        <f>IFERROR(__xludf.DUMMYFUNCTION("""COMPUTED_VALUE"""),"")</f>
        <v/>
      </c>
      <c r="V290" s="78" t="str">
        <f>IFERROR(__xludf.DUMMYFUNCTION("""COMPUTED_VALUE"""),"")</f>
        <v/>
      </c>
      <c r="W290" s="62" t="str">
        <f>IFERROR(__xludf.DUMMYFUNCTION("""COMPUTED_VALUE"""),"")</f>
        <v/>
      </c>
      <c r="X290" s="80" t="str">
        <f>IFERROR(__xludf.DUMMYFUNCTION("""COMPUTED_VALUE"""),"")</f>
        <v/>
      </c>
      <c r="Y290" s="109" t="str">
        <f>IFERROR(__xludf.DUMMYFUNCTION("""COMPUTED_VALUE"""),"")</f>
        <v/>
      </c>
      <c r="Z290" s="71"/>
      <c r="AA290" s="71"/>
      <c r="AB290" s="71"/>
    </row>
    <row r="291">
      <c r="A291" s="105">
        <f>IFERROR(__xludf.DUMMYFUNCTION("""COMPUTED_VALUE"""),46132.74785409722)</f>
        <v>46132.74785</v>
      </c>
      <c r="B291" s="71" t="str">
        <f>IFERROR(__xludf.DUMMYFUNCTION("""COMPUTED_VALUE"""),"Orpheus Wilson")</f>
        <v>Orpheus Wilson</v>
      </c>
      <c r="C291" s="71" t="b">
        <f>IFERROR(__xludf.DUMMYFUNCTION("""COMPUTED_VALUE"""),FALSE)</f>
        <v>0</v>
      </c>
      <c r="D291" s="132">
        <f>IFERROR(__xludf.DUMMYFUNCTION("""COMPUTED_VALUE"""),0.6756944444423425)</f>
        <v>0.6756944444</v>
      </c>
      <c r="E291" s="78">
        <f>IFERROR(__xludf.DUMMYFUNCTION("""COMPUTED_VALUE"""),0.07152777777810115)</f>
        <v>0.07152777778</v>
      </c>
      <c r="F291" s="132">
        <f>IFERROR(__xludf.DUMMYFUNCTION("""COMPUTED_VALUE"""),0.7472222222204437)</f>
        <v>0.7472222222</v>
      </c>
      <c r="G291" s="78">
        <f>IFERROR(__xludf.DUMMYFUNCTION("""COMPUTED_VALUE"""),0.07152777777810115)</f>
        <v>0.07152777778</v>
      </c>
      <c r="H291" s="71">
        <f>IFERROR(__xludf.DUMMYFUNCTION("""COMPUTED_VALUE"""),97.0)</f>
        <v>97</v>
      </c>
      <c r="I291" s="80">
        <f>IFERROR(__xludf.DUMMYFUNCTION("""COMPUTED_VALUE"""),56.50485436867658)</f>
        <v>56.50485437</v>
      </c>
      <c r="J291" s="71" t="str">
        <f>IFERROR(__xludf.DUMMYFUNCTION("""COMPUTED_VALUE"""),"Dinner")</f>
        <v>Dinner</v>
      </c>
      <c r="K291" s="106">
        <f>IFERROR(__xludf.DUMMYFUNCTION("""COMPUTED_VALUE"""),46132.0)</f>
        <v>46132</v>
      </c>
      <c r="L291" s="71" t="str">
        <f>IFERROR(__xludf.DUMMYFUNCTION("""COMPUTED_VALUE"""),"Monday")</f>
        <v>Monday</v>
      </c>
      <c r="M291" s="71" t="str">
        <f>IFERROR(__xludf.DUMMYFUNCTION("""COMPUTED_VALUE"""),"MF")</f>
        <v>MF</v>
      </c>
      <c r="N291" s="109">
        <f>IFERROR(__xludf.DUMMYFUNCTION("""COMPUTED_VALUE"""),1.2183105723904388)</f>
        <v>1.218310572</v>
      </c>
      <c r="O291" s="71" t="str">
        <f>IFERROR(__xludf.DUMMYFUNCTION("""COMPUTED_VALUE"""),"")</f>
        <v/>
      </c>
      <c r="P291" s="71" t="str">
        <f>IFERROR(__xludf.DUMMYFUNCTION("""COMPUTED_VALUE"""),"")</f>
        <v/>
      </c>
      <c r="Q291" s="78" t="str">
        <f>IFERROR(__xludf.DUMMYFUNCTION("""COMPUTED_VALUE"""),"")</f>
        <v/>
      </c>
      <c r="R291" s="78" t="str">
        <f>IFERROR(__xludf.DUMMYFUNCTION("""COMPUTED_VALUE"""),"")</f>
        <v/>
      </c>
      <c r="S291" s="80" t="str">
        <f>IFERROR(__xludf.DUMMYFUNCTION("""COMPUTED_VALUE"""),"")</f>
        <v/>
      </c>
      <c r="T291" s="80" t="str">
        <f>IFERROR(__xludf.DUMMYFUNCTION("""COMPUTED_VALUE"""),"")</f>
        <v/>
      </c>
      <c r="U291" s="71" t="str">
        <f>IFERROR(__xludf.DUMMYFUNCTION("""COMPUTED_VALUE"""),"")</f>
        <v/>
      </c>
      <c r="V291" s="78" t="str">
        <f>IFERROR(__xludf.DUMMYFUNCTION("""COMPUTED_VALUE"""),"")</f>
        <v/>
      </c>
      <c r="W291" s="62" t="str">
        <f>IFERROR(__xludf.DUMMYFUNCTION("""COMPUTED_VALUE"""),"")</f>
        <v/>
      </c>
      <c r="X291" s="80" t="str">
        <f>IFERROR(__xludf.DUMMYFUNCTION("""COMPUTED_VALUE"""),"")</f>
        <v/>
      </c>
      <c r="Y291" s="109" t="str">
        <f>IFERROR(__xludf.DUMMYFUNCTION("""COMPUTED_VALUE"""),"")</f>
        <v/>
      </c>
      <c r="Z291" s="71"/>
      <c r="AA291" s="71"/>
      <c r="AB291" s="71"/>
    </row>
    <row r="292">
      <c r="A292" s="105">
        <f>IFERROR(__xludf.DUMMYFUNCTION("""COMPUTED_VALUE"""),46132.86673144676)</f>
        <v>46132.86673</v>
      </c>
      <c r="B292" s="71" t="str">
        <f>IFERROR(__xludf.DUMMYFUNCTION("""COMPUTED_VALUE"""),"Maureen Surgot")</f>
        <v>Maureen Surgot</v>
      </c>
      <c r="C292" s="71" t="b">
        <f>IFERROR(__xludf.DUMMYFUNCTION("""COMPUTED_VALUE"""),FALSE)</f>
        <v>0</v>
      </c>
      <c r="D292" s="132">
        <f>IFERROR(__xludf.DUMMYFUNCTION("""COMPUTED_VALUE"""),0.75)</f>
        <v>0.75</v>
      </c>
      <c r="E292" s="78">
        <f>IFERROR(__xludf.DUMMYFUNCTION("""COMPUTED_VALUE"""),0.125)</f>
        <v>0.125</v>
      </c>
      <c r="F292" s="132">
        <f>IFERROR(__xludf.DUMMYFUNCTION("""COMPUTED_VALUE"""),0.875)</f>
        <v>0.875</v>
      </c>
      <c r="G292" s="78">
        <f>IFERROR(__xludf.DUMMYFUNCTION("""COMPUTED_VALUE"""),0.125)</f>
        <v>0.125</v>
      </c>
      <c r="H292" s="71">
        <f>IFERROR(__xludf.DUMMYFUNCTION("""COMPUTED_VALUE"""),149.0)</f>
        <v>149</v>
      </c>
      <c r="I292" s="80">
        <f>IFERROR(__xludf.DUMMYFUNCTION("""COMPUTED_VALUE"""),49.666666666666664)</f>
        <v>49.66666667</v>
      </c>
      <c r="J292" s="71" t="str">
        <f>IFERROR(__xludf.DUMMYFUNCTION("""COMPUTED_VALUE"""),"Dinner")</f>
        <v>Dinner</v>
      </c>
      <c r="K292" s="106">
        <f>IFERROR(__xludf.DUMMYFUNCTION("""COMPUTED_VALUE"""),46132.0)</f>
        <v>46132</v>
      </c>
      <c r="L292" s="71" t="str">
        <f>IFERROR(__xludf.DUMMYFUNCTION("""COMPUTED_VALUE"""),"Monday")</f>
        <v>Monday</v>
      </c>
      <c r="M292" s="71" t="str">
        <f>IFERROR(__xludf.DUMMYFUNCTION("""COMPUTED_VALUE"""),"MF")</f>
        <v>MF</v>
      </c>
      <c r="N292" s="109">
        <f>IFERROR(__xludf.DUMMYFUNCTION("""COMPUTED_VALUE"""),1.0708712688751771)</f>
        <v>1.070871269</v>
      </c>
      <c r="O292" s="71">
        <f>IFERROR(__xludf.DUMMYFUNCTION("""COMPUTED_VALUE"""),246.0)</f>
        <v>246</v>
      </c>
      <c r="P292" s="71">
        <f>IFERROR(__xludf.DUMMYFUNCTION("""COMPUTED_VALUE"""),76.0)</f>
        <v>76</v>
      </c>
      <c r="Q292" s="78">
        <f>IFERROR(__xludf.DUMMYFUNCTION("""COMPUTED_VALUE"""),0.19652777777810115)</f>
        <v>0.1965277778</v>
      </c>
      <c r="R292" s="78">
        <f>IFERROR(__xludf.DUMMYFUNCTION("""COMPUTED_VALUE"""),0.125)</f>
        <v>0.125</v>
      </c>
      <c r="S292" s="80">
        <f>IFERROR(__xludf.DUMMYFUNCTION("""COMPUTED_VALUE"""),53.08576051767162)</f>
        <v>53.08576052</v>
      </c>
      <c r="T292" s="80">
        <f>IFERROR(__xludf.DUMMYFUNCTION("""COMPUTED_VALUE"""),25.333333333333332)</f>
        <v>25.33333333</v>
      </c>
      <c r="U292" s="71">
        <f>IFERROR(__xludf.DUMMYFUNCTION("""COMPUTED_VALUE"""),322.0)</f>
        <v>322</v>
      </c>
      <c r="V292" s="78">
        <f>IFERROR(__xludf.DUMMYFUNCTION("""COMPUTED_VALUE"""),0.32152777777810115)</f>
        <v>0.3215277778</v>
      </c>
      <c r="W292" s="62">
        <f>IFERROR(__xludf.DUMMYFUNCTION("""COMPUTED_VALUE"""),41.72786177101635)</f>
        <v>41.72786177</v>
      </c>
      <c r="X292" s="80">
        <f>IFERROR(__xludf.DUMMYFUNCTION("""COMPUTED_VALUE"""),43.834951456225525)</f>
        <v>43.83495146</v>
      </c>
      <c r="Y292" s="109">
        <f>IFERROR(__xludf.DUMMYFUNCTION("""COMPUTED_VALUE"""),0.7945694848442376)</f>
        <v>0.7945694848</v>
      </c>
      <c r="Z292" s="71"/>
      <c r="AA292" s="71"/>
      <c r="AB292" s="71"/>
    </row>
    <row r="293">
      <c r="A293" s="105">
        <f>IFERROR(__xludf.DUMMYFUNCTION("""COMPUTED_VALUE"""),46133.56072796296)</f>
        <v>46133.56073</v>
      </c>
      <c r="B293" s="71" t="str">
        <f>IFERROR(__xludf.DUMMYFUNCTION("""COMPUTED_VALUE"""),"Kyra Turner")</f>
        <v>Kyra Turner</v>
      </c>
      <c r="C293" s="71" t="b">
        <f>IFERROR(__xludf.DUMMYFUNCTION("""COMPUTED_VALUE"""),FALSE)</f>
        <v>0</v>
      </c>
      <c r="D293" s="132">
        <f>IFERROR(__xludf.DUMMYFUNCTION("""COMPUTED_VALUE"""),0.48333333333721384)</f>
        <v>0.4833333333</v>
      </c>
      <c r="E293" s="78">
        <f>IFERROR(__xludf.DUMMYFUNCTION("""COMPUTED_VALUE"""),0.07499999999708962)</f>
        <v>0.075</v>
      </c>
      <c r="F293" s="132">
        <f>IFERROR(__xludf.DUMMYFUNCTION("""COMPUTED_VALUE"""),0.5583333333343035)</f>
        <v>0.5583333333</v>
      </c>
      <c r="G293" s="78">
        <f>IFERROR(__xludf.DUMMYFUNCTION("""COMPUTED_VALUE"""),0.13194444443797693)</f>
        <v>0.1319444444</v>
      </c>
      <c r="H293" s="71">
        <f>IFERROR(__xludf.DUMMYFUNCTION("""COMPUTED_VALUE"""),172.0)</f>
        <v>172</v>
      </c>
      <c r="I293" s="80">
        <f>IFERROR(__xludf.DUMMYFUNCTION("""COMPUTED_VALUE"""),93.47368421510811)</f>
        <v>93.47368422</v>
      </c>
      <c r="J293" s="71" t="str">
        <f>IFERROR(__xludf.DUMMYFUNCTION("""COMPUTED_VALUE"""),"Lunch")</f>
        <v>Lunch</v>
      </c>
      <c r="K293" s="106">
        <f>IFERROR(__xludf.DUMMYFUNCTION("""COMPUTED_VALUE"""),46133.0)</f>
        <v>46133</v>
      </c>
      <c r="L293" s="71" t="str">
        <f>IFERROR(__xludf.DUMMYFUNCTION("""COMPUTED_VALUE"""),"Tuesday")</f>
        <v>Tuesday</v>
      </c>
      <c r="M293" s="71" t="str">
        <f>IFERROR(__xludf.DUMMYFUNCTION("""COMPUTED_VALUE"""),"MF")</f>
        <v>MF</v>
      </c>
      <c r="N293" s="109">
        <f>IFERROR(__xludf.DUMMYFUNCTION("""COMPUTED_VALUE"""),1.8591555808299232)</f>
        <v>1.859155581</v>
      </c>
      <c r="O293" s="71" t="str">
        <f>IFERROR(__xludf.DUMMYFUNCTION("""COMPUTED_VALUE"""),"")</f>
        <v/>
      </c>
      <c r="P293" s="71" t="str">
        <f>IFERROR(__xludf.DUMMYFUNCTION("""COMPUTED_VALUE"""),"")</f>
        <v/>
      </c>
      <c r="Q293" s="78" t="str">
        <f>IFERROR(__xludf.DUMMYFUNCTION("""COMPUTED_VALUE"""),"")</f>
        <v/>
      </c>
      <c r="R293" s="78" t="str">
        <f>IFERROR(__xludf.DUMMYFUNCTION("""COMPUTED_VALUE"""),"")</f>
        <v/>
      </c>
      <c r="S293" s="80" t="str">
        <f>IFERROR(__xludf.DUMMYFUNCTION("""COMPUTED_VALUE"""),"")</f>
        <v/>
      </c>
      <c r="T293" s="80" t="str">
        <f>IFERROR(__xludf.DUMMYFUNCTION("""COMPUTED_VALUE"""),"")</f>
        <v/>
      </c>
      <c r="U293" s="71" t="str">
        <f>IFERROR(__xludf.DUMMYFUNCTION("""COMPUTED_VALUE"""),"")</f>
        <v/>
      </c>
      <c r="V293" s="78" t="str">
        <f>IFERROR(__xludf.DUMMYFUNCTION("""COMPUTED_VALUE"""),"")</f>
        <v/>
      </c>
      <c r="W293" s="62" t="str">
        <f>IFERROR(__xludf.DUMMYFUNCTION("""COMPUTED_VALUE"""),"")</f>
        <v/>
      </c>
      <c r="X293" s="80" t="str">
        <f>IFERROR(__xludf.DUMMYFUNCTION("""COMPUTED_VALUE"""),"")</f>
        <v/>
      </c>
      <c r="Y293" s="109" t="str">
        <f>IFERROR(__xludf.DUMMYFUNCTION("""COMPUTED_VALUE"""),"")</f>
        <v/>
      </c>
      <c r="Z293" s="71"/>
      <c r="AA293" s="71"/>
      <c r="AB293" s="71"/>
    </row>
    <row r="294">
      <c r="A294" s="105">
        <f>IFERROR(__xludf.DUMMYFUNCTION("""COMPUTED_VALUE"""),46133.622259282405)</f>
        <v>46133.62226</v>
      </c>
      <c r="B294" s="71" t="str">
        <f>IFERROR(__xludf.DUMMYFUNCTION("""COMPUTED_VALUE"""),"Kyra Turner")</f>
        <v>Kyra Turner</v>
      </c>
      <c r="C294" s="71" t="b">
        <f>IFERROR(__xludf.DUMMYFUNCTION("""COMPUTED_VALUE"""),TRUE)</f>
        <v>1</v>
      </c>
      <c r="D294" s="132">
        <f>IFERROR(__xludf.DUMMYFUNCTION("""COMPUTED_VALUE"""),0.5631944444467081)</f>
        <v>0.5631944444</v>
      </c>
      <c r="E294" s="78">
        <f>IFERROR(__xludf.DUMMYFUNCTION("""COMPUTED_VALUE"""),0.05694444444088731)</f>
        <v>0.05694444444</v>
      </c>
      <c r="F294" s="132">
        <f>IFERROR(__xludf.DUMMYFUNCTION("""COMPUTED_VALUE"""),0.6201388888875954)</f>
        <v>0.6201388889</v>
      </c>
      <c r="G294" s="78" t="str">
        <f>IFERROR(__xludf.DUMMYFUNCTION("""COMPUTED_VALUE"""),"")</f>
        <v/>
      </c>
      <c r="H294" s="71">
        <f>IFERROR(__xludf.DUMMYFUNCTION("""COMPUTED_VALUE"""),124.0)</f>
        <v>124</v>
      </c>
      <c r="I294" s="80" t="str">
        <f>IFERROR(__xludf.DUMMYFUNCTION("""COMPUTED_VALUE"""),"")</f>
        <v/>
      </c>
      <c r="J294" s="71" t="str">
        <f>IFERROR(__xludf.DUMMYFUNCTION("""COMPUTED_VALUE"""),"Lunch")</f>
        <v>Lunch</v>
      </c>
      <c r="K294" s="106">
        <f>IFERROR(__xludf.DUMMYFUNCTION("""COMPUTED_VALUE"""),46133.0)</f>
        <v>46133</v>
      </c>
      <c r="L294" s="71" t="str">
        <f>IFERROR(__xludf.DUMMYFUNCTION("""COMPUTED_VALUE"""),"Tuesday")</f>
        <v>Tuesday</v>
      </c>
      <c r="M294" s="71" t="str">
        <f>IFERROR(__xludf.DUMMYFUNCTION("""COMPUTED_VALUE"""),"MF")</f>
        <v>MF</v>
      </c>
      <c r="N294" s="109" t="str">
        <f>IFERROR(__xludf.DUMMYFUNCTION("""COMPUTED_VALUE"""),"")</f>
        <v/>
      </c>
      <c r="O294" s="71" t="str">
        <f>IFERROR(__xludf.DUMMYFUNCTION("""COMPUTED_VALUE"""),"")</f>
        <v/>
      </c>
      <c r="P294" s="71" t="str">
        <f>IFERROR(__xludf.DUMMYFUNCTION("""COMPUTED_VALUE"""),"")</f>
        <v/>
      </c>
      <c r="Q294" s="78" t="str">
        <f>IFERROR(__xludf.DUMMYFUNCTION("""COMPUTED_VALUE"""),"")</f>
        <v/>
      </c>
      <c r="R294" s="78" t="str">
        <f>IFERROR(__xludf.DUMMYFUNCTION("""COMPUTED_VALUE"""),"")</f>
        <v/>
      </c>
      <c r="S294" s="80" t="str">
        <f>IFERROR(__xludf.DUMMYFUNCTION("""COMPUTED_VALUE"""),"")</f>
        <v/>
      </c>
      <c r="T294" s="80" t="str">
        <f>IFERROR(__xludf.DUMMYFUNCTION("""COMPUTED_VALUE"""),"")</f>
        <v/>
      </c>
      <c r="U294" s="71" t="str">
        <f>IFERROR(__xludf.DUMMYFUNCTION("""COMPUTED_VALUE"""),"")</f>
        <v/>
      </c>
      <c r="V294" s="78" t="str">
        <f>IFERROR(__xludf.DUMMYFUNCTION("""COMPUTED_VALUE"""),"")</f>
        <v/>
      </c>
      <c r="W294" s="62" t="str">
        <f>IFERROR(__xludf.DUMMYFUNCTION("""COMPUTED_VALUE"""),"")</f>
        <v/>
      </c>
      <c r="X294" s="80" t="str">
        <f>IFERROR(__xludf.DUMMYFUNCTION("""COMPUTED_VALUE"""),"")</f>
        <v/>
      </c>
      <c r="Y294" s="109" t="str">
        <f>IFERROR(__xludf.DUMMYFUNCTION("""COMPUTED_VALUE"""),"")</f>
        <v/>
      </c>
      <c r="Z294" s="71"/>
      <c r="AA294" s="71"/>
      <c r="AB294" s="71"/>
    </row>
    <row r="295">
      <c r="A295" s="105">
        <f>IFERROR(__xludf.DUMMYFUNCTION("""COMPUTED_VALUE"""),46135.85003760416)</f>
        <v>46135.85004</v>
      </c>
      <c r="B295" s="71" t="str">
        <f>IFERROR(__xludf.DUMMYFUNCTION("""COMPUTED_VALUE"""),"Leah Bucci")</f>
        <v>Leah Bucci</v>
      </c>
      <c r="C295" s="71" t="b">
        <f>IFERROR(__xludf.DUMMYFUNCTION("""COMPUTED_VALUE"""),FALSE)</f>
        <v>0</v>
      </c>
      <c r="D295" s="132">
        <f>IFERROR(__xludf.DUMMYFUNCTION("""COMPUTED_VALUE"""),0.6875)</f>
        <v>0.6875</v>
      </c>
      <c r="E295" s="78">
        <f>IFERROR(__xludf.DUMMYFUNCTION("""COMPUTED_VALUE"""),0.09027777778101154)</f>
        <v>0.09027777778</v>
      </c>
      <c r="F295" s="132">
        <f>IFERROR(__xludf.DUMMYFUNCTION("""COMPUTED_VALUE"""),0.7777777777810115)</f>
        <v>0.7777777778</v>
      </c>
      <c r="G295" s="78">
        <f>IFERROR(__xludf.DUMMYFUNCTION("""COMPUTED_VALUE"""),0.09027777778101154)</f>
        <v>0.09027777778</v>
      </c>
      <c r="H295" s="71">
        <f>IFERROR(__xludf.DUMMYFUNCTION("""COMPUTED_VALUE"""),86.0)</f>
        <v>86</v>
      </c>
      <c r="I295" s="80">
        <f>IFERROR(__xludf.DUMMYFUNCTION("""COMPUTED_VALUE"""),39.69230769088591)</f>
        <v>39.69230769</v>
      </c>
      <c r="J295" s="71" t="str">
        <f>IFERROR(__xludf.DUMMYFUNCTION("""COMPUTED_VALUE"""),"Dinner")</f>
        <v>Dinner</v>
      </c>
      <c r="K295" s="106">
        <f>IFERROR(__xludf.DUMMYFUNCTION("""COMPUTED_VALUE"""),46133.0)</f>
        <v>46133</v>
      </c>
      <c r="L295" s="71" t="str">
        <f>IFERROR(__xludf.DUMMYFUNCTION("""COMPUTED_VALUE"""),"Tuesday")</f>
        <v>Tuesday</v>
      </c>
      <c r="M295" s="71" t="str">
        <f>IFERROR(__xludf.DUMMYFUNCTION("""COMPUTED_VALUE"""),"BF")</f>
        <v>BF</v>
      </c>
      <c r="N295" s="109">
        <f>IFERROR(__xludf.DUMMYFUNCTION("""COMPUTED_VALUE"""),0.8933307101655067)</f>
        <v>0.8933307102</v>
      </c>
      <c r="O295" s="71">
        <f>IFERROR(__xludf.DUMMYFUNCTION("""COMPUTED_VALUE"""),296.0)</f>
        <v>296</v>
      </c>
      <c r="P295" s="71">
        <f>IFERROR(__xludf.DUMMYFUNCTION("""COMPUTED_VALUE"""),86.0)</f>
        <v>86</v>
      </c>
      <c r="Q295" s="78">
        <f>IFERROR(__xludf.DUMMYFUNCTION("""COMPUTED_VALUE"""),0.13194444443797693)</f>
        <v>0.1319444444</v>
      </c>
      <c r="R295" s="78">
        <f>IFERROR(__xludf.DUMMYFUNCTION("""COMPUTED_VALUE"""),0.09027777778101154)</f>
        <v>0.09027777778</v>
      </c>
      <c r="S295" s="80">
        <f>IFERROR(__xludf.DUMMYFUNCTION("""COMPUTED_VALUE"""),93.47368421510811)</f>
        <v>93.47368422</v>
      </c>
      <c r="T295" s="80">
        <f>IFERROR(__xludf.DUMMYFUNCTION("""COMPUTED_VALUE"""),39.69230769088591)</f>
        <v>39.69230769</v>
      </c>
      <c r="U295" s="71">
        <f>IFERROR(__xludf.DUMMYFUNCTION("""COMPUTED_VALUE"""),382.0)</f>
        <v>382</v>
      </c>
      <c r="V295" s="78">
        <f>IFERROR(__xludf.DUMMYFUNCTION("""COMPUTED_VALUE"""),0.22222222221898846)</f>
        <v>0.2222222222</v>
      </c>
      <c r="W295" s="62">
        <f>IFERROR(__xludf.DUMMYFUNCTION("""COMPUTED_VALUE"""),71.62500000104228)</f>
        <v>71.625</v>
      </c>
      <c r="X295" s="80">
        <f>IFERROR(__xludf.DUMMYFUNCTION("""COMPUTED_VALUE"""),66.58299595299701)</f>
        <v>66.58299595</v>
      </c>
      <c r="Y295" s="109">
        <f>IFERROR(__xludf.DUMMYFUNCTION("""COMPUTED_VALUE"""),0.8473221120503367)</f>
        <v>0.8473221121</v>
      </c>
      <c r="Z295" s="71"/>
      <c r="AA295" s="71"/>
      <c r="AB295" s="71"/>
    </row>
    <row r="296">
      <c r="A296" s="105">
        <f>IFERROR(__xludf.DUMMYFUNCTION("""COMPUTED_VALUE"""),46134.622194525466)</f>
        <v>46134.62219</v>
      </c>
      <c r="B296" s="71" t="str">
        <f>IFERROR(__xludf.DUMMYFUNCTION("""COMPUTED_VALUE"""),"Evan Morgan")</f>
        <v>Evan Morgan</v>
      </c>
      <c r="C296" s="71" t="b">
        <f>IFERROR(__xludf.DUMMYFUNCTION("""COMPUTED_VALUE"""),FALSE)</f>
        <v>0</v>
      </c>
      <c r="D296" s="132">
        <f>IFERROR(__xludf.DUMMYFUNCTION("""COMPUTED_VALUE"""),0.5416666666642413)</f>
        <v>0.5416666667</v>
      </c>
      <c r="E296" s="78">
        <f>IFERROR(__xludf.DUMMYFUNCTION("""COMPUTED_VALUE"""),0.07986111111677019)</f>
        <v>0.07986111112</v>
      </c>
      <c r="F296" s="132">
        <f>IFERROR(__xludf.DUMMYFUNCTION("""COMPUTED_VALUE"""),0.6215277777810115)</f>
        <v>0.6215277778</v>
      </c>
      <c r="G296" s="78">
        <f>IFERROR(__xludf.DUMMYFUNCTION("""COMPUTED_VALUE"""),0.07986111111677019)</f>
        <v>0.07986111112</v>
      </c>
      <c r="H296" s="71">
        <f>IFERROR(__xludf.DUMMYFUNCTION("""COMPUTED_VALUE"""),91.0)</f>
        <v>91</v>
      </c>
      <c r="I296" s="80">
        <f>IFERROR(__xludf.DUMMYFUNCTION("""COMPUTED_VALUE"""),47.478260866200834)</f>
        <v>47.47826087</v>
      </c>
      <c r="J296" s="71" t="str">
        <f>IFERROR(__xludf.DUMMYFUNCTION("""COMPUTED_VALUE"""),"Lunch")</f>
        <v>Lunch</v>
      </c>
      <c r="K296" s="106">
        <f>IFERROR(__xludf.DUMMYFUNCTION("""COMPUTED_VALUE"""),46134.0)</f>
        <v>46134</v>
      </c>
      <c r="L296" s="71" t="str">
        <f>IFERROR(__xludf.DUMMYFUNCTION("""COMPUTED_VALUE"""),"Wednesday")</f>
        <v>Wednesday</v>
      </c>
      <c r="M296" s="71" t="str">
        <f>IFERROR(__xludf.DUMMYFUNCTION("""COMPUTED_VALUE"""),"MF")</f>
        <v>MF</v>
      </c>
      <c r="N296" s="109">
        <f>IFERROR(__xludf.DUMMYFUNCTION("""COMPUTED_VALUE"""),0.9443243239922415)</f>
        <v>0.944324324</v>
      </c>
      <c r="O296" s="71" t="str">
        <f>IFERROR(__xludf.DUMMYFUNCTION("""COMPUTED_VALUE"""),"")</f>
        <v/>
      </c>
      <c r="P296" s="71" t="str">
        <f>IFERROR(__xludf.DUMMYFUNCTION("""COMPUTED_VALUE"""),"")</f>
        <v/>
      </c>
      <c r="Q296" s="78" t="str">
        <f>IFERROR(__xludf.DUMMYFUNCTION("""COMPUTED_VALUE"""),"")</f>
        <v/>
      </c>
      <c r="R296" s="78" t="str">
        <f>IFERROR(__xludf.DUMMYFUNCTION("""COMPUTED_VALUE"""),"")</f>
        <v/>
      </c>
      <c r="S296" s="80" t="str">
        <f>IFERROR(__xludf.DUMMYFUNCTION("""COMPUTED_VALUE"""),"")</f>
        <v/>
      </c>
      <c r="T296" s="80" t="str">
        <f>IFERROR(__xludf.DUMMYFUNCTION("""COMPUTED_VALUE"""),"")</f>
        <v/>
      </c>
      <c r="U296" s="71" t="str">
        <f>IFERROR(__xludf.DUMMYFUNCTION("""COMPUTED_VALUE"""),"")</f>
        <v/>
      </c>
      <c r="V296" s="78" t="str">
        <f>IFERROR(__xludf.DUMMYFUNCTION("""COMPUTED_VALUE"""),"")</f>
        <v/>
      </c>
      <c r="W296" s="62" t="str">
        <f>IFERROR(__xludf.DUMMYFUNCTION("""COMPUTED_VALUE"""),"")</f>
        <v/>
      </c>
      <c r="X296" s="80" t="str">
        <f>IFERROR(__xludf.DUMMYFUNCTION("""COMPUTED_VALUE"""),"")</f>
        <v/>
      </c>
      <c r="Y296" s="109" t="str">
        <f>IFERROR(__xludf.DUMMYFUNCTION("""COMPUTED_VALUE"""),"")</f>
        <v/>
      </c>
      <c r="Z296" s="71"/>
      <c r="AA296" s="71"/>
      <c r="AB296" s="71"/>
    </row>
    <row r="297">
      <c r="A297" s="105">
        <f>IFERROR(__xludf.DUMMYFUNCTION("""COMPUTED_VALUE"""),46134.73584836806)</f>
        <v>46134.73585</v>
      </c>
      <c r="B297" s="71" t="str">
        <f>IFERROR(__xludf.DUMMYFUNCTION("""COMPUTED_VALUE"""),"Evan Morgan")</f>
        <v>Evan Morgan</v>
      </c>
      <c r="C297" s="71" t="b">
        <f>IFERROR(__xludf.DUMMYFUNCTION("""COMPUTED_VALUE"""),FALSE)</f>
        <v>0</v>
      </c>
      <c r="D297" s="132">
        <f>IFERROR(__xludf.DUMMYFUNCTION("""COMPUTED_VALUE"""),0.6666666666642413)</f>
        <v>0.6666666667</v>
      </c>
      <c r="E297" s="78">
        <f>IFERROR(__xludf.DUMMYFUNCTION("""COMPUTED_VALUE"""),0.06805555555911269)</f>
        <v>0.06805555556</v>
      </c>
      <c r="F297" s="132">
        <f>IFERROR(__xludf.DUMMYFUNCTION("""COMPUTED_VALUE"""),0.734722222223354)</f>
        <v>0.7347222222</v>
      </c>
      <c r="G297" s="78">
        <f>IFERROR(__xludf.DUMMYFUNCTION("""COMPUTED_VALUE"""),0.06805555555911269)</f>
        <v>0.06805555556</v>
      </c>
      <c r="H297" s="71">
        <f>IFERROR(__xludf.DUMMYFUNCTION("""COMPUTED_VALUE"""),70.0)</f>
        <v>70</v>
      </c>
      <c r="I297" s="80">
        <f>IFERROR(__xludf.DUMMYFUNCTION("""COMPUTED_VALUE"""),42.8571428549028)</f>
        <v>42.85714285</v>
      </c>
      <c r="J297" s="71" t="str">
        <f>IFERROR(__xludf.DUMMYFUNCTION("""COMPUTED_VALUE"""),"Dinner")</f>
        <v>Dinner</v>
      </c>
      <c r="K297" s="106">
        <f>IFERROR(__xludf.DUMMYFUNCTION("""COMPUTED_VALUE"""),46134.0)</f>
        <v>46134</v>
      </c>
      <c r="L297" s="71" t="str">
        <f>IFERROR(__xludf.DUMMYFUNCTION("""COMPUTED_VALUE"""),"Wednesday")</f>
        <v>Wednesday</v>
      </c>
      <c r="M297" s="71" t="str">
        <f>IFERROR(__xludf.DUMMYFUNCTION("""COMPUTED_VALUE"""),"MF")</f>
        <v>MF</v>
      </c>
      <c r="N297" s="109">
        <f>IFERROR(__xludf.DUMMYFUNCTION("""COMPUTED_VALUE"""),0.9240499922696879)</f>
        <v>0.9240499923</v>
      </c>
      <c r="O297" s="71" t="str">
        <f>IFERROR(__xludf.DUMMYFUNCTION("""COMPUTED_VALUE"""),"")</f>
        <v/>
      </c>
      <c r="P297" s="71" t="str">
        <f>IFERROR(__xludf.DUMMYFUNCTION("""COMPUTED_VALUE"""),"")</f>
        <v/>
      </c>
      <c r="Q297" s="78" t="str">
        <f>IFERROR(__xludf.DUMMYFUNCTION("""COMPUTED_VALUE"""),"")</f>
        <v/>
      </c>
      <c r="R297" s="78" t="str">
        <f>IFERROR(__xludf.DUMMYFUNCTION("""COMPUTED_VALUE"""),"")</f>
        <v/>
      </c>
      <c r="S297" s="80" t="str">
        <f>IFERROR(__xludf.DUMMYFUNCTION("""COMPUTED_VALUE"""),"")</f>
        <v/>
      </c>
      <c r="T297" s="80" t="str">
        <f>IFERROR(__xludf.DUMMYFUNCTION("""COMPUTED_VALUE"""),"")</f>
        <v/>
      </c>
      <c r="U297" s="71" t="str">
        <f>IFERROR(__xludf.DUMMYFUNCTION("""COMPUTED_VALUE"""),"")</f>
        <v/>
      </c>
      <c r="V297" s="78" t="str">
        <f>IFERROR(__xludf.DUMMYFUNCTION("""COMPUTED_VALUE"""),"")</f>
        <v/>
      </c>
      <c r="W297" s="62" t="str">
        <f>IFERROR(__xludf.DUMMYFUNCTION("""COMPUTED_VALUE"""),"")</f>
        <v/>
      </c>
      <c r="X297" s="80" t="str">
        <f>IFERROR(__xludf.DUMMYFUNCTION("""COMPUTED_VALUE"""),"")</f>
        <v/>
      </c>
      <c r="Y297" s="109" t="str">
        <f>IFERROR(__xludf.DUMMYFUNCTION("""COMPUTED_VALUE"""),"")</f>
        <v/>
      </c>
      <c r="Z297" s="71"/>
      <c r="AA297" s="71"/>
      <c r="AB297" s="71"/>
    </row>
    <row r="298">
      <c r="A298" s="105">
        <f>IFERROR(__xludf.DUMMYFUNCTION("""COMPUTED_VALUE"""),46134.852159305556)</f>
        <v>46134.85216</v>
      </c>
      <c r="B298" s="71" t="str">
        <f>IFERROR(__xludf.DUMMYFUNCTION("""COMPUTED_VALUE"""),"Maureen Surgot")</f>
        <v>Maureen Surgot</v>
      </c>
      <c r="C298" s="71" t="b">
        <f>IFERROR(__xludf.DUMMYFUNCTION("""COMPUTED_VALUE"""),FALSE)</f>
        <v>0</v>
      </c>
      <c r="D298" s="132">
        <f>IFERROR(__xludf.DUMMYFUNCTION("""COMPUTED_VALUE"""),0.6875)</f>
        <v>0.6875</v>
      </c>
      <c r="E298" s="78">
        <f>IFERROR(__xludf.DUMMYFUNCTION("""COMPUTED_VALUE"""),0.16666666666424135)</f>
        <v>0.1666666667</v>
      </c>
      <c r="F298" s="132">
        <f>IFERROR(__xludf.DUMMYFUNCTION("""COMPUTED_VALUE"""),0.8541666666642413)</f>
        <v>0.8541666667</v>
      </c>
      <c r="G298" s="78">
        <f>IFERROR(__xludf.DUMMYFUNCTION("""COMPUTED_VALUE"""),0.16666666666424135)</f>
        <v>0.1666666667</v>
      </c>
      <c r="H298" s="71">
        <f>IFERROR(__xludf.DUMMYFUNCTION("""COMPUTED_VALUE"""),156.0)</f>
        <v>156</v>
      </c>
      <c r="I298" s="80">
        <f>IFERROR(__xludf.DUMMYFUNCTION("""COMPUTED_VALUE"""),39.000000000567525)</f>
        <v>39</v>
      </c>
      <c r="J298" s="71" t="str">
        <f>IFERROR(__xludf.DUMMYFUNCTION("""COMPUTED_VALUE"""),"Dinner")</f>
        <v>Dinner</v>
      </c>
      <c r="K298" s="106">
        <f>IFERROR(__xludf.DUMMYFUNCTION("""COMPUTED_VALUE"""),46134.0)</f>
        <v>46134</v>
      </c>
      <c r="L298" s="71" t="str">
        <f>IFERROR(__xludf.DUMMYFUNCTION("""COMPUTED_VALUE"""),"Wednesday")</f>
        <v>Wednesday</v>
      </c>
      <c r="M298" s="71" t="str">
        <f>IFERROR(__xludf.DUMMYFUNCTION("""COMPUTED_VALUE"""),"BF")</f>
        <v>BF</v>
      </c>
      <c r="N298" s="109">
        <f>IFERROR(__xludf.DUMMYFUNCTION("""COMPUTED_VALUE"""),0.8777493606138107)</f>
        <v>0.8777493606</v>
      </c>
      <c r="O298" s="71" t="str">
        <f>IFERROR(__xludf.DUMMYFUNCTION("""COMPUTED_VALUE"""),"")</f>
        <v/>
      </c>
      <c r="P298" s="71" t="str">
        <f>IFERROR(__xludf.DUMMYFUNCTION("""COMPUTED_VALUE"""),"")</f>
        <v/>
      </c>
      <c r="Q298" s="78" t="str">
        <f>IFERROR(__xludf.DUMMYFUNCTION("""COMPUTED_VALUE"""),"")</f>
        <v/>
      </c>
      <c r="R298" s="78" t="str">
        <f>IFERROR(__xludf.DUMMYFUNCTION("""COMPUTED_VALUE"""),"")</f>
        <v/>
      </c>
      <c r="S298" s="80" t="str">
        <f>IFERROR(__xludf.DUMMYFUNCTION("""COMPUTED_VALUE"""),"")</f>
        <v/>
      </c>
      <c r="T298" s="80" t="str">
        <f>IFERROR(__xludf.DUMMYFUNCTION("""COMPUTED_VALUE"""),"")</f>
        <v/>
      </c>
      <c r="U298" s="71" t="str">
        <f>IFERROR(__xludf.DUMMYFUNCTION("""COMPUTED_VALUE"""),"")</f>
        <v/>
      </c>
      <c r="V298" s="78" t="str">
        <f>IFERROR(__xludf.DUMMYFUNCTION("""COMPUTED_VALUE"""),"")</f>
        <v/>
      </c>
      <c r="W298" s="62" t="str">
        <f>IFERROR(__xludf.DUMMYFUNCTION("""COMPUTED_VALUE"""),"")</f>
        <v/>
      </c>
      <c r="X298" s="80" t="str">
        <f>IFERROR(__xludf.DUMMYFUNCTION("""COMPUTED_VALUE"""),"")</f>
        <v/>
      </c>
      <c r="Y298" s="109" t="str">
        <f>IFERROR(__xludf.DUMMYFUNCTION("""COMPUTED_VALUE"""),"")</f>
        <v/>
      </c>
      <c r="Z298" s="71"/>
      <c r="AA298" s="71"/>
      <c r="AB298" s="71"/>
    </row>
    <row r="299">
      <c r="A299" s="105">
        <f>IFERROR(__xludf.DUMMYFUNCTION("""COMPUTED_VALUE"""),46134.86991646991)</f>
        <v>46134.86992</v>
      </c>
      <c r="B299" s="71" t="str">
        <f>IFERROR(__xludf.DUMMYFUNCTION("""COMPUTED_VALUE"""),"Brynn Hornig")</f>
        <v>Brynn Hornig</v>
      </c>
      <c r="C299" s="71" t="b">
        <f>IFERROR(__xludf.DUMMYFUNCTION("""COMPUTED_VALUE"""),FALSE)</f>
        <v>0</v>
      </c>
      <c r="D299" s="132">
        <f>IFERROR(__xludf.DUMMYFUNCTION("""COMPUTED_VALUE"""),0.75)</f>
        <v>0.75</v>
      </c>
      <c r="E299" s="78">
        <f>IFERROR(__xludf.DUMMYFUNCTION("""COMPUTED_VALUE"""),0.125)</f>
        <v>0.125</v>
      </c>
      <c r="F299" s="132">
        <f>IFERROR(__xludf.DUMMYFUNCTION("""COMPUTED_VALUE"""),0.875)</f>
        <v>0.875</v>
      </c>
      <c r="G299" s="78">
        <f>IFERROR(__xludf.DUMMYFUNCTION("""COMPUTED_VALUE"""),0.125)</f>
        <v>0.125</v>
      </c>
      <c r="H299" s="71">
        <f>IFERROR(__xludf.DUMMYFUNCTION("""COMPUTED_VALUE"""),123.0)</f>
        <v>123</v>
      </c>
      <c r="I299" s="80">
        <f>IFERROR(__xludf.DUMMYFUNCTION("""COMPUTED_VALUE"""),41.0)</f>
        <v>41</v>
      </c>
      <c r="J299" s="71" t="str">
        <f>IFERROR(__xludf.DUMMYFUNCTION("""COMPUTED_VALUE"""),"Dinner")</f>
        <v>Dinner</v>
      </c>
      <c r="K299" s="106">
        <f>IFERROR(__xludf.DUMMYFUNCTION("""COMPUTED_VALUE"""),46134.0)</f>
        <v>46134</v>
      </c>
      <c r="L299" s="71" t="str">
        <f>IFERROR(__xludf.DUMMYFUNCTION("""COMPUTED_VALUE"""),"Wednesday")</f>
        <v>Wednesday</v>
      </c>
      <c r="M299" s="71" t="str">
        <f>IFERROR(__xludf.DUMMYFUNCTION("""COMPUTED_VALUE"""),"MF")</f>
        <v>MF</v>
      </c>
      <c r="N299" s="109">
        <f>IFERROR(__xludf.DUMMYFUNCTION("""COMPUTED_VALUE"""),0.8840078259842068)</f>
        <v>0.884007826</v>
      </c>
      <c r="O299" s="71">
        <f>IFERROR(__xludf.DUMMYFUNCTION("""COMPUTED_VALUE"""),284.0)</f>
        <v>284</v>
      </c>
      <c r="P299" s="71">
        <f>IFERROR(__xludf.DUMMYFUNCTION("""COMPUTED_VALUE"""),156.0)</f>
        <v>156</v>
      </c>
      <c r="Q299" s="78">
        <f>IFERROR(__xludf.DUMMYFUNCTION("""COMPUTED_VALUE"""),0.2729166666758829)</f>
        <v>0.2729166667</v>
      </c>
      <c r="R299" s="78">
        <f>IFERROR(__xludf.DUMMYFUNCTION("""COMPUTED_VALUE"""),0.16666666666424135)</f>
        <v>0.1666666667</v>
      </c>
      <c r="S299" s="80">
        <f>IFERROR(__xludf.DUMMYFUNCTION("""COMPUTED_VALUE"""),43.778467907034546)</f>
        <v>43.77846791</v>
      </c>
      <c r="T299" s="80">
        <f>IFERROR(__xludf.DUMMYFUNCTION("""COMPUTED_VALUE"""),39.000000000567525)</f>
        <v>39</v>
      </c>
      <c r="U299" s="71">
        <f>IFERROR(__xludf.DUMMYFUNCTION("""COMPUTED_VALUE"""),440.0)</f>
        <v>440</v>
      </c>
      <c r="V299" s="78">
        <f>IFERROR(__xludf.DUMMYFUNCTION("""COMPUTED_VALUE"""),0.4395833333401242)</f>
        <v>0.4395833333</v>
      </c>
      <c r="W299" s="62">
        <f>IFERROR(__xludf.DUMMYFUNCTION("""COMPUTED_VALUE"""),41.70616113679646)</f>
        <v>41.70616114</v>
      </c>
      <c r="X299" s="80">
        <f>IFERROR(__xludf.DUMMYFUNCTION("""COMPUTED_VALUE"""),42.58385093041779)</f>
        <v>42.58385093</v>
      </c>
      <c r="Y299" s="109">
        <f>IFERROR(__xludf.DUMMYFUNCTION("""COMPUTED_VALUE"""),0.7788187583518119)</f>
        <v>0.7788187584</v>
      </c>
      <c r="Z299" s="71"/>
      <c r="AA299" s="71"/>
      <c r="AB299" s="71"/>
    </row>
    <row r="300">
      <c r="A300" s="105">
        <f>IFERROR(__xludf.DUMMYFUNCTION("""COMPUTED_VALUE"""),46135.47293178241)</f>
        <v>46135.47293</v>
      </c>
      <c r="B300" s="71" t="str">
        <f>IFERROR(__xludf.DUMMYFUNCTION("""COMPUTED_VALUE"""),"Sophia Kluck")</f>
        <v>Sophia Kluck</v>
      </c>
      <c r="C300" s="71" t="b">
        <f>IFERROR(__xludf.DUMMYFUNCTION("""COMPUTED_VALUE"""),FALSE)</f>
        <v>0</v>
      </c>
      <c r="D300" s="132">
        <f>IFERROR(__xludf.DUMMYFUNCTION("""COMPUTED_VALUE"""),0.3687500000014552)</f>
        <v>0.36875</v>
      </c>
      <c r="E300" s="78">
        <f>IFERROR(__xludf.DUMMYFUNCTION("""COMPUTED_VALUE"""),0.10138888889196096)</f>
        <v>0.1013888889</v>
      </c>
      <c r="F300" s="132">
        <f>IFERROR(__xludf.DUMMYFUNCTION("""COMPUTED_VALUE"""),0.47013888889341615)</f>
        <v>0.4701388889</v>
      </c>
      <c r="G300" s="78">
        <f>IFERROR(__xludf.DUMMYFUNCTION("""COMPUTED_VALUE"""),0.10138888889196096)</f>
        <v>0.1013888889</v>
      </c>
      <c r="H300" s="71">
        <f>IFERROR(__xludf.DUMMYFUNCTION("""COMPUTED_VALUE"""),77.0)</f>
        <v>77</v>
      </c>
      <c r="I300" s="80">
        <f>IFERROR(__xludf.DUMMYFUNCTION("""COMPUTED_VALUE"""),31.643835615479553)</f>
        <v>31.64383562</v>
      </c>
      <c r="J300" s="71" t="str">
        <f>IFERROR(__xludf.DUMMYFUNCTION("""COMPUTED_VALUE"""),"Breakfast/Lunch")</f>
        <v>Breakfast/Lunch</v>
      </c>
      <c r="K300" s="106">
        <f>IFERROR(__xludf.DUMMYFUNCTION("""COMPUTED_VALUE"""),46135.0)</f>
        <v>46135</v>
      </c>
      <c r="L300" s="71" t="str">
        <f>IFERROR(__xludf.DUMMYFUNCTION("""COMPUTED_VALUE"""),"Thursday")</f>
        <v>Thursday</v>
      </c>
      <c r="M300" s="71" t="str">
        <f>IFERROR(__xludf.DUMMYFUNCTION("""COMPUTED_VALUE"""),"BF")</f>
        <v>BF</v>
      </c>
      <c r="N300" s="109">
        <f>IFERROR(__xludf.DUMMYFUNCTION("""COMPUTED_VALUE"""),0.7380186692065691)</f>
        <v>0.7380186692</v>
      </c>
      <c r="O300" s="71" t="str">
        <f>IFERROR(__xludf.DUMMYFUNCTION("""COMPUTED_VALUE"""),"")</f>
        <v/>
      </c>
      <c r="P300" s="71" t="str">
        <f>IFERROR(__xludf.DUMMYFUNCTION("""COMPUTED_VALUE"""),"")</f>
        <v/>
      </c>
      <c r="Q300" s="78" t="str">
        <f>IFERROR(__xludf.DUMMYFUNCTION("""COMPUTED_VALUE"""),"")</f>
        <v/>
      </c>
      <c r="R300" s="78" t="str">
        <f>IFERROR(__xludf.DUMMYFUNCTION("""COMPUTED_VALUE"""),"")</f>
        <v/>
      </c>
      <c r="S300" s="80" t="str">
        <f>IFERROR(__xludf.DUMMYFUNCTION("""COMPUTED_VALUE"""),"")</f>
        <v/>
      </c>
      <c r="T300" s="80" t="str">
        <f>IFERROR(__xludf.DUMMYFUNCTION("""COMPUTED_VALUE"""),"")</f>
        <v/>
      </c>
      <c r="U300" s="71" t="str">
        <f>IFERROR(__xludf.DUMMYFUNCTION("""COMPUTED_VALUE"""),"")</f>
        <v/>
      </c>
      <c r="V300" s="78" t="str">
        <f>IFERROR(__xludf.DUMMYFUNCTION("""COMPUTED_VALUE"""),"")</f>
        <v/>
      </c>
      <c r="W300" s="62" t="str">
        <f>IFERROR(__xludf.DUMMYFUNCTION("""COMPUTED_VALUE"""),"")</f>
        <v/>
      </c>
      <c r="X300" s="80" t="str">
        <f>IFERROR(__xludf.DUMMYFUNCTION("""COMPUTED_VALUE"""),"")</f>
        <v/>
      </c>
      <c r="Y300" s="109" t="str">
        <f>IFERROR(__xludf.DUMMYFUNCTION("""COMPUTED_VALUE"""),"")</f>
        <v/>
      </c>
      <c r="Z300" s="71"/>
      <c r="AA300" s="71"/>
      <c r="AB300" s="71"/>
    </row>
    <row r="301">
      <c r="A301" s="105">
        <f>IFERROR(__xludf.DUMMYFUNCTION("""COMPUTED_VALUE"""),46135.52734347222)</f>
        <v>46135.52734</v>
      </c>
      <c r="B301" s="71" t="str">
        <f>IFERROR(__xludf.DUMMYFUNCTION("""COMPUTED_VALUE"""),"Emmett Khan")</f>
        <v>Emmett Khan</v>
      </c>
      <c r="C301" s="71" t="b">
        <f>IFERROR(__xludf.DUMMYFUNCTION("""COMPUTED_VALUE"""),FALSE)</f>
        <v>0</v>
      </c>
      <c r="D301" s="132">
        <f>IFERROR(__xludf.DUMMYFUNCTION("""COMPUTED_VALUE"""),0.47916666666424135)</f>
        <v>0.4791666667</v>
      </c>
      <c r="E301" s="78">
        <f>IFERROR(__xludf.DUMMYFUNCTION("""COMPUTED_VALUE"""),0.05208333333575865)</f>
        <v>0.05208333334</v>
      </c>
      <c r="F301" s="132">
        <f>IFERROR(__xludf.DUMMYFUNCTION("""COMPUTED_VALUE"""),0.53125)</f>
        <v>0.53125</v>
      </c>
      <c r="G301" s="78">
        <f>IFERROR(__xludf.DUMMYFUNCTION("""COMPUTED_VALUE"""),0.05208333333575865)</f>
        <v>0.05208333334</v>
      </c>
      <c r="H301" s="71">
        <f>IFERROR(__xludf.DUMMYFUNCTION("""COMPUTED_VALUE"""),73.0)</f>
        <v>73</v>
      </c>
      <c r="I301" s="80">
        <f>IFERROR(__xludf.DUMMYFUNCTION("""COMPUTED_VALUE"""),58.39999999728054)</f>
        <v>58.4</v>
      </c>
      <c r="J301" s="71" t="str">
        <f>IFERROR(__xludf.DUMMYFUNCTION("""COMPUTED_VALUE"""),"Lunch")</f>
        <v>Lunch</v>
      </c>
      <c r="K301" s="106">
        <f>IFERROR(__xludf.DUMMYFUNCTION("""COMPUTED_VALUE"""),46135.0)</f>
        <v>46135</v>
      </c>
      <c r="L301" s="71" t="str">
        <f>IFERROR(__xludf.DUMMYFUNCTION("""COMPUTED_VALUE"""),"Thursday")</f>
        <v>Thursday</v>
      </c>
      <c r="M301" s="71" t="str">
        <f>IFERROR(__xludf.DUMMYFUNCTION("""COMPUTED_VALUE"""),"MF")</f>
        <v>MF</v>
      </c>
      <c r="N301" s="109">
        <f>IFERROR(__xludf.DUMMYFUNCTION("""COMPUTED_VALUE"""),1.161553509173256)</f>
        <v>1.161553509</v>
      </c>
      <c r="O301" s="71" t="str">
        <f>IFERROR(__xludf.DUMMYFUNCTION("""COMPUTED_VALUE"""),"")</f>
        <v/>
      </c>
      <c r="P301" s="71" t="str">
        <f>IFERROR(__xludf.DUMMYFUNCTION("""COMPUTED_VALUE"""),"")</f>
        <v/>
      </c>
      <c r="Q301" s="78" t="str">
        <f>IFERROR(__xludf.DUMMYFUNCTION("""COMPUTED_VALUE"""),"")</f>
        <v/>
      </c>
      <c r="R301" s="78" t="str">
        <f>IFERROR(__xludf.DUMMYFUNCTION("""COMPUTED_VALUE"""),"")</f>
        <v/>
      </c>
      <c r="S301" s="80" t="str">
        <f>IFERROR(__xludf.DUMMYFUNCTION("""COMPUTED_VALUE"""),"")</f>
        <v/>
      </c>
      <c r="T301" s="80" t="str">
        <f>IFERROR(__xludf.DUMMYFUNCTION("""COMPUTED_VALUE"""),"")</f>
        <v/>
      </c>
      <c r="U301" s="71" t="str">
        <f>IFERROR(__xludf.DUMMYFUNCTION("""COMPUTED_VALUE"""),"")</f>
        <v/>
      </c>
      <c r="V301" s="78" t="str">
        <f>IFERROR(__xludf.DUMMYFUNCTION("""COMPUTED_VALUE"""),"")</f>
        <v/>
      </c>
      <c r="W301" s="62" t="str">
        <f>IFERROR(__xludf.DUMMYFUNCTION("""COMPUTED_VALUE"""),"")</f>
        <v/>
      </c>
      <c r="X301" s="80" t="str">
        <f>IFERROR(__xludf.DUMMYFUNCTION("""COMPUTED_VALUE"""),"")</f>
        <v/>
      </c>
      <c r="Y301" s="109" t="str">
        <f>IFERROR(__xludf.DUMMYFUNCTION("""COMPUTED_VALUE"""),"")</f>
        <v/>
      </c>
      <c r="Z301" s="71"/>
      <c r="AA301" s="71"/>
      <c r="AB301" s="71"/>
    </row>
    <row r="302">
      <c r="A302" s="105">
        <f>IFERROR(__xludf.DUMMYFUNCTION("""COMPUTED_VALUE"""),46135.58316501157)</f>
        <v>46135.58317</v>
      </c>
      <c r="B302" s="71" t="str">
        <f>IFERROR(__xludf.DUMMYFUNCTION("""COMPUTED_VALUE"""),"Kyra Turner")</f>
        <v>Kyra Turner</v>
      </c>
      <c r="C302" s="71" t="b">
        <f>IFERROR(__xludf.DUMMYFUNCTION("""COMPUTED_VALUE"""),FALSE)</f>
        <v>0</v>
      </c>
      <c r="D302" s="132">
        <f>IFERROR(__xludf.DUMMYFUNCTION("""COMPUTED_VALUE"""),0.5006944444467081)</f>
        <v>0.5006944444</v>
      </c>
      <c r="E302" s="78">
        <f>IFERROR(__xludf.DUMMYFUNCTION("""COMPUTED_VALUE"""),0.07986111110949423)</f>
        <v>0.07986111111</v>
      </c>
      <c r="F302" s="132">
        <f>IFERROR(__xludf.DUMMYFUNCTION("""COMPUTED_VALUE"""),0.5805555555562023)</f>
        <v>0.5805555556</v>
      </c>
      <c r="G302" s="78">
        <f>IFERROR(__xludf.DUMMYFUNCTION("""COMPUTED_VALUE"""),0.1388888888832298)</f>
        <v>0.1388888889</v>
      </c>
      <c r="H302" s="71">
        <f>IFERROR(__xludf.DUMMYFUNCTION("""COMPUTED_VALUE"""),128.0)</f>
        <v>128</v>
      </c>
      <c r="I302" s="80">
        <f>IFERROR(__xludf.DUMMYFUNCTION("""COMPUTED_VALUE"""),57.30000000233471)</f>
        <v>57.3</v>
      </c>
      <c r="J302" s="71" t="str">
        <f>IFERROR(__xludf.DUMMYFUNCTION("""COMPUTED_VALUE"""),"Lunch")</f>
        <v>Lunch</v>
      </c>
      <c r="K302" s="106">
        <f>IFERROR(__xludf.DUMMYFUNCTION("""COMPUTED_VALUE"""),46135.0)</f>
        <v>46135</v>
      </c>
      <c r="L302" s="71" t="str">
        <f>IFERROR(__xludf.DUMMYFUNCTION("""COMPUTED_VALUE"""),"Thursday")</f>
        <v>Thursday</v>
      </c>
      <c r="M302" s="71" t="str">
        <f>IFERROR(__xludf.DUMMYFUNCTION("""COMPUTED_VALUE"""),"BF")</f>
        <v>BF</v>
      </c>
      <c r="N302" s="109">
        <f>IFERROR(__xludf.DUMMYFUNCTION("""COMPUTED_VALUE"""),2.0211177280216424)</f>
        <v>2.021117728</v>
      </c>
      <c r="O302" s="71" t="str">
        <f>IFERROR(__xludf.DUMMYFUNCTION("""COMPUTED_VALUE"""),"")</f>
        <v/>
      </c>
      <c r="P302" s="71" t="str">
        <f>IFERROR(__xludf.DUMMYFUNCTION("""COMPUTED_VALUE"""),"")</f>
        <v/>
      </c>
      <c r="Q302" s="78" t="str">
        <f>IFERROR(__xludf.DUMMYFUNCTION("""COMPUTED_VALUE"""),"")</f>
        <v/>
      </c>
      <c r="R302" s="78" t="str">
        <f>IFERROR(__xludf.DUMMYFUNCTION("""COMPUTED_VALUE"""),"")</f>
        <v/>
      </c>
      <c r="S302" s="80" t="str">
        <f>IFERROR(__xludf.DUMMYFUNCTION("""COMPUTED_VALUE"""),"")</f>
        <v/>
      </c>
      <c r="T302" s="80" t="str">
        <f>IFERROR(__xludf.DUMMYFUNCTION("""COMPUTED_VALUE"""),"")</f>
        <v/>
      </c>
      <c r="U302" s="71" t="str">
        <f>IFERROR(__xludf.DUMMYFUNCTION("""COMPUTED_VALUE"""),"")</f>
        <v/>
      </c>
      <c r="V302" s="78" t="str">
        <f>IFERROR(__xludf.DUMMYFUNCTION("""COMPUTED_VALUE"""),"")</f>
        <v/>
      </c>
      <c r="W302" s="62" t="str">
        <f>IFERROR(__xludf.DUMMYFUNCTION("""COMPUTED_VALUE"""),"")</f>
        <v/>
      </c>
      <c r="X302" s="80" t="str">
        <f>IFERROR(__xludf.DUMMYFUNCTION("""COMPUTED_VALUE"""),"")</f>
        <v/>
      </c>
      <c r="Y302" s="109" t="str">
        <f>IFERROR(__xludf.DUMMYFUNCTION("""COMPUTED_VALUE"""),"")</f>
        <v/>
      </c>
      <c r="Z302" s="71"/>
      <c r="AA302" s="71"/>
      <c r="AB302" s="71"/>
    </row>
    <row r="303">
      <c r="A303" s="105">
        <f>IFERROR(__xludf.DUMMYFUNCTION("""COMPUTED_VALUE"""),46135.643426423616)</f>
        <v>46135.64343</v>
      </c>
      <c r="B303" s="71" t="str">
        <f>IFERROR(__xludf.DUMMYFUNCTION("""COMPUTED_VALUE"""),"Kyra Turner")</f>
        <v>Kyra Turner</v>
      </c>
      <c r="C303" s="71" t="b">
        <f>IFERROR(__xludf.DUMMYFUNCTION("""COMPUTED_VALUE"""),TRUE)</f>
        <v>1</v>
      </c>
      <c r="D303" s="132">
        <f>IFERROR(__xludf.DUMMYFUNCTION("""COMPUTED_VALUE"""),0.5833333333357587)</f>
        <v>0.5833333333</v>
      </c>
      <c r="E303" s="78">
        <f>IFERROR(__xludf.DUMMYFUNCTION("""COMPUTED_VALUE"""),0.05902777777373558)</f>
        <v>0.05902777777</v>
      </c>
      <c r="F303" s="132">
        <f>IFERROR(__xludf.DUMMYFUNCTION("""COMPUTED_VALUE"""),0.6423611111094942)</f>
        <v>0.6423611111</v>
      </c>
      <c r="G303" s="78" t="str">
        <f>IFERROR(__xludf.DUMMYFUNCTION("""COMPUTED_VALUE"""),"")</f>
        <v/>
      </c>
      <c r="H303" s="71">
        <f>IFERROR(__xludf.DUMMYFUNCTION("""COMPUTED_VALUE"""),63.0)</f>
        <v>63</v>
      </c>
      <c r="I303" s="80" t="str">
        <f>IFERROR(__xludf.DUMMYFUNCTION("""COMPUTED_VALUE"""),"")</f>
        <v/>
      </c>
      <c r="J303" s="71" t="str">
        <f>IFERROR(__xludf.DUMMYFUNCTION("""COMPUTED_VALUE"""),"Lunch")</f>
        <v>Lunch</v>
      </c>
      <c r="K303" s="106">
        <f>IFERROR(__xludf.DUMMYFUNCTION("""COMPUTED_VALUE"""),46135.0)</f>
        <v>46135</v>
      </c>
      <c r="L303" s="71" t="str">
        <f>IFERROR(__xludf.DUMMYFUNCTION("""COMPUTED_VALUE"""),"Thursday")</f>
        <v>Thursday</v>
      </c>
      <c r="M303" s="71" t="str">
        <f>IFERROR(__xludf.DUMMYFUNCTION("""COMPUTED_VALUE"""),"BF")</f>
        <v>BF</v>
      </c>
      <c r="N303" s="109" t="str">
        <f>IFERROR(__xludf.DUMMYFUNCTION("""COMPUTED_VALUE"""),"")</f>
        <v/>
      </c>
      <c r="O303" s="71" t="str">
        <f>IFERROR(__xludf.DUMMYFUNCTION("""COMPUTED_VALUE"""),"")</f>
        <v/>
      </c>
      <c r="P303" s="71" t="str">
        <f>IFERROR(__xludf.DUMMYFUNCTION("""COMPUTED_VALUE"""),"")</f>
        <v/>
      </c>
      <c r="Q303" s="78" t="str">
        <f>IFERROR(__xludf.DUMMYFUNCTION("""COMPUTED_VALUE"""),"")</f>
        <v/>
      </c>
      <c r="R303" s="78" t="str">
        <f>IFERROR(__xludf.DUMMYFUNCTION("""COMPUTED_VALUE"""),"")</f>
        <v/>
      </c>
      <c r="S303" s="80" t="str">
        <f>IFERROR(__xludf.DUMMYFUNCTION("""COMPUTED_VALUE"""),"")</f>
        <v/>
      </c>
      <c r="T303" s="80" t="str">
        <f>IFERROR(__xludf.DUMMYFUNCTION("""COMPUTED_VALUE"""),"")</f>
        <v/>
      </c>
      <c r="U303" s="71" t="str">
        <f>IFERROR(__xludf.DUMMYFUNCTION("""COMPUTED_VALUE"""),"")</f>
        <v/>
      </c>
      <c r="V303" s="78" t="str">
        <f>IFERROR(__xludf.DUMMYFUNCTION("""COMPUTED_VALUE"""),"")</f>
        <v/>
      </c>
      <c r="W303" s="62" t="str">
        <f>IFERROR(__xludf.DUMMYFUNCTION("""COMPUTED_VALUE"""),"")</f>
        <v/>
      </c>
      <c r="X303" s="80" t="str">
        <f>IFERROR(__xludf.DUMMYFUNCTION("""COMPUTED_VALUE"""),"")</f>
        <v/>
      </c>
      <c r="Y303" s="109" t="str">
        <f>IFERROR(__xludf.DUMMYFUNCTION("""COMPUTED_VALUE"""),"")</f>
        <v/>
      </c>
      <c r="Z303" s="71"/>
      <c r="AA303" s="71"/>
      <c r="AB303" s="71"/>
    </row>
    <row r="304">
      <c r="A304" s="105">
        <f>IFERROR(__xludf.DUMMYFUNCTION("""COMPUTED_VALUE"""),46135.77624934028)</f>
        <v>46135.77625</v>
      </c>
      <c r="B304" s="71" t="str">
        <f>IFERROR(__xludf.DUMMYFUNCTION("""COMPUTED_VALUE"""),"Emmett Khan")</f>
        <v>Emmett Khan</v>
      </c>
      <c r="C304" s="71" t="b">
        <f>IFERROR(__xludf.DUMMYFUNCTION("""COMPUTED_VALUE"""),FALSE)</f>
        <v>0</v>
      </c>
      <c r="D304" s="132">
        <f>IFERROR(__xludf.DUMMYFUNCTION("""COMPUTED_VALUE"""),0.7083333333357587)</f>
        <v>0.7083333333</v>
      </c>
      <c r="E304" s="78">
        <f>IFERROR(__xludf.DUMMYFUNCTION("""COMPUTED_VALUE"""),0.07291666666424135)</f>
        <v>0.07291666666</v>
      </c>
      <c r="F304" s="132">
        <f>IFERROR(__xludf.DUMMYFUNCTION("""COMPUTED_VALUE"""),0.78125)</f>
        <v>0.78125</v>
      </c>
      <c r="G304" s="78">
        <f>IFERROR(__xludf.DUMMYFUNCTION("""COMPUTED_VALUE"""),0.07291666666424135)</f>
        <v>0.07291666666</v>
      </c>
      <c r="H304" s="71">
        <f>IFERROR(__xludf.DUMMYFUNCTION("""COMPUTED_VALUE"""),108.0)</f>
        <v>108</v>
      </c>
      <c r="I304" s="80">
        <f>IFERROR(__xludf.DUMMYFUNCTION("""COMPUTED_VALUE"""),61.71428571633842)</f>
        <v>61.71428572</v>
      </c>
      <c r="J304" s="71" t="str">
        <f>IFERROR(__xludf.DUMMYFUNCTION("""COMPUTED_VALUE"""),"Dinner")</f>
        <v>Dinner</v>
      </c>
      <c r="K304" s="106">
        <f>IFERROR(__xludf.DUMMYFUNCTION("""COMPUTED_VALUE"""),46135.0)</f>
        <v>46135</v>
      </c>
      <c r="L304" s="71" t="str">
        <f>IFERROR(__xludf.DUMMYFUNCTION("""COMPUTED_VALUE"""),"Thursday")</f>
        <v>Thursday</v>
      </c>
      <c r="M304" s="71" t="str">
        <f>IFERROR(__xludf.DUMMYFUNCTION("""COMPUTED_VALUE"""),"MF")</f>
        <v>MF</v>
      </c>
      <c r="N304" s="109">
        <f>IFERROR(__xludf.DUMMYFUNCTION("""COMPUTED_VALUE"""),1.330631988982159)</f>
        <v>1.330631989</v>
      </c>
      <c r="O304" s="71" t="str">
        <f>IFERROR(__xludf.DUMMYFUNCTION("""COMPUTED_VALUE"""),"")</f>
        <v/>
      </c>
      <c r="P304" s="71" t="str">
        <f>IFERROR(__xludf.DUMMYFUNCTION("""COMPUTED_VALUE"""),"")</f>
        <v/>
      </c>
      <c r="Q304" s="78" t="str">
        <f>IFERROR(__xludf.DUMMYFUNCTION("""COMPUTED_VALUE"""),"")</f>
        <v/>
      </c>
      <c r="R304" s="78" t="str">
        <f>IFERROR(__xludf.DUMMYFUNCTION("""COMPUTED_VALUE"""),"")</f>
        <v/>
      </c>
      <c r="S304" s="80" t="str">
        <f>IFERROR(__xludf.DUMMYFUNCTION("""COMPUTED_VALUE"""),"")</f>
        <v/>
      </c>
      <c r="T304" s="80" t="str">
        <f>IFERROR(__xludf.DUMMYFUNCTION("""COMPUTED_VALUE"""),"")</f>
        <v/>
      </c>
      <c r="U304" s="71" t="str">
        <f>IFERROR(__xludf.DUMMYFUNCTION("""COMPUTED_VALUE"""),"")</f>
        <v/>
      </c>
      <c r="V304" s="78" t="str">
        <f>IFERROR(__xludf.DUMMYFUNCTION("""COMPUTED_VALUE"""),"")</f>
        <v/>
      </c>
      <c r="W304" s="62" t="str">
        <f>IFERROR(__xludf.DUMMYFUNCTION("""COMPUTED_VALUE"""),"")</f>
        <v/>
      </c>
      <c r="X304" s="80" t="str">
        <f>IFERROR(__xludf.DUMMYFUNCTION("""COMPUTED_VALUE"""),"")</f>
        <v/>
      </c>
      <c r="Y304" s="109" t="str">
        <f>IFERROR(__xludf.DUMMYFUNCTION("""COMPUTED_VALUE"""),"")</f>
        <v/>
      </c>
      <c r="Z304" s="71"/>
      <c r="AA304" s="71"/>
      <c r="AB304" s="71"/>
    </row>
    <row r="305">
      <c r="A305" s="105">
        <f>IFERROR(__xludf.DUMMYFUNCTION("""COMPUTED_VALUE"""),46135.85072886574)</f>
        <v>46135.85073</v>
      </c>
      <c r="B305" s="71" t="str">
        <f>IFERROR(__xludf.DUMMYFUNCTION("""COMPUTED_VALUE"""),"Leah Bucci")</f>
        <v>Leah Bucci</v>
      </c>
      <c r="C305" s="71" t="b">
        <f>IFERROR(__xludf.DUMMYFUNCTION("""COMPUTED_VALUE"""),FALSE)</f>
        <v>0</v>
      </c>
      <c r="D305" s="132">
        <f>IFERROR(__xludf.DUMMYFUNCTION("""COMPUTED_VALUE"""),0.6875)</f>
        <v>0.6875</v>
      </c>
      <c r="E305" s="78">
        <f>IFERROR(__xludf.DUMMYFUNCTION("""COMPUTED_VALUE"""),0.15972222221898846)</f>
        <v>0.1597222222</v>
      </c>
      <c r="F305" s="132">
        <f>IFERROR(__xludf.DUMMYFUNCTION("""COMPUTED_VALUE"""),0.8472222222189885)</f>
        <v>0.8472222222</v>
      </c>
      <c r="G305" s="78">
        <f>IFERROR(__xludf.DUMMYFUNCTION("""COMPUTED_VALUE"""),0.15972222221898846)</f>
        <v>0.1597222222</v>
      </c>
      <c r="H305" s="71">
        <f>IFERROR(__xludf.DUMMYFUNCTION("""COMPUTED_VALUE"""),144.0)</f>
        <v>144</v>
      </c>
      <c r="I305" s="80">
        <f>IFERROR(__xludf.DUMMYFUNCTION("""COMPUTED_VALUE"""),37.5652173920649)</f>
        <v>37.56521739</v>
      </c>
      <c r="J305" s="71" t="str">
        <f>IFERROR(__xludf.DUMMYFUNCTION("""COMPUTED_VALUE"""),"Dinner")</f>
        <v>Dinner</v>
      </c>
      <c r="K305" s="106">
        <f>IFERROR(__xludf.DUMMYFUNCTION("""COMPUTED_VALUE"""),46135.0)</f>
        <v>46135</v>
      </c>
      <c r="L305" s="71" t="str">
        <f>IFERROR(__xludf.DUMMYFUNCTION("""COMPUTED_VALUE"""),"Thursday")</f>
        <v>Thursday</v>
      </c>
      <c r="M305" s="71" t="str">
        <f>IFERROR(__xludf.DUMMYFUNCTION("""COMPUTED_VALUE"""),"BF")</f>
        <v>BF</v>
      </c>
      <c r="N305" s="109">
        <f>IFERROR(__xludf.DUMMYFUNCTION("""COMPUTED_VALUE"""),0.845457578121127)</f>
        <v>0.8454575781</v>
      </c>
      <c r="O305" s="71">
        <f>IFERROR(__xludf.DUMMYFUNCTION("""COMPUTED_VALUE"""),181.0)</f>
        <v>181</v>
      </c>
      <c r="P305" s="71">
        <f>IFERROR(__xludf.DUMMYFUNCTION("""COMPUTED_VALUE"""),412.0)</f>
        <v>412</v>
      </c>
      <c r="Q305" s="78">
        <f>IFERROR(__xludf.DUMMYFUNCTION("""COMPUTED_VALUE"""),0.125)</f>
        <v>0.125</v>
      </c>
      <c r="R305" s="78">
        <f>IFERROR(__xludf.DUMMYFUNCTION("""COMPUTED_VALUE"""),0.39999999999417923)</f>
        <v>0.4</v>
      </c>
      <c r="S305" s="80">
        <f>IFERROR(__xludf.DUMMYFUNCTION("""COMPUTED_VALUE"""),60.05714285680948)</f>
        <v>60.05714286</v>
      </c>
      <c r="T305" s="80">
        <f>IFERROR(__xludf.DUMMYFUNCTION("""COMPUTED_VALUE"""),42.169684336626396)</f>
        <v>42.16968434</v>
      </c>
      <c r="U305" s="71">
        <f>IFERROR(__xludf.DUMMYFUNCTION("""COMPUTED_VALUE"""),593.0)</f>
        <v>593</v>
      </c>
      <c r="V305" s="78">
        <f>IFERROR(__xludf.DUMMYFUNCTION("""COMPUTED_VALUE"""),0.5249999999941792)</f>
        <v>0.525</v>
      </c>
      <c r="W305" s="62">
        <f>IFERROR(__xludf.DUMMYFUNCTION("""COMPUTED_VALUE"""),47.063492064013865)</f>
        <v>47.06349206</v>
      </c>
      <c r="X305" s="80">
        <f>IFERROR(__xludf.DUMMYFUNCTION("""COMPUTED_VALUE"""),49.324667744699624)</f>
        <v>49.32466774</v>
      </c>
      <c r="Y305" s="109">
        <f>IFERROR(__xludf.DUMMYFUNCTION("""COMPUTED_VALUE"""),0.7611799100584135)</f>
        <v>0.7611799101</v>
      </c>
      <c r="Z305" s="71"/>
      <c r="AA305" s="71"/>
      <c r="AB305" s="71"/>
    </row>
    <row r="306">
      <c r="A306" s="105">
        <f>IFERROR(__xludf.DUMMYFUNCTION("""COMPUTED_VALUE"""),46136.4378341088)</f>
        <v>46136.43783</v>
      </c>
      <c r="B306" s="71" t="str">
        <f>IFERROR(__xludf.DUMMYFUNCTION("""COMPUTED_VALUE"""),"Kaylie Forgue")</f>
        <v>Kaylie Forgue</v>
      </c>
      <c r="C306" s="71" t="b">
        <f>IFERROR(__xludf.DUMMYFUNCTION("""COMPUTED_VALUE"""),FALSE)</f>
        <v>0</v>
      </c>
      <c r="D306" s="132">
        <f>IFERROR(__xludf.DUMMYFUNCTION("""COMPUTED_VALUE"""),0.37222222222044365)</f>
        <v>0.3722222222</v>
      </c>
      <c r="E306" s="78">
        <f>IFERROR(__xludf.DUMMYFUNCTION("""COMPUTED_VALUE"""),0.0625)</f>
        <v>0.0625</v>
      </c>
      <c r="F306" s="132">
        <f>IFERROR(__xludf.DUMMYFUNCTION("""COMPUTED_VALUE"""),0.43472222222044365)</f>
        <v>0.4347222222</v>
      </c>
      <c r="G306" s="78">
        <f>IFERROR(__xludf.DUMMYFUNCTION("""COMPUTED_VALUE"""),0.0625)</f>
        <v>0.0625</v>
      </c>
      <c r="H306" s="71">
        <f>IFERROR(__xludf.DUMMYFUNCTION("""COMPUTED_VALUE"""),63.0)</f>
        <v>63</v>
      </c>
      <c r="I306" s="80">
        <f>IFERROR(__xludf.DUMMYFUNCTION("""COMPUTED_VALUE"""),42.0)</f>
        <v>42</v>
      </c>
      <c r="J306" s="71" t="str">
        <f>IFERROR(__xludf.DUMMYFUNCTION("""COMPUTED_VALUE"""),"Breakfast")</f>
        <v>Breakfast</v>
      </c>
      <c r="K306" s="106">
        <f>IFERROR(__xludf.DUMMYFUNCTION("""COMPUTED_VALUE"""),46136.0)</f>
        <v>46136</v>
      </c>
      <c r="L306" s="71" t="str">
        <f>IFERROR(__xludf.DUMMYFUNCTION("""COMPUTED_VALUE"""),"Friday")</f>
        <v>Friday</v>
      </c>
      <c r="M306" s="71" t="str">
        <f>IFERROR(__xludf.DUMMYFUNCTION("""COMPUTED_VALUE"""),"BF")</f>
        <v>BF</v>
      </c>
      <c r="N306" s="109">
        <f>IFERROR(__xludf.DUMMYFUNCTION("""COMPUTED_VALUE"""),1.481447549274873)</f>
        <v>1.481447549</v>
      </c>
      <c r="O306" s="71" t="str">
        <f>IFERROR(__xludf.DUMMYFUNCTION("""COMPUTED_VALUE"""),"")</f>
        <v/>
      </c>
      <c r="P306" s="71" t="str">
        <f>IFERROR(__xludf.DUMMYFUNCTION("""COMPUTED_VALUE"""),"")</f>
        <v/>
      </c>
      <c r="Q306" s="78" t="str">
        <f>IFERROR(__xludf.DUMMYFUNCTION("""COMPUTED_VALUE"""),"")</f>
        <v/>
      </c>
      <c r="R306" s="78" t="str">
        <f>IFERROR(__xludf.DUMMYFUNCTION("""COMPUTED_VALUE"""),"")</f>
        <v/>
      </c>
      <c r="S306" s="80" t="str">
        <f>IFERROR(__xludf.DUMMYFUNCTION("""COMPUTED_VALUE"""),"")</f>
        <v/>
      </c>
      <c r="T306" s="80" t="str">
        <f>IFERROR(__xludf.DUMMYFUNCTION("""COMPUTED_VALUE"""),"")</f>
        <v/>
      </c>
      <c r="U306" s="71" t="str">
        <f>IFERROR(__xludf.DUMMYFUNCTION("""COMPUTED_VALUE"""),"")</f>
        <v/>
      </c>
      <c r="V306" s="78" t="str">
        <f>IFERROR(__xludf.DUMMYFUNCTION("""COMPUTED_VALUE"""),"")</f>
        <v/>
      </c>
      <c r="W306" s="62" t="str">
        <f>IFERROR(__xludf.DUMMYFUNCTION("""COMPUTED_VALUE"""),"")</f>
        <v/>
      </c>
      <c r="X306" s="80" t="str">
        <f>IFERROR(__xludf.DUMMYFUNCTION("""COMPUTED_VALUE"""),"")</f>
        <v/>
      </c>
      <c r="Y306" s="109" t="str">
        <f>IFERROR(__xludf.DUMMYFUNCTION("""COMPUTED_VALUE"""),"")</f>
        <v/>
      </c>
      <c r="Z306" s="71"/>
      <c r="AA306" s="71"/>
      <c r="AB306" s="71"/>
    </row>
    <row r="307">
      <c r="A307" s="105">
        <f>IFERROR(__xludf.DUMMYFUNCTION("""COMPUTED_VALUE"""),46136.57847449074)</f>
        <v>46136.57847</v>
      </c>
      <c r="B307" s="71" t="str">
        <f>IFERROR(__xludf.DUMMYFUNCTION("""COMPUTED_VALUE"""),"Brynn Hornig")</f>
        <v>Brynn Hornig</v>
      </c>
      <c r="C307" s="71" t="b">
        <f>IFERROR(__xludf.DUMMYFUNCTION("""COMPUTED_VALUE"""),FALSE)</f>
        <v>0</v>
      </c>
      <c r="D307" s="132">
        <f>IFERROR(__xludf.DUMMYFUNCTION("""COMPUTED_VALUE"""),0.5208333333357587)</f>
        <v>0.5208333333</v>
      </c>
      <c r="E307" s="78">
        <f>IFERROR(__xludf.DUMMYFUNCTION("""COMPUTED_VALUE"""),0.0625)</f>
        <v>0.0625</v>
      </c>
      <c r="F307" s="132">
        <f>IFERROR(__xludf.DUMMYFUNCTION("""COMPUTED_VALUE"""),0.5833333333357587)</f>
        <v>0.5833333333</v>
      </c>
      <c r="G307" s="78">
        <f>IFERROR(__xludf.DUMMYFUNCTION("""COMPUTED_VALUE"""),0.0625)</f>
        <v>0.0625</v>
      </c>
      <c r="H307" s="71">
        <f>IFERROR(__xludf.DUMMYFUNCTION("""COMPUTED_VALUE"""),34.0)</f>
        <v>34</v>
      </c>
      <c r="I307" s="80">
        <f>IFERROR(__xludf.DUMMYFUNCTION("""COMPUTED_VALUE"""),22.666666666666668)</f>
        <v>22.66666667</v>
      </c>
      <c r="J307" s="71" t="str">
        <f>IFERROR(__xludf.DUMMYFUNCTION("""COMPUTED_VALUE"""),"Lunch")</f>
        <v>Lunch</v>
      </c>
      <c r="K307" s="106">
        <f>IFERROR(__xludf.DUMMYFUNCTION("""COMPUTED_VALUE"""),46136.0)</f>
        <v>46136</v>
      </c>
      <c r="L307" s="71" t="str">
        <f>IFERROR(__xludf.DUMMYFUNCTION("""COMPUTED_VALUE"""),"Friday")</f>
        <v>Friday</v>
      </c>
      <c r="M307" s="71" t="str">
        <f>IFERROR(__xludf.DUMMYFUNCTION("""COMPUTED_VALUE"""),"BF")</f>
        <v>BF</v>
      </c>
      <c r="N307" s="109">
        <f>IFERROR(__xludf.DUMMYFUNCTION("""COMPUTED_VALUE"""),0.7995113757991379)</f>
        <v>0.7995113758</v>
      </c>
      <c r="O307" s="71" t="str">
        <f>IFERROR(__xludf.DUMMYFUNCTION("""COMPUTED_VALUE"""),"")</f>
        <v/>
      </c>
      <c r="P307" s="71" t="str">
        <f>IFERROR(__xludf.DUMMYFUNCTION("""COMPUTED_VALUE"""),"")</f>
        <v/>
      </c>
      <c r="Q307" s="78" t="str">
        <f>IFERROR(__xludf.DUMMYFUNCTION("""COMPUTED_VALUE"""),"")</f>
        <v/>
      </c>
      <c r="R307" s="78" t="str">
        <f>IFERROR(__xludf.DUMMYFUNCTION("""COMPUTED_VALUE"""),"")</f>
        <v/>
      </c>
      <c r="S307" s="80" t="str">
        <f>IFERROR(__xludf.DUMMYFUNCTION("""COMPUTED_VALUE"""),"")</f>
        <v/>
      </c>
      <c r="T307" s="80" t="str">
        <f>IFERROR(__xludf.DUMMYFUNCTION("""COMPUTED_VALUE"""),"")</f>
        <v/>
      </c>
      <c r="U307" s="71" t="str">
        <f>IFERROR(__xludf.DUMMYFUNCTION("""COMPUTED_VALUE"""),"")</f>
        <v/>
      </c>
      <c r="V307" s="78" t="str">
        <f>IFERROR(__xludf.DUMMYFUNCTION("""COMPUTED_VALUE"""),"")</f>
        <v/>
      </c>
      <c r="W307" s="62" t="str">
        <f>IFERROR(__xludf.DUMMYFUNCTION("""COMPUTED_VALUE"""),"")</f>
        <v/>
      </c>
      <c r="X307" s="80" t="str">
        <f>IFERROR(__xludf.DUMMYFUNCTION("""COMPUTED_VALUE"""),"")</f>
        <v/>
      </c>
      <c r="Y307" s="109" t="str">
        <f>IFERROR(__xludf.DUMMYFUNCTION("""COMPUTED_VALUE"""),"")</f>
        <v/>
      </c>
      <c r="Z307" s="71"/>
      <c r="AA307" s="71"/>
      <c r="AB307" s="71"/>
    </row>
    <row r="308">
      <c r="A308" s="105">
        <f>IFERROR(__xludf.DUMMYFUNCTION("""COMPUTED_VALUE"""),46136.74971325231)</f>
        <v>46136.74971</v>
      </c>
      <c r="B308" s="71" t="str">
        <f>IFERROR(__xludf.DUMMYFUNCTION("""COMPUTED_VALUE"""),"Leah Bucci")</f>
        <v>Leah Bucci</v>
      </c>
      <c r="C308" s="71" t="b">
        <f>IFERROR(__xludf.DUMMYFUNCTION("""COMPUTED_VALUE"""),FALSE)</f>
        <v>0</v>
      </c>
      <c r="D308" s="132">
        <f>IFERROR(__xludf.DUMMYFUNCTION("""COMPUTED_VALUE"""),0.6631944444452529)</f>
        <v>0.6631944444</v>
      </c>
      <c r="E308" s="78">
        <f>IFERROR(__xludf.DUMMYFUNCTION("""COMPUTED_VALUE"""),0.08333333333575865)</f>
        <v>0.08333333334</v>
      </c>
      <c r="F308" s="132">
        <f>IFERROR(__xludf.DUMMYFUNCTION("""COMPUTED_VALUE"""),0.7465277777810115)</f>
        <v>0.7465277778</v>
      </c>
      <c r="G308" s="78">
        <f>IFERROR(__xludf.DUMMYFUNCTION("""COMPUTED_VALUE"""),0.08333333333575865)</f>
        <v>0.08333333334</v>
      </c>
      <c r="H308" s="71">
        <f>IFERROR(__xludf.DUMMYFUNCTION("""COMPUTED_VALUE"""),91.0)</f>
        <v>91</v>
      </c>
      <c r="I308" s="80">
        <f>IFERROR(__xludf.DUMMYFUNCTION("""COMPUTED_VALUE"""),45.499999998675776)</f>
        <v>45.5</v>
      </c>
      <c r="J308" s="71" t="str">
        <f>IFERROR(__xludf.DUMMYFUNCTION("""COMPUTED_VALUE"""),"Dinner")</f>
        <v>Dinner</v>
      </c>
      <c r="K308" s="106">
        <f>IFERROR(__xludf.DUMMYFUNCTION("""COMPUTED_VALUE"""),46136.0)</f>
        <v>46136</v>
      </c>
      <c r="L308" s="71" t="str">
        <f>IFERROR(__xludf.DUMMYFUNCTION("""COMPUTED_VALUE"""),"Friday")</f>
        <v>Friday</v>
      </c>
      <c r="M308" s="71" t="str">
        <f>IFERROR(__xludf.DUMMYFUNCTION("""COMPUTED_VALUE"""),"MF")</f>
        <v>MF</v>
      </c>
      <c r="N308" s="109">
        <f>IFERROR(__xludf.DUMMYFUNCTION("""COMPUTED_VALUE"""),0.9810330751490435)</f>
        <v>0.9810330751</v>
      </c>
      <c r="O308" s="71" t="str">
        <f>IFERROR(__xludf.DUMMYFUNCTION("""COMPUTED_VALUE"""),"")</f>
        <v/>
      </c>
      <c r="P308" s="71" t="str">
        <f>IFERROR(__xludf.DUMMYFUNCTION("""COMPUTED_VALUE"""),"")</f>
        <v/>
      </c>
      <c r="Q308" s="78" t="str">
        <f>IFERROR(__xludf.DUMMYFUNCTION("""COMPUTED_VALUE"""),"")</f>
        <v/>
      </c>
      <c r="R308" s="78" t="str">
        <f>IFERROR(__xludf.DUMMYFUNCTION("""COMPUTED_VALUE"""),"")</f>
        <v/>
      </c>
      <c r="S308" s="80" t="str">
        <f>IFERROR(__xludf.DUMMYFUNCTION("""COMPUTED_VALUE"""),"")</f>
        <v/>
      </c>
      <c r="T308" s="80" t="str">
        <f>IFERROR(__xludf.DUMMYFUNCTION("""COMPUTED_VALUE"""),"")</f>
        <v/>
      </c>
      <c r="U308" s="71" t="str">
        <f>IFERROR(__xludf.DUMMYFUNCTION("""COMPUTED_VALUE"""),"")</f>
        <v/>
      </c>
      <c r="V308" s="78" t="str">
        <f>IFERROR(__xludf.DUMMYFUNCTION("""COMPUTED_VALUE"""),"")</f>
        <v/>
      </c>
      <c r="W308" s="62" t="str">
        <f>IFERROR(__xludf.DUMMYFUNCTION("""COMPUTED_VALUE"""),"")</f>
        <v/>
      </c>
      <c r="X308" s="80" t="str">
        <f>IFERROR(__xludf.DUMMYFUNCTION("""COMPUTED_VALUE"""),"")</f>
        <v/>
      </c>
      <c r="Y308" s="109" t="str">
        <f>IFERROR(__xludf.DUMMYFUNCTION("""COMPUTED_VALUE"""),"")</f>
        <v/>
      </c>
      <c r="Z308" s="71"/>
      <c r="AA308" s="71"/>
      <c r="AB308" s="71"/>
    </row>
    <row r="309">
      <c r="A309" s="105">
        <f>IFERROR(__xludf.DUMMYFUNCTION("""COMPUTED_VALUE"""),46137.98223)</f>
        <v>46137.98223</v>
      </c>
      <c r="B309" s="71" t="str">
        <f>IFERROR(__xludf.DUMMYFUNCTION("""COMPUTED_VALUE"""),"Oluwatimilehin Shodipe")</f>
        <v>Oluwatimilehin Shodipe</v>
      </c>
      <c r="C309" s="71" t="b">
        <f>IFERROR(__xludf.DUMMYFUNCTION("""COMPUTED_VALUE"""),FALSE)</f>
        <v>0</v>
      </c>
      <c r="D309" s="132">
        <f>IFERROR(__xludf.DUMMYFUNCTION("""COMPUTED_VALUE"""),0.48402777777664596)</f>
        <v>0.4840277778</v>
      </c>
      <c r="E309" s="78">
        <f>IFERROR(__xludf.DUMMYFUNCTION("""COMPUTED_VALUE"""),0.14097222222335404)</f>
        <v>0.1409722222</v>
      </c>
      <c r="F309" s="132">
        <f>IFERROR(__xludf.DUMMYFUNCTION("""COMPUTED_VALUE"""),0.625)</f>
        <v>0.625</v>
      </c>
      <c r="G309" s="78">
        <f>IFERROR(__xludf.DUMMYFUNCTION("""COMPUTED_VALUE"""),0.14097222222335404)</f>
        <v>0.1409722222</v>
      </c>
      <c r="H309" s="71">
        <f>IFERROR(__xludf.DUMMYFUNCTION("""COMPUTED_VALUE"""),226.0)</f>
        <v>226</v>
      </c>
      <c r="I309" s="80">
        <f>IFERROR(__xludf.DUMMYFUNCTION("""COMPUTED_VALUE"""),66.79802955611395)</f>
        <v>66.79802956</v>
      </c>
      <c r="J309" s="71" t="str">
        <f>IFERROR(__xludf.DUMMYFUNCTION("""COMPUTED_VALUE"""),"Lunch")</f>
        <v>Lunch</v>
      </c>
      <c r="K309" s="106">
        <f>IFERROR(__xludf.DUMMYFUNCTION("""COMPUTED_VALUE"""),46136.0)</f>
        <v>46136</v>
      </c>
      <c r="L309" s="71" t="str">
        <f>IFERROR(__xludf.DUMMYFUNCTION("""COMPUTED_VALUE"""),"Friday")</f>
        <v>Friday</v>
      </c>
      <c r="M309" s="71" t="str">
        <f>IFERROR(__xludf.DUMMYFUNCTION("""COMPUTED_VALUE"""),"MF")</f>
        <v>MF</v>
      </c>
      <c r="N309" s="109">
        <f>IFERROR(__xludf.DUMMYFUNCTION("""COMPUTED_VALUE"""),1.3285870828831519)</f>
        <v>1.328587083</v>
      </c>
      <c r="O309" s="71">
        <f>IFERROR(__xludf.DUMMYFUNCTION("""COMPUTED_VALUE"""),317.0)</f>
        <v>317</v>
      </c>
      <c r="P309" s="71">
        <f>IFERROR(__xludf.DUMMYFUNCTION("""COMPUTED_VALUE"""),97.0)</f>
        <v>97</v>
      </c>
      <c r="Q309" s="78">
        <f>IFERROR(__xludf.DUMMYFUNCTION("""COMPUTED_VALUE"""),0.2243055555591127)</f>
        <v>0.2243055556</v>
      </c>
      <c r="R309" s="78">
        <f>IFERROR(__xludf.DUMMYFUNCTION("""COMPUTED_VALUE"""),0.125)</f>
        <v>0.125</v>
      </c>
      <c r="S309" s="80">
        <f>IFERROR(__xludf.DUMMYFUNCTION("""COMPUTED_VALUE"""),56.14901477739486)</f>
        <v>56.14901478</v>
      </c>
      <c r="T309" s="80">
        <f>IFERROR(__xludf.DUMMYFUNCTION("""COMPUTED_VALUE"""),32.333333333333336)</f>
        <v>32.33333333</v>
      </c>
      <c r="U309" s="71">
        <f>IFERROR(__xludf.DUMMYFUNCTION("""COMPUTED_VALUE"""),414.0)</f>
        <v>414</v>
      </c>
      <c r="V309" s="78">
        <f>IFERROR(__xludf.DUMMYFUNCTION("""COMPUTED_VALUE"""),0.3493055555591127)</f>
        <v>0.3493055556</v>
      </c>
      <c r="W309" s="62">
        <f>IFERROR(__xludf.DUMMYFUNCTION("""COMPUTED_VALUE"""),49.38369781261838)</f>
        <v>49.38369781</v>
      </c>
      <c r="X309" s="80">
        <f>IFERROR(__xludf.DUMMYFUNCTION("""COMPUTED_VALUE"""),44.2411740553641)</f>
        <v>44.24117406</v>
      </c>
      <c r="Y309" s="109">
        <f>IFERROR(__xludf.DUMMYFUNCTION("""COMPUTED_VALUE"""),0.9567285958067282)</f>
        <v>0.9567285958</v>
      </c>
      <c r="Z309" s="71"/>
      <c r="AA309" s="71"/>
      <c r="AB309" s="71"/>
    </row>
    <row r="310">
      <c r="A310" s="105">
        <f>IFERROR(__xludf.DUMMYFUNCTION("""COMPUTED_VALUE"""),46139.43303828704)</f>
        <v>46139.43304</v>
      </c>
      <c r="B310" s="71" t="str">
        <f>IFERROR(__xludf.DUMMYFUNCTION("""COMPUTED_VALUE"""),"Sophia Kluck")</f>
        <v>Sophia Kluck</v>
      </c>
      <c r="C310" s="71" t="b">
        <f>IFERROR(__xludf.DUMMYFUNCTION("""COMPUTED_VALUE"""),FALSE)</f>
        <v>0</v>
      </c>
      <c r="D310" s="132">
        <f>IFERROR(__xludf.DUMMYFUNCTION("""COMPUTED_VALUE"""),0.3687500000014552)</f>
        <v>0.36875</v>
      </c>
      <c r="E310" s="78">
        <f>IFERROR(__xludf.DUMMYFUNCTION("""COMPUTED_VALUE"""),0.061805555553291924)</f>
        <v>0.06180555555</v>
      </c>
      <c r="F310" s="132">
        <f>IFERROR(__xludf.DUMMYFUNCTION("""COMPUTED_VALUE"""),0.4305555555547471)</f>
        <v>0.4305555556</v>
      </c>
      <c r="G310" s="78">
        <f>IFERROR(__xludf.DUMMYFUNCTION("""COMPUTED_VALUE"""),0.061805555553291924)</f>
        <v>0.06180555555</v>
      </c>
      <c r="H310" s="71">
        <f>IFERROR(__xludf.DUMMYFUNCTION("""COMPUTED_VALUE"""),49.0)</f>
        <v>49</v>
      </c>
      <c r="I310" s="80">
        <f>IFERROR(__xludf.DUMMYFUNCTION("""COMPUTED_VALUE"""),33.0337078663784)</f>
        <v>33.03370787</v>
      </c>
      <c r="J310" s="71" t="str">
        <f>IFERROR(__xludf.DUMMYFUNCTION("""COMPUTED_VALUE"""),"Breakfast")</f>
        <v>Breakfast</v>
      </c>
      <c r="K310" s="106">
        <f>IFERROR(__xludf.DUMMYFUNCTION("""COMPUTED_VALUE"""),46139.0)</f>
        <v>46139</v>
      </c>
      <c r="L310" s="71" t="str">
        <f>IFERROR(__xludf.DUMMYFUNCTION("""COMPUTED_VALUE"""),"Monday")</f>
        <v>Monday</v>
      </c>
      <c r="M310" s="71" t="str">
        <f>IFERROR(__xludf.DUMMYFUNCTION("""COMPUTED_VALUE"""),"BF")</f>
        <v>BF</v>
      </c>
      <c r="N310" s="109">
        <f>IFERROR(__xludf.DUMMYFUNCTION("""COMPUTED_VALUE"""),1.165183465764485)</f>
        <v>1.165183466</v>
      </c>
      <c r="O310" s="71" t="str">
        <f>IFERROR(__xludf.DUMMYFUNCTION("""COMPUTED_VALUE"""),"")</f>
        <v/>
      </c>
      <c r="P310" s="71" t="str">
        <f>IFERROR(__xludf.DUMMYFUNCTION("""COMPUTED_VALUE"""),"")</f>
        <v/>
      </c>
      <c r="Q310" s="78" t="str">
        <f>IFERROR(__xludf.DUMMYFUNCTION("""COMPUTED_VALUE"""),"")</f>
        <v/>
      </c>
      <c r="R310" s="78" t="str">
        <f>IFERROR(__xludf.DUMMYFUNCTION("""COMPUTED_VALUE"""),"")</f>
        <v/>
      </c>
      <c r="S310" s="80" t="str">
        <f>IFERROR(__xludf.DUMMYFUNCTION("""COMPUTED_VALUE"""),"")</f>
        <v/>
      </c>
      <c r="T310" s="80" t="str">
        <f>IFERROR(__xludf.DUMMYFUNCTION("""COMPUTED_VALUE"""),"")</f>
        <v/>
      </c>
      <c r="U310" s="71" t="str">
        <f>IFERROR(__xludf.DUMMYFUNCTION("""COMPUTED_VALUE"""),"")</f>
        <v/>
      </c>
      <c r="V310" s="78" t="str">
        <f>IFERROR(__xludf.DUMMYFUNCTION("""COMPUTED_VALUE"""),"")</f>
        <v/>
      </c>
      <c r="W310" s="62" t="str">
        <f>IFERROR(__xludf.DUMMYFUNCTION("""COMPUTED_VALUE"""),"")</f>
        <v/>
      </c>
      <c r="X310" s="80" t="str">
        <f>IFERROR(__xludf.DUMMYFUNCTION("""COMPUTED_VALUE"""),"")</f>
        <v/>
      </c>
      <c r="Y310" s="109" t="str">
        <f>IFERROR(__xludf.DUMMYFUNCTION("""COMPUTED_VALUE"""),"")</f>
        <v/>
      </c>
      <c r="Z310" s="71"/>
      <c r="AA310" s="71"/>
      <c r="AB310" s="71"/>
    </row>
    <row r="311">
      <c r="A311" s="105">
        <f>IFERROR(__xludf.DUMMYFUNCTION("""COMPUTED_VALUE"""),46139.6145587963)</f>
        <v>46139.61456</v>
      </c>
      <c r="B311" s="71" t="str">
        <f>IFERROR(__xludf.DUMMYFUNCTION("""COMPUTED_VALUE"""),"Brynn Hornig")</f>
        <v>Brynn Hornig</v>
      </c>
      <c r="C311" s="71" t="b">
        <f>IFERROR(__xludf.DUMMYFUNCTION("""COMPUTED_VALUE"""),FALSE)</f>
        <v>0</v>
      </c>
      <c r="D311" s="132">
        <f>IFERROR(__xludf.DUMMYFUNCTION("""COMPUTED_VALUE"""),0.5208333333357587)</f>
        <v>0.5208333333</v>
      </c>
      <c r="E311" s="78">
        <f>IFERROR(__xludf.DUMMYFUNCTION("""COMPUTED_VALUE"""),0.09305555555329192)</f>
        <v>0.09305555555</v>
      </c>
      <c r="F311" s="132">
        <f>IFERROR(__xludf.DUMMYFUNCTION("""COMPUTED_VALUE"""),0.6138888888890506)</f>
        <v>0.6138888889</v>
      </c>
      <c r="G311" s="78">
        <f>IFERROR(__xludf.DUMMYFUNCTION("""COMPUTED_VALUE"""),0.12430555555086664)</f>
        <v>0.1243055556</v>
      </c>
      <c r="H311" s="71">
        <f>IFERROR(__xludf.DUMMYFUNCTION("""COMPUTED_VALUE"""),141.0)</f>
        <v>141</v>
      </c>
      <c r="I311" s="80">
        <f>IFERROR(__xludf.DUMMYFUNCTION("""COMPUTED_VALUE"""),53.63128491822414)</f>
        <v>53.63128492</v>
      </c>
      <c r="J311" s="71" t="str">
        <f>IFERROR(__xludf.DUMMYFUNCTION("""COMPUTED_VALUE"""),"Lunch")</f>
        <v>Lunch</v>
      </c>
      <c r="K311" s="106">
        <f>IFERROR(__xludf.DUMMYFUNCTION("""COMPUTED_VALUE"""),46139.0)</f>
        <v>46139</v>
      </c>
      <c r="L311" s="71" t="str">
        <f>IFERROR(__xludf.DUMMYFUNCTION("""COMPUTED_VALUE"""),"Monday")</f>
        <v>Monday</v>
      </c>
      <c r="M311" s="71" t="str">
        <f>IFERROR(__xludf.DUMMYFUNCTION("""COMPUTED_VALUE"""),"BF")</f>
        <v>BF</v>
      </c>
      <c r="N311" s="109">
        <f>IFERROR(__xludf.DUMMYFUNCTION("""COMPUTED_VALUE"""),1.8917127525372763)</f>
        <v>1.891712753</v>
      </c>
      <c r="O311" s="71" t="str">
        <f>IFERROR(__xludf.DUMMYFUNCTION("""COMPUTED_VALUE"""),"")</f>
        <v/>
      </c>
      <c r="P311" s="71" t="str">
        <f>IFERROR(__xludf.DUMMYFUNCTION("""COMPUTED_VALUE"""),"")</f>
        <v/>
      </c>
      <c r="Q311" s="78" t="str">
        <f>IFERROR(__xludf.DUMMYFUNCTION("""COMPUTED_VALUE"""),"")</f>
        <v/>
      </c>
      <c r="R311" s="78" t="str">
        <f>IFERROR(__xludf.DUMMYFUNCTION("""COMPUTED_VALUE"""),"")</f>
        <v/>
      </c>
      <c r="S311" s="80" t="str">
        <f>IFERROR(__xludf.DUMMYFUNCTION("""COMPUTED_VALUE"""),"")</f>
        <v/>
      </c>
      <c r="T311" s="80" t="str">
        <f>IFERROR(__xludf.DUMMYFUNCTION("""COMPUTED_VALUE"""),"")</f>
        <v/>
      </c>
      <c r="U311" s="71" t="str">
        <f>IFERROR(__xludf.DUMMYFUNCTION("""COMPUTED_VALUE"""),"")</f>
        <v/>
      </c>
      <c r="V311" s="78" t="str">
        <f>IFERROR(__xludf.DUMMYFUNCTION("""COMPUTED_VALUE"""),"")</f>
        <v/>
      </c>
      <c r="W311" s="62" t="str">
        <f>IFERROR(__xludf.DUMMYFUNCTION("""COMPUTED_VALUE"""),"")</f>
        <v/>
      </c>
      <c r="X311" s="80" t="str">
        <f>IFERROR(__xludf.DUMMYFUNCTION("""COMPUTED_VALUE"""),"")</f>
        <v/>
      </c>
      <c r="Y311" s="109" t="str">
        <f>IFERROR(__xludf.DUMMYFUNCTION("""COMPUTED_VALUE"""),"")</f>
        <v/>
      </c>
      <c r="Z311" s="71"/>
      <c r="AA311" s="71"/>
      <c r="AB311" s="71"/>
    </row>
    <row r="312">
      <c r="A312" s="105">
        <f>IFERROR(__xludf.DUMMYFUNCTION("""COMPUTED_VALUE"""),46139.64123692129)</f>
        <v>46139.64124</v>
      </c>
      <c r="B312" s="71" t="str">
        <f>IFERROR(__xludf.DUMMYFUNCTION("""COMPUTED_VALUE"""),"Brynn Hornig")</f>
        <v>Brynn Hornig</v>
      </c>
      <c r="C312" s="71" t="b">
        <f>IFERROR(__xludf.DUMMYFUNCTION("""COMPUTED_VALUE"""),TRUE)</f>
        <v>1</v>
      </c>
      <c r="D312" s="132">
        <f>IFERROR(__xludf.DUMMYFUNCTION("""COMPUTED_VALUE"""),0.6145833333357587)</f>
        <v>0.6145833333</v>
      </c>
      <c r="E312" s="78">
        <f>IFERROR(__xludf.DUMMYFUNCTION("""COMPUTED_VALUE"""),0.031249999997574718)</f>
        <v>0.03125</v>
      </c>
      <c r="F312" s="132">
        <f>IFERROR(__xludf.DUMMYFUNCTION("""COMPUTED_VALUE"""),0.6458333333333334)</f>
        <v>0.6458333333</v>
      </c>
      <c r="G312" s="78" t="str">
        <f>IFERROR(__xludf.DUMMYFUNCTION("""COMPUTED_VALUE"""),"")</f>
        <v/>
      </c>
      <c r="H312" s="71">
        <f>IFERROR(__xludf.DUMMYFUNCTION("""COMPUTED_VALUE"""),19.0)</f>
        <v>19</v>
      </c>
      <c r="I312" s="80" t="str">
        <f>IFERROR(__xludf.DUMMYFUNCTION("""COMPUTED_VALUE"""),"")</f>
        <v/>
      </c>
      <c r="J312" s="71" t="str">
        <f>IFERROR(__xludf.DUMMYFUNCTION("""COMPUTED_VALUE"""),"Lunch")</f>
        <v>Lunch</v>
      </c>
      <c r="K312" s="106">
        <f>IFERROR(__xludf.DUMMYFUNCTION("""COMPUTED_VALUE"""),46139.0)</f>
        <v>46139</v>
      </c>
      <c r="L312" s="71" t="str">
        <f>IFERROR(__xludf.DUMMYFUNCTION("""COMPUTED_VALUE"""),"Monday")</f>
        <v>Monday</v>
      </c>
      <c r="M312" s="71" t="str">
        <f>IFERROR(__xludf.DUMMYFUNCTION("""COMPUTED_VALUE"""),"BF")</f>
        <v>BF</v>
      </c>
      <c r="N312" s="109" t="str">
        <f>IFERROR(__xludf.DUMMYFUNCTION("""COMPUTED_VALUE"""),"")</f>
        <v/>
      </c>
      <c r="O312" s="71" t="str">
        <f>IFERROR(__xludf.DUMMYFUNCTION("""COMPUTED_VALUE"""),"")</f>
        <v/>
      </c>
      <c r="P312" s="71" t="str">
        <f>IFERROR(__xludf.DUMMYFUNCTION("""COMPUTED_VALUE"""),"")</f>
        <v/>
      </c>
      <c r="Q312" s="78" t="str">
        <f>IFERROR(__xludf.DUMMYFUNCTION("""COMPUTED_VALUE"""),"")</f>
        <v/>
      </c>
      <c r="R312" s="78" t="str">
        <f>IFERROR(__xludf.DUMMYFUNCTION("""COMPUTED_VALUE"""),"")</f>
        <v/>
      </c>
      <c r="S312" s="80" t="str">
        <f>IFERROR(__xludf.DUMMYFUNCTION("""COMPUTED_VALUE"""),"")</f>
        <v/>
      </c>
      <c r="T312" s="80" t="str">
        <f>IFERROR(__xludf.DUMMYFUNCTION("""COMPUTED_VALUE"""),"")</f>
        <v/>
      </c>
      <c r="U312" s="71" t="str">
        <f>IFERROR(__xludf.DUMMYFUNCTION("""COMPUTED_VALUE"""),"")</f>
        <v/>
      </c>
      <c r="V312" s="78" t="str">
        <f>IFERROR(__xludf.DUMMYFUNCTION("""COMPUTED_VALUE"""),"")</f>
        <v/>
      </c>
      <c r="W312" s="62" t="str">
        <f>IFERROR(__xludf.DUMMYFUNCTION("""COMPUTED_VALUE"""),"")</f>
        <v/>
      </c>
      <c r="X312" s="80" t="str">
        <f>IFERROR(__xludf.DUMMYFUNCTION("""COMPUTED_VALUE"""),"")</f>
        <v/>
      </c>
      <c r="Y312" s="109" t="str">
        <f>IFERROR(__xludf.DUMMYFUNCTION("""COMPUTED_VALUE"""),"")</f>
        <v/>
      </c>
      <c r="Z312" s="71"/>
      <c r="AA312" s="71"/>
      <c r="AB312" s="71"/>
    </row>
    <row r="313">
      <c r="A313" s="105">
        <f>IFERROR(__xludf.DUMMYFUNCTION("""COMPUTED_VALUE"""),46139.749684386574)</f>
        <v>46139.74968</v>
      </c>
      <c r="B313" s="71" t="str">
        <f>IFERROR(__xludf.DUMMYFUNCTION("""COMPUTED_VALUE"""),"Orpheus Wilson")</f>
        <v>Orpheus Wilson</v>
      </c>
      <c r="C313" s="71" t="b">
        <f>IFERROR(__xludf.DUMMYFUNCTION("""COMPUTED_VALUE"""),FALSE)</f>
        <v>0</v>
      </c>
      <c r="D313" s="132">
        <f>IFERROR(__xludf.DUMMYFUNCTION("""COMPUTED_VALUE"""),0.6708333333372138)</f>
        <v>0.6708333333</v>
      </c>
      <c r="E313" s="78">
        <f>IFERROR(__xludf.DUMMYFUNCTION("""COMPUTED_VALUE"""),0.07569444444379769)</f>
        <v>0.07569444444</v>
      </c>
      <c r="F313" s="132">
        <f>IFERROR(__xludf.DUMMYFUNCTION("""COMPUTED_VALUE"""),0.7465277777810115)</f>
        <v>0.7465277778</v>
      </c>
      <c r="G313" s="78">
        <f>IFERROR(__xludf.DUMMYFUNCTION("""COMPUTED_VALUE"""),0.07569444444379769)</f>
        <v>0.07569444444</v>
      </c>
      <c r="H313" s="71">
        <f>IFERROR(__xludf.DUMMYFUNCTION("""COMPUTED_VALUE"""),138.0)</f>
        <v>138</v>
      </c>
      <c r="I313" s="80">
        <f>IFERROR(__xludf.DUMMYFUNCTION("""COMPUTED_VALUE"""),75.96330275294262)</f>
        <v>75.96330275</v>
      </c>
      <c r="J313" s="71" t="str">
        <f>IFERROR(__xludf.DUMMYFUNCTION("""COMPUTED_VALUE"""),"Dinner")</f>
        <v>Dinner</v>
      </c>
      <c r="K313" s="106">
        <f>IFERROR(__xludf.DUMMYFUNCTION("""COMPUTED_VALUE"""),46139.0)</f>
        <v>46139</v>
      </c>
      <c r="L313" s="71" t="str">
        <f>IFERROR(__xludf.DUMMYFUNCTION("""COMPUTED_VALUE"""),"Monday")</f>
        <v>Monday</v>
      </c>
      <c r="M313" s="71" t="str">
        <f>IFERROR(__xludf.DUMMYFUNCTION("""COMPUTED_VALUE"""),"MF")</f>
        <v>MF</v>
      </c>
      <c r="N313" s="109">
        <f>IFERROR(__xludf.DUMMYFUNCTION("""COMPUTED_VALUE"""),1.6378574175904614)</f>
        <v>1.637857418</v>
      </c>
      <c r="O313" s="71" t="str">
        <f>IFERROR(__xludf.DUMMYFUNCTION("""COMPUTED_VALUE"""),"")</f>
        <v/>
      </c>
      <c r="P313" s="71" t="str">
        <f>IFERROR(__xludf.DUMMYFUNCTION("""COMPUTED_VALUE"""),"")</f>
        <v/>
      </c>
      <c r="Q313" s="78" t="str">
        <f>IFERROR(__xludf.DUMMYFUNCTION("""COMPUTED_VALUE"""),"")</f>
        <v/>
      </c>
      <c r="R313" s="78" t="str">
        <f>IFERROR(__xludf.DUMMYFUNCTION("""COMPUTED_VALUE"""),"")</f>
        <v/>
      </c>
      <c r="S313" s="80" t="str">
        <f>IFERROR(__xludf.DUMMYFUNCTION("""COMPUTED_VALUE"""),"")</f>
        <v/>
      </c>
      <c r="T313" s="80" t="str">
        <f>IFERROR(__xludf.DUMMYFUNCTION("""COMPUTED_VALUE"""),"")</f>
        <v/>
      </c>
      <c r="U313" s="71" t="str">
        <f>IFERROR(__xludf.DUMMYFUNCTION("""COMPUTED_VALUE"""),"")</f>
        <v/>
      </c>
      <c r="V313" s="78" t="str">
        <f>IFERROR(__xludf.DUMMYFUNCTION("""COMPUTED_VALUE"""),"")</f>
        <v/>
      </c>
      <c r="W313" s="62" t="str">
        <f>IFERROR(__xludf.DUMMYFUNCTION("""COMPUTED_VALUE"""),"")</f>
        <v/>
      </c>
      <c r="X313" s="80" t="str">
        <f>IFERROR(__xludf.DUMMYFUNCTION("""COMPUTED_VALUE"""),"")</f>
        <v/>
      </c>
      <c r="Y313" s="109" t="str">
        <f>IFERROR(__xludf.DUMMYFUNCTION("""COMPUTED_VALUE"""),"")</f>
        <v/>
      </c>
      <c r="Z313" s="71"/>
      <c r="AA313" s="71"/>
      <c r="AB313" s="71"/>
    </row>
    <row r="314">
      <c r="A314" s="105">
        <f>IFERROR(__xludf.DUMMYFUNCTION("""COMPUTED_VALUE"""),46142.614701886574)</f>
        <v>46142.6147</v>
      </c>
      <c r="B314" s="71" t="str">
        <f>IFERROR(__xludf.DUMMYFUNCTION("""COMPUTED_VALUE"""),"Denise Romanszysn")</f>
        <v>Denise Romanszysn</v>
      </c>
      <c r="C314" s="71" t="b">
        <f>IFERROR(__xludf.DUMMYFUNCTION("""COMPUTED_VALUE"""),FALSE)</f>
        <v>0</v>
      </c>
      <c r="D314" s="132">
        <f>IFERROR(__xludf.DUMMYFUNCTION("""COMPUTED_VALUE"""),0.44097222221898846)</f>
        <v>0.4409722222</v>
      </c>
      <c r="E314" s="78">
        <f>IFERROR(__xludf.DUMMYFUNCTION("""COMPUTED_VALUE"""),0.03472222222626442)</f>
        <v>0.03472222223</v>
      </c>
      <c r="F314" s="132">
        <f>IFERROR(__xludf.DUMMYFUNCTION("""COMPUTED_VALUE"""),0.4756944444452529)</f>
        <v>0.4756944444</v>
      </c>
      <c r="G314" s="78">
        <f>IFERROR(__xludf.DUMMYFUNCTION("""COMPUTED_VALUE"""),0.03472222222626442)</f>
        <v>0.03472222223</v>
      </c>
      <c r="H314" s="71">
        <f>IFERROR(__xludf.DUMMYFUNCTION("""COMPUTED_VALUE"""),78.0)</f>
        <v>78</v>
      </c>
      <c r="I314" s="80">
        <f>IFERROR(__xludf.DUMMYFUNCTION("""COMPUTED_VALUE"""),93.59999998910352)</f>
        <v>93.59999999</v>
      </c>
      <c r="J314" s="71" t="str">
        <f>IFERROR(__xludf.DUMMYFUNCTION("""COMPUTED_VALUE"""),"Breakfast/Lunch")</f>
        <v>Breakfast/Lunch</v>
      </c>
      <c r="K314" s="106">
        <f>IFERROR(__xludf.DUMMYFUNCTION("""COMPUTED_VALUE"""),46139.0)</f>
        <v>46139</v>
      </c>
      <c r="L314" s="71" t="str">
        <f>IFERROR(__xludf.DUMMYFUNCTION("""COMPUTED_VALUE"""),"Monday")</f>
        <v>Monday</v>
      </c>
      <c r="M314" s="71" t="str">
        <f>IFERROR(__xludf.DUMMYFUNCTION("""COMPUTED_VALUE"""),"BF")</f>
        <v>BF</v>
      </c>
      <c r="N314" s="109">
        <f>IFERROR(__xludf.DUMMYFUNCTION("""COMPUTED_VALUE"""),2.5594161226572156)</f>
        <v>2.559416123</v>
      </c>
      <c r="O314" s="71" t="str">
        <f>IFERROR(__xludf.DUMMYFUNCTION("""COMPUTED_VALUE"""),"")</f>
        <v/>
      </c>
      <c r="P314" s="71" t="str">
        <f>IFERROR(__xludf.DUMMYFUNCTION("""COMPUTED_VALUE"""),"")</f>
        <v/>
      </c>
      <c r="Q314" s="78" t="str">
        <f>IFERROR(__xludf.DUMMYFUNCTION("""COMPUTED_VALUE"""),"")</f>
        <v/>
      </c>
      <c r="R314" s="78" t="str">
        <f>IFERROR(__xludf.DUMMYFUNCTION("""COMPUTED_VALUE"""),"")</f>
        <v/>
      </c>
      <c r="S314" s="80" t="str">
        <f>IFERROR(__xludf.DUMMYFUNCTION("""COMPUTED_VALUE"""),"")</f>
        <v/>
      </c>
      <c r="T314" s="80" t="str">
        <f>IFERROR(__xludf.DUMMYFUNCTION("""COMPUTED_VALUE"""),"")</f>
        <v/>
      </c>
      <c r="U314" s="71" t="str">
        <f>IFERROR(__xludf.DUMMYFUNCTION("""COMPUTED_VALUE"""),"")</f>
        <v/>
      </c>
      <c r="V314" s="78" t="str">
        <f>IFERROR(__xludf.DUMMYFUNCTION("""COMPUTED_VALUE"""),"")</f>
        <v/>
      </c>
      <c r="W314" s="62" t="str">
        <f>IFERROR(__xludf.DUMMYFUNCTION("""COMPUTED_VALUE"""),"")</f>
        <v/>
      </c>
      <c r="X314" s="80" t="str">
        <f>IFERROR(__xludf.DUMMYFUNCTION("""COMPUTED_VALUE"""),"")</f>
        <v/>
      </c>
      <c r="Y314" s="109" t="str">
        <f>IFERROR(__xludf.DUMMYFUNCTION("""COMPUTED_VALUE"""),"")</f>
        <v/>
      </c>
      <c r="Z314" s="71"/>
      <c r="AA314" s="71"/>
      <c r="AB314" s="71"/>
    </row>
    <row r="315">
      <c r="A315" s="105">
        <f>IFERROR(__xludf.DUMMYFUNCTION("""COMPUTED_VALUE"""),46142.61554817129)</f>
        <v>46142.61555</v>
      </c>
      <c r="B315" s="71" t="str">
        <f>IFERROR(__xludf.DUMMYFUNCTION("""COMPUTED_VALUE"""),"Denise Romanszysn")</f>
        <v>Denise Romanszysn</v>
      </c>
      <c r="C315" s="71" t="b">
        <f>IFERROR(__xludf.DUMMYFUNCTION("""COMPUTED_VALUE"""),FALSE)</f>
        <v>0</v>
      </c>
      <c r="D315" s="132">
        <f>IFERROR(__xludf.DUMMYFUNCTION("""COMPUTED_VALUE"""),0.546527777776646)</f>
        <v>0.5465277778</v>
      </c>
      <c r="E315" s="78">
        <f>IFERROR(__xludf.DUMMYFUNCTION("""COMPUTED_VALUE"""),0.07500000000436557)</f>
        <v>0.075</v>
      </c>
      <c r="F315" s="132">
        <f>IFERROR(__xludf.DUMMYFUNCTION("""COMPUTED_VALUE"""),0.6215277777810115)</f>
        <v>0.6215277778</v>
      </c>
      <c r="G315" s="78">
        <f>IFERROR(__xludf.DUMMYFUNCTION("""COMPUTED_VALUE"""),0.07500000000436557)</f>
        <v>0.075</v>
      </c>
      <c r="H315" s="71">
        <f>IFERROR(__xludf.DUMMYFUNCTION("""COMPUTED_VALUE"""),153.0)</f>
        <v>153</v>
      </c>
      <c r="I315" s="80">
        <f>IFERROR(__xludf.DUMMYFUNCTION("""COMPUTED_VALUE"""),84.99999999505235)</f>
        <v>85</v>
      </c>
      <c r="J315" s="71" t="str">
        <f>IFERROR(__xludf.DUMMYFUNCTION("""COMPUTED_VALUE"""),"Lunch")</f>
        <v>Lunch</v>
      </c>
      <c r="K315" s="106">
        <f>IFERROR(__xludf.DUMMYFUNCTION("""COMPUTED_VALUE"""),46139.0)</f>
        <v>46139</v>
      </c>
      <c r="L315" s="71" t="str">
        <f>IFERROR(__xludf.DUMMYFUNCTION("""COMPUTED_VALUE"""),"Monday")</f>
        <v>Monday</v>
      </c>
      <c r="M315" s="71" t="str">
        <f>IFERROR(__xludf.DUMMYFUNCTION("""COMPUTED_VALUE"""),"MF")</f>
        <v>MF</v>
      </c>
      <c r="N315" s="109">
        <f>IFERROR(__xludf.DUMMYFUNCTION("""COMPUTED_VALUE"""),1.6906172650441331)</f>
        <v>1.690617265</v>
      </c>
      <c r="O315" s="71">
        <f>IFERROR(__xludf.DUMMYFUNCTION("""COMPUTED_VALUE"""),291.0)</f>
        <v>291</v>
      </c>
      <c r="P315" s="71">
        <f>IFERROR(__xludf.DUMMYFUNCTION("""COMPUTED_VALUE"""),287.0)</f>
        <v>287</v>
      </c>
      <c r="Q315" s="78">
        <f>IFERROR(__xludf.DUMMYFUNCTION("""COMPUTED_VALUE"""),0.15069444444816327)</f>
        <v>0.1506944444</v>
      </c>
      <c r="R315" s="78">
        <f>IFERROR(__xludf.DUMMYFUNCTION("""COMPUTED_VALUE"""),0.220833333330423)</f>
        <v>0.2208333333</v>
      </c>
      <c r="S315" s="80">
        <f>IFERROR(__xludf.DUMMYFUNCTION("""COMPUTED_VALUE"""),80.4816513739975)</f>
        <v>80.48165137</v>
      </c>
      <c r="T315" s="80">
        <f>IFERROR(__xludf.DUMMYFUNCTION("""COMPUTED_VALUE"""),60.08833092456869)</f>
        <v>60.08833092</v>
      </c>
      <c r="U315" s="71">
        <f>IFERROR(__xludf.DUMMYFUNCTION("""COMPUTED_VALUE"""),578.0)</f>
        <v>578</v>
      </c>
      <c r="V315" s="78">
        <f>IFERROR(__xludf.DUMMYFUNCTION("""COMPUTED_VALUE"""),0.37152777777858625)</f>
        <v>0.3715277778</v>
      </c>
      <c r="W315" s="62">
        <f>IFERROR(__xludf.DUMMYFUNCTION("""COMPUTED_VALUE"""),64.822429906401)</f>
        <v>64.82242991</v>
      </c>
      <c r="X315" s="80">
        <f>IFERROR(__xludf.DUMMYFUNCTION("""COMPUTED_VALUE"""),68.2456591043402)</f>
        <v>68.2456591</v>
      </c>
      <c r="Y315" s="109">
        <f>IFERROR(__xludf.DUMMYFUNCTION("""COMPUTED_VALUE"""),1.105426901167218)</f>
        <v>1.105426901</v>
      </c>
      <c r="Z315" s="71"/>
      <c r="AA315" s="71"/>
      <c r="AB315" s="71"/>
    </row>
    <row r="316">
      <c r="A316" s="105">
        <f>IFERROR(__xludf.DUMMYFUNCTION("""COMPUTED_VALUE"""),46140.5553296412)</f>
        <v>46140.55533</v>
      </c>
      <c r="B316" s="71" t="str">
        <f>IFERROR(__xludf.DUMMYFUNCTION("""COMPUTED_VALUE"""),"Kyra Turner")</f>
        <v>Kyra Turner</v>
      </c>
      <c r="C316" s="71" t="b">
        <f>IFERROR(__xludf.DUMMYFUNCTION("""COMPUTED_VALUE"""),FALSE)</f>
        <v>0</v>
      </c>
      <c r="D316" s="132">
        <f>IFERROR(__xludf.DUMMYFUNCTION("""COMPUTED_VALUE"""),0.48333333333721384)</f>
        <v>0.4833333333</v>
      </c>
      <c r="E316" s="78">
        <f>IFERROR(__xludf.DUMMYFUNCTION("""COMPUTED_VALUE"""),0.06944444443797693)</f>
        <v>0.06944444444</v>
      </c>
      <c r="F316" s="132">
        <f>IFERROR(__xludf.DUMMYFUNCTION("""COMPUTED_VALUE"""),0.5527777777751908)</f>
        <v>0.5527777778</v>
      </c>
      <c r="G316" s="78">
        <f>IFERROR(__xludf.DUMMYFUNCTION("""COMPUTED_VALUE"""),0.06944444443797693)</f>
        <v>0.06944444444</v>
      </c>
      <c r="H316" s="71">
        <f>IFERROR(__xludf.DUMMYFUNCTION("""COMPUTED_VALUE"""),209.0)</f>
        <v>209</v>
      </c>
      <c r="I316" s="80">
        <f>IFERROR(__xludf.DUMMYFUNCTION("""COMPUTED_VALUE"""),125.40000001167878)</f>
        <v>125.4</v>
      </c>
      <c r="J316" s="71" t="str">
        <f>IFERROR(__xludf.DUMMYFUNCTION("""COMPUTED_VALUE"""),"Lunch")</f>
        <v>Lunch</v>
      </c>
      <c r="K316" s="106">
        <f>IFERROR(__xludf.DUMMYFUNCTION("""COMPUTED_VALUE"""),46140.0)</f>
        <v>46140</v>
      </c>
      <c r="L316" s="71" t="str">
        <f>IFERROR(__xludf.DUMMYFUNCTION("""COMPUTED_VALUE"""),"Tuesday")</f>
        <v>Tuesday</v>
      </c>
      <c r="M316" s="71" t="str">
        <f>IFERROR(__xludf.DUMMYFUNCTION("""COMPUTED_VALUE"""),"MF")</f>
        <v>MF</v>
      </c>
      <c r="N316" s="109">
        <f>IFERROR(__xludf.DUMMYFUNCTION("""COMPUTED_VALUE"""),2.494157706689634)</f>
        <v>2.494157707</v>
      </c>
      <c r="O316" s="71" t="str">
        <f>IFERROR(__xludf.DUMMYFUNCTION("""COMPUTED_VALUE"""),"")</f>
        <v/>
      </c>
      <c r="P316" s="71" t="str">
        <f>IFERROR(__xludf.DUMMYFUNCTION("""COMPUTED_VALUE"""),"")</f>
        <v/>
      </c>
      <c r="Q316" s="78" t="str">
        <f>IFERROR(__xludf.DUMMYFUNCTION("""COMPUTED_VALUE"""),"")</f>
        <v/>
      </c>
      <c r="R316" s="78" t="str">
        <f>IFERROR(__xludf.DUMMYFUNCTION("""COMPUTED_VALUE"""),"")</f>
        <v/>
      </c>
      <c r="S316" s="80" t="str">
        <f>IFERROR(__xludf.DUMMYFUNCTION("""COMPUTED_VALUE"""),"")</f>
        <v/>
      </c>
      <c r="T316" s="80" t="str">
        <f>IFERROR(__xludf.DUMMYFUNCTION("""COMPUTED_VALUE"""),"")</f>
        <v/>
      </c>
      <c r="U316" s="71" t="str">
        <f>IFERROR(__xludf.DUMMYFUNCTION("""COMPUTED_VALUE"""),"")</f>
        <v/>
      </c>
      <c r="V316" s="78" t="str">
        <f>IFERROR(__xludf.DUMMYFUNCTION("""COMPUTED_VALUE"""),"")</f>
        <v/>
      </c>
      <c r="W316" s="62" t="str">
        <f>IFERROR(__xludf.DUMMYFUNCTION("""COMPUTED_VALUE"""),"")</f>
        <v/>
      </c>
      <c r="X316" s="80" t="str">
        <f>IFERROR(__xludf.DUMMYFUNCTION("""COMPUTED_VALUE"""),"")</f>
        <v/>
      </c>
      <c r="Y316" s="109" t="str">
        <f>IFERROR(__xludf.DUMMYFUNCTION("""COMPUTED_VALUE"""),"")</f>
        <v/>
      </c>
      <c r="Z316" s="71"/>
      <c r="AA316" s="71"/>
      <c r="AB316" s="71"/>
    </row>
    <row r="317">
      <c r="A317" s="105">
        <f>IFERROR(__xludf.DUMMYFUNCTION("""COMPUTED_VALUE"""),46140.85169846065)</f>
        <v>46140.8517</v>
      </c>
      <c r="B317" s="71" t="str">
        <f>IFERROR(__xludf.DUMMYFUNCTION("""COMPUTED_VALUE"""),"Leah Bucci")</f>
        <v>Leah Bucci</v>
      </c>
      <c r="C317" s="71" t="b">
        <f>IFERROR(__xludf.DUMMYFUNCTION("""COMPUTED_VALUE"""),FALSE)</f>
        <v>0</v>
      </c>
      <c r="D317" s="132">
        <f>IFERROR(__xludf.DUMMYFUNCTION("""COMPUTED_VALUE"""),0.6875)</f>
        <v>0.6875</v>
      </c>
      <c r="E317" s="78">
        <f>IFERROR(__xludf.DUMMYFUNCTION("""COMPUTED_VALUE"""),0.15972222221898846)</f>
        <v>0.1597222222</v>
      </c>
      <c r="F317" s="132">
        <f>IFERROR(__xludf.DUMMYFUNCTION("""COMPUTED_VALUE"""),0.8472222222189885)</f>
        <v>0.8472222222</v>
      </c>
      <c r="G317" s="78">
        <f>IFERROR(__xludf.DUMMYFUNCTION("""COMPUTED_VALUE"""),0.15972222221898846)</f>
        <v>0.1597222222</v>
      </c>
      <c r="H317" s="71">
        <f>IFERROR(__xludf.DUMMYFUNCTION("""COMPUTED_VALUE"""),131.0)</f>
        <v>131</v>
      </c>
      <c r="I317" s="80">
        <f>IFERROR(__xludf.DUMMYFUNCTION("""COMPUTED_VALUE"""),34.17391304417015)</f>
        <v>34.17391304</v>
      </c>
      <c r="J317" s="71" t="str">
        <f>IFERROR(__xludf.DUMMYFUNCTION("""COMPUTED_VALUE"""),"Dinner")</f>
        <v>Dinner</v>
      </c>
      <c r="K317" s="106">
        <f>IFERROR(__xludf.DUMMYFUNCTION("""COMPUTED_VALUE"""),46140.0)</f>
        <v>46140</v>
      </c>
      <c r="L317" s="71" t="str">
        <f>IFERROR(__xludf.DUMMYFUNCTION("""COMPUTED_VALUE"""),"Tuesday")</f>
        <v>Tuesday</v>
      </c>
      <c r="M317" s="71" t="str">
        <f>IFERROR(__xludf.DUMMYFUNCTION("""COMPUTED_VALUE"""),"BF")</f>
        <v>BF</v>
      </c>
      <c r="N317" s="109">
        <f>IFERROR(__xludf.DUMMYFUNCTION("""COMPUTED_VALUE"""),0.7691315467629696)</f>
        <v>0.7691315468</v>
      </c>
      <c r="O317" s="71" t="str">
        <f>IFERROR(__xludf.DUMMYFUNCTION("""COMPUTED_VALUE"""),"")</f>
        <v/>
      </c>
      <c r="P317" s="71" t="str">
        <f>IFERROR(__xludf.DUMMYFUNCTION("""COMPUTED_VALUE"""),"")</f>
        <v/>
      </c>
      <c r="Q317" s="78" t="str">
        <f>IFERROR(__xludf.DUMMYFUNCTION("""COMPUTED_VALUE"""),"")</f>
        <v/>
      </c>
      <c r="R317" s="78" t="str">
        <f>IFERROR(__xludf.DUMMYFUNCTION("""COMPUTED_VALUE"""),"")</f>
        <v/>
      </c>
      <c r="S317" s="80" t="str">
        <f>IFERROR(__xludf.DUMMYFUNCTION("""COMPUTED_VALUE"""),"")</f>
        <v/>
      </c>
      <c r="T317" s="80" t="str">
        <f>IFERROR(__xludf.DUMMYFUNCTION("""COMPUTED_VALUE"""),"")</f>
        <v/>
      </c>
      <c r="U317" s="71" t="str">
        <f>IFERROR(__xludf.DUMMYFUNCTION("""COMPUTED_VALUE"""),"")</f>
        <v/>
      </c>
      <c r="V317" s="78" t="str">
        <f>IFERROR(__xludf.DUMMYFUNCTION("""COMPUTED_VALUE"""),"")</f>
        <v/>
      </c>
      <c r="W317" s="62" t="str">
        <f>IFERROR(__xludf.DUMMYFUNCTION("""COMPUTED_VALUE"""),"")</f>
        <v/>
      </c>
      <c r="X317" s="80" t="str">
        <f>IFERROR(__xludf.DUMMYFUNCTION("""COMPUTED_VALUE"""),"")</f>
        <v/>
      </c>
      <c r="Y317" s="109" t="str">
        <f>IFERROR(__xludf.DUMMYFUNCTION("""COMPUTED_VALUE"""),"")</f>
        <v/>
      </c>
      <c r="Z317" s="71"/>
      <c r="AA317" s="71"/>
      <c r="AB317" s="71"/>
    </row>
    <row r="318">
      <c r="A318" s="105">
        <f>IFERROR(__xludf.DUMMYFUNCTION("""COMPUTED_VALUE"""),46140.97557547454)</f>
        <v>46140.97558</v>
      </c>
      <c r="B318" s="71" t="str">
        <f>IFERROR(__xludf.DUMMYFUNCTION("""COMPUTED_VALUE"""),"Kaylie Forgue")</f>
        <v>Kaylie Forgue</v>
      </c>
      <c r="C318" s="71" t="b">
        <f>IFERROR(__xludf.DUMMYFUNCTION("""COMPUTED_VALUE"""),FALSE)</f>
        <v>0</v>
      </c>
      <c r="D318" s="132">
        <f>IFERROR(__xludf.DUMMYFUNCTION("""COMPUTED_VALUE"""),0.4444444444452529)</f>
        <v>0.4444444444</v>
      </c>
      <c r="E318" s="78">
        <f>IFERROR(__xludf.DUMMYFUNCTION("""COMPUTED_VALUE"""),0.07291666666424135)</f>
        <v>0.07291666666</v>
      </c>
      <c r="F318" s="132">
        <f>IFERROR(__xludf.DUMMYFUNCTION("""COMPUTED_VALUE"""),0.5173611111094942)</f>
        <v>0.5173611111</v>
      </c>
      <c r="G318" s="78">
        <f>IFERROR(__xludf.DUMMYFUNCTION("""COMPUTED_VALUE"""),0.07291666666424135)</f>
        <v>0.07291666666</v>
      </c>
      <c r="H318" s="71">
        <f>IFERROR(__xludf.DUMMYFUNCTION("""COMPUTED_VALUE"""),108.0)</f>
        <v>108</v>
      </c>
      <c r="I318" s="80">
        <f>IFERROR(__xludf.DUMMYFUNCTION("""COMPUTED_VALUE"""),61.71428571633842)</f>
        <v>61.71428572</v>
      </c>
      <c r="J318" s="71" t="str">
        <f>IFERROR(__xludf.DUMMYFUNCTION("""COMPUTED_VALUE"""),"Breakfast/Lunch")</f>
        <v>Breakfast/Lunch</v>
      </c>
      <c r="K318" s="106">
        <f>IFERROR(__xludf.DUMMYFUNCTION("""COMPUTED_VALUE"""),46140.0)</f>
        <v>46140</v>
      </c>
      <c r="L318" s="71" t="str">
        <f>IFERROR(__xludf.DUMMYFUNCTION("""COMPUTED_VALUE"""),"Tuesday")</f>
        <v>Tuesday</v>
      </c>
      <c r="M318" s="71" t="str">
        <f>IFERROR(__xludf.DUMMYFUNCTION("""COMPUTED_VALUE"""),"BF")</f>
        <v>BF</v>
      </c>
      <c r="N318" s="109">
        <f>IFERROR(__xludf.DUMMYFUNCTION("""COMPUTED_VALUE"""),1.9602944499289705)</f>
        <v>1.96029445</v>
      </c>
      <c r="O318" s="71" t="str">
        <f>IFERROR(__xludf.DUMMYFUNCTION("""COMPUTED_VALUE"""),"")</f>
        <v/>
      </c>
      <c r="P318" s="71" t="str">
        <f>IFERROR(__xludf.DUMMYFUNCTION("""COMPUTED_VALUE"""),"")</f>
        <v/>
      </c>
      <c r="Q318" s="78" t="str">
        <f>IFERROR(__xludf.DUMMYFUNCTION("""COMPUTED_VALUE"""),"")</f>
        <v/>
      </c>
      <c r="R318" s="78" t="str">
        <f>IFERROR(__xludf.DUMMYFUNCTION("""COMPUTED_VALUE"""),"")</f>
        <v/>
      </c>
      <c r="S318" s="80" t="str">
        <f>IFERROR(__xludf.DUMMYFUNCTION("""COMPUTED_VALUE"""),"")</f>
        <v/>
      </c>
      <c r="T318" s="80" t="str">
        <f>IFERROR(__xludf.DUMMYFUNCTION("""COMPUTED_VALUE"""),"")</f>
        <v/>
      </c>
      <c r="U318" s="71" t="str">
        <f>IFERROR(__xludf.DUMMYFUNCTION("""COMPUTED_VALUE"""),"")</f>
        <v/>
      </c>
      <c r="V318" s="78" t="str">
        <f>IFERROR(__xludf.DUMMYFUNCTION("""COMPUTED_VALUE"""),"")</f>
        <v/>
      </c>
      <c r="W318" s="62" t="str">
        <f>IFERROR(__xludf.DUMMYFUNCTION("""COMPUTED_VALUE"""),"")</f>
        <v/>
      </c>
      <c r="X318" s="80" t="str">
        <f>IFERROR(__xludf.DUMMYFUNCTION("""COMPUTED_VALUE"""),"")</f>
        <v/>
      </c>
      <c r="Y318" s="109" t="str">
        <f>IFERROR(__xludf.DUMMYFUNCTION("""COMPUTED_VALUE"""),"")</f>
        <v/>
      </c>
      <c r="Z318" s="71"/>
      <c r="AA318" s="71"/>
      <c r="AB318" s="71"/>
    </row>
    <row r="319">
      <c r="A319" s="105">
        <f>IFERROR(__xludf.DUMMYFUNCTION("""COMPUTED_VALUE"""),46142.61646748843)</f>
        <v>46142.61647</v>
      </c>
      <c r="B319" s="71" t="str">
        <f>IFERROR(__xludf.DUMMYFUNCTION("""COMPUTED_VALUE"""),"Denise Romanszysn")</f>
        <v>Denise Romanszysn</v>
      </c>
      <c r="C319" s="71" t="b">
        <f>IFERROR(__xludf.DUMMYFUNCTION("""COMPUTED_VALUE"""),FALSE)</f>
        <v>0</v>
      </c>
      <c r="D319" s="132">
        <f>IFERROR(__xludf.DUMMYFUNCTION("""COMPUTED_VALUE"""),0.30972222222044365)</f>
        <v>0.3097222222</v>
      </c>
      <c r="E319" s="78">
        <f>IFERROR(__xludf.DUMMYFUNCTION("""COMPUTED_VALUE"""),0.13472222222480923)</f>
        <v>0.1347222222</v>
      </c>
      <c r="F319" s="132">
        <f>IFERROR(__xludf.DUMMYFUNCTION("""COMPUTED_VALUE"""),0.4444444444452529)</f>
        <v>0.4444444444</v>
      </c>
      <c r="G319" s="78">
        <f>IFERROR(__xludf.DUMMYFUNCTION("""COMPUTED_VALUE"""),0.13472222222480923)</f>
        <v>0.1347222222</v>
      </c>
      <c r="H319" s="71">
        <f>IFERROR(__xludf.DUMMYFUNCTION("""COMPUTED_VALUE"""),163.0)</f>
        <v>163</v>
      </c>
      <c r="I319" s="80">
        <f>IFERROR(__xludf.DUMMYFUNCTION("""COMPUTED_VALUE"""),50.412371133052574)</f>
        <v>50.41237113</v>
      </c>
      <c r="J319" s="71" t="str">
        <f>IFERROR(__xludf.DUMMYFUNCTION("""COMPUTED_VALUE"""),"Breakfast")</f>
        <v>Breakfast</v>
      </c>
      <c r="K319" s="106">
        <f>IFERROR(__xludf.DUMMYFUNCTION("""COMPUTED_VALUE"""),46140.0)</f>
        <v>46140</v>
      </c>
      <c r="L319" s="71" t="str">
        <f>IFERROR(__xludf.DUMMYFUNCTION("""COMPUTED_VALUE"""),"Tuesday")</f>
        <v>Tuesday</v>
      </c>
      <c r="M319" s="71" t="str">
        <f>IFERROR(__xludf.DUMMYFUNCTION("""COMPUTED_VALUE"""),"BF")</f>
        <v>BF</v>
      </c>
      <c r="N319" s="109">
        <f>IFERROR(__xludf.DUMMYFUNCTION("""COMPUTED_VALUE"""),1.7781734206713355)</f>
        <v>1.778173421</v>
      </c>
      <c r="O319" s="71">
        <f>IFERROR(__xludf.DUMMYFUNCTION("""COMPUTED_VALUE"""),209.0)</f>
        <v>209</v>
      </c>
      <c r="P319" s="71">
        <f>IFERROR(__xludf.DUMMYFUNCTION("""COMPUTED_VALUE"""),402.0)</f>
        <v>402</v>
      </c>
      <c r="Q319" s="78">
        <f>IFERROR(__xludf.DUMMYFUNCTION("""COMPUTED_VALUE"""),0.06944444443797693)</f>
        <v>0.06944444444</v>
      </c>
      <c r="R319" s="78">
        <f>IFERROR(__xludf.DUMMYFUNCTION("""COMPUTED_VALUE"""),0.36736111110803904)</f>
        <v>0.3673611111</v>
      </c>
      <c r="S319" s="80">
        <f>IFERROR(__xludf.DUMMYFUNCTION("""COMPUTED_VALUE"""),125.40000001167878)</f>
        <v>125.4</v>
      </c>
      <c r="T319" s="80">
        <f>IFERROR(__xludf.DUMMYFUNCTION("""COMPUTED_VALUE"""),48.766856631187046)</f>
        <v>48.76685663</v>
      </c>
      <c r="U319" s="71">
        <f>IFERROR(__xludf.DUMMYFUNCTION("""COMPUTED_VALUE"""),611.0)</f>
        <v>611</v>
      </c>
      <c r="V319" s="78">
        <f>IFERROR(__xludf.DUMMYFUNCTION("""COMPUTED_VALUE"""),0.43680555554601597)</f>
        <v>0.4368055555</v>
      </c>
      <c r="W319" s="62">
        <f>IFERROR(__xludf.DUMMYFUNCTION("""COMPUTED_VALUE"""),58.282988872497036)</f>
        <v>58.28298887</v>
      </c>
      <c r="X319" s="80">
        <f>IFERROR(__xludf.DUMMYFUNCTION("""COMPUTED_VALUE"""),67.92514247630999)</f>
        <v>67.92514248</v>
      </c>
      <c r="Y319" s="109">
        <f>IFERROR(__xludf.DUMMYFUNCTION("""COMPUTED_VALUE"""),1.4044740413669572)</f>
        <v>1.404474041</v>
      </c>
      <c r="Z319" s="71"/>
      <c r="AA319" s="71"/>
      <c r="AB319" s="71"/>
    </row>
    <row r="320">
      <c r="A320" s="105">
        <f>IFERROR(__xludf.DUMMYFUNCTION("""COMPUTED_VALUE"""),46141.3854802662)</f>
        <v>46141.38548</v>
      </c>
      <c r="B320" s="71" t="str">
        <f>IFERROR(__xludf.DUMMYFUNCTION("""COMPUTED_VALUE"""),"Kaylie Forgue")</f>
        <v>Kaylie Forgue</v>
      </c>
      <c r="C320" s="71" t="b">
        <f>IFERROR(__xludf.DUMMYFUNCTION("""COMPUTED_VALUE"""),FALSE)</f>
        <v>0</v>
      </c>
      <c r="D320" s="132">
        <f>IFERROR(__xludf.DUMMYFUNCTION("""COMPUTED_VALUE"""),0.31597222221898846)</f>
        <v>0.3159722222</v>
      </c>
      <c r="E320" s="78">
        <f>IFERROR(__xludf.DUMMYFUNCTION("""COMPUTED_VALUE"""),0.06805555555911269)</f>
        <v>0.06805555556</v>
      </c>
      <c r="F320" s="132">
        <f>IFERROR(__xludf.DUMMYFUNCTION("""COMPUTED_VALUE"""),0.38402777777810115)</f>
        <v>0.3840277778</v>
      </c>
      <c r="G320" s="78">
        <f>IFERROR(__xludf.DUMMYFUNCTION("""COMPUTED_VALUE"""),0.11041666667006211)</f>
        <v>0.1104166667</v>
      </c>
      <c r="H320" s="71">
        <f>IFERROR(__xludf.DUMMYFUNCTION("""COMPUTED_VALUE"""),67.0)</f>
        <v>67</v>
      </c>
      <c r="I320" s="80">
        <f>IFERROR(__xludf.DUMMYFUNCTION("""COMPUTED_VALUE"""),34.716981131007884)</f>
        <v>34.71698113</v>
      </c>
      <c r="J320" s="71" t="str">
        <f>IFERROR(__xludf.DUMMYFUNCTION("""COMPUTED_VALUE"""),"Breakfast")</f>
        <v>Breakfast</v>
      </c>
      <c r="K320" s="106">
        <f>IFERROR(__xludf.DUMMYFUNCTION("""COMPUTED_VALUE"""),46141.0)</f>
        <v>46141</v>
      </c>
      <c r="L320" s="71" t="str">
        <f>IFERROR(__xludf.DUMMYFUNCTION("""COMPUTED_VALUE"""),"Wednesday")</f>
        <v>Wednesday</v>
      </c>
      <c r="M320" s="71" t="str">
        <f>IFERROR(__xludf.DUMMYFUNCTION("""COMPUTED_VALUE"""),"BF")</f>
        <v>BF</v>
      </c>
      <c r="N320" s="109">
        <f>IFERROR(__xludf.DUMMYFUNCTION("""COMPUTED_VALUE"""),1.224556824160801)</f>
        <v>1.224556824</v>
      </c>
      <c r="O320" s="71" t="str">
        <f>IFERROR(__xludf.DUMMYFUNCTION("""COMPUTED_VALUE"""),"")</f>
        <v/>
      </c>
      <c r="P320" s="71" t="str">
        <f>IFERROR(__xludf.DUMMYFUNCTION("""COMPUTED_VALUE"""),"")</f>
        <v/>
      </c>
      <c r="Q320" s="78" t="str">
        <f>IFERROR(__xludf.DUMMYFUNCTION("""COMPUTED_VALUE"""),"")</f>
        <v/>
      </c>
      <c r="R320" s="78" t="str">
        <f>IFERROR(__xludf.DUMMYFUNCTION("""COMPUTED_VALUE"""),"")</f>
        <v/>
      </c>
      <c r="S320" s="80" t="str">
        <f>IFERROR(__xludf.DUMMYFUNCTION("""COMPUTED_VALUE"""),"")</f>
        <v/>
      </c>
      <c r="T320" s="80" t="str">
        <f>IFERROR(__xludf.DUMMYFUNCTION("""COMPUTED_VALUE"""),"")</f>
        <v/>
      </c>
      <c r="U320" s="71" t="str">
        <f>IFERROR(__xludf.DUMMYFUNCTION("""COMPUTED_VALUE"""),"")</f>
        <v/>
      </c>
      <c r="V320" s="78" t="str">
        <f>IFERROR(__xludf.DUMMYFUNCTION("""COMPUTED_VALUE"""),"")</f>
        <v/>
      </c>
      <c r="W320" s="62" t="str">
        <f>IFERROR(__xludf.DUMMYFUNCTION("""COMPUTED_VALUE"""),"")</f>
        <v/>
      </c>
      <c r="X320" s="80" t="str">
        <f>IFERROR(__xludf.DUMMYFUNCTION("""COMPUTED_VALUE"""),"")</f>
        <v/>
      </c>
      <c r="Y320" s="109" t="str">
        <f>IFERROR(__xludf.DUMMYFUNCTION("""COMPUTED_VALUE"""),"")</f>
        <v/>
      </c>
      <c r="Z320" s="71"/>
      <c r="AA320" s="71"/>
      <c r="AB320" s="71"/>
    </row>
    <row r="321">
      <c r="A321" s="105">
        <f>IFERROR(__xludf.DUMMYFUNCTION("""COMPUTED_VALUE"""),46141.42913446759)</f>
        <v>46141.42913</v>
      </c>
      <c r="B321" s="71" t="str">
        <f>IFERROR(__xludf.DUMMYFUNCTION("""COMPUTED_VALUE"""),"Kaylie Forgue")</f>
        <v>Kaylie Forgue</v>
      </c>
      <c r="C321" s="71" t="b">
        <f>IFERROR(__xludf.DUMMYFUNCTION("""COMPUTED_VALUE"""),TRUE)</f>
        <v>1</v>
      </c>
      <c r="D321" s="132">
        <f>IFERROR(__xludf.DUMMYFUNCTION("""COMPUTED_VALUE"""),0.38472222222480923)</f>
        <v>0.3847222222</v>
      </c>
      <c r="E321" s="78">
        <f>IFERROR(__xludf.DUMMYFUNCTION("""COMPUTED_VALUE"""),0.04236111111094942)</f>
        <v>0.04236111111</v>
      </c>
      <c r="F321" s="132">
        <f>IFERROR(__xludf.DUMMYFUNCTION("""COMPUTED_VALUE"""),0.42708333333575865)</f>
        <v>0.4270833333</v>
      </c>
      <c r="G321" s="78" t="str">
        <f>IFERROR(__xludf.DUMMYFUNCTION("""COMPUTED_VALUE"""),"")</f>
        <v/>
      </c>
      <c r="H321" s="71">
        <f>IFERROR(__xludf.DUMMYFUNCTION("""COMPUTED_VALUE"""),25.0)</f>
        <v>25</v>
      </c>
      <c r="I321" s="80" t="str">
        <f>IFERROR(__xludf.DUMMYFUNCTION("""COMPUTED_VALUE"""),"")</f>
        <v/>
      </c>
      <c r="J321" s="71" t="str">
        <f>IFERROR(__xludf.DUMMYFUNCTION("""COMPUTED_VALUE"""),"Breakfast")</f>
        <v>Breakfast</v>
      </c>
      <c r="K321" s="106">
        <f>IFERROR(__xludf.DUMMYFUNCTION("""COMPUTED_VALUE"""),46141.0)</f>
        <v>46141</v>
      </c>
      <c r="L321" s="71" t="str">
        <f>IFERROR(__xludf.DUMMYFUNCTION("""COMPUTED_VALUE"""),"Wednesday")</f>
        <v>Wednesday</v>
      </c>
      <c r="M321" s="71" t="str">
        <f>IFERROR(__xludf.DUMMYFUNCTION("""COMPUTED_VALUE"""),"BF")</f>
        <v>BF</v>
      </c>
      <c r="N321" s="109" t="str">
        <f>IFERROR(__xludf.DUMMYFUNCTION("""COMPUTED_VALUE"""),"")</f>
        <v/>
      </c>
      <c r="O321" s="71" t="str">
        <f>IFERROR(__xludf.DUMMYFUNCTION("""COMPUTED_VALUE"""),"")</f>
        <v/>
      </c>
      <c r="P321" s="71" t="str">
        <f>IFERROR(__xludf.DUMMYFUNCTION("""COMPUTED_VALUE"""),"")</f>
        <v/>
      </c>
      <c r="Q321" s="78" t="str">
        <f>IFERROR(__xludf.DUMMYFUNCTION("""COMPUTED_VALUE"""),"")</f>
        <v/>
      </c>
      <c r="R321" s="78" t="str">
        <f>IFERROR(__xludf.DUMMYFUNCTION("""COMPUTED_VALUE"""),"")</f>
        <v/>
      </c>
      <c r="S321" s="80" t="str">
        <f>IFERROR(__xludf.DUMMYFUNCTION("""COMPUTED_VALUE"""),"")</f>
        <v/>
      </c>
      <c r="T321" s="80" t="str">
        <f>IFERROR(__xludf.DUMMYFUNCTION("""COMPUTED_VALUE"""),"")</f>
        <v/>
      </c>
      <c r="U321" s="71" t="str">
        <f>IFERROR(__xludf.DUMMYFUNCTION("""COMPUTED_VALUE"""),"")</f>
        <v/>
      </c>
      <c r="V321" s="78" t="str">
        <f>IFERROR(__xludf.DUMMYFUNCTION("""COMPUTED_VALUE"""),"")</f>
        <v/>
      </c>
      <c r="W321" s="62" t="str">
        <f>IFERROR(__xludf.DUMMYFUNCTION("""COMPUTED_VALUE"""),"")</f>
        <v/>
      </c>
      <c r="X321" s="80" t="str">
        <f>IFERROR(__xludf.DUMMYFUNCTION("""COMPUTED_VALUE"""),"")</f>
        <v/>
      </c>
      <c r="Y321" s="109" t="str">
        <f>IFERROR(__xludf.DUMMYFUNCTION("""COMPUTED_VALUE"""),"")</f>
        <v/>
      </c>
      <c r="Z321" s="71"/>
      <c r="AA321" s="71"/>
      <c r="AB321" s="71"/>
    </row>
    <row r="322">
      <c r="A322" s="105">
        <f>IFERROR(__xludf.DUMMYFUNCTION("""COMPUTED_VALUE"""),46141.489812314816)</f>
        <v>46141.48981</v>
      </c>
      <c r="B322" s="71" t="str">
        <f>IFERROR(__xludf.DUMMYFUNCTION("""COMPUTED_VALUE"""),"Oluwatimilehin Shodipe")</f>
        <v>Oluwatimilehin Shodipe</v>
      </c>
      <c r="C322" s="71" t="b">
        <f>IFERROR(__xludf.DUMMYFUNCTION("""COMPUTED_VALUE"""),FALSE)</f>
        <v>0</v>
      </c>
      <c r="D322" s="132">
        <f>IFERROR(__xludf.DUMMYFUNCTION("""COMPUTED_VALUE"""),0.4305555555547471)</f>
        <v>0.4305555556</v>
      </c>
      <c r="E322" s="78">
        <f>IFERROR(__xludf.DUMMYFUNCTION("""COMPUTED_VALUE"""),0.05902777778101154)</f>
        <v>0.05902777778</v>
      </c>
      <c r="F322" s="132">
        <f>IFERROR(__xludf.DUMMYFUNCTION("""COMPUTED_VALUE"""),0.48958333333575865)</f>
        <v>0.4895833333</v>
      </c>
      <c r="G322" s="78">
        <f>IFERROR(__xludf.DUMMYFUNCTION("""COMPUTED_VALUE"""),0.05902777778101154)</f>
        <v>0.05902777778</v>
      </c>
      <c r="H322" s="71">
        <f>IFERROR(__xludf.DUMMYFUNCTION("""COMPUTED_VALUE"""),68.0)</f>
        <v>68</v>
      </c>
      <c r="I322" s="80">
        <f>IFERROR(__xludf.DUMMYFUNCTION("""COMPUTED_VALUE"""),47.99999999737038)</f>
        <v>48</v>
      </c>
      <c r="J322" s="71" t="str">
        <f>IFERROR(__xludf.DUMMYFUNCTION("""COMPUTED_VALUE"""),"Breakfast/Lunch")</f>
        <v>Breakfast/Lunch</v>
      </c>
      <c r="K322" s="106">
        <f>IFERROR(__xludf.DUMMYFUNCTION("""COMPUTED_VALUE"""),46141.0)</f>
        <v>46141</v>
      </c>
      <c r="L322" s="71" t="str">
        <f>IFERROR(__xludf.DUMMYFUNCTION("""COMPUTED_VALUE"""),"Wednesday")</f>
        <v>Wednesday</v>
      </c>
      <c r="M322" s="71" t="str">
        <f>IFERROR(__xludf.DUMMYFUNCTION("""COMPUTED_VALUE"""),"BF")</f>
        <v>BF</v>
      </c>
      <c r="N322" s="109">
        <f>IFERROR(__xludf.DUMMYFUNCTION("""COMPUTED_VALUE"""),1.3301078113780065)</f>
        <v>1.330107811</v>
      </c>
      <c r="O322" s="71" t="str">
        <f>IFERROR(__xludf.DUMMYFUNCTION("""COMPUTED_VALUE"""),"")</f>
        <v/>
      </c>
      <c r="P322" s="71" t="str">
        <f>IFERROR(__xludf.DUMMYFUNCTION("""COMPUTED_VALUE"""),"")</f>
        <v/>
      </c>
      <c r="Q322" s="78" t="str">
        <f>IFERROR(__xludf.DUMMYFUNCTION("""COMPUTED_VALUE"""),"")</f>
        <v/>
      </c>
      <c r="R322" s="78" t="str">
        <f>IFERROR(__xludf.DUMMYFUNCTION("""COMPUTED_VALUE"""),"")</f>
        <v/>
      </c>
      <c r="S322" s="80" t="str">
        <f>IFERROR(__xludf.DUMMYFUNCTION("""COMPUTED_VALUE"""),"")</f>
        <v/>
      </c>
      <c r="T322" s="80" t="str">
        <f>IFERROR(__xludf.DUMMYFUNCTION("""COMPUTED_VALUE"""),"")</f>
        <v/>
      </c>
      <c r="U322" s="71" t="str">
        <f>IFERROR(__xludf.DUMMYFUNCTION("""COMPUTED_VALUE"""),"")</f>
        <v/>
      </c>
      <c r="V322" s="78" t="str">
        <f>IFERROR(__xludf.DUMMYFUNCTION("""COMPUTED_VALUE"""),"")</f>
        <v/>
      </c>
      <c r="W322" s="62" t="str">
        <f>IFERROR(__xludf.DUMMYFUNCTION("""COMPUTED_VALUE"""),"")</f>
        <v/>
      </c>
      <c r="X322" s="80" t="str">
        <f>IFERROR(__xludf.DUMMYFUNCTION("""COMPUTED_VALUE"""),"")</f>
        <v/>
      </c>
      <c r="Y322" s="109" t="str">
        <f>IFERROR(__xludf.DUMMYFUNCTION("""COMPUTED_VALUE"""),"")</f>
        <v/>
      </c>
      <c r="Z322" s="71"/>
      <c r="AA322" s="71"/>
      <c r="AB322" s="71"/>
    </row>
    <row r="323">
      <c r="A323" s="105">
        <f>IFERROR(__xludf.DUMMYFUNCTION("""COMPUTED_VALUE"""),46141.62022989584)</f>
        <v>46141.62023</v>
      </c>
      <c r="B323" s="71" t="str">
        <f>IFERROR(__xludf.DUMMYFUNCTION("""COMPUTED_VALUE"""),"Evan Morgan")</f>
        <v>Evan Morgan</v>
      </c>
      <c r="C323" s="71" t="b">
        <f>IFERROR(__xludf.DUMMYFUNCTION("""COMPUTED_VALUE"""),FALSE)</f>
        <v>0</v>
      </c>
      <c r="D323" s="132">
        <f>IFERROR(__xludf.DUMMYFUNCTION("""COMPUTED_VALUE"""),0.5416666666642413)</f>
        <v>0.5416666667</v>
      </c>
      <c r="E323" s="78">
        <f>IFERROR(__xludf.DUMMYFUNCTION("""COMPUTED_VALUE"""),0.07638888889050577)</f>
        <v>0.07638888889</v>
      </c>
      <c r="F323" s="132">
        <f>IFERROR(__xludf.DUMMYFUNCTION("""COMPUTED_VALUE"""),0.6180555555547471)</f>
        <v>0.6180555556</v>
      </c>
      <c r="G323" s="78">
        <f>IFERROR(__xludf.DUMMYFUNCTION("""COMPUTED_VALUE"""),0.07638888889050577)</f>
        <v>0.07638888889</v>
      </c>
      <c r="H323" s="71">
        <f>IFERROR(__xludf.DUMMYFUNCTION("""COMPUTED_VALUE"""),101.0)</f>
        <v>101</v>
      </c>
      <c r="I323" s="80">
        <f>IFERROR(__xludf.DUMMYFUNCTION("""COMPUTED_VALUE"""),55.090909089743015)</f>
        <v>55.09090909</v>
      </c>
      <c r="J323" s="71" t="str">
        <f>IFERROR(__xludf.DUMMYFUNCTION("""COMPUTED_VALUE"""),"Lunch")</f>
        <v>Lunch</v>
      </c>
      <c r="K323" s="106">
        <f>IFERROR(__xludf.DUMMYFUNCTION("""COMPUTED_VALUE"""),46141.0)</f>
        <v>46141</v>
      </c>
      <c r="L323" s="71" t="str">
        <f>IFERROR(__xludf.DUMMYFUNCTION("""COMPUTED_VALUE"""),"Wednesday")</f>
        <v>Wednesday</v>
      </c>
      <c r="M323" s="71" t="str">
        <f>IFERROR(__xludf.DUMMYFUNCTION("""COMPUTED_VALUE"""),"MF")</f>
        <v>MF</v>
      </c>
      <c r="N323" s="109">
        <f>IFERROR(__xludf.DUMMYFUNCTION("""COMPUTED_VALUE"""),1.0957369654060898)</f>
        <v>1.095736965</v>
      </c>
      <c r="O323" s="71" t="str">
        <f>IFERROR(__xludf.DUMMYFUNCTION("""COMPUTED_VALUE"""),"")</f>
        <v/>
      </c>
      <c r="P323" s="71" t="str">
        <f>IFERROR(__xludf.DUMMYFUNCTION("""COMPUTED_VALUE"""),"")</f>
        <v/>
      </c>
      <c r="Q323" s="78" t="str">
        <f>IFERROR(__xludf.DUMMYFUNCTION("""COMPUTED_VALUE"""),"")</f>
        <v/>
      </c>
      <c r="R323" s="78" t="str">
        <f>IFERROR(__xludf.DUMMYFUNCTION("""COMPUTED_VALUE"""),"")</f>
        <v/>
      </c>
      <c r="S323" s="80" t="str">
        <f>IFERROR(__xludf.DUMMYFUNCTION("""COMPUTED_VALUE"""),"")</f>
        <v/>
      </c>
      <c r="T323" s="80" t="str">
        <f>IFERROR(__xludf.DUMMYFUNCTION("""COMPUTED_VALUE"""),"")</f>
        <v/>
      </c>
      <c r="U323" s="71" t="str">
        <f>IFERROR(__xludf.DUMMYFUNCTION("""COMPUTED_VALUE"""),"")</f>
        <v/>
      </c>
      <c r="V323" s="78" t="str">
        <f>IFERROR(__xludf.DUMMYFUNCTION("""COMPUTED_VALUE"""),"")</f>
        <v/>
      </c>
      <c r="W323" s="62" t="str">
        <f>IFERROR(__xludf.DUMMYFUNCTION("""COMPUTED_VALUE"""),"")</f>
        <v/>
      </c>
      <c r="X323" s="80" t="str">
        <f>IFERROR(__xludf.DUMMYFUNCTION("""COMPUTED_VALUE"""),"")</f>
        <v/>
      </c>
      <c r="Y323" s="109" t="str">
        <f>IFERROR(__xludf.DUMMYFUNCTION("""COMPUTED_VALUE"""),"")</f>
        <v/>
      </c>
      <c r="Z323" s="71"/>
      <c r="AA323" s="71"/>
      <c r="AB323" s="71"/>
    </row>
    <row r="324">
      <c r="A324" s="105">
        <f>IFERROR(__xludf.DUMMYFUNCTION("""COMPUTED_VALUE"""),46141.73091672454)</f>
        <v>46141.73092</v>
      </c>
      <c r="B324" s="71" t="str">
        <f>IFERROR(__xludf.DUMMYFUNCTION("""COMPUTED_VALUE"""),"Evan Morgan")</f>
        <v>Evan Morgan</v>
      </c>
      <c r="C324" s="71" t="b">
        <f>IFERROR(__xludf.DUMMYFUNCTION("""COMPUTED_VALUE"""),FALSE)</f>
        <v>0</v>
      </c>
      <c r="D324" s="132">
        <f>IFERROR(__xludf.DUMMYFUNCTION("""COMPUTED_VALUE"""),0.6666666666642413)</f>
        <v>0.6666666667</v>
      </c>
      <c r="E324" s="78">
        <f>IFERROR(__xludf.DUMMYFUNCTION("""COMPUTED_VALUE"""),0.06388888889131417)</f>
        <v>0.06388888889</v>
      </c>
      <c r="F324" s="132">
        <f>IFERROR(__xludf.DUMMYFUNCTION("""COMPUTED_VALUE"""),0.7305555555555555)</f>
        <v>0.7305555556</v>
      </c>
      <c r="G324" s="78">
        <f>IFERROR(__xludf.DUMMYFUNCTION("""COMPUTED_VALUE"""),0.06388888889131417)</f>
        <v>0.06388888889</v>
      </c>
      <c r="H324" s="71">
        <f>IFERROR(__xludf.DUMMYFUNCTION("""COMPUTED_VALUE"""),47.0)</f>
        <v>47</v>
      </c>
      <c r="I324" s="80">
        <f>IFERROR(__xludf.DUMMYFUNCTION("""COMPUTED_VALUE"""),30.652173911879895)</f>
        <v>30.65217391</v>
      </c>
      <c r="J324" s="71" t="str">
        <f>IFERROR(__xludf.DUMMYFUNCTION("""COMPUTED_VALUE"""),"Dinner")</f>
        <v>Dinner</v>
      </c>
      <c r="K324" s="106">
        <f>IFERROR(__xludf.DUMMYFUNCTION("""COMPUTED_VALUE"""),46141.0)</f>
        <v>46141</v>
      </c>
      <c r="L324" s="71" t="str">
        <f>IFERROR(__xludf.DUMMYFUNCTION("""COMPUTED_VALUE"""),"Wednesday")</f>
        <v>Wednesday</v>
      </c>
      <c r="M324" s="71" t="str">
        <f>IFERROR(__xludf.DUMMYFUNCTION("""COMPUTED_VALUE"""),"MF")</f>
        <v>MF</v>
      </c>
      <c r="N324" s="109">
        <f>IFERROR(__xludf.DUMMYFUNCTION("""COMPUTED_VALUE"""),0.6608966249153845)</f>
        <v>0.6608966249</v>
      </c>
      <c r="O324" s="71">
        <f>IFERROR(__xludf.DUMMYFUNCTION("""COMPUTED_VALUE"""),148.0)</f>
        <v>148</v>
      </c>
      <c r="P324" s="71">
        <f>IFERROR(__xludf.DUMMYFUNCTION("""COMPUTED_VALUE"""),160.0)</f>
        <v>160</v>
      </c>
      <c r="Q324" s="78">
        <f>IFERROR(__xludf.DUMMYFUNCTION("""COMPUTED_VALUE"""),0.14027777778181993)</f>
        <v>0.1402777778</v>
      </c>
      <c r="R324" s="78">
        <f>IFERROR(__xludf.DUMMYFUNCTION("""COMPUTED_VALUE"""),0.16944444445107365)</f>
        <v>0.1694444445</v>
      </c>
      <c r="S324" s="80">
        <f>IFERROR(__xludf.DUMMYFUNCTION("""COMPUTED_VALUE"""),42.87154150081145)</f>
        <v>42.8715415</v>
      </c>
      <c r="T324" s="80">
        <f>IFERROR(__xludf.DUMMYFUNCTION("""COMPUTED_VALUE"""),41.35849056418913)</f>
        <v>41.35849056</v>
      </c>
      <c r="U324" s="71">
        <f>IFERROR(__xludf.DUMMYFUNCTION("""COMPUTED_VALUE"""),308.0)</f>
        <v>308</v>
      </c>
      <c r="V324" s="78">
        <f>IFERROR(__xludf.DUMMYFUNCTION("""COMPUTED_VALUE"""),0.3097222222328936)</f>
        <v>0.3097222222</v>
      </c>
      <c r="W324" s="62">
        <f>IFERROR(__xludf.DUMMYFUNCTION("""COMPUTED_VALUE"""),41.43497757704771)</f>
        <v>41.43497758</v>
      </c>
      <c r="X324" s="80">
        <f>IFERROR(__xludf.DUMMYFUNCTION("""COMPUTED_VALUE"""),42.11501603250029)</f>
        <v>42.11501603</v>
      </c>
      <c r="Y324" s="109">
        <f>IFERROR(__xludf.DUMMYFUNCTION("""COMPUTED_VALUE"""),0.69457927631243)</f>
        <v>0.6945792763</v>
      </c>
      <c r="Z324" s="71"/>
      <c r="AA324" s="71"/>
      <c r="AB324" s="71"/>
    </row>
    <row r="325">
      <c r="A325" s="105">
        <f>IFERROR(__xludf.DUMMYFUNCTION("""COMPUTED_VALUE"""),46142.361910266205)</f>
        <v>46142.36191</v>
      </c>
      <c r="B325" s="71" t="str">
        <f>IFERROR(__xludf.DUMMYFUNCTION("""COMPUTED_VALUE"""),"Evan Morgan")</f>
        <v>Evan Morgan</v>
      </c>
      <c r="C325" s="71" t="b">
        <f>IFERROR(__xludf.DUMMYFUNCTION("""COMPUTED_VALUE"""),FALSE)</f>
        <v>0</v>
      </c>
      <c r="D325" s="132">
        <f>IFERROR(__xludf.DUMMYFUNCTION("""COMPUTED_VALUE"""),0.29166666666424135)</f>
        <v>0.2916666667</v>
      </c>
      <c r="E325" s="78">
        <f>IFERROR(__xludf.DUMMYFUNCTION("""COMPUTED_VALUE"""),0.06944444444525288)</f>
        <v>0.06944444445</v>
      </c>
      <c r="F325" s="132">
        <f>IFERROR(__xludf.DUMMYFUNCTION("""COMPUTED_VALUE"""),0.36111111110949423)</f>
        <v>0.3611111111</v>
      </c>
      <c r="G325" s="78">
        <f>IFERROR(__xludf.DUMMYFUNCTION("""COMPUTED_VALUE"""),0.06944444444525288)</f>
        <v>0.06944444445</v>
      </c>
      <c r="H325" s="71">
        <f>IFERROR(__xludf.DUMMYFUNCTION("""COMPUTED_VALUE"""),6.0)</f>
        <v>6</v>
      </c>
      <c r="I325" s="80">
        <f>IFERROR(__xludf.DUMMYFUNCTION("""COMPUTED_VALUE"""),3.5999999999580905)</f>
        <v>3.6</v>
      </c>
      <c r="J325" s="71" t="str">
        <f>IFERROR(__xludf.DUMMYFUNCTION("""COMPUTED_VALUE"""),"Breakfast")</f>
        <v>Breakfast</v>
      </c>
      <c r="K325" s="106">
        <f>IFERROR(__xludf.DUMMYFUNCTION("""COMPUTED_VALUE"""),46142.0)</f>
        <v>46142</v>
      </c>
      <c r="L325" s="71" t="str">
        <f>IFERROR(__xludf.DUMMYFUNCTION("""COMPUTED_VALUE"""),"Thursday")</f>
        <v>Thursday</v>
      </c>
      <c r="M325" s="71" t="str">
        <f>IFERROR(__xludf.DUMMYFUNCTION("""COMPUTED_VALUE"""),"MF")</f>
        <v>MF</v>
      </c>
      <c r="N325" s="109">
        <f>IFERROR(__xludf.DUMMYFUNCTION("""COMPUTED_VALUE"""),0.08037323081053913)</f>
        <v>0.08037323081</v>
      </c>
      <c r="O325" s="71" t="str">
        <f>IFERROR(__xludf.DUMMYFUNCTION("""COMPUTED_VALUE"""),"")</f>
        <v/>
      </c>
      <c r="P325" s="71" t="str">
        <f>IFERROR(__xludf.DUMMYFUNCTION("""COMPUTED_VALUE"""),"")</f>
        <v/>
      </c>
      <c r="Q325" s="78" t="str">
        <f>IFERROR(__xludf.DUMMYFUNCTION("""COMPUTED_VALUE"""),"")</f>
        <v/>
      </c>
      <c r="R325" s="78" t="str">
        <f>IFERROR(__xludf.DUMMYFUNCTION("""COMPUTED_VALUE"""),"")</f>
        <v/>
      </c>
      <c r="S325" s="80" t="str">
        <f>IFERROR(__xludf.DUMMYFUNCTION("""COMPUTED_VALUE"""),"")</f>
        <v/>
      </c>
      <c r="T325" s="80" t="str">
        <f>IFERROR(__xludf.DUMMYFUNCTION("""COMPUTED_VALUE"""),"")</f>
        <v/>
      </c>
      <c r="U325" s="71" t="str">
        <f>IFERROR(__xludf.DUMMYFUNCTION("""COMPUTED_VALUE"""),"")</f>
        <v/>
      </c>
      <c r="V325" s="78" t="str">
        <f>IFERROR(__xludf.DUMMYFUNCTION("""COMPUTED_VALUE"""),"")</f>
        <v/>
      </c>
      <c r="W325" s="62" t="str">
        <f>IFERROR(__xludf.DUMMYFUNCTION("""COMPUTED_VALUE"""),"")</f>
        <v/>
      </c>
      <c r="X325" s="80" t="str">
        <f>IFERROR(__xludf.DUMMYFUNCTION("""COMPUTED_VALUE"""),"")</f>
        <v/>
      </c>
      <c r="Y325" s="109" t="str">
        <f>IFERROR(__xludf.DUMMYFUNCTION("""COMPUTED_VALUE"""),"")</f>
        <v/>
      </c>
      <c r="Z325" s="71"/>
      <c r="AA325" s="71"/>
      <c r="AB325" s="71"/>
    </row>
    <row r="326">
      <c r="A326" s="105">
        <f>IFERROR(__xludf.DUMMYFUNCTION("""COMPUTED_VALUE"""),46142.52674046296)</f>
        <v>46142.52674</v>
      </c>
      <c r="B326" s="71" t="str">
        <f>IFERROR(__xludf.DUMMYFUNCTION("""COMPUTED_VALUE"""),"Emmett Khan")</f>
        <v>Emmett Khan</v>
      </c>
      <c r="C326" s="71" t="b">
        <f>IFERROR(__xludf.DUMMYFUNCTION("""COMPUTED_VALUE"""),FALSE)</f>
        <v>0</v>
      </c>
      <c r="D326" s="132">
        <f>IFERROR(__xludf.DUMMYFUNCTION("""COMPUTED_VALUE"""),0.47916666666424135)</f>
        <v>0.4791666667</v>
      </c>
      <c r="E326" s="78">
        <f>IFERROR(__xludf.DUMMYFUNCTION("""COMPUTED_VALUE"""),0.05208333333575865)</f>
        <v>0.05208333334</v>
      </c>
      <c r="F326" s="132">
        <f>IFERROR(__xludf.DUMMYFUNCTION("""COMPUTED_VALUE"""),0.53125)</f>
        <v>0.53125</v>
      </c>
      <c r="G326" s="78">
        <f>IFERROR(__xludf.DUMMYFUNCTION("""COMPUTED_VALUE"""),0.05208333333575865)</f>
        <v>0.05208333334</v>
      </c>
      <c r="H326" s="71">
        <f>IFERROR(__xludf.DUMMYFUNCTION("""COMPUTED_VALUE"""),47.0)</f>
        <v>47</v>
      </c>
      <c r="I326" s="80">
        <f>IFERROR(__xludf.DUMMYFUNCTION("""COMPUTED_VALUE"""),37.59999999824911)</f>
        <v>37.6</v>
      </c>
      <c r="J326" s="71" t="str">
        <f>IFERROR(__xludf.DUMMYFUNCTION("""COMPUTED_VALUE"""),"Lunch")</f>
        <v>Lunch</v>
      </c>
      <c r="K326" s="106">
        <f>IFERROR(__xludf.DUMMYFUNCTION("""COMPUTED_VALUE"""),46142.0)</f>
        <v>46142</v>
      </c>
      <c r="L326" s="71" t="str">
        <f>IFERROR(__xludf.DUMMYFUNCTION("""COMPUTED_VALUE"""),"Thursday")</f>
        <v>Thursday</v>
      </c>
      <c r="M326" s="71" t="str">
        <f>IFERROR(__xludf.DUMMYFUNCTION("""COMPUTED_VALUE"""),"MF")</f>
        <v>MF</v>
      </c>
      <c r="N326" s="109">
        <f>IFERROR(__xludf.DUMMYFUNCTION("""COMPUTED_VALUE"""),0.747849519604699)</f>
        <v>0.7478495196</v>
      </c>
      <c r="O326" s="71" t="str">
        <f>IFERROR(__xludf.DUMMYFUNCTION("""COMPUTED_VALUE"""),"")</f>
        <v/>
      </c>
      <c r="P326" s="71" t="str">
        <f>IFERROR(__xludf.DUMMYFUNCTION("""COMPUTED_VALUE"""),"")</f>
        <v/>
      </c>
      <c r="Q326" s="78" t="str">
        <f>IFERROR(__xludf.DUMMYFUNCTION("""COMPUTED_VALUE"""),"")</f>
        <v/>
      </c>
      <c r="R326" s="78" t="str">
        <f>IFERROR(__xludf.DUMMYFUNCTION("""COMPUTED_VALUE"""),"")</f>
        <v/>
      </c>
      <c r="S326" s="80" t="str">
        <f>IFERROR(__xludf.DUMMYFUNCTION("""COMPUTED_VALUE"""),"")</f>
        <v/>
      </c>
      <c r="T326" s="80" t="str">
        <f>IFERROR(__xludf.DUMMYFUNCTION("""COMPUTED_VALUE"""),"")</f>
        <v/>
      </c>
      <c r="U326" s="71" t="str">
        <f>IFERROR(__xludf.DUMMYFUNCTION("""COMPUTED_VALUE"""),"")</f>
        <v/>
      </c>
      <c r="V326" s="78" t="str">
        <f>IFERROR(__xludf.DUMMYFUNCTION("""COMPUTED_VALUE"""),"")</f>
        <v/>
      </c>
      <c r="W326" s="62" t="str">
        <f>IFERROR(__xludf.DUMMYFUNCTION("""COMPUTED_VALUE"""),"")</f>
        <v/>
      </c>
      <c r="X326" s="80" t="str">
        <f>IFERROR(__xludf.DUMMYFUNCTION("""COMPUTED_VALUE"""),"")</f>
        <v/>
      </c>
      <c r="Y326" s="109" t="str">
        <f>IFERROR(__xludf.DUMMYFUNCTION("""COMPUTED_VALUE"""),"")</f>
        <v/>
      </c>
      <c r="Z326" s="71"/>
      <c r="AA326" s="71"/>
      <c r="AB326" s="71"/>
    </row>
    <row r="327">
      <c r="A327" s="105">
        <f>IFERROR(__xludf.DUMMYFUNCTION("""COMPUTED_VALUE"""),46142.77620759259)</f>
        <v>46142.77621</v>
      </c>
      <c r="B327" s="71" t="str">
        <f>IFERROR(__xludf.DUMMYFUNCTION("""COMPUTED_VALUE"""),"Emmett Khan")</f>
        <v>Emmett Khan</v>
      </c>
      <c r="C327" s="71" t="b">
        <f>IFERROR(__xludf.DUMMYFUNCTION("""COMPUTED_VALUE"""),FALSE)</f>
        <v>0</v>
      </c>
      <c r="D327" s="132">
        <f>IFERROR(__xludf.DUMMYFUNCTION("""COMPUTED_VALUE"""),0.7083333333357587)</f>
        <v>0.7083333333</v>
      </c>
      <c r="E327" s="78">
        <f>IFERROR(__xludf.DUMMYFUNCTION("""COMPUTED_VALUE"""),0.07291666666424135)</f>
        <v>0.07291666666</v>
      </c>
      <c r="F327" s="132">
        <f>IFERROR(__xludf.DUMMYFUNCTION("""COMPUTED_VALUE"""),0.78125)</f>
        <v>0.78125</v>
      </c>
      <c r="G327" s="78">
        <f>IFERROR(__xludf.DUMMYFUNCTION("""COMPUTED_VALUE"""),0.07291666666424135)</f>
        <v>0.07291666666</v>
      </c>
      <c r="H327" s="71">
        <f>IFERROR(__xludf.DUMMYFUNCTION("""COMPUTED_VALUE"""),172.0)</f>
        <v>172</v>
      </c>
      <c r="I327" s="80">
        <f>IFERROR(__xludf.DUMMYFUNCTION("""COMPUTED_VALUE"""),98.28571428898341)</f>
        <v>98.28571429</v>
      </c>
      <c r="J327" s="71" t="str">
        <f>IFERROR(__xludf.DUMMYFUNCTION("""COMPUTED_VALUE"""),"Dinner")</f>
        <v>Dinner</v>
      </c>
      <c r="K327" s="106">
        <f>IFERROR(__xludf.DUMMYFUNCTION("""COMPUTED_VALUE"""),46142.0)</f>
        <v>46142</v>
      </c>
      <c r="L327" s="71" t="str">
        <f>IFERROR(__xludf.DUMMYFUNCTION("""COMPUTED_VALUE"""),"Thursday")</f>
        <v>Thursday</v>
      </c>
      <c r="M327" s="71" t="str">
        <f>IFERROR(__xludf.DUMMYFUNCTION("""COMPUTED_VALUE"""),"MF")</f>
        <v>MF</v>
      </c>
      <c r="N327" s="109">
        <f>IFERROR(__xludf.DUMMYFUNCTION("""COMPUTED_VALUE"""),2.1191546491197344)</f>
        <v>2.119154649</v>
      </c>
      <c r="O327" s="71">
        <f>IFERROR(__xludf.DUMMYFUNCTION("""COMPUTED_VALUE"""),225.0)</f>
        <v>225</v>
      </c>
      <c r="P327" s="71" t="str">
        <f>IFERROR(__xludf.DUMMYFUNCTION("""COMPUTED_VALUE"""),"")</f>
        <v/>
      </c>
      <c r="Q327" s="78">
        <f>IFERROR(__xludf.DUMMYFUNCTION("""COMPUTED_VALUE"""),0.19444444444525288)</f>
        <v>0.1944444444</v>
      </c>
      <c r="R327" s="78" t="str">
        <f>IFERROR(__xludf.DUMMYFUNCTION("""COMPUTED_VALUE"""),"")</f>
        <v/>
      </c>
      <c r="S327" s="80">
        <f>IFERROR(__xludf.DUMMYFUNCTION("""COMPUTED_VALUE"""),46.4952380957302)</f>
        <v>46.4952381</v>
      </c>
      <c r="T327" s="80" t="str">
        <f>IFERROR(__xludf.DUMMYFUNCTION("""COMPUTED_VALUE"""),"")</f>
        <v/>
      </c>
      <c r="U327" s="71">
        <f>IFERROR(__xludf.DUMMYFUNCTION("""COMPUTED_VALUE"""),225.0)</f>
        <v>225</v>
      </c>
      <c r="V327" s="78">
        <f>IFERROR(__xludf.DUMMYFUNCTION("""COMPUTED_VALUE"""),0.19444444444525288)</f>
        <v>0.1944444444</v>
      </c>
      <c r="W327" s="62">
        <f>IFERROR(__xludf.DUMMYFUNCTION("""COMPUTED_VALUE"""),48.21428571408526)</f>
        <v>48.21428571</v>
      </c>
      <c r="X327" s="80">
        <f>IFERROR(__xludf.DUMMYFUNCTION("""COMPUTED_VALUE"""),46.4952380957302)</f>
        <v>46.4952381</v>
      </c>
      <c r="Y327" s="109">
        <f>IFERROR(__xludf.DUMMYFUNCTION("""COMPUTED_VALUE"""),0.8642500730361551)</f>
        <v>0.864250073</v>
      </c>
      <c r="Z327" s="71"/>
      <c r="AA327" s="71"/>
      <c r="AB327" s="71"/>
    </row>
    <row r="328">
      <c r="A328" s="105">
        <f>IFERROR(__xludf.DUMMYFUNCTION("""COMPUTED_VALUE"""),46143.47423366898)</f>
        <v>46143.47423</v>
      </c>
      <c r="B328" s="71" t="str">
        <f>IFERROR(__xludf.DUMMYFUNCTION("""COMPUTED_VALUE"""),"Kaylie Forgue")</f>
        <v>Kaylie Forgue</v>
      </c>
      <c r="C328" s="71" t="b">
        <f>IFERROR(__xludf.DUMMYFUNCTION("""COMPUTED_VALUE"""),FALSE)</f>
        <v>0</v>
      </c>
      <c r="D328" s="132">
        <f>IFERROR(__xludf.DUMMYFUNCTION("""COMPUTED_VALUE"""),0.37222222222044365)</f>
        <v>0.3722222222</v>
      </c>
      <c r="E328" s="78">
        <f>IFERROR(__xludf.DUMMYFUNCTION("""COMPUTED_VALUE"""),0.06180555556056788)</f>
        <v>0.06180555556</v>
      </c>
      <c r="F328" s="132">
        <f>IFERROR(__xludf.DUMMYFUNCTION("""COMPUTED_VALUE"""),0.43402777778101154)</f>
        <v>0.4340277778</v>
      </c>
      <c r="G328" s="78">
        <f>IFERROR(__xludf.DUMMYFUNCTION("""COMPUTED_VALUE"""),0.06180555556056788)</f>
        <v>0.06180555556</v>
      </c>
      <c r="H328" s="71">
        <f>IFERROR(__xludf.DUMMYFUNCTION("""COMPUTED_VALUE"""),47.0)</f>
        <v>47</v>
      </c>
      <c r="I328" s="80">
        <f>IFERROR(__xludf.DUMMYFUNCTION("""COMPUTED_VALUE"""),31.685393255857335)</f>
        <v>31.68539326</v>
      </c>
      <c r="J328" s="71" t="str">
        <f>IFERROR(__xludf.DUMMYFUNCTION("""COMPUTED_VALUE"""),"Breakfast")</f>
        <v>Breakfast</v>
      </c>
      <c r="K328" s="106">
        <f>IFERROR(__xludf.DUMMYFUNCTION("""COMPUTED_VALUE"""),46143.0)</f>
        <v>46143</v>
      </c>
      <c r="L328" s="71" t="str">
        <f>IFERROR(__xludf.DUMMYFUNCTION("""COMPUTED_VALUE"""),"Friday")</f>
        <v>Friday</v>
      </c>
      <c r="M328" s="71" t="str">
        <f>IFERROR(__xludf.DUMMYFUNCTION("""COMPUTED_VALUE"""),"BF")</f>
        <v>BF</v>
      </c>
      <c r="N328" s="109">
        <f>IFERROR(__xludf.DUMMYFUNCTION("""COMPUTED_VALUE"""),1.1176249568262009)</f>
        <v>1.117624957</v>
      </c>
      <c r="O328" s="71" t="str">
        <f>IFERROR(__xludf.DUMMYFUNCTION("""COMPUTED_VALUE"""),"")</f>
        <v/>
      </c>
      <c r="P328" s="71">
        <f>IFERROR(__xludf.DUMMYFUNCTION("""COMPUTED_VALUE"""),47.0)</f>
        <v>47</v>
      </c>
      <c r="Q328" s="78" t="str">
        <f>IFERROR(__xludf.DUMMYFUNCTION("""COMPUTED_VALUE"""),"")</f>
        <v/>
      </c>
      <c r="R328" s="78">
        <f>IFERROR(__xludf.DUMMYFUNCTION("""COMPUTED_VALUE"""),0.06180555556056788)</f>
        <v>0.06180555556</v>
      </c>
      <c r="S328" s="80" t="str">
        <f>IFERROR(__xludf.DUMMYFUNCTION("""COMPUTED_VALUE"""),"")</f>
        <v/>
      </c>
      <c r="T328" s="80">
        <f>IFERROR(__xludf.DUMMYFUNCTION("""COMPUTED_VALUE"""),31.685393255857335)</f>
        <v>31.68539326</v>
      </c>
      <c r="U328" s="71">
        <f>IFERROR(__xludf.DUMMYFUNCTION("""COMPUTED_VALUE"""),47.0)</f>
        <v>47</v>
      </c>
      <c r="V328" s="78">
        <f>IFERROR(__xludf.DUMMYFUNCTION("""COMPUTED_VALUE"""),0.06180555556056788)</f>
        <v>0.06180555556</v>
      </c>
      <c r="W328" s="62">
        <f>IFERROR(__xludf.DUMMYFUNCTION("""COMPUTED_VALUE"""),31.685393255857335)</f>
        <v>31.68539326</v>
      </c>
      <c r="X328" s="80">
        <f>IFERROR(__xludf.DUMMYFUNCTION("""COMPUTED_VALUE"""),31.685393255857335)</f>
        <v>31.68539326</v>
      </c>
      <c r="Y328" s="109">
        <f>IFERROR(__xludf.DUMMYFUNCTION("""COMPUTED_VALUE"""),0.9509946746955702)</f>
        <v>0.9509946747</v>
      </c>
      <c r="Z328" s="71"/>
      <c r="AA328" s="71"/>
      <c r="AB328" s="71"/>
    </row>
    <row r="329">
      <c r="A329" s="71"/>
      <c r="B329" s="71"/>
      <c r="C329" s="71" t="str">
        <f>IFERROR(__xludf.DUMMYFUNCTION("""COMPUTED_VALUE"""),"")</f>
        <v/>
      </c>
      <c r="D329" s="71"/>
      <c r="E329" s="78">
        <f>IFERROR(__xludf.DUMMYFUNCTION("""COMPUTED_VALUE"""),0.0)</f>
        <v>0</v>
      </c>
      <c r="F329" s="71"/>
      <c r="G329" s="78" t="str">
        <f>IFERROR(__xludf.DUMMYFUNCTION("""COMPUTED_VALUE"""),"")</f>
        <v/>
      </c>
      <c r="H329" s="71">
        <f>IFERROR(__xludf.DUMMYFUNCTION("""COMPUTED_VALUE"""),0.0)</f>
        <v>0</v>
      </c>
      <c r="I329" s="80" t="str">
        <f>IFERROR(__xludf.DUMMYFUNCTION("""COMPUTED_VALUE"""),"")</f>
        <v/>
      </c>
      <c r="J329" s="71" t="str">
        <f>IFERROR(__xludf.DUMMYFUNCTION("""COMPUTED_VALUE"""),"")</f>
        <v/>
      </c>
      <c r="K329" s="71"/>
      <c r="L329" s="71" t="str">
        <f>IFERROR(__xludf.DUMMYFUNCTION("""COMPUTED_VALUE"""),"")</f>
        <v/>
      </c>
      <c r="M329" s="71" t="str">
        <f>IFERROR(__xludf.DUMMYFUNCTION("""COMPUTED_VALUE"""),"")</f>
        <v/>
      </c>
      <c r="N329" s="109" t="str">
        <f>IFERROR(__xludf.DUMMYFUNCTION("""COMPUTED_VALUE"""),"")</f>
        <v/>
      </c>
      <c r="O329" s="71" t="str">
        <f>IFERROR(__xludf.DUMMYFUNCTION("""COMPUTED_VALUE"""),"")</f>
        <v/>
      </c>
      <c r="P329" s="71" t="str">
        <f>IFERROR(__xludf.DUMMYFUNCTION("""COMPUTED_VALUE"""),"")</f>
        <v/>
      </c>
      <c r="Q329" s="78" t="str">
        <f>IFERROR(__xludf.DUMMYFUNCTION("""COMPUTED_VALUE"""),"")</f>
        <v/>
      </c>
      <c r="R329" s="78" t="str">
        <f>IFERROR(__xludf.DUMMYFUNCTION("""COMPUTED_VALUE"""),"")</f>
        <v/>
      </c>
      <c r="S329" s="80" t="str">
        <f>IFERROR(__xludf.DUMMYFUNCTION("""COMPUTED_VALUE"""),"")</f>
        <v/>
      </c>
      <c r="T329" s="80" t="str">
        <f>IFERROR(__xludf.DUMMYFUNCTION("""COMPUTED_VALUE"""),"")</f>
        <v/>
      </c>
      <c r="U329" s="71" t="str">
        <f>IFERROR(__xludf.DUMMYFUNCTION("""COMPUTED_VALUE"""),"")</f>
        <v/>
      </c>
      <c r="V329" s="78" t="str">
        <f>IFERROR(__xludf.DUMMYFUNCTION("""COMPUTED_VALUE"""),"")</f>
        <v/>
      </c>
      <c r="W329" s="62" t="str">
        <f>IFERROR(__xludf.DUMMYFUNCTION("""COMPUTED_VALUE"""),"")</f>
        <v/>
      </c>
      <c r="X329" s="80" t="str">
        <f>IFERROR(__xludf.DUMMYFUNCTION("""COMPUTED_VALUE"""),"")</f>
        <v/>
      </c>
      <c r="Y329" s="109" t="str">
        <f>IFERROR(__xludf.DUMMYFUNCTION("""COMPUTED_VALUE"""),"")</f>
        <v/>
      </c>
      <c r="Z329" s="71"/>
      <c r="AA329" s="71"/>
      <c r="AB329" s="71"/>
    </row>
    <row r="330">
      <c r="A330" s="71"/>
      <c r="B330" s="71"/>
      <c r="C330" s="71" t="str">
        <f>IFERROR(__xludf.DUMMYFUNCTION("""COMPUTED_VALUE"""),"")</f>
        <v/>
      </c>
      <c r="D330" s="71"/>
      <c r="E330" s="78">
        <f>IFERROR(__xludf.DUMMYFUNCTION("""COMPUTED_VALUE"""),0.0)</f>
        <v>0</v>
      </c>
      <c r="F330" s="71"/>
      <c r="G330" s="78" t="str">
        <f>IFERROR(__xludf.DUMMYFUNCTION("""COMPUTED_VALUE"""),"")</f>
        <v/>
      </c>
      <c r="H330" s="71">
        <f>IFERROR(__xludf.DUMMYFUNCTION("""COMPUTED_VALUE"""),0.0)</f>
        <v>0</v>
      </c>
      <c r="I330" s="80" t="str">
        <f>IFERROR(__xludf.DUMMYFUNCTION("""COMPUTED_VALUE"""),"")</f>
        <v/>
      </c>
      <c r="J330" s="71" t="str">
        <f>IFERROR(__xludf.DUMMYFUNCTION("""COMPUTED_VALUE"""),"")</f>
        <v/>
      </c>
      <c r="K330" s="71"/>
      <c r="L330" s="71" t="str">
        <f>IFERROR(__xludf.DUMMYFUNCTION("""COMPUTED_VALUE"""),"")</f>
        <v/>
      </c>
      <c r="M330" s="71" t="str">
        <f>IFERROR(__xludf.DUMMYFUNCTION("""COMPUTED_VALUE"""),"")</f>
        <v/>
      </c>
      <c r="N330" s="109" t="str">
        <f>IFERROR(__xludf.DUMMYFUNCTION("""COMPUTED_VALUE"""),"")</f>
        <v/>
      </c>
      <c r="O330" s="71" t="str">
        <f>IFERROR(__xludf.DUMMYFUNCTION("""COMPUTED_VALUE"""),"")</f>
        <v/>
      </c>
      <c r="P330" s="71" t="str">
        <f>IFERROR(__xludf.DUMMYFUNCTION("""COMPUTED_VALUE"""),"")</f>
        <v/>
      </c>
      <c r="Q330" s="78" t="str">
        <f>IFERROR(__xludf.DUMMYFUNCTION("""COMPUTED_VALUE"""),"")</f>
        <v/>
      </c>
      <c r="R330" s="78" t="str">
        <f>IFERROR(__xludf.DUMMYFUNCTION("""COMPUTED_VALUE"""),"")</f>
        <v/>
      </c>
      <c r="S330" s="80" t="str">
        <f>IFERROR(__xludf.DUMMYFUNCTION("""COMPUTED_VALUE"""),"")</f>
        <v/>
      </c>
      <c r="T330" s="80" t="str">
        <f>IFERROR(__xludf.DUMMYFUNCTION("""COMPUTED_VALUE"""),"")</f>
        <v/>
      </c>
      <c r="U330" s="71" t="str">
        <f>IFERROR(__xludf.DUMMYFUNCTION("""COMPUTED_VALUE"""),"")</f>
        <v/>
      </c>
      <c r="V330" s="78" t="str">
        <f>IFERROR(__xludf.DUMMYFUNCTION("""COMPUTED_VALUE"""),"")</f>
        <v/>
      </c>
      <c r="W330" s="62" t="str">
        <f>IFERROR(__xludf.DUMMYFUNCTION("""COMPUTED_VALUE"""),"")</f>
        <v/>
      </c>
      <c r="X330" s="80" t="str">
        <f>IFERROR(__xludf.DUMMYFUNCTION("""COMPUTED_VALUE"""),"")</f>
        <v/>
      </c>
      <c r="Y330" s="109" t="str">
        <f>IFERROR(__xludf.DUMMYFUNCTION("""COMPUTED_VALUE"""),"")</f>
        <v/>
      </c>
      <c r="Z330" s="71"/>
      <c r="AA330" s="71"/>
      <c r="AB330" s="71"/>
    </row>
    <row r="331">
      <c r="A331" s="71"/>
      <c r="B331" s="71"/>
      <c r="C331" s="71" t="str">
        <f>IFERROR(__xludf.DUMMYFUNCTION("""COMPUTED_VALUE"""),"")</f>
        <v/>
      </c>
      <c r="D331" s="71"/>
      <c r="E331" s="78">
        <f>IFERROR(__xludf.DUMMYFUNCTION("""COMPUTED_VALUE"""),0.0)</f>
        <v>0</v>
      </c>
      <c r="F331" s="71"/>
      <c r="G331" s="78" t="str">
        <f>IFERROR(__xludf.DUMMYFUNCTION("""COMPUTED_VALUE"""),"")</f>
        <v/>
      </c>
      <c r="H331" s="71">
        <f>IFERROR(__xludf.DUMMYFUNCTION("""COMPUTED_VALUE"""),0.0)</f>
        <v>0</v>
      </c>
      <c r="I331" s="80" t="str">
        <f>IFERROR(__xludf.DUMMYFUNCTION("""COMPUTED_VALUE"""),"")</f>
        <v/>
      </c>
      <c r="J331" s="71" t="str">
        <f>IFERROR(__xludf.DUMMYFUNCTION("""COMPUTED_VALUE"""),"")</f>
        <v/>
      </c>
      <c r="K331" s="71"/>
      <c r="L331" s="71" t="str">
        <f>IFERROR(__xludf.DUMMYFUNCTION("""COMPUTED_VALUE"""),"")</f>
        <v/>
      </c>
      <c r="M331" s="71" t="str">
        <f>IFERROR(__xludf.DUMMYFUNCTION("""COMPUTED_VALUE"""),"")</f>
        <v/>
      </c>
      <c r="N331" s="109" t="str">
        <f>IFERROR(__xludf.DUMMYFUNCTION("""COMPUTED_VALUE"""),"")</f>
        <v/>
      </c>
      <c r="O331" s="71" t="str">
        <f>IFERROR(__xludf.DUMMYFUNCTION("""COMPUTED_VALUE"""),"")</f>
        <v/>
      </c>
      <c r="P331" s="71" t="str">
        <f>IFERROR(__xludf.DUMMYFUNCTION("""COMPUTED_VALUE"""),"")</f>
        <v/>
      </c>
      <c r="Q331" s="78" t="str">
        <f>IFERROR(__xludf.DUMMYFUNCTION("""COMPUTED_VALUE"""),"")</f>
        <v/>
      </c>
      <c r="R331" s="78" t="str">
        <f>IFERROR(__xludf.DUMMYFUNCTION("""COMPUTED_VALUE"""),"")</f>
        <v/>
      </c>
      <c r="S331" s="80" t="str">
        <f>IFERROR(__xludf.DUMMYFUNCTION("""COMPUTED_VALUE"""),"")</f>
        <v/>
      </c>
      <c r="T331" s="80" t="str">
        <f>IFERROR(__xludf.DUMMYFUNCTION("""COMPUTED_VALUE"""),"")</f>
        <v/>
      </c>
      <c r="U331" s="71" t="str">
        <f>IFERROR(__xludf.DUMMYFUNCTION("""COMPUTED_VALUE"""),"")</f>
        <v/>
      </c>
      <c r="V331" s="78" t="str">
        <f>IFERROR(__xludf.DUMMYFUNCTION("""COMPUTED_VALUE"""),"")</f>
        <v/>
      </c>
      <c r="W331" s="62" t="str">
        <f>IFERROR(__xludf.DUMMYFUNCTION("""COMPUTED_VALUE"""),"")</f>
        <v/>
      </c>
      <c r="X331" s="80" t="str">
        <f>IFERROR(__xludf.DUMMYFUNCTION("""COMPUTED_VALUE"""),"")</f>
        <v/>
      </c>
      <c r="Y331" s="109" t="str">
        <f>IFERROR(__xludf.DUMMYFUNCTION("""COMPUTED_VALUE"""),"")</f>
        <v/>
      </c>
      <c r="Z331" s="71"/>
      <c r="AA331" s="71"/>
      <c r="AB331" s="71"/>
    </row>
    <row r="332">
      <c r="A332" s="71"/>
      <c r="B332" s="71"/>
      <c r="C332" s="71" t="str">
        <f>IFERROR(__xludf.DUMMYFUNCTION("""COMPUTED_VALUE"""),"")</f>
        <v/>
      </c>
      <c r="D332" s="71"/>
      <c r="E332" s="78">
        <f>IFERROR(__xludf.DUMMYFUNCTION("""COMPUTED_VALUE"""),0.0)</f>
        <v>0</v>
      </c>
      <c r="F332" s="71"/>
      <c r="G332" s="78" t="str">
        <f>IFERROR(__xludf.DUMMYFUNCTION("""COMPUTED_VALUE"""),"")</f>
        <v/>
      </c>
      <c r="H332" s="71">
        <f>IFERROR(__xludf.DUMMYFUNCTION("""COMPUTED_VALUE"""),0.0)</f>
        <v>0</v>
      </c>
      <c r="I332" s="80" t="str">
        <f>IFERROR(__xludf.DUMMYFUNCTION("""COMPUTED_VALUE"""),"")</f>
        <v/>
      </c>
      <c r="J332" s="71" t="str">
        <f>IFERROR(__xludf.DUMMYFUNCTION("""COMPUTED_VALUE"""),"")</f>
        <v/>
      </c>
      <c r="K332" s="71"/>
      <c r="L332" s="71" t="str">
        <f>IFERROR(__xludf.DUMMYFUNCTION("""COMPUTED_VALUE"""),"")</f>
        <v/>
      </c>
      <c r="M332" s="71" t="str">
        <f>IFERROR(__xludf.DUMMYFUNCTION("""COMPUTED_VALUE"""),"")</f>
        <v/>
      </c>
      <c r="N332" s="109" t="str">
        <f>IFERROR(__xludf.DUMMYFUNCTION("""COMPUTED_VALUE"""),"")</f>
        <v/>
      </c>
      <c r="O332" s="71" t="str">
        <f>IFERROR(__xludf.DUMMYFUNCTION("""COMPUTED_VALUE"""),"")</f>
        <v/>
      </c>
      <c r="P332" s="71" t="str">
        <f>IFERROR(__xludf.DUMMYFUNCTION("""COMPUTED_VALUE"""),"")</f>
        <v/>
      </c>
      <c r="Q332" s="78" t="str">
        <f>IFERROR(__xludf.DUMMYFUNCTION("""COMPUTED_VALUE"""),"")</f>
        <v/>
      </c>
      <c r="R332" s="78" t="str">
        <f>IFERROR(__xludf.DUMMYFUNCTION("""COMPUTED_VALUE"""),"")</f>
        <v/>
      </c>
      <c r="S332" s="80" t="str">
        <f>IFERROR(__xludf.DUMMYFUNCTION("""COMPUTED_VALUE"""),"")</f>
        <v/>
      </c>
      <c r="T332" s="80" t="str">
        <f>IFERROR(__xludf.DUMMYFUNCTION("""COMPUTED_VALUE"""),"")</f>
        <v/>
      </c>
      <c r="U332" s="71" t="str">
        <f>IFERROR(__xludf.DUMMYFUNCTION("""COMPUTED_VALUE"""),"")</f>
        <v/>
      </c>
      <c r="V332" s="78" t="str">
        <f>IFERROR(__xludf.DUMMYFUNCTION("""COMPUTED_VALUE"""),"")</f>
        <v/>
      </c>
      <c r="W332" s="62" t="str">
        <f>IFERROR(__xludf.DUMMYFUNCTION("""COMPUTED_VALUE"""),"")</f>
        <v/>
      </c>
      <c r="X332" s="80" t="str">
        <f>IFERROR(__xludf.DUMMYFUNCTION("""COMPUTED_VALUE"""),"")</f>
        <v/>
      </c>
      <c r="Y332" s="109" t="str">
        <f>IFERROR(__xludf.DUMMYFUNCTION("""COMPUTED_VALUE"""),"")</f>
        <v/>
      </c>
      <c r="Z332" s="71"/>
      <c r="AA332" s="71"/>
      <c r="AB332" s="71"/>
    </row>
    <row r="333">
      <c r="A333" s="71"/>
      <c r="B333" s="71"/>
      <c r="C333" s="71" t="str">
        <f>IFERROR(__xludf.DUMMYFUNCTION("""COMPUTED_VALUE"""),"")</f>
        <v/>
      </c>
      <c r="D333" s="71"/>
      <c r="E333" s="78">
        <f>IFERROR(__xludf.DUMMYFUNCTION("""COMPUTED_VALUE"""),0.0)</f>
        <v>0</v>
      </c>
      <c r="F333" s="71"/>
      <c r="G333" s="78" t="str">
        <f>IFERROR(__xludf.DUMMYFUNCTION("""COMPUTED_VALUE"""),"")</f>
        <v/>
      </c>
      <c r="H333" s="71">
        <f>IFERROR(__xludf.DUMMYFUNCTION("""COMPUTED_VALUE"""),0.0)</f>
        <v>0</v>
      </c>
      <c r="I333" s="80" t="str">
        <f>IFERROR(__xludf.DUMMYFUNCTION("""COMPUTED_VALUE"""),"")</f>
        <v/>
      </c>
      <c r="J333" s="71" t="str">
        <f>IFERROR(__xludf.DUMMYFUNCTION("""COMPUTED_VALUE"""),"")</f>
        <v/>
      </c>
      <c r="K333" s="71"/>
      <c r="L333" s="71" t="str">
        <f>IFERROR(__xludf.DUMMYFUNCTION("""COMPUTED_VALUE"""),"")</f>
        <v/>
      </c>
      <c r="M333" s="71" t="str">
        <f>IFERROR(__xludf.DUMMYFUNCTION("""COMPUTED_VALUE"""),"")</f>
        <v/>
      </c>
      <c r="N333" s="109" t="str">
        <f>IFERROR(__xludf.DUMMYFUNCTION("""COMPUTED_VALUE"""),"")</f>
        <v/>
      </c>
      <c r="O333" s="71" t="str">
        <f>IFERROR(__xludf.DUMMYFUNCTION("""COMPUTED_VALUE"""),"")</f>
        <v/>
      </c>
      <c r="P333" s="71" t="str">
        <f>IFERROR(__xludf.DUMMYFUNCTION("""COMPUTED_VALUE"""),"")</f>
        <v/>
      </c>
      <c r="Q333" s="78" t="str">
        <f>IFERROR(__xludf.DUMMYFUNCTION("""COMPUTED_VALUE"""),"")</f>
        <v/>
      </c>
      <c r="R333" s="78" t="str">
        <f>IFERROR(__xludf.DUMMYFUNCTION("""COMPUTED_VALUE"""),"")</f>
        <v/>
      </c>
      <c r="S333" s="80" t="str">
        <f>IFERROR(__xludf.DUMMYFUNCTION("""COMPUTED_VALUE"""),"")</f>
        <v/>
      </c>
      <c r="T333" s="80" t="str">
        <f>IFERROR(__xludf.DUMMYFUNCTION("""COMPUTED_VALUE"""),"")</f>
        <v/>
      </c>
      <c r="U333" s="71" t="str">
        <f>IFERROR(__xludf.DUMMYFUNCTION("""COMPUTED_VALUE"""),"")</f>
        <v/>
      </c>
      <c r="V333" s="78" t="str">
        <f>IFERROR(__xludf.DUMMYFUNCTION("""COMPUTED_VALUE"""),"")</f>
        <v/>
      </c>
      <c r="W333" s="62" t="str">
        <f>IFERROR(__xludf.DUMMYFUNCTION("""COMPUTED_VALUE"""),"")</f>
        <v/>
      </c>
      <c r="X333" s="80" t="str">
        <f>IFERROR(__xludf.DUMMYFUNCTION("""COMPUTED_VALUE"""),"")</f>
        <v/>
      </c>
      <c r="Y333" s="109" t="str">
        <f>IFERROR(__xludf.DUMMYFUNCTION("""COMPUTED_VALUE"""),"")</f>
        <v/>
      </c>
      <c r="Z333" s="71"/>
      <c r="AA333" s="71"/>
      <c r="AB333" s="71"/>
    </row>
    <row r="334">
      <c r="A334" s="71"/>
      <c r="B334" s="71"/>
      <c r="C334" s="71" t="str">
        <f>IFERROR(__xludf.DUMMYFUNCTION("""COMPUTED_VALUE"""),"")</f>
        <v/>
      </c>
      <c r="D334" s="71"/>
      <c r="E334" s="78">
        <f>IFERROR(__xludf.DUMMYFUNCTION("""COMPUTED_VALUE"""),0.0)</f>
        <v>0</v>
      </c>
      <c r="F334" s="71"/>
      <c r="G334" s="78" t="str">
        <f>IFERROR(__xludf.DUMMYFUNCTION("""COMPUTED_VALUE"""),"")</f>
        <v/>
      </c>
      <c r="H334" s="71">
        <f>IFERROR(__xludf.DUMMYFUNCTION("""COMPUTED_VALUE"""),0.0)</f>
        <v>0</v>
      </c>
      <c r="I334" s="80" t="str">
        <f>IFERROR(__xludf.DUMMYFUNCTION("""COMPUTED_VALUE"""),"")</f>
        <v/>
      </c>
      <c r="J334" s="71" t="str">
        <f>IFERROR(__xludf.DUMMYFUNCTION("""COMPUTED_VALUE"""),"")</f>
        <v/>
      </c>
      <c r="K334" s="71"/>
      <c r="L334" s="71" t="str">
        <f>IFERROR(__xludf.DUMMYFUNCTION("""COMPUTED_VALUE"""),"")</f>
        <v/>
      </c>
      <c r="M334" s="71" t="str">
        <f>IFERROR(__xludf.DUMMYFUNCTION("""COMPUTED_VALUE"""),"")</f>
        <v/>
      </c>
      <c r="N334" s="109" t="str">
        <f>IFERROR(__xludf.DUMMYFUNCTION("""COMPUTED_VALUE"""),"")</f>
        <v/>
      </c>
      <c r="O334" s="71" t="str">
        <f>IFERROR(__xludf.DUMMYFUNCTION("""COMPUTED_VALUE"""),"")</f>
        <v/>
      </c>
      <c r="P334" s="71" t="str">
        <f>IFERROR(__xludf.DUMMYFUNCTION("""COMPUTED_VALUE"""),"")</f>
        <v/>
      </c>
      <c r="Q334" s="78" t="str">
        <f>IFERROR(__xludf.DUMMYFUNCTION("""COMPUTED_VALUE"""),"")</f>
        <v/>
      </c>
      <c r="R334" s="78" t="str">
        <f>IFERROR(__xludf.DUMMYFUNCTION("""COMPUTED_VALUE"""),"")</f>
        <v/>
      </c>
      <c r="S334" s="80" t="str">
        <f>IFERROR(__xludf.DUMMYFUNCTION("""COMPUTED_VALUE"""),"")</f>
        <v/>
      </c>
      <c r="T334" s="80" t="str">
        <f>IFERROR(__xludf.DUMMYFUNCTION("""COMPUTED_VALUE"""),"")</f>
        <v/>
      </c>
      <c r="U334" s="71" t="str">
        <f>IFERROR(__xludf.DUMMYFUNCTION("""COMPUTED_VALUE"""),"")</f>
        <v/>
      </c>
      <c r="V334" s="78" t="str">
        <f>IFERROR(__xludf.DUMMYFUNCTION("""COMPUTED_VALUE"""),"")</f>
        <v/>
      </c>
      <c r="W334" s="62" t="str">
        <f>IFERROR(__xludf.DUMMYFUNCTION("""COMPUTED_VALUE"""),"")</f>
        <v/>
      </c>
      <c r="X334" s="80" t="str">
        <f>IFERROR(__xludf.DUMMYFUNCTION("""COMPUTED_VALUE"""),"")</f>
        <v/>
      </c>
      <c r="Y334" s="109" t="str">
        <f>IFERROR(__xludf.DUMMYFUNCTION("""COMPUTED_VALUE"""),"")</f>
        <v/>
      </c>
      <c r="Z334" s="71"/>
      <c r="AA334" s="71"/>
      <c r="AB334" s="71"/>
    </row>
    <row r="335">
      <c r="A335" s="71"/>
      <c r="B335" s="71"/>
      <c r="C335" s="71" t="str">
        <f>IFERROR(__xludf.DUMMYFUNCTION("""COMPUTED_VALUE"""),"")</f>
        <v/>
      </c>
      <c r="D335" s="71"/>
      <c r="E335" s="78">
        <f>IFERROR(__xludf.DUMMYFUNCTION("""COMPUTED_VALUE"""),0.0)</f>
        <v>0</v>
      </c>
      <c r="F335" s="71"/>
      <c r="G335" s="78" t="str">
        <f>IFERROR(__xludf.DUMMYFUNCTION("""COMPUTED_VALUE"""),"")</f>
        <v/>
      </c>
      <c r="H335" s="71">
        <f>IFERROR(__xludf.DUMMYFUNCTION("""COMPUTED_VALUE"""),0.0)</f>
        <v>0</v>
      </c>
      <c r="I335" s="80" t="str">
        <f>IFERROR(__xludf.DUMMYFUNCTION("""COMPUTED_VALUE"""),"")</f>
        <v/>
      </c>
      <c r="J335" s="71" t="str">
        <f>IFERROR(__xludf.DUMMYFUNCTION("""COMPUTED_VALUE"""),"")</f>
        <v/>
      </c>
      <c r="K335" s="71"/>
      <c r="L335" s="71" t="str">
        <f>IFERROR(__xludf.DUMMYFUNCTION("""COMPUTED_VALUE"""),"")</f>
        <v/>
      </c>
      <c r="M335" s="71" t="str">
        <f>IFERROR(__xludf.DUMMYFUNCTION("""COMPUTED_VALUE"""),"")</f>
        <v/>
      </c>
      <c r="N335" s="109" t="str">
        <f>IFERROR(__xludf.DUMMYFUNCTION("""COMPUTED_VALUE"""),"")</f>
        <v/>
      </c>
      <c r="O335" s="71" t="str">
        <f>IFERROR(__xludf.DUMMYFUNCTION("""COMPUTED_VALUE"""),"")</f>
        <v/>
      </c>
      <c r="P335" s="71" t="str">
        <f>IFERROR(__xludf.DUMMYFUNCTION("""COMPUTED_VALUE"""),"")</f>
        <v/>
      </c>
      <c r="Q335" s="78" t="str">
        <f>IFERROR(__xludf.DUMMYFUNCTION("""COMPUTED_VALUE"""),"")</f>
        <v/>
      </c>
      <c r="R335" s="78" t="str">
        <f>IFERROR(__xludf.DUMMYFUNCTION("""COMPUTED_VALUE"""),"")</f>
        <v/>
      </c>
      <c r="S335" s="80" t="str">
        <f>IFERROR(__xludf.DUMMYFUNCTION("""COMPUTED_VALUE"""),"")</f>
        <v/>
      </c>
      <c r="T335" s="80" t="str">
        <f>IFERROR(__xludf.DUMMYFUNCTION("""COMPUTED_VALUE"""),"")</f>
        <v/>
      </c>
      <c r="U335" s="71" t="str">
        <f>IFERROR(__xludf.DUMMYFUNCTION("""COMPUTED_VALUE"""),"")</f>
        <v/>
      </c>
      <c r="V335" s="78" t="str">
        <f>IFERROR(__xludf.DUMMYFUNCTION("""COMPUTED_VALUE"""),"")</f>
        <v/>
      </c>
      <c r="W335" s="62" t="str">
        <f>IFERROR(__xludf.DUMMYFUNCTION("""COMPUTED_VALUE"""),"")</f>
        <v/>
      </c>
      <c r="X335" s="80" t="str">
        <f>IFERROR(__xludf.DUMMYFUNCTION("""COMPUTED_VALUE"""),"")</f>
        <v/>
      </c>
      <c r="Y335" s="109" t="str">
        <f>IFERROR(__xludf.DUMMYFUNCTION("""COMPUTED_VALUE"""),"")</f>
        <v/>
      </c>
      <c r="Z335" s="71"/>
      <c r="AA335" s="71"/>
      <c r="AB335" s="71"/>
    </row>
    <row r="336">
      <c r="A336" s="71"/>
      <c r="B336" s="71"/>
      <c r="C336" s="71" t="str">
        <f>IFERROR(__xludf.DUMMYFUNCTION("""COMPUTED_VALUE"""),"")</f>
        <v/>
      </c>
      <c r="D336" s="71"/>
      <c r="E336" s="78">
        <f>IFERROR(__xludf.DUMMYFUNCTION("""COMPUTED_VALUE"""),0.0)</f>
        <v>0</v>
      </c>
      <c r="F336" s="71"/>
      <c r="G336" s="78" t="str">
        <f>IFERROR(__xludf.DUMMYFUNCTION("""COMPUTED_VALUE"""),"")</f>
        <v/>
      </c>
      <c r="H336" s="71">
        <f>IFERROR(__xludf.DUMMYFUNCTION("""COMPUTED_VALUE"""),0.0)</f>
        <v>0</v>
      </c>
      <c r="I336" s="80" t="str">
        <f>IFERROR(__xludf.DUMMYFUNCTION("""COMPUTED_VALUE"""),"")</f>
        <v/>
      </c>
      <c r="J336" s="71" t="str">
        <f>IFERROR(__xludf.DUMMYFUNCTION("""COMPUTED_VALUE"""),"")</f>
        <v/>
      </c>
      <c r="K336" s="71"/>
      <c r="L336" s="71" t="str">
        <f>IFERROR(__xludf.DUMMYFUNCTION("""COMPUTED_VALUE"""),"")</f>
        <v/>
      </c>
      <c r="M336" s="71" t="str">
        <f>IFERROR(__xludf.DUMMYFUNCTION("""COMPUTED_VALUE"""),"")</f>
        <v/>
      </c>
      <c r="N336" s="109" t="str">
        <f>IFERROR(__xludf.DUMMYFUNCTION("""COMPUTED_VALUE"""),"")</f>
        <v/>
      </c>
      <c r="O336" s="71" t="str">
        <f>IFERROR(__xludf.DUMMYFUNCTION("""COMPUTED_VALUE"""),"")</f>
        <v/>
      </c>
      <c r="P336" s="71" t="str">
        <f>IFERROR(__xludf.DUMMYFUNCTION("""COMPUTED_VALUE"""),"")</f>
        <v/>
      </c>
      <c r="Q336" s="78" t="str">
        <f>IFERROR(__xludf.DUMMYFUNCTION("""COMPUTED_VALUE"""),"")</f>
        <v/>
      </c>
      <c r="R336" s="78" t="str">
        <f>IFERROR(__xludf.DUMMYFUNCTION("""COMPUTED_VALUE"""),"")</f>
        <v/>
      </c>
      <c r="S336" s="80" t="str">
        <f>IFERROR(__xludf.DUMMYFUNCTION("""COMPUTED_VALUE"""),"")</f>
        <v/>
      </c>
      <c r="T336" s="80" t="str">
        <f>IFERROR(__xludf.DUMMYFUNCTION("""COMPUTED_VALUE"""),"")</f>
        <v/>
      </c>
      <c r="U336" s="71" t="str">
        <f>IFERROR(__xludf.DUMMYFUNCTION("""COMPUTED_VALUE"""),"")</f>
        <v/>
      </c>
      <c r="V336" s="78" t="str">
        <f>IFERROR(__xludf.DUMMYFUNCTION("""COMPUTED_VALUE"""),"")</f>
        <v/>
      </c>
      <c r="W336" s="62" t="str">
        <f>IFERROR(__xludf.DUMMYFUNCTION("""COMPUTED_VALUE"""),"")</f>
        <v/>
      </c>
      <c r="X336" s="80" t="str">
        <f>IFERROR(__xludf.DUMMYFUNCTION("""COMPUTED_VALUE"""),"")</f>
        <v/>
      </c>
      <c r="Y336" s="109" t="str">
        <f>IFERROR(__xludf.DUMMYFUNCTION("""COMPUTED_VALUE"""),"")</f>
        <v/>
      </c>
      <c r="Z336" s="71"/>
      <c r="AA336" s="71"/>
      <c r="AB336" s="71"/>
    </row>
    <row r="337">
      <c r="A337" s="71"/>
      <c r="B337" s="71"/>
      <c r="C337" s="71" t="str">
        <f>IFERROR(__xludf.DUMMYFUNCTION("""COMPUTED_VALUE"""),"")</f>
        <v/>
      </c>
      <c r="D337" s="71"/>
      <c r="E337" s="78">
        <f>IFERROR(__xludf.DUMMYFUNCTION("""COMPUTED_VALUE"""),0.0)</f>
        <v>0</v>
      </c>
      <c r="F337" s="71"/>
      <c r="G337" s="78" t="str">
        <f>IFERROR(__xludf.DUMMYFUNCTION("""COMPUTED_VALUE"""),"")</f>
        <v/>
      </c>
      <c r="H337" s="71">
        <f>IFERROR(__xludf.DUMMYFUNCTION("""COMPUTED_VALUE"""),0.0)</f>
        <v>0</v>
      </c>
      <c r="I337" s="80" t="str">
        <f>IFERROR(__xludf.DUMMYFUNCTION("""COMPUTED_VALUE"""),"")</f>
        <v/>
      </c>
      <c r="J337" s="71" t="str">
        <f>IFERROR(__xludf.DUMMYFUNCTION("""COMPUTED_VALUE"""),"")</f>
        <v/>
      </c>
      <c r="K337" s="71"/>
      <c r="L337" s="71" t="str">
        <f>IFERROR(__xludf.DUMMYFUNCTION("""COMPUTED_VALUE"""),"")</f>
        <v/>
      </c>
      <c r="M337" s="71" t="str">
        <f>IFERROR(__xludf.DUMMYFUNCTION("""COMPUTED_VALUE"""),"")</f>
        <v/>
      </c>
      <c r="N337" s="109" t="str">
        <f>IFERROR(__xludf.DUMMYFUNCTION("""COMPUTED_VALUE"""),"")</f>
        <v/>
      </c>
      <c r="O337" s="71" t="str">
        <f>IFERROR(__xludf.DUMMYFUNCTION("""COMPUTED_VALUE"""),"")</f>
        <v/>
      </c>
      <c r="P337" s="71" t="str">
        <f>IFERROR(__xludf.DUMMYFUNCTION("""COMPUTED_VALUE"""),"")</f>
        <v/>
      </c>
      <c r="Q337" s="78" t="str">
        <f>IFERROR(__xludf.DUMMYFUNCTION("""COMPUTED_VALUE"""),"")</f>
        <v/>
      </c>
      <c r="R337" s="78" t="str">
        <f>IFERROR(__xludf.DUMMYFUNCTION("""COMPUTED_VALUE"""),"")</f>
        <v/>
      </c>
      <c r="S337" s="80" t="str">
        <f>IFERROR(__xludf.DUMMYFUNCTION("""COMPUTED_VALUE"""),"")</f>
        <v/>
      </c>
      <c r="T337" s="80" t="str">
        <f>IFERROR(__xludf.DUMMYFUNCTION("""COMPUTED_VALUE"""),"")</f>
        <v/>
      </c>
      <c r="U337" s="71" t="str">
        <f>IFERROR(__xludf.DUMMYFUNCTION("""COMPUTED_VALUE"""),"")</f>
        <v/>
      </c>
      <c r="V337" s="78" t="str">
        <f>IFERROR(__xludf.DUMMYFUNCTION("""COMPUTED_VALUE"""),"")</f>
        <v/>
      </c>
      <c r="W337" s="62" t="str">
        <f>IFERROR(__xludf.DUMMYFUNCTION("""COMPUTED_VALUE"""),"")</f>
        <v/>
      </c>
      <c r="X337" s="80" t="str">
        <f>IFERROR(__xludf.DUMMYFUNCTION("""COMPUTED_VALUE"""),"")</f>
        <v/>
      </c>
      <c r="Y337" s="109" t="str">
        <f>IFERROR(__xludf.DUMMYFUNCTION("""COMPUTED_VALUE"""),"")</f>
        <v/>
      </c>
      <c r="Z337" s="71"/>
      <c r="AA337" s="71"/>
      <c r="AB337" s="71"/>
    </row>
    <row r="338">
      <c r="A338" s="71"/>
      <c r="B338" s="71"/>
      <c r="C338" s="71" t="str">
        <f>IFERROR(__xludf.DUMMYFUNCTION("""COMPUTED_VALUE"""),"")</f>
        <v/>
      </c>
      <c r="D338" s="71"/>
      <c r="E338" s="78">
        <f>IFERROR(__xludf.DUMMYFUNCTION("""COMPUTED_VALUE"""),0.0)</f>
        <v>0</v>
      </c>
      <c r="F338" s="71"/>
      <c r="G338" s="78" t="str">
        <f>IFERROR(__xludf.DUMMYFUNCTION("""COMPUTED_VALUE"""),"")</f>
        <v/>
      </c>
      <c r="H338" s="71">
        <f>IFERROR(__xludf.DUMMYFUNCTION("""COMPUTED_VALUE"""),0.0)</f>
        <v>0</v>
      </c>
      <c r="I338" s="80" t="str">
        <f>IFERROR(__xludf.DUMMYFUNCTION("""COMPUTED_VALUE"""),"")</f>
        <v/>
      </c>
      <c r="J338" s="71" t="str">
        <f>IFERROR(__xludf.DUMMYFUNCTION("""COMPUTED_VALUE"""),"")</f>
        <v/>
      </c>
      <c r="K338" s="71"/>
      <c r="L338" s="71" t="str">
        <f>IFERROR(__xludf.DUMMYFUNCTION("""COMPUTED_VALUE"""),"")</f>
        <v/>
      </c>
      <c r="M338" s="71" t="str">
        <f>IFERROR(__xludf.DUMMYFUNCTION("""COMPUTED_VALUE"""),"")</f>
        <v/>
      </c>
      <c r="N338" s="109" t="str">
        <f>IFERROR(__xludf.DUMMYFUNCTION("""COMPUTED_VALUE"""),"")</f>
        <v/>
      </c>
      <c r="O338" s="71" t="str">
        <f>IFERROR(__xludf.DUMMYFUNCTION("""COMPUTED_VALUE"""),"")</f>
        <v/>
      </c>
      <c r="P338" s="71" t="str">
        <f>IFERROR(__xludf.DUMMYFUNCTION("""COMPUTED_VALUE"""),"")</f>
        <v/>
      </c>
      <c r="Q338" s="78" t="str">
        <f>IFERROR(__xludf.DUMMYFUNCTION("""COMPUTED_VALUE"""),"")</f>
        <v/>
      </c>
      <c r="R338" s="78" t="str">
        <f>IFERROR(__xludf.DUMMYFUNCTION("""COMPUTED_VALUE"""),"")</f>
        <v/>
      </c>
      <c r="S338" s="80" t="str">
        <f>IFERROR(__xludf.DUMMYFUNCTION("""COMPUTED_VALUE"""),"")</f>
        <v/>
      </c>
      <c r="T338" s="80" t="str">
        <f>IFERROR(__xludf.DUMMYFUNCTION("""COMPUTED_VALUE"""),"")</f>
        <v/>
      </c>
      <c r="U338" s="71" t="str">
        <f>IFERROR(__xludf.DUMMYFUNCTION("""COMPUTED_VALUE"""),"")</f>
        <v/>
      </c>
      <c r="V338" s="78" t="str">
        <f>IFERROR(__xludf.DUMMYFUNCTION("""COMPUTED_VALUE"""),"")</f>
        <v/>
      </c>
      <c r="W338" s="62" t="str">
        <f>IFERROR(__xludf.DUMMYFUNCTION("""COMPUTED_VALUE"""),"")</f>
        <v/>
      </c>
      <c r="X338" s="80" t="str">
        <f>IFERROR(__xludf.DUMMYFUNCTION("""COMPUTED_VALUE"""),"")</f>
        <v/>
      </c>
      <c r="Y338" s="109" t="str">
        <f>IFERROR(__xludf.DUMMYFUNCTION("""COMPUTED_VALUE"""),"")</f>
        <v/>
      </c>
      <c r="Z338" s="71"/>
      <c r="AA338" s="71"/>
      <c r="AB338" s="71"/>
    </row>
    <row r="339">
      <c r="A339" s="71"/>
      <c r="B339" s="71"/>
      <c r="C339" s="71" t="str">
        <f>IFERROR(__xludf.DUMMYFUNCTION("""COMPUTED_VALUE"""),"")</f>
        <v/>
      </c>
      <c r="D339" s="71"/>
      <c r="E339" s="78">
        <f>IFERROR(__xludf.DUMMYFUNCTION("""COMPUTED_VALUE"""),0.0)</f>
        <v>0</v>
      </c>
      <c r="F339" s="71"/>
      <c r="G339" s="78" t="str">
        <f>IFERROR(__xludf.DUMMYFUNCTION("""COMPUTED_VALUE"""),"")</f>
        <v/>
      </c>
      <c r="H339" s="71">
        <f>IFERROR(__xludf.DUMMYFUNCTION("""COMPUTED_VALUE"""),0.0)</f>
        <v>0</v>
      </c>
      <c r="I339" s="80" t="str">
        <f>IFERROR(__xludf.DUMMYFUNCTION("""COMPUTED_VALUE"""),"")</f>
        <v/>
      </c>
      <c r="J339" s="71" t="str">
        <f>IFERROR(__xludf.DUMMYFUNCTION("""COMPUTED_VALUE"""),"")</f>
        <v/>
      </c>
      <c r="K339" s="71"/>
      <c r="L339" s="71" t="str">
        <f>IFERROR(__xludf.DUMMYFUNCTION("""COMPUTED_VALUE"""),"")</f>
        <v/>
      </c>
      <c r="M339" s="71" t="str">
        <f>IFERROR(__xludf.DUMMYFUNCTION("""COMPUTED_VALUE"""),"")</f>
        <v/>
      </c>
      <c r="N339" s="109" t="str">
        <f>IFERROR(__xludf.DUMMYFUNCTION("""COMPUTED_VALUE"""),"")</f>
        <v/>
      </c>
      <c r="O339" s="71" t="str">
        <f>IFERROR(__xludf.DUMMYFUNCTION("""COMPUTED_VALUE"""),"")</f>
        <v/>
      </c>
      <c r="P339" s="71" t="str">
        <f>IFERROR(__xludf.DUMMYFUNCTION("""COMPUTED_VALUE"""),"")</f>
        <v/>
      </c>
      <c r="Q339" s="78" t="str">
        <f>IFERROR(__xludf.DUMMYFUNCTION("""COMPUTED_VALUE"""),"")</f>
        <v/>
      </c>
      <c r="R339" s="78" t="str">
        <f>IFERROR(__xludf.DUMMYFUNCTION("""COMPUTED_VALUE"""),"")</f>
        <v/>
      </c>
      <c r="S339" s="80" t="str">
        <f>IFERROR(__xludf.DUMMYFUNCTION("""COMPUTED_VALUE"""),"")</f>
        <v/>
      </c>
      <c r="T339" s="80" t="str">
        <f>IFERROR(__xludf.DUMMYFUNCTION("""COMPUTED_VALUE"""),"")</f>
        <v/>
      </c>
      <c r="U339" s="71" t="str">
        <f>IFERROR(__xludf.DUMMYFUNCTION("""COMPUTED_VALUE"""),"")</f>
        <v/>
      </c>
      <c r="V339" s="78" t="str">
        <f>IFERROR(__xludf.DUMMYFUNCTION("""COMPUTED_VALUE"""),"")</f>
        <v/>
      </c>
      <c r="W339" s="62" t="str">
        <f>IFERROR(__xludf.DUMMYFUNCTION("""COMPUTED_VALUE"""),"")</f>
        <v/>
      </c>
      <c r="X339" s="80" t="str">
        <f>IFERROR(__xludf.DUMMYFUNCTION("""COMPUTED_VALUE"""),"")</f>
        <v/>
      </c>
      <c r="Y339" s="109" t="str">
        <f>IFERROR(__xludf.DUMMYFUNCTION("""COMPUTED_VALUE"""),"")</f>
        <v/>
      </c>
      <c r="Z339" s="71"/>
      <c r="AA339" s="71"/>
      <c r="AB339" s="71"/>
    </row>
    <row r="340">
      <c r="A340" s="71"/>
      <c r="B340" s="71"/>
      <c r="C340" s="71" t="str">
        <f>IFERROR(__xludf.DUMMYFUNCTION("""COMPUTED_VALUE"""),"")</f>
        <v/>
      </c>
      <c r="D340" s="71"/>
      <c r="E340" s="78">
        <f>IFERROR(__xludf.DUMMYFUNCTION("""COMPUTED_VALUE"""),0.0)</f>
        <v>0</v>
      </c>
      <c r="F340" s="71"/>
      <c r="G340" s="78" t="str">
        <f>IFERROR(__xludf.DUMMYFUNCTION("""COMPUTED_VALUE"""),"")</f>
        <v/>
      </c>
      <c r="H340" s="71">
        <f>IFERROR(__xludf.DUMMYFUNCTION("""COMPUTED_VALUE"""),0.0)</f>
        <v>0</v>
      </c>
      <c r="I340" s="80" t="str">
        <f>IFERROR(__xludf.DUMMYFUNCTION("""COMPUTED_VALUE"""),"")</f>
        <v/>
      </c>
      <c r="J340" s="71" t="str">
        <f>IFERROR(__xludf.DUMMYFUNCTION("""COMPUTED_VALUE"""),"")</f>
        <v/>
      </c>
      <c r="K340" s="71"/>
      <c r="L340" s="71" t="str">
        <f>IFERROR(__xludf.DUMMYFUNCTION("""COMPUTED_VALUE"""),"")</f>
        <v/>
      </c>
      <c r="M340" s="71" t="str">
        <f>IFERROR(__xludf.DUMMYFUNCTION("""COMPUTED_VALUE"""),"")</f>
        <v/>
      </c>
      <c r="N340" s="109" t="str">
        <f>IFERROR(__xludf.DUMMYFUNCTION("""COMPUTED_VALUE"""),"")</f>
        <v/>
      </c>
      <c r="O340" s="71" t="str">
        <f>IFERROR(__xludf.DUMMYFUNCTION("""COMPUTED_VALUE"""),"")</f>
        <v/>
      </c>
      <c r="P340" s="71" t="str">
        <f>IFERROR(__xludf.DUMMYFUNCTION("""COMPUTED_VALUE"""),"")</f>
        <v/>
      </c>
      <c r="Q340" s="78" t="str">
        <f>IFERROR(__xludf.DUMMYFUNCTION("""COMPUTED_VALUE"""),"")</f>
        <v/>
      </c>
      <c r="R340" s="78" t="str">
        <f>IFERROR(__xludf.DUMMYFUNCTION("""COMPUTED_VALUE"""),"")</f>
        <v/>
      </c>
      <c r="S340" s="80" t="str">
        <f>IFERROR(__xludf.DUMMYFUNCTION("""COMPUTED_VALUE"""),"")</f>
        <v/>
      </c>
      <c r="T340" s="80" t="str">
        <f>IFERROR(__xludf.DUMMYFUNCTION("""COMPUTED_VALUE"""),"")</f>
        <v/>
      </c>
      <c r="U340" s="71" t="str">
        <f>IFERROR(__xludf.DUMMYFUNCTION("""COMPUTED_VALUE"""),"")</f>
        <v/>
      </c>
      <c r="V340" s="78" t="str">
        <f>IFERROR(__xludf.DUMMYFUNCTION("""COMPUTED_VALUE"""),"")</f>
        <v/>
      </c>
      <c r="W340" s="62" t="str">
        <f>IFERROR(__xludf.DUMMYFUNCTION("""COMPUTED_VALUE"""),"")</f>
        <v/>
      </c>
      <c r="X340" s="80" t="str">
        <f>IFERROR(__xludf.DUMMYFUNCTION("""COMPUTED_VALUE"""),"")</f>
        <v/>
      </c>
      <c r="Y340" s="109" t="str">
        <f>IFERROR(__xludf.DUMMYFUNCTION("""COMPUTED_VALUE"""),"")</f>
        <v/>
      </c>
      <c r="Z340" s="71"/>
      <c r="AA340" s="71"/>
      <c r="AB340" s="71"/>
    </row>
    <row r="341">
      <c r="A341" s="71"/>
      <c r="B341" s="71"/>
      <c r="C341" s="71" t="str">
        <f>IFERROR(__xludf.DUMMYFUNCTION("""COMPUTED_VALUE"""),"")</f>
        <v/>
      </c>
      <c r="D341" s="71"/>
      <c r="E341" s="78">
        <f>IFERROR(__xludf.DUMMYFUNCTION("""COMPUTED_VALUE"""),0.0)</f>
        <v>0</v>
      </c>
      <c r="F341" s="71"/>
      <c r="G341" s="78" t="str">
        <f>IFERROR(__xludf.DUMMYFUNCTION("""COMPUTED_VALUE"""),"")</f>
        <v/>
      </c>
      <c r="H341" s="71">
        <f>IFERROR(__xludf.DUMMYFUNCTION("""COMPUTED_VALUE"""),0.0)</f>
        <v>0</v>
      </c>
      <c r="I341" s="80" t="str">
        <f>IFERROR(__xludf.DUMMYFUNCTION("""COMPUTED_VALUE"""),"")</f>
        <v/>
      </c>
      <c r="J341" s="71" t="str">
        <f>IFERROR(__xludf.DUMMYFUNCTION("""COMPUTED_VALUE"""),"")</f>
        <v/>
      </c>
      <c r="K341" s="71"/>
      <c r="L341" s="71" t="str">
        <f>IFERROR(__xludf.DUMMYFUNCTION("""COMPUTED_VALUE"""),"")</f>
        <v/>
      </c>
      <c r="M341" s="71" t="str">
        <f>IFERROR(__xludf.DUMMYFUNCTION("""COMPUTED_VALUE"""),"")</f>
        <v/>
      </c>
      <c r="N341" s="109" t="str">
        <f>IFERROR(__xludf.DUMMYFUNCTION("""COMPUTED_VALUE"""),"")</f>
        <v/>
      </c>
      <c r="O341" s="71" t="str">
        <f>IFERROR(__xludf.DUMMYFUNCTION("""COMPUTED_VALUE"""),"")</f>
        <v/>
      </c>
      <c r="P341" s="71" t="str">
        <f>IFERROR(__xludf.DUMMYFUNCTION("""COMPUTED_VALUE"""),"")</f>
        <v/>
      </c>
      <c r="Q341" s="78" t="str">
        <f>IFERROR(__xludf.DUMMYFUNCTION("""COMPUTED_VALUE"""),"")</f>
        <v/>
      </c>
      <c r="R341" s="78" t="str">
        <f>IFERROR(__xludf.DUMMYFUNCTION("""COMPUTED_VALUE"""),"")</f>
        <v/>
      </c>
      <c r="S341" s="80" t="str">
        <f>IFERROR(__xludf.DUMMYFUNCTION("""COMPUTED_VALUE"""),"")</f>
        <v/>
      </c>
      <c r="T341" s="80" t="str">
        <f>IFERROR(__xludf.DUMMYFUNCTION("""COMPUTED_VALUE"""),"")</f>
        <v/>
      </c>
      <c r="U341" s="71" t="str">
        <f>IFERROR(__xludf.DUMMYFUNCTION("""COMPUTED_VALUE"""),"")</f>
        <v/>
      </c>
      <c r="V341" s="78" t="str">
        <f>IFERROR(__xludf.DUMMYFUNCTION("""COMPUTED_VALUE"""),"")</f>
        <v/>
      </c>
      <c r="W341" s="62" t="str">
        <f>IFERROR(__xludf.DUMMYFUNCTION("""COMPUTED_VALUE"""),"")</f>
        <v/>
      </c>
      <c r="X341" s="80" t="str">
        <f>IFERROR(__xludf.DUMMYFUNCTION("""COMPUTED_VALUE"""),"")</f>
        <v/>
      </c>
      <c r="Y341" s="109" t="str">
        <f>IFERROR(__xludf.DUMMYFUNCTION("""COMPUTED_VALUE"""),"")</f>
        <v/>
      </c>
      <c r="Z341" s="71"/>
      <c r="AA341" s="71"/>
      <c r="AB341" s="71"/>
    </row>
    <row r="342">
      <c r="A342" s="71"/>
      <c r="B342" s="71"/>
      <c r="C342" s="71" t="str">
        <f>IFERROR(__xludf.DUMMYFUNCTION("""COMPUTED_VALUE"""),"")</f>
        <v/>
      </c>
      <c r="D342" s="71"/>
      <c r="E342" s="78">
        <f>IFERROR(__xludf.DUMMYFUNCTION("""COMPUTED_VALUE"""),0.0)</f>
        <v>0</v>
      </c>
      <c r="F342" s="71"/>
      <c r="G342" s="78" t="str">
        <f>IFERROR(__xludf.DUMMYFUNCTION("""COMPUTED_VALUE"""),"")</f>
        <v/>
      </c>
      <c r="H342" s="71">
        <f>IFERROR(__xludf.DUMMYFUNCTION("""COMPUTED_VALUE"""),0.0)</f>
        <v>0</v>
      </c>
      <c r="I342" s="80" t="str">
        <f>IFERROR(__xludf.DUMMYFUNCTION("""COMPUTED_VALUE"""),"")</f>
        <v/>
      </c>
      <c r="J342" s="71" t="str">
        <f>IFERROR(__xludf.DUMMYFUNCTION("""COMPUTED_VALUE"""),"")</f>
        <v/>
      </c>
      <c r="K342" s="71"/>
      <c r="L342" s="71" t="str">
        <f>IFERROR(__xludf.DUMMYFUNCTION("""COMPUTED_VALUE"""),"")</f>
        <v/>
      </c>
      <c r="M342" s="71" t="str">
        <f>IFERROR(__xludf.DUMMYFUNCTION("""COMPUTED_VALUE"""),"")</f>
        <v/>
      </c>
      <c r="N342" s="109" t="str">
        <f>IFERROR(__xludf.DUMMYFUNCTION("""COMPUTED_VALUE"""),"")</f>
        <v/>
      </c>
      <c r="O342" s="71" t="str">
        <f>IFERROR(__xludf.DUMMYFUNCTION("""COMPUTED_VALUE"""),"")</f>
        <v/>
      </c>
      <c r="P342" s="71" t="str">
        <f>IFERROR(__xludf.DUMMYFUNCTION("""COMPUTED_VALUE"""),"")</f>
        <v/>
      </c>
      <c r="Q342" s="78" t="str">
        <f>IFERROR(__xludf.DUMMYFUNCTION("""COMPUTED_VALUE"""),"")</f>
        <v/>
      </c>
      <c r="R342" s="78" t="str">
        <f>IFERROR(__xludf.DUMMYFUNCTION("""COMPUTED_VALUE"""),"")</f>
        <v/>
      </c>
      <c r="S342" s="80" t="str">
        <f>IFERROR(__xludf.DUMMYFUNCTION("""COMPUTED_VALUE"""),"")</f>
        <v/>
      </c>
      <c r="T342" s="80" t="str">
        <f>IFERROR(__xludf.DUMMYFUNCTION("""COMPUTED_VALUE"""),"")</f>
        <v/>
      </c>
      <c r="U342" s="71" t="str">
        <f>IFERROR(__xludf.DUMMYFUNCTION("""COMPUTED_VALUE"""),"")</f>
        <v/>
      </c>
      <c r="V342" s="78" t="str">
        <f>IFERROR(__xludf.DUMMYFUNCTION("""COMPUTED_VALUE"""),"")</f>
        <v/>
      </c>
      <c r="W342" s="62" t="str">
        <f>IFERROR(__xludf.DUMMYFUNCTION("""COMPUTED_VALUE"""),"")</f>
        <v/>
      </c>
      <c r="X342" s="80" t="str">
        <f>IFERROR(__xludf.DUMMYFUNCTION("""COMPUTED_VALUE"""),"")</f>
        <v/>
      </c>
      <c r="Y342" s="109" t="str">
        <f>IFERROR(__xludf.DUMMYFUNCTION("""COMPUTED_VALUE"""),"")</f>
        <v/>
      </c>
      <c r="Z342" s="71"/>
      <c r="AA342" s="71"/>
      <c r="AB342" s="71"/>
    </row>
    <row r="343">
      <c r="A343" s="71"/>
      <c r="B343" s="71"/>
      <c r="C343" s="71" t="str">
        <f>IFERROR(__xludf.DUMMYFUNCTION("""COMPUTED_VALUE"""),"")</f>
        <v/>
      </c>
      <c r="D343" s="71"/>
      <c r="E343" s="78">
        <f>IFERROR(__xludf.DUMMYFUNCTION("""COMPUTED_VALUE"""),0.0)</f>
        <v>0</v>
      </c>
      <c r="F343" s="71"/>
      <c r="G343" s="78" t="str">
        <f>IFERROR(__xludf.DUMMYFUNCTION("""COMPUTED_VALUE"""),"")</f>
        <v/>
      </c>
      <c r="H343" s="71">
        <f>IFERROR(__xludf.DUMMYFUNCTION("""COMPUTED_VALUE"""),0.0)</f>
        <v>0</v>
      </c>
      <c r="I343" s="80" t="str">
        <f>IFERROR(__xludf.DUMMYFUNCTION("""COMPUTED_VALUE"""),"")</f>
        <v/>
      </c>
      <c r="J343" s="71" t="str">
        <f>IFERROR(__xludf.DUMMYFUNCTION("""COMPUTED_VALUE"""),"")</f>
        <v/>
      </c>
      <c r="K343" s="71"/>
      <c r="L343" s="71" t="str">
        <f>IFERROR(__xludf.DUMMYFUNCTION("""COMPUTED_VALUE"""),"")</f>
        <v/>
      </c>
      <c r="M343" s="71" t="str">
        <f>IFERROR(__xludf.DUMMYFUNCTION("""COMPUTED_VALUE"""),"")</f>
        <v/>
      </c>
      <c r="N343" s="109" t="str">
        <f>IFERROR(__xludf.DUMMYFUNCTION("""COMPUTED_VALUE"""),"")</f>
        <v/>
      </c>
      <c r="O343" s="71" t="str">
        <f>IFERROR(__xludf.DUMMYFUNCTION("""COMPUTED_VALUE"""),"")</f>
        <v/>
      </c>
      <c r="P343" s="71" t="str">
        <f>IFERROR(__xludf.DUMMYFUNCTION("""COMPUTED_VALUE"""),"")</f>
        <v/>
      </c>
      <c r="Q343" s="78" t="str">
        <f>IFERROR(__xludf.DUMMYFUNCTION("""COMPUTED_VALUE"""),"")</f>
        <v/>
      </c>
      <c r="R343" s="78" t="str">
        <f>IFERROR(__xludf.DUMMYFUNCTION("""COMPUTED_VALUE"""),"")</f>
        <v/>
      </c>
      <c r="S343" s="80" t="str">
        <f>IFERROR(__xludf.DUMMYFUNCTION("""COMPUTED_VALUE"""),"")</f>
        <v/>
      </c>
      <c r="T343" s="80" t="str">
        <f>IFERROR(__xludf.DUMMYFUNCTION("""COMPUTED_VALUE"""),"")</f>
        <v/>
      </c>
      <c r="U343" s="71" t="str">
        <f>IFERROR(__xludf.DUMMYFUNCTION("""COMPUTED_VALUE"""),"")</f>
        <v/>
      </c>
      <c r="V343" s="78" t="str">
        <f>IFERROR(__xludf.DUMMYFUNCTION("""COMPUTED_VALUE"""),"")</f>
        <v/>
      </c>
      <c r="W343" s="62" t="str">
        <f>IFERROR(__xludf.DUMMYFUNCTION("""COMPUTED_VALUE"""),"")</f>
        <v/>
      </c>
      <c r="X343" s="80" t="str">
        <f>IFERROR(__xludf.DUMMYFUNCTION("""COMPUTED_VALUE"""),"")</f>
        <v/>
      </c>
      <c r="Y343" s="109" t="str">
        <f>IFERROR(__xludf.DUMMYFUNCTION("""COMPUTED_VALUE"""),"")</f>
        <v/>
      </c>
      <c r="Z343" s="71"/>
      <c r="AA343" s="71"/>
      <c r="AB343" s="71"/>
    </row>
    <row r="344">
      <c r="A344" s="71"/>
      <c r="B344" s="71"/>
      <c r="C344" s="71" t="str">
        <f>IFERROR(__xludf.DUMMYFUNCTION("""COMPUTED_VALUE"""),"")</f>
        <v/>
      </c>
      <c r="D344" s="71"/>
      <c r="E344" s="78">
        <f>IFERROR(__xludf.DUMMYFUNCTION("""COMPUTED_VALUE"""),0.0)</f>
        <v>0</v>
      </c>
      <c r="F344" s="71"/>
      <c r="G344" s="78" t="str">
        <f>IFERROR(__xludf.DUMMYFUNCTION("""COMPUTED_VALUE"""),"")</f>
        <v/>
      </c>
      <c r="H344" s="71">
        <f>IFERROR(__xludf.DUMMYFUNCTION("""COMPUTED_VALUE"""),0.0)</f>
        <v>0</v>
      </c>
      <c r="I344" s="80" t="str">
        <f>IFERROR(__xludf.DUMMYFUNCTION("""COMPUTED_VALUE"""),"")</f>
        <v/>
      </c>
      <c r="J344" s="71" t="str">
        <f>IFERROR(__xludf.DUMMYFUNCTION("""COMPUTED_VALUE"""),"")</f>
        <v/>
      </c>
      <c r="K344" s="71"/>
      <c r="L344" s="71" t="str">
        <f>IFERROR(__xludf.DUMMYFUNCTION("""COMPUTED_VALUE"""),"")</f>
        <v/>
      </c>
      <c r="M344" s="71" t="str">
        <f>IFERROR(__xludf.DUMMYFUNCTION("""COMPUTED_VALUE"""),"")</f>
        <v/>
      </c>
      <c r="N344" s="109" t="str">
        <f>IFERROR(__xludf.DUMMYFUNCTION("""COMPUTED_VALUE"""),"")</f>
        <v/>
      </c>
      <c r="O344" s="71" t="str">
        <f>IFERROR(__xludf.DUMMYFUNCTION("""COMPUTED_VALUE"""),"")</f>
        <v/>
      </c>
      <c r="P344" s="71" t="str">
        <f>IFERROR(__xludf.DUMMYFUNCTION("""COMPUTED_VALUE"""),"")</f>
        <v/>
      </c>
      <c r="Q344" s="78" t="str">
        <f>IFERROR(__xludf.DUMMYFUNCTION("""COMPUTED_VALUE"""),"")</f>
        <v/>
      </c>
      <c r="R344" s="78" t="str">
        <f>IFERROR(__xludf.DUMMYFUNCTION("""COMPUTED_VALUE"""),"")</f>
        <v/>
      </c>
      <c r="S344" s="80" t="str">
        <f>IFERROR(__xludf.DUMMYFUNCTION("""COMPUTED_VALUE"""),"")</f>
        <v/>
      </c>
      <c r="T344" s="80" t="str">
        <f>IFERROR(__xludf.DUMMYFUNCTION("""COMPUTED_VALUE"""),"")</f>
        <v/>
      </c>
      <c r="U344" s="71" t="str">
        <f>IFERROR(__xludf.DUMMYFUNCTION("""COMPUTED_VALUE"""),"")</f>
        <v/>
      </c>
      <c r="V344" s="78" t="str">
        <f>IFERROR(__xludf.DUMMYFUNCTION("""COMPUTED_VALUE"""),"")</f>
        <v/>
      </c>
      <c r="W344" s="62" t="str">
        <f>IFERROR(__xludf.DUMMYFUNCTION("""COMPUTED_VALUE"""),"")</f>
        <v/>
      </c>
      <c r="X344" s="80" t="str">
        <f>IFERROR(__xludf.DUMMYFUNCTION("""COMPUTED_VALUE"""),"")</f>
        <v/>
      </c>
      <c r="Y344" s="109" t="str">
        <f>IFERROR(__xludf.DUMMYFUNCTION("""COMPUTED_VALUE"""),"")</f>
        <v/>
      </c>
      <c r="Z344" s="71"/>
      <c r="AA344" s="71"/>
      <c r="AB344" s="71"/>
    </row>
    <row r="345">
      <c r="A345" s="71"/>
      <c r="B345" s="71"/>
      <c r="C345" s="71" t="str">
        <f>IFERROR(__xludf.DUMMYFUNCTION("""COMPUTED_VALUE"""),"")</f>
        <v/>
      </c>
      <c r="D345" s="71"/>
      <c r="E345" s="78">
        <f>IFERROR(__xludf.DUMMYFUNCTION("""COMPUTED_VALUE"""),0.0)</f>
        <v>0</v>
      </c>
      <c r="F345" s="71"/>
      <c r="G345" s="78" t="str">
        <f>IFERROR(__xludf.DUMMYFUNCTION("""COMPUTED_VALUE"""),"")</f>
        <v/>
      </c>
      <c r="H345" s="71">
        <f>IFERROR(__xludf.DUMMYFUNCTION("""COMPUTED_VALUE"""),0.0)</f>
        <v>0</v>
      </c>
      <c r="I345" s="80" t="str">
        <f>IFERROR(__xludf.DUMMYFUNCTION("""COMPUTED_VALUE"""),"")</f>
        <v/>
      </c>
      <c r="J345" s="71" t="str">
        <f>IFERROR(__xludf.DUMMYFUNCTION("""COMPUTED_VALUE"""),"")</f>
        <v/>
      </c>
      <c r="K345" s="71"/>
      <c r="L345" s="71" t="str">
        <f>IFERROR(__xludf.DUMMYFUNCTION("""COMPUTED_VALUE"""),"")</f>
        <v/>
      </c>
      <c r="M345" s="71" t="str">
        <f>IFERROR(__xludf.DUMMYFUNCTION("""COMPUTED_VALUE"""),"")</f>
        <v/>
      </c>
      <c r="N345" s="109" t="str">
        <f>IFERROR(__xludf.DUMMYFUNCTION("""COMPUTED_VALUE"""),"")</f>
        <v/>
      </c>
      <c r="O345" s="71" t="str">
        <f>IFERROR(__xludf.DUMMYFUNCTION("""COMPUTED_VALUE"""),"")</f>
        <v/>
      </c>
      <c r="P345" s="71" t="str">
        <f>IFERROR(__xludf.DUMMYFUNCTION("""COMPUTED_VALUE"""),"")</f>
        <v/>
      </c>
      <c r="Q345" s="78" t="str">
        <f>IFERROR(__xludf.DUMMYFUNCTION("""COMPUTED_VALUE"""),"")</f>
        <v/>
      </c>
      <c r="R345" s="78" t="str">
        <f>IFERROR(__xludf.DUMMYFUNCTION("""COMPUTED_VALUE"""),"")</f>
        <v/>
      </c>
      <c r="S345" s="80" t="str">
        <f>IFERROR(__xludf.DUMMYFUNCTION("""COMPUTED_VALUE"""),"")</f>
        <v/>
      </c>
      <c r="T345" s="80" t="str">
        <f>IFERROR(__xludf.DUMMYFUNCTION("""COMPUTED_VALUE"""),"")</f>
        <v/>
      </c>
      <c r="U345" s="71" t="str">
        <f>IFERROR(__xludf.DUMMYFUNCTION("""COMPUTED_VALUE"""),"")</f>
        <v/>
      </c>
      <c r="V345" s="78" t="str">
        <f>IFERROR(__xludf.DUMMYFUNCTION("""COMPUTED_VALUE"""),"")</f>
        <v/>
      </c>
      <c r="W345" s="62" t="str">
        <f>IFERROR(__xludf.DUMMYFUNCTION("""COMPUTED_VALUE"""),"")</f>
        <v/>
      </c>
      <c r="X345" s="80" t="str">
        <f>IFERROR(__xludf.DUMMYFUNCTION("""COMPUTED_VALUE"""),"")</f>
        <v/>
      </c>
      <c r="Y345" s="109" t="str">
        <f>IFERROR(__xludf.DUMMYFUNCTION("""COMPUTED_VALUE"""),"")</f>
        <v/>
      </c>
      <c r="Z345" s="71"/>
      <c r="AA345" s="71"/>
      <c r="AB345" s="71"/>
    </row>
    <row r="346">
      <c r="A346" s="71"/>
      <c r="B346" s="71"/>
      <c r="C346" s="71" t="str">
        <f>IFERROR(__xludf.DUMMYFUNCTION("""COMPUTED_VALUE"""),"")</f>
        <v/>
      </c>
      <c r="D346" s="71"/>
      <c r="E346" s="78">
        <f>IFERROR(__xludf.DUMMYFUNCTION("""COMPUTED_VALUE"""),0.0)</f>
        <v>0</v>
      </c>
      <c r="F346" s="71"/>
      <c r="G346" s="78" t="str">
        <f>IFERROR(__xludf.DUMMYFUNCTION("""COMPUTED_VALUE"""),"")</f>
        <v/>
      </c>
      <c r="H346" s="71">
        <f>IFERROR(__xludf.DUMMYFUNCTION("""COMPUTED_VALUE"""),0.0)</f>
        <v>0</v>
      </c>
      <c r="I346" s="80" t="str">
        <f>IFERROR(__xludf.DUMMYFUNCTION("""COMPUTED_VALUE"""),"")</f>
        <v/>
      </c>
      <c r="J346" s="71" t="str">
        <f>IFERROR(__xludf.DUMMYFUNCTION("""COMPUTED_VALUE"""),"")</f>
        <v/>
      </c>
      <c r="K346" s="71"/>
      <c r="L346" s="71" t="str">
        <f>IFERROR(__xludf.DUMMYFUNCTION("""COMPUTED_VALUE"""),"")</f>
        <v/>
      </c>
      <c r="M346" s="71" t="str">
        <f>IFERROR(__xludf.DUMMYFUNCTION("""COMPUTED_VALUE"""),"")</f>
        <v/>
      </c>
      <c r="N346" s="109" t="str">
        <f>IFERROR(__xludf.DUMMYFUNCTION("""COMPUTED_VALUE"""),"")</f>
        <v/>
      </c>
      <c r="O346" s="71" t="str">
        <f>IFERROR(__xludf.DUMMYFUNCTION("""COMPUTED_VALUE"""),"")</f>
        <v/>
      </c>
      <c r="P346" s="71" t="str">
        <f>IFERROR(__xludf.DUMMYFUNCTION("""COMPUTED_VALUE"""),"")</f>
        <v/>
      </c>
      <c r="Q346" s="78" t="str">
        <f>IFERROR(__xludf.DUMMYFUNCTION("""COMPUTED_VALUE"""),"")</f>
        <v/>
      </c>
      <c r="R346" s="78" t="str">
        <f>IFERROR(__xludf.DUMMYFUNCTION("""COMPUTED_VALUE"""),"")</f>
        <v/>
      </c>
      <c r="S346" s="80" t="str">
        <f>IFERROR(__xludf.DUMMYFUNCTION("""COMPUTED_VALUE"""),"")</f>
        <v/>
      </c>
      <c r="T346" s="80" t="str">
        <f>IFERROR(__xludf.DUMMYFUNCTION("""COMPUTED_VALUE"""),"")</f>
        <v/>
      </c>
      <c r="U346" s="71" t="str">
        <f>IFERROR(__xludf.DUMMYFUNCTION("""COMPUTED_VALUE"""),"")</f>
        <v/>
      </c>
      <c r="V346" s="78" t="str">
        <f>IFERROR(__xludf.DUMMYFUNCTION("""COMPUTED_VALUE"""),"")</f>
        <v/>
      </c>
      <c r="W346" s="62" t="str">
        <f>IFERROR(__xludf.DUMMYFUNCTION("""COMPUTED_VALUE"""),"")</f>
        <v/>
      </c>
      <c r="X346" s="80" t="str">
        <f>IFERROR(__xludf.DUMMYFUNCTION("""COMPUTED_VALUE"""),"")</f>
        <v/>
      </c>
      <c r="Y346" s="109" t="str">
        <f>IFERROR(__xludf.DUMMYFUNCTION("""COMPUTED_VALUE"""),"")</f>
        <v/>
      </c>
      <c r="Z346" s="71"/>
      <c r="AA346" s="71"/>
      <c r="AB346" s="71"/>
    </row>
    <row r="347">
      <c r="A347" s="71"/>
      <c r="B347" s="71"/>
      <c r="C347" s="71" t="str">
        <f>IFERROR(__xludf.DUMMYFUNCTION("""COMPUTED_VALUE"""),"")</f>
        <v/>
      </c>
      <c r="D347" s="71"/>
      <c r="E347" s="78">
        <f>IFERROR(__xludf.DUMMYFUNCTION("""COMPUTED_VALUE"""),0.0)</f>
        <v>0</v>
      </c>
      <c r="F347" s="71"/>
      <c r="G347" s="78" t="str">
        <f>IFERROR(__xludf.DUMMYFUNCTION("""COMPUTED_VALUE"""),"")</f>
        <v/>
      </c>
      <c r="H347" s="71">
        <f>IFERROR(__xludf.DUMMYFUNCTION("""COMPUTED_VALUE"""),0.0)</f>
        <v>0</v>
      </c>
      <c r="I347" s="80" t="str">
        <f>IFERROR(__xludf.DUMMYFUNCTION("""COMPUTED_VALUE"""),"")</f>
        <v/>
      </c>
      <c r="J347" s="71" t="str">
        <f>IFERROR(__xludf.DUMMYFUNCTION("""COMPUTED_VALUE"""),"")</f>
        <v/>
      </c>
      <c r="K347" s="71"/>
      <c r="L347" s="71" t="str">
        <f>IFERROR(__xludf.DUMMYFUNCTION("""COMPUTED_VALUE"""),"")</f>
        <v/>
      </c>
      <c r="M347" s="71" t="str">
        <f>IFERROR(__xludf.DUMMYFUNCTION("""COMPUTED_VALUE"""),"")</f>
        <v/>
      </c>
      <c r="N347" s="109" t="str">
        <f>IFERROR(__xludf.DUMMYFUNCTION("""COMPUTED_VALUE"""),"")</f>
        <v/>
      </c>
      <c r="O347" s="71" t="str">
        <f>IFERROR(__xludf.DUMMYFUNCTION("""COMPUTED_VALUE"""),"")</f>
        <v/>
      </c>
      <c r="P347" s="71" t="str">
        <f>IFERROR(__xludf.DUMMYFUNCTION("""COMPUTED_VALUE"""),"")</f>
        <v/>
      </c>
      <c r="Q347" s="78" t="str">
        <f>IFERROR(__xludf.DUMMYFUNCTION("""COMPUTED_VALUE"""),"")</f>
        <v/>
      </c>
      <c r="R347" s="78" t="str">
        <f>IFERROR(__xludf.DUMMYFUNCTION("""COMPUTED_VALUE"""),"")</f>
        <v/>
      </c>
      <c r="S347" s="80" t="str">
        <f>IFERROR(__xludf.DUMMYFUNCTION("""COMPUTED_VALUE"""),"")</f>
        <v/>
      </c>
      <c r="T347" s="80" t="str">
        <f>IFERROR(__xludf.DUMMYFUNCTION("""COMPUTED_VALUE"""),"")</f>
        <v/>
      </c>
      <c r="U347" s="71" t="str">
        <f>IFERROR(__xludf.DUMMYFUNCTION("""COMPUTED_VALUE"""),"")</f>
        <v/>
      </c>
      <c r="V347" s="78" t="str">
        <f>IFERROR(__xludf.DUMMYFUNCTION("""COMPUTED_VALUE"""),"")</f>
        <v/>
      </c>
      <c r="W347" s="62" t="str">
        <f>IFERROR(__xludf.DUMMYFUNCTION("""COMPUTED_VALUE"""),"")</f>
        <v/>
      </c>
      <c r="X347" s="80" t="str">
        <f>IFERROR(__xludf.DUMMYFUNCTION("""COMPUTED_VALUE"""),"")</f>
        <v/>
      </c>
      <c r="Y347" s="109" t="str">
        <f>IFERROR(__xludf.DUMMYFUNCTION("""COMPUTED_VALUE"""),"")</f>
        <v/>
      </c>
      <c r="Z347" s="71"/>
      <c r="AA347" s="71"/>
      <c r="AB347" s="71"/>
    </row>
    <row r="348">
      <c r="A348" s="71"/>
      <c r="B348" s="71"/>
      <c r="C348" s="71" t="str">
        <f>IFERROR(__xludf.DUMMYFUNCTION("""COMPUTED_VALUE"""),"")</f>
        <v/>
      </c>
      <c r="D348" s="71"/>
      <c r="E348" s="78">
        <f>IFERROR(__xludf.DUMMYFUNCTION("""COMPUTED_VALUE"""),0.0)</f>
        <v>0</v>
      </c>
      <c r="F348" s="71"/>
      <c r="G348" s="78" t="str">
        <f>IFERROR(__xludf.DUMMYFUNCTION("""COMPUTED_VALUE"""),"")</f>
        <v/>
      </c>
      <c r="H348" s="71">
        <f>IFERROR(__xludf.DUMMYFUNCTION("""COMPUTED_VALUE"""),0.0)</f>
        <v>0</v>
      </c>
      <c r="I348" s="80" t="str">
        <f>IFERROR(__xludf.DUMMYFUNCTION("""COMPUTED_VALUE"""),"")</f>
        <v/>
      </c>
      <c r="J348" s="71" t="str">
        <f>IFERROR(__xludf.DUMMYFUNCTION("""COMPUTED_VALUE"""),"")</f>
        <v/>
      </c>
      <c r="K348" s="71"/>
      <c r="L348" s="71" t="str">
        <f>IFERROR(__xludf.DUMMYFUNCTION("""COMPUTED_VALUE"""),"")</f>
        <v/>
      </c>
      <c r="M348" s="71" t="str">
        <f>IFERROR(__xludf.DUMMYFUNCTION("""COMPUTED_VALUE"""),"")</f>
        <v/>
      </c>
      <c r="N348" s="109" t="str">
        <f>IFERROR(__xludf.DUMMYFUNCTION("""COMPUTED_VALUE"""),"")</f>
        <v/>
      </c>
      <c r="O348" s="71" t="str">
        <f>IFERROR(__xludf.DUMMYFUNCTION("""COMPUTED_VALUE"""),"")</f>
        <v/>
      </c>
      <c r="P348" s="71" t="str">
        <f>IFERROR(__xludf.DUMMYFUNCTION("""COMPUTED_VALUE"""),"")</f>
        <v/>
      </c>
      <c r="Q348" s="78" t="str">
        <f>IFERROR(__xludf.DUMMYFUNCTION("""COMPUTED_VALUE"""),"")</f>
        <v/>
      </c>
      <c r="R348" s="78" t="str">
        <f>IFERROR(__xludf.DUMMYFUNCTION("""COMPUTED_VALUE"""),"")</f>
        <v/>
      </c>
      <c r="S348" s="80" t="str">
        <f>IFERROR(__xludf.DUMMYFUNCTION("""COMPUTED_VALUE"""),"")</f>
        <v/>
      </c>
      <c r="T348" s="80" t="str">
        <f>IFERROR(__xludf.DUMMYFUNCTION("""COMPUTED_VALUE"""),"")</f>
        <v/>
      </c>
      <c r="U348" s="71" t="str">
        <f>IFERROR(__xludf.DUMMYFUNCTION("""COMPUTED_VALUE"""),"")</f>
        <v/>
      </c>
      <c r="V348" s="78" t="str">
        <f>IFERROR(__xludf.DUMMYFUNCTION("""COMPUTED_VALUE"""),"")</f>
        <v/>
      </c>
      <c r="W348" s="62" t="str">
        <f>IFERROR(__xludf.DUMMYFUNCTION("""COMPUTED_VALUE"""),"")</f>
        <v/>
      </c>
      <c r="X348" s="80" t="str">
        <f>IFERROR(__xludf.DUMMYFUNCTION("""COMPUTED_VALUE"""),"")</f>
        <v/>
      </c>
      <c r="Y348" s="109" t="str">
        <f>IFERROR(__xludf.DUMMYFUNCTION("""COMPUTED_VALUE"""),"")</f>
        <v/>
      </c>
      <c r="Z348" s="71"/>
      <c r="AA348" s="71"/>
      <c r="AB348" s="71"/>
    </row>
    <row r="349">
      <c r="A349" s="71"/>
      <c r="B349" s="71"/>
      <c r="C349" s="71" t="str">
        <f>IFERROR(__xludf.DUMMYFUNCTION("""COMPUTED_VALUE"""),"")</f>
        <v/>
      </c>
      <c r="D349" s="71"/>
      <c r="E349" s="78">
        <f>IFERROR(__xludf.DUMMYFUNCTION("""COMPUTED_VALUE"""),0.0)</f>
        <v>0</v>
      </c>
      <c r="F349" s="71"/>
      <c r="G349" s="78" t="str">
        <f>IFERROR(__xludf.DUMMYFUNCTION("""COMPUTED_VALUE"""),"")</f>
        <v/>
      </c>
      <c r="H349" s="71">
        <f>IFERROR(__xludf.DUMMYFUNCTION("""COMPUTED_VALUE"""),0.0)</f>
        <v>0</v>
      </c>
      <c r="I349" s="80" t="str">
        <f>IFERROR(__xludf.DUMMYFUNCTION("""COMPUTED_VALUE"""),"")</f>
        <v/>
      </c>
      <c r="J349" s="71" t="str">
        <f>IFERROR(__xludf.DUMMYFUNCTION("""COMPUTED_VALUE"""),"")</f>
        <v/>
      </c>
      <c r="K349" s="71"/>
      <c r="L349" s="71" t="str">
        <f>IFERROR(__xludf.DUMMYFUNCTION("""COMPUTED_VALUE"""),"")</f>
        <v/>
      </c>
      <c r="M349" s="71" t="str">
        <f>IFERROR(__xludf.DUMMYFUNCTION("""COMPUTED_VALUE"""),"")</f>
        <v/>
      </c>
      <c r="N349" s="109" t="str">
        <f>IFERROR(__xludf.DUMMYFUNCTION("""COMPUTED_VALUE"""),"")</f>
        <v/>
      </c>
      <c r="O349" s="71" t="str">
        <f>IFERROR(__xludf.DUMMYFUNCTION("""COMPUTED_VALUE"""),"")</f>
        <v/>
      </c>
      <c r="P349" s="71" t="str">
        <f>IFERROR(__xludf.DUMMYFUNCTION("""COMPUTED_VALUE"""),"")</f>
        <v/>
      </c>
      <c r="Q349" s="78" t="str">
        <f>IFERROR(__xludf.DUMMYFUNCTION("""COMPUTED_VALUE"""),"")</f>
        <v/>
      </c>
      <c r="R349" s="78" t="str">
        <f>IFERROR(__xludf.DUMMYFUNCTION("""COMPUTED_VALUE"""),"")</f>
        <v/>
      </c>
      <c r="S349" s="80" t="str">
        <f>IFERROR(__xludf.DUMMYFUNCTION("""COMPUTED_VALUE"""),"")</f>
        <v/>
      </c>
      <c r="T349" s="80" t="str">
        <f>IFERROR(__xludf.DUMMYFUNCTION("""COMPUTED_VALUE"""),"")</f>
        <v/>
      </c>
      <c r="U349" s="71" t="str">
        <f>IFERROR(__xludf.DUMMYFUNCTION("""COMPUTED_VALUE"""),"")</f>
        <v/>
      </c>
      <c r="V349" s="78" t="str">
        <f>IFERROR(__xludf.DUMMYFUNCTION("""COMPUTED_VALUE"""),"")</f>
        <v/>
      </c>
      <c r="W349" s="62" t="str">
        <f>IFERROR(__xludf.DUMMYFUNCTION("""COMPUTED_VALUE"""),"")</f>
        <v/>
      </c>
      <c r="X349" s="80" t="str">
        <f>IFERROR(__xludf.DUMMYFUNCTION("""COMPUTED_VALUE"""),"")</f>
        <v/>
      </c>
      <c r="Y349" s="109" t="str">
        <f>IFERROR(__xludf.DUMMYFUNCTION("""COMPUTED_VALUE"""),"")</f>
        <v/>
      </c>
      <c r="Z349" s="71"/>
      <c r="AA349" s="71"/>
      <c r="AB349" s="71"/>
    </row>
    <row r="350">
      <c r="A350" s="71"/>
      <c r="B350" s="71"/>
      <c r="C350" s="71" t="str">
        <f>IFERROR(__xludf.DUMMYFUNCTION("""COMPUTED_VALUE"""),"")</f>
        <v/>
      </c>
      <c r="D350" s="71"/>
      <c r="E350" s="78">
        <f>IFERROR(__xludf.DUMMYFUNCTION("""COMPUTED_VALUE"""),0.0)</f>
        <v>0</v>
      </c>
      <c r="F350" s="71"/>
      <c r="G350" s="78" t="str">
        <f>IFERROR(__xludf.DUMMYFUNCTION("""COMPUTED_VALUE"""),"")</f>
        <v/>
      </c>
      <c r="H350" s="71">
        <f>IFERROR(__xludf.DUMMYFUNCTION("""COMPUTED_VALUE"""),0.0)</f>
        <v>0</v>
      </c>
      <c r="I350" s="80" t="str">
        <f>IFERROR(__xludf.DUMMYFUNCTION("""COMPUTED_VALUE"""),"")</f>
        <v/>
      </c>
      <c r="J350" s="71" t="str">
        <f>IFERROR(__xludf.DUMMYFUNCTION("""COMPUTED_VALUE"""),"")</f>
        <v/>
      </c>
      <c r="K350" s="71"/>
      <c r="L350" s="71" t="str">
        <f>IFERROR(__xludf.DUMMYFUNCTION("""COMPUTED_VALUE"""),"")</f>
        <v/>
      </c>
      <c r="M350" s="71" t="str">
        <f>IFERROR(__xludf.DUMMYFUNCTION("""COMPUTED_VALUE"""),"")</f>
        <v/>
      </c>
      <c r="N350" s="109" t="str">
        <f>IFERROR(__xludf.DUMMYFUNCTION("""COMPUTED_VALUE"""),"")</f>
        <v/>
      </c>
      <c r="O350" s="71" t="str">
        <f>IFERROR(__xludf.DUMMYFUNCTION("""COMPUTED_VALUE"""),"")</f>
        <v/>
      </c>
      <c r="P350" s="71" t="str">
        <f>IFERROR(__xludf.DUMMYFUNCTION("""COMPUTED_VALUE"""),"")</f>
        <v/>
      </c>
      <c r="Q350" s="78" t="str">
        <f>IFERROR(__xludf.DUMMYFUNCTION("""COMPUTED_VALUE"""),"")</f>
        <v/>
      </c>
      <c r="R350" s="78" t="str">
        <f>IFERROR(__xludf.DUMMYFUNCTION("""COMPUTED_VALUE"""),"")</f>
        <v/>
      </c>
      <c r="S350" s="80" t="str">
        <f>IFERROR(__xludf.DUMMYFUNCTION("""COMPUTED_VALUE"""),"")</f>
        <v/>
      </c>
      <c r="T350" s="80" t="str">
        <f>IFERROR(__xludf.DUMMYFUNCTION("""COMPUTED_VALUE"""),"")</f>
        <v/>
      </c>
      <c r="U350" s="71" t="str">
        <f>IFERROR(__xludf.DUMMYFUNCTION("""COMPUTED_VALUE"""),"")</f>
        <v/>
      </c>
      <c r="V350" s="78" t="str">
        <f>IFERROR(__xludf.DUMMYFUNCTION("""COMPUTED_VALUE"""),"")</f>
        <v/>
      </c>
      <c r="W350" s="62" t="str">
        <f>IFERROR(__xludf.DUMMYFUNCTION("""COMPUTED_VALUE"""),"")</f>
        <v/>
      </c>
      <c r="X350" s="80" t="str">
        <f>IFERROR(__xludf.DUMMYFUNCTION("""COMPUTED_VALUE"""),"")</f>
        <v/>
      </c>
      <c r="Y350" s="109" t="str">
        <f>IFERROR(__xludf.DUMMYFUNCTION("""COMPUTED_VALUE"""),"")</f>
        <v/>
      </c>
      <c r="Z350" s="71"/>
      <c r="AA350" s="71"/>
      <c r="AB350" s="71"/>
    </row>
    <row r="351">
      <c r="A351" s="71"/>
      <c r="B351" s="71"/>
      <c r="C351" s="71" t="str">
        <f>IFERROR(__xludf.DUMMYFUNCTION("""COMPUTED_VALUE"""),"")</f>
        <v/>
      </c>
      <c r="D351" s="71"/>
      <c r="E351" s="78">
        <f>IFERROR(__xludf.DUMMYFUNCTION("""COMPUTED_VALUE"""),0.0)</f>
        <v>0</v>
      </c>
      <c r="F351" s="71"/>
      <c r="G351" s="78" t="str">
        <f>IFERROR(__xludf.DUMMYFUNCTION("""COMPUTED_VALUE"""),"")</f>
        <v/>
      </c>
      <c r="H351" s="71">
        <f>IFERROR(__xludf.DUMMYFUNCTION("""COMPUTED_VALUE"""),0.0)</f>
        <v>0</v>
      </c>
      <c r="I351" s="80" t="str">
        <f>IFERROR(__xludf.DUMMYFUNCTION("""COMPUTED_VALUE"""),"")</f>
        <v/>
      </c>
      <c r="J351" s="71" t="str">
        <f>IFERROR(__xludf.DUMMYFUNCTION("""COMPUTED_VALUE"""),"")</f>
        <v/>
      </c>
      <c r="K351" s="71"/>
      <c r="L351" s="71" t="str">
        <f>IFERROR(__xludf.DUMMYFUNCTION("""COMPUTED_VALUE"""),"")</f>
        <v/>
      </c>
      <c r="M351" s="71" t="str">
        <f>IFERROR(__xludf.DUMMYFUNCTION("""COMPUTED_VALUE"""),"")</f>
        <v/>
      </c>
      <c r="N351" s="109" t="str">
        <f>IFERROR(__xludf.DUMMYFUNCTION("""COMPUTED_VALUE"""),"")</f>
        <v/>
      </c>
      <c r="O351" s="71" t="str">
        <f>IFERROR(__xludf.DUMMYFUNCTION("""COMPUTED_VALUE"""),"")</f>
        <v/>
      </c>
      <c r="P351" s="71" t="str">
        <f>IFERROR(__xludf.DUMMYFUNCTION("""COMPUTED_VALUE"""),"")</f>
        <v/>
      </c>
      <c r="Q351" s="78" t="str">
        <f>IFERROR(__xludf.DUMMYFUNCTION("""COMPUTED_VALUE"""),"")</f>
        <v/>
      </c>
      <c r="R351" s="78" t="str">
        <f>IFERROR(__xludf.DUMMYFUNCTION("""COMPUTED_VALUE"""),"")</f>
        <v/>
      </c>
      <c r="S351" s="80" t="str">
        <f>IFERROR(__xludf.DUMMYFUNCTION("""COMPUTED_VALUE"""),"")</f>
        <v/>
      </c>
      <c r="T351" s="80" t="str">
        <f>IFERROR(__xludf.DUMMYFUNCTION("""COMPUTED_VALUE"""),"")</f>
        <v/>
      </c>
      <c r="U351" s="71" t="str">
        <f>IFERROR(__xludf.DUMMYFUNCTION("""COMPUTED_VALUE"""),"")</f>
        <v/>
      </c>
      <c r="V351" s="78" t="str">
        <f>IFERROR(__xludf.DUMMYFUNCTION("""COMPUTED_VALUE"""),"")</f>
        <v/>
      </c>
      <c r="W351" s="62" t="str">
        <f>IFERROR(__xludf.DUMMYFUNCTION("""COMPUTED_VALUE"""),"")</f>
        <v/>
      </c>
      <c r="X351" s="80" t="str">
        <f>IFERROR(__xludf.DUMMYFUNCTION("""COMPUTED_VALUE"""),"")</f>
        <v/>
      </c>
      <c r="Y351" s="109" t="str">
        <f>IFERROR(__xludf.DUMMYFUNCTION("""COMPUTED_VALUE"""),"")</f>
        <v/>
      </c>
      <c r="Z351" s="71"/>
      <c r="AA351" s="71"/>
      <c r="AB351" s="71"/>
    </row>
    <row r="352">
      <c r="A352" s="71"/>
      <c r="B352" s="71"/>
      <c r="C352" s="71" t="str">
        <f>IFERROR(__xludf.DUMMYFUNCTION("""COMPUTED_VALUE"""),"")</f>
        <v/>
      </c>
      <c r="D352" s="71"/>
      <c r="E352" s="78">
        <f>IFERROR(__xludf.DUMMYFUNCTION("""COMPUTED_VALUE"""),0.0)</f>
        <v>0</v>
      </c>
      <c r="F352" s="71"/>
      <c r="G352" s="78" t="str">
        <f>IFERROR(__xludf.DUMMYFUNCTION("""COMPUTED_VALUE"""),"")</f>
        <v/>
      </c>
      <c r="H352" s="71">
        <f>IFERROR(__xludf.DUMMYFUNCTION("""COMPUTED_VALUE"""),0.0)</f>
        <v>0</v>
      </c>
      <c r="I352" s="80" t="str">
        <f>IFERROR(__xludf.DUMMYFUNCTION("""COMPUTED_VALUE"""),"")</f>
        <v/>
      </c>
      <c r="J352" s="71" t="str">
        <f>IFERROR(__xludf.DUMMYFUNCTION("""COMPUTED_VALUE"""),"")</f>
        <v/>
      </c>
      <c r="K352" s="71"/>
      <c r="L352" s="71" t="str">
        <f>IFERROR(__xludf.DUMMYFUNCTION("""COMPUTED_VALUE"""),"")</f>
        <v/>
      </c>
      <c r="M352" s="71" t="str">
        <f>IFERROR(__xludf.DUMMYFUNCTION("""COMPUTED_VALUE"""),"")</f>
        <v/>
      </c>
      <c r="N352" s="109" t="str">
        <f>IFERROR(__xludf.DUMMYFUNCTION("""COMPUTED_VALUE"""),"")</f>
        <v/>
      </c>
      <c r="O352" s="71" t="str">
        <f>IFERROR(__xludf.DUMMYFUNCTION("""COMPUTED_VALUE"""),"")</f>
        <v/>
      </c>
      <c r="P352" s="71" t="str">
        <f>IFERROR(__xludf.DUMMYFUNCTION("""COMPUTED_VALUE"""),"")</f>
        <v/>
      </c>
      <c r="Q352" s="78" t="str">
        <f>IFERROR(__xludf.DUMMYFUNCTION("""COMPUTED_VALUE"""),"")</f>
        <v/>
      </c>
      <c r="R352" s="78" t="str">
        <f>IFERROR(__xludf.DUMMYFUNCTION("""COMPUTED_VALUE"""),"")</f>
        <v/>
      </c>
      <c r="S352" s="80" t="str">
        <f>IFERROR(__xludf.DUMMYFUNCTION("""COMPUTED_VALUE"""),"")</f>
        <v/>
      </c>
      <c r="T352" s="80" t="str">
        <f>IFERROR(__xludf.DUMMYFUNCTION("""COMPUTED_VALUE"""),"")</f>
        <v/>
      </c>
      <c r="U352" s="71" t="str">
        <f>IFERROR(__xludf.DUMMYFUNCTION("""COMPUTED_VALUE"""),"")</f>
        <v/>
      </c>
      <c r="V352" s="78" t="str">
        <f>IFERROR(__xludf.DUMMYFUNCTION("""COMPUTED_VALUE"""),"")</f>
        <v/>
      </c>
      <c r="W352" s="62" t="str">
        <f>IFERROR(__xludf.DUMMYFUNCTION("""COMPUTED_VALUE"""),"")</f>
        <v/>
      </c>
      <c r="X352" s="80" t="str">
        <f>IFERROR(__xludf.DUMMYFUNCTION("""COMPUTED_VALUE"""),"")</f>
        <v/>
      </c>
      <c r="Y352" s="109" t="str">
        <f>IFERROR(__xludf.DUMMYFUNCTION("""COMPUTED_VALUE"""),"")</f>
        <v/>
      </c>
      <c r="Z352" s="71"/>
      <c r="AA352" s="71"/>
      <c r="AB352" s="71"/>
    </row>
    <row r="353">
      <c r="A353" s="71"/>
      <c r="B353" s="71"/>
      <c r="C353" s="71" t="str">
        <f>IFERROR(__xludf.DUMMYFUNCTION("""COMPUTED_VALUE"""),"")</f>
        <v/>
      </c>
      <c r="D353" s="71"/>
      <c r="E353" s="78">
        <f>IFERROR(__xludf.DUMMYFUNCTION("""COMPUTED_VALUE"""),0.0)</f>
        <v>0</v>
      </c>
      <c r="F353" s="71"/>
      <c r="G353" s="78" t="str">
        <f>IFERROR(__xludf.DUMMYFUNCTION("""COMPUTED_VALUE"""),"")</f>
        <v/>
      </c>
      <c r="H353" s="71">
        <f>IFERROR(__xludf.DUMMYFUNCTION("""COMPUTED_VALUE"""),0.0)</f>
        <v>0</v>
      </c>
      <c r="I353" s="80" t="str">
        <f>IFERROR(__xludf.DUMMYFUNCTION("""COMPUTED_VALUE"""),"")</f>
        <v/>
      </c>
      <c r="J353" s="71" t="str">
        <f>IFERROR(__xludf.DUMMYFUNCTION("""COMPUTED_VALUE"""),"")</f>
        <v/>
      </c>
      <c r="K353" s="71"/>
      <c r="L353" s="71" t="str">
        <f>IFERROR(__xludf.DUMMYFUNCTION("""COMPUTED_VALUE"""),"")</f>
        <v/>
      </c>
      <c r="M353" s="71" t="str">
        <f>IFERROR(__xludf.DUMMYFUNCTION("""COMPUTED_VALUE"""),"")</f>
        <v/>
      </c>
      <c r="N353" s="109" t="str">
        <f>IFERROR(__xludf.DUMMYFUNCTION("""COMPUTED_VALUE"""),"")</f>
        <v/>
      </c>
      <c r="O353" s="71" t="str">
        <f>IFERROR(__xludf.DUMMYFUNCTION("""COMPUTED_VALUE"""),"")</f>
        <v/>
      </c>
      <c r="P353" s="71" t="str">
        <f>IFERROR(__xludf.DUMMYFUNCTION("""COMPUTED_VALUE"""),"")</f>
        <v/>
      </c>
      <c r="Q353" s="78" t="str">
        <f>IFERROR(__xludf.DUMMYFUNCTION("""COMPUTED_VALUE"""),"")</f>
        <v/>
      </c>
      <c r="R353" s="78" t="str">
        <f>IFERROR(__xludf.DUMMYFUNCTION("""COMPUTED_VALUE"""),"")</f>
        <v/>
      </c>
      <c r="S353" s="80" t="str">
        <f>IFERROR(__xludf.DUMMYFUNCTION("""COMPUTED_VALUE"""),"")</f>
        <v/>
      </c>
      <c r="T353" s="80" t="str">
        <f>IFERROR(__xludf.DUMMYFUNCTION("""COMPUTED_VALUE"""),"")</f>
        <v/>
      </c>
      <c r="U353" s="71" t="str">
        <f>IFERROR(__xludf.DUMMYFUNCTION("""COMPUTED_VALUE"""),"")</f>
        <v/>
      </c>
      <c r="V353" s="78" t="str">
        <f>IFERROR(__xludf.DUMMYFUNCTION("""COMPUTED_VALUE"""),"")</f>
        <v/>
      </c>
      <c r="W353" s="62" t="str">
        <f>IFERROR(__xludf.DUMMYFUNCTION("""COMPUTED_VALUE"""),"")</f>
        <v/>
      </c>
      <c r="X353" s="80" t="str">
        <f>IFERROR(__xludf.DUMMYFUNCTION("""COMPUTED_VALUE"""),"")</f>
        <v/>
      </c>
      <c r="Y353" s="109" t="str">
        <f>IFERROR(__xludf.DUMMYFUNCTION("""COMPUTED_VALUE"""),"")</f>
        <v/>
      </c>
      <c r="Z353" s="71"/>
      <c r="AA353" s="71"/>
      <c r="AB353" s="71"/>
    </row>
    <row r="354">
      <c r="A354" s="71"/>
      <c r="B354" s="71"/>
      <c r="C354" s="71" t="str">
        <f>IFERROR(__xludf.DUMMYFUNCTION("""COMPUTED_VALUE"""),"")</f>
        <v/>
      </c>
      <c r="D354" s="71"/>
      <c r="E354" s="78">
        <f>IFERROR(__xludf.DUMMYFUNCTION("""COMPUTED_VALUE"""),0.0)</f>
        <v>0</v>
      </c>
      <c r="F354" s="71"/>
      <c r="G354" s="78" t="str">
        <f>IFERROR(__xludf.DUMMYFUNCTION("""COMPUTED_VALUE"""),"")</f>
        <v/>
      </c>
      <c r="H354" s="71">
        <f>IFERROR(__xludf.DUMMYFUNCTION("""COMPUTED_VALUE"""),0.0)</f>
        <v>0</v>
      </c>
      <c r="I354" s="80" t="str">
        <f>IFERROR(__xludf.DUMMYFUNCTION("""COMPUTED_VALUE"""),"")</f>
        <v/>
      </c>
      <c r="J354" s="71" t="str">
        <f>IFERROR(__xludf.DUMMYFUNCTION("""COMPUTED_VALUE"""),"")</f>
        <v/>
      </c>
      <c r="K354" s="71"/>
      <c r="L354" s="71" t="str">
        <f>IFERROR(__xludf.DUMMYFUNCTION("""COMPUTED_VALUE"""),"")</f>
        <v/>
      </c>
      <c r="M354" s="71" t="str">
        <f>IFERROR(__xludf.DUMMYFUNCTION("""COMPUTED_VALUE"""),"")</f>
        <v/>
      </c>
      <c r="N354" s="109" t="str">
        <f>IFERROR(__xludf.DUMMYFUNCTION("""COMPUTED_VALUE"""),"")</f>
        <v/>
      </c>
      <c r="O354" s="71" t="str">
        <f>IFERROR(__xludf.DUMMYFUNCTION("""COMPUTED_VALUE"""),"")</f>
        <v/>
      </c>
      <c r="P354" s="71" t="str">
        <f>IFERROR(__xludf.DUMMYFUNCTION("""COMPUTED_VALUE"""),"")</f>
        <v/>
      </c>
      <c r="Q354" s="78" t="str">
        <f>IFERROR(__xludf.DUMMYFUNCTION("""COMPUTED_VALUE"""),"")</f>
        <v/>
      </c>
      <c r="R354" s="78" t="str">
        <f>IFERROR(__xludf.DUMMYFUNCTION("""COMPUTED_VALUE"""),"")</f>
        <v/>
      </c>
      <c r="S354" s="80" t="str">
        <f>IFERROR(__xludf.DUMMYFUNCTION("""COMPUTED_VALUE"""),"")</f>
        <v/>
      </c>
      <c r="T354" s="80" t="str">
        <f>IFERROR(__xludf.DUMMYFUNCTION("""COMPUTED_VALUE"""),"")</f>
        <v/>
      </c>
      <c r="U354" s="71" t="str">
        <f>IFERROR(__xludf.DUMMYFUNCTION("""COMPUTED_VALUE"""),"")</f>
        <v/>
      </c>
      <c r="V354" s="78" t="str">
        <f>IFERROR(__xludf.DUMMYFUNCTION("""COMPUTED_VALUE"""),"")</f>
        <v/>
      </c>
      <c r="W354" s="62" t="str">
        <f>IFERROR(__xludf.DUMMYFUNCTION("""COMPUTED_VALUE"""),"")</f>
        <v/>
      </c>
      <c r="X354" s="80" t="str">
        <f>IFERROR(__xludf.DUMMYFUNCTION("""COMPUTED_VALUE"""),"")</f>
        <v/>
      </c>
      <c r="Y354" s="109" t="str">
        <f>IFERROR(__xludf.DUMMYFUNCTION("""COMPUTED_VALUE"""),"")</f>
        <v/>
      </c>
      <c r="Z354" s="71"/>
      <c r="AA354" s="71"/>
      <c r="AB354" s="71"/>
    </row>
    <row r="355">
      <c r="A355" s="71"/>
      <c r="B355" s="71"/>
      <c r="C355" s="71" t="str">
        <f>IFERROR(__xludf.DUMMYFUNCTION("""COMPUTED_VALUE"""),"")</f>
        <v/>
      </c>
      <c r="D355" s="71"/>
      <c r="E355" s="78">
        <f>IFERROR(__xludf.DUMMYFUNCTION("""COMPUTED_VALUE"""),0.0)</f>
        <v>0</v>
      </c>
      <c r="F355" s="71"/>
      <c r="G355" s="78" t="str">
        <f>IFERROR(__xludf.DUMMYFUNCTION("""COMPUTED_VALUE"""),"")</f>
        <v/>
      </c>
      <c r="H355" s="71">
        <f>IFERROR(__xludf.DUMMYFUNCTION("""COMPUTED_VALUE"""),0.0)</f>
        <v>0</v>
      </c>
      <c r="I355" s="80" t="str">
        <f>IFERROR(__xludf.DUMMYFUNCTION("""COMPUTED_VALUE"""),"")</f>
        <v/>
      </c>
      <c r="J355" s="71" t="str">
        <f>IFERROR(__xludf.DUMMYFUNCTION("""COMPUTED_VALUE"""),"")</f>
        <v/>
      </c>
      <c r="K355" s="71"/>
      <c r="L355" s="71" t="str">
        <f>IFERROR(__xludf.DUMMYFUNCTION("""COMPUTED_VALUE"""),"")</f>
        <v/>
      </c>
      <c r="M355" s="71" t="str">
        <f>IFERROR(__xludf.DUMMYFUNCTION("""COMPUTED_VALUE"""),"")</f>
        <v/>
      </c>
      <c r="N355" s="109" t="str">
        <f>IFERROR(__xludf.DUMMYFUNCTION("""COMPUTED_VALUE"""),"")</f>
        <v/>
      </c>
      <c r="O355" s="71" t="str">
        <f>IFERROR(__xludf.DUMMYFUNCTION("""COMPUTED_VALUE"""),"")</f>
        <v/>
      </c>
      <c r="P355" s="71" t="str">
        <f>IFERROR(__xludf.DUMMYFUNCTION("""COMPUTED_VALUE"""),"")</f>
        <v/>
      </c>
      <c r="Q355" s="78" t="str">
        <f>IFERROR(__xludf.DUMMYFUNCTION("""COMPUTED_VALUE"""),"")</f>
        <v/>
      </c>
      <c r="R355" s="78" t="str">
        <f>IFERROR(__xludf.DUMMYFUNCTION("""COMPUTED_VALUE"""),"")</f>
        <v/>
      </c>
      <c r="S355" s="80" t="str">
        <f>IFERROR(__xludf.DUMMYFUNCTION("""COMPUTED_VALUE"""),"")</f>
        <v/>
      </c>
      <c r="T355" s="80" t="str">
        <f>IFERROR(__xludf.DUMMYFUNCTION("""COMPUTED_VALUE"""),"")</f>
        <v/>
      </c>
      <c r="U355" s="71" t="str">
        <f>IFERROR(__xludf.DUMMYFUNCTION("""COMPUTED_VALUE"""),"")</f>
        <v/>
      </c>
      <c r="V355" s="78" t="str">
        <f>IFERROR(__xludf.DUMMYFUNCTION("""COMPUTED_VALUE"""),"")</f>
        <v/>
      </c>
      <c r="W355" s="62" t="str">
        <f>IFERROR(__xludf.DUMMYFUNCTION("""COMPUTED_VALUE"""),"")</f>
        <v/>
      </c>
      <c r="X355" s="80" t="str">
        <f>IFERROR(__xludf.DUMMYFUNCTION("""COMPUTED_VALUE"""),"")</f>
        <v/>
      </c>
      <c r="Y355" s="109" t="str">
        <f>IFERROR(__xludf.DUMMYFUNCTION("""COMPUTED_VALUE"""),"")</f>
        <v/>
      </c>
      <c r="Z355" s="71"/>
      <c r="AA355" s="71"/>
      <c r="AB355" s="71"/>
    </row>
    <row r="356">
      <c r="A356" s="71"/>
      <c r="B356" s="71"/>
      <c r="C356" s="71" t="str">
        <f>IFERROR(__xludf.DUMMYFUNCTION("""COMPUTED_VALUE"""),"")</f>
        <v/>
      </c>
      <c r="D356" s="71"/>
      <c r="E356" s="78">
        <f>IFERROR(__xludf.DUMMYFUNCTION("""COMPUTED_VALUE"""),0.0)</f>
        <v>0</v>
      </c>
      <c r="F356" s="71"/>
      <c r="G356" s="78" t="str">
        <f>IFERROR(__xludf.DUMMYFUNCTION("""COMPUTED_VALUE"""),"")</f>
        <v/>
      </c>
      <c r="H356" s="71">
        <f>IFERROR(__xludf.DUMMYFUNCTION("""COMPUTED_VALUE"""),0.0)</f>
        <v>0</v>
      </c>
      <c r="I356" s="80" t="str">
        <f>IFERROR(__xludf.DUMMYFUNCTION("""COMPUTED_VALUE"""),"")</f>
        <v/>
      </c>
      <c r="J356" s="71" t="str">
        <f>IFERROR(__xludf.DUMMYFUNCTION("""COMPUTED_VALUE"""),"")</f>
        <v/>
      </c>
      <c r="K356" s="71"/>
      <c r="L356" s="71" t="str">
        <f>IFERROR(__xludf.DUMMYFUNCTION("""COMPUTED_VALUE"""),"")</f>
        <v/>
      </c>
      <c r="M356" s="71" t="str">
        <f>IFERROR(__xludf.DUMMYFUNCTION("""COMPUTED_VALUE"""),"")</f>
        <v/>
      </c>
      <c r="N356" s="109" t="str">
        <f>IFERROR(__xludf.DUMMYFUNCTION("""COMPUTED_VALUE"""),"")</f>
        <v/>
      </c>
      <c r="O356" s="71" t="str">
        <f>IFERROR(__xludf.DUMMYFUNCTION("""COMPUTED_VALUE"""),"")</f>
        <v/>
      </c>
      <c r="P356" s="71" t="str">
        <f>IFERROR(__xludf.DUMMYFUNCTION("""COMPUTED_VALUE"""),"")</f>
        <v/>
      </c>
      <c r="Q356" s="78" t="str">
        <f>IFERROR(__xludf.DUMMYFUNCTION("""COMPUTED_VALUE"""),"")</f>
        <v/>
      </c>
      <c r="R356" s="78" t="str">
        <f>IFERROR(__xludf.DUMMYFUNCTION("""COMPUTED_VALUE"""),"")</f>
        <v/>
      </c>
      <c r="S356" s="80" t="str">
        <f>IFERROR(__xludf.DUMMYFUNCTION("""COMPUTED_VALUE"""),"")</f>
        <v/>
      </c>
      <c r="T356" s="80" t="str">
        <f>IFERROR(__xludf.DUMMYFUNCTION("""COMPUTED_VALUE"""),"")</f>
        <v/>
      </c>
      <c r="U356" s="71" t="str">
        <f>IFERROR(__xludf.DUMMYFUNCTION("""COMPUTED_VALUE"""),"")</f>
        <v/>
      </c>
      <c r="V356" s="78" t="str">
        <f>IFERROR(__xludf.DUMMYFUNCTION("""COMPUTED_VALUE"""),"")</f>
        <v/>
      </c>
      <c r="W356" s="62" t="str">
        <f>IFERROR(__xludf.DUMMYFUNCTION("""COMPUTED_VALUE"""),"")</f>
        <v/>
      </c>
      <c r="X356" s="80" t="str">
        <f>IFERROR(__xludf.DUMMYFUNCTION("""COMPUTED_VALUE"""),"")</f>
        <v/>
      </c>
      <c r="Y356" s="109" t="str">
        <f>IFERROR(__xludf.DUMMYFUNCTION("""COMPUTED_VALUE"""),"")</f>
        <v/>
      </c>
      <c r="Z356" s="71"/>
      <c r="AA356" s="71"/>
      <c r="AB356" s="71"/>
    </row>
    <row r="357">
      <c r="A357" s="71"/>
      <c r="B357" s="71"/>
      <c r="C357" s="71" t="str">
        <f>IFERROR(__xludf.DUMMYFUNCTION("""COMPUTED_VALUE"""),"")</f>
        <v/>
      </c>
      <c r="D357" s="71"/>
      <c r="E357" s="78">
        <f>IFERROR(__xludf.DUMMYFUNCTION("""COMPUTED_VALUE"""),0.0)</f>
        <v>0</v>
      </c>
      <c r="F357" s="71"/>
      <c r="G357" s="78" t="str">
        <f>IFERROR(__xludf.DUMMYFUNCTION("""COMPUTED_VALUE"""),"")</f>
        <v/>
      </c>
      <c r="H357" s="71">
        <f>IFERROR(__xludf.DUMMYFUNCTION("""COMPUTED_VALUE"""),0.0)</f>
        <v>0</v>
      </c>
      <c r="I357" s="80" t="str">
        <f>IFERROR(__xludf.DUMMYFUNCTION("""COMPUTED_VALUE"""),"")</f>
        <v/>
      </c>
      <c r="J357" s="71" t="str">
        <f>IFERROR(__xludf.DUMMYFUNCTION("""COMPUTED_VALUE"""),"")</f>
        <v/>
      </c>
      <c r="K357" s="71"/>
      <c r="L357" s="71" t="str">
        <f>IFERROR(__xludf.DUMMYFUNCTION("""COMPUTED_VALUE"""),"")</f>
        <v/>
      </c>
      <c r="M357" s="71" t="str">
        <f>IFERROR(__xludf.DUMMYFUNCTION("""COMPUTED_VALUE"""),"")</f>
        <v/>
      </c>
      <c r="N357" s="109" t="str">
        <f>IFERROR(__xludf.DUMMYFUNCTION("""COMPUTED_VALUE"""),"")</f>
        <v/>
      </c>
      <c r="O357" s="71" t="str">
        <f>IFERROR(__xludf.DUMMYFUNCTION("""COMPUTED_VALUE"""),"")</f>
        <v/>
      </c>
      <c r="P357" s="71" t="str">
        <f>IFERROR(__xludf.DUMMYFUNCTION("""COMPUTED_VALUE"""),"")</f>
        <v/>
      </c>
      <c r="Q357" s="78" t="str">
        <f>IFERROR(__xludf.DUMMYFUNCTION("""COMPUTED_VALUE"""),"")</f>
        <v/>
      </c>
      <c r="R357" s="78" t="str">
        <f>IFERROR(__xludf.DUMMYFUNCTION("""COMPUTED_VALUE"""),"")</f>
        <v/>
      </c>
      <c r="S357" s="80" t="str">
        <f>IFERROR(__xludf.DUMMYFUNCTION("""COMPUTED_VALUE"""),"")</f>
        <v/>
      </c>
      <c r="T357" s="80" t="str">
        <f>IFERROR(__xludf.DUMMYFUNCTION("""COMPUTED_VALUE"""),"")</f>
        <v/>
      </c>
      <c r="U357" s="71" t="str">
        <f>IFERROR(__xludf.DUMMYFUNCTION("""COMPUTED_VALUE"""),"")</f>
        <v/>
      </c>
      <c r="V357" s="78" t="str">
        <f>IFERROR(__xludf.DUMMYFUNCTION("""COMPUTED_VALUE"""),"")</f>
        <v/>
      </c>
      <c r="W357" s="62" t="str">
        <f>IFERROR(__xludf.DUMMYFUNCTION("""COMPUTED_VALUE"""),"")</f>
        <v/>
      </c>
      <c r="X357" s="80" t="str">
        <f>IFERROR(__xludf.DUMMYFUNCTION("""COMPUTED_VALUE"""),"")</f>
        <v/>
      </c>
      <c r="Y357" s="109" t="str">
        <f>IFERROR(__xludf.DUMMYFUNCTION("""COMPUTED_VALUE"""),"")</f>
        <v/>
      </c>
      <c r="Z357" s="71"/>
      <c r="AA357" s="71"/>
      <c r="AB357" s="71"/>
    </row>
    <row r="358">
      <c r="A358" s="71"/>
      <c r="B358" s="71"/>
      <c r="C358" s="71" t="str">
        <f>IFERROR(__xludf.DUMMYFUNCTION("""COMPUTED_VALUE"""),"")</f>
        <v/>
      </c>
      <c r="D358" s="71"/>
      <c r="E358" s="78">
        <f>IFERROR(__xludf.DUMMYFUNCTION("""COMPUTED_VALUE"""),0.0)</f>
        <v>0</v>
      </c>
      <c r="F358" s="71"/>
      <c r="G358" s="78" t="str">
        <f>IFERROR(__xludf.DUMMYFUNCTION("""COMPUTED_VALUE"""),"")</f>
        <v/>
      </c>
      <c r="H358" s="71">
        <f>IFERROR(__xludf.DUMMYFUNCTION("""COMPUTED_VALUE"""),0.0)</f>
        <v>0</v>
      </c>
      <c r="I358" s="80" t="str">
        <f>IFERROR(__xludf.DUMMYFUNCTION("""COMPUTED_VALUE"""),"")</f>
        <v/>
      </c>
      <c r="J358" s="71" t="str">
        <f>IFERROR(__xludf.DUMMYFUNCTION("""COMPUTED_VALUE"""),"")</f>
        <v/>
      </c>
      <c r="K358" s="71"/>
      <c r="L358" s="71" t="str">
        <f>IFERROR(__xludf.DUMMYFUNCTION("""COMPUTED_VALUE"""),"")</f>
        <v/>
      </c>
      <c r="M358" s="71" t="str">
        <f>IFERROR(__xludf.DUMMYFUNCTION("""COMPUTED_VALUE"""),"")</f>
        <v/>
      </c>
      <c r="N358" s="109" t="str">
        <f>IFERROR(__xludf.DUMMYFUNCTION("""COMPUTED_VALUE"""),"")</f>
        <v/>
      </c>
      <c r="O358" s="71" t="str">
        <f>IFERROR(__xludf.DUMMYFUNCTION("""COMPUTED_VALUE"""),"")</f>
        <v/>
      </c>
      <c r="P358" s="71" t="str">
        <f>IFERROR(__xludf.DUMMYFUNCTION("""COMPUTED_VALUE"""),"")</f>
        <v/>
      </c>
      <c r="Q358" s="78" t="str">
        <f>IFERROR(__xludf.DUMMYFUNCTION("""COMPUTED_VALUE"""),"")</f>
        <v/>
      </c>
      <c r="R358" s="78" t="str">
        <f>IFERROR(__xludf.DUMMYFUNCTION("""COMPUTED_VALUE"""),"")</f>
        <v/>
      </c>
      <c r="S358" s="80" t="str">
        <f>IFERROR(__xludf.DUMMYFUNCTION("""COMPUTED_VALUE"""),"")</f>
        <v/>
      </c>
      <c r="T358" s="80" t="str">
        <f>IFERROR(__xludf.DUMMYFUNCTION("""COMPUTED_VALUE"""),"")</f>
        <v/>
      </c>
      <c r="U358" s="71" t="str">
        <f>IFERROR(__xludf.DUMMYFUNCTION("""COMPUTED_VALUE"""),"")</f>
        <v/>
      </c>
      <c r="V358" s="78" t="str">
        <f>IFERROR(__xludf.DUMMYFUNCTION("""COMPUTED_VALUE"""),"")</f>
        <v/>
      </c>
      <c r="W358" s="62" t="str">
        <f>IFERROR(__xludf.DUMMYFUNCTION("""COMPUTED_VALUE"""),"")</f>
        <v/>
      </c>
      <c r="X358" s="80" t="str">
        <f>IFERROR(__xludf.DUMMYFUNCTION("""COMPUTED_VALUE"""),"")</f>
        <v/>
      </c>
      <c r="Y358" s="109" t="str">
        <f>IFERROR(__xludf.DUMMYFUNCTION("""COMPUTED_VALUE"""),"")</f>
        <v/>
      </c>
      <c r="Z358" s="71"/>
      <c r="AA358" s="71"/>
      <c r="AB358" s="71"/>
    </row>
    <row r="359">
      <c r="A359" s="71"/>
      <c r="B359" s="71"/>
      <c r="C359" s="71" t="str">
        <f>IFERROR(__xludf.DUMMYFUNCTION("""COMPUTED_VALUE"""),"")</f>
        <v/>
      </c>
      <c r="D359" s="71"/>
      <c r="E359" s="78">
        <f>IFERROR(__xludf.DUMMYFUNCTION("""COMPUTED_VALUE"""),0.0)</f>
        <v>0</v>
      </c>
      <c r="F359" s="71"/>
      <c r="G359" s="78" t="str">
        <f>IFERROR(__xludf.DUMMYFUNCTION("""COMPUTED_VALUE"""),"")</f>
        <v/>
      </c>
      <c r="H359" s="71">
        <f>IFERROR(__xludf.DUMMYFUNCTION("""COMPUTED_VALUE"""),0.0)</f>
        <v>0</v>
      </c>
      <c r="I359" s="80" t="str">
        <f>IFERROR(__xludf.DUMMYFUNCTION("""COMPUTED_VALUE"""),"")</f>
        <v/>
      </c>
      <c r="J359" s="71" t="str">
        <f>IFERROR(__xludf.DUMMYFUNCTION("""COMPUTED_VALUE"""),"")</f>
        <v/>
      </c>
      <c r="K359" s="71"/>
      <c r="L359" s="71" t="str">
        <f>IFERROR(__xludf.DUMMYFUNCTION("""COMPUTED_VALUE"""),"")</f>
        <v/>
      </c>
      <c r="M359" s="71" t="str">
        <f>IFERROR(__xludf.DUMMYFUNCTION("""COMPUTED_VALUE"""),"")</f>
        <v/>
      </c>
      <c r="N359" s="109" t="str">
        <f>IFERROR(__xludf.DUMMYFUNCTION("""COMPUTED_VALUE"""),"")</f>
        <v/>
      </c>
      <c r="O359" s="71" t="str">
        <f>IFERROR(__xludf.DUMMYFUNCTION("""COMPUTED_VALUE"""),"")</f>
        <v/>
      </c>
      <c r="P359" s="71" t="str">
        <f>IFERROR(__xludf.DUMMYFUNCTION("""COMPUTED_VALUE"""),"")</f>
        <v/>
      </c>
      <c r="Q359" s="78" t="str">
        <f>IFERROR(__xludf.DUMMYFUNCTION("""COMPUTED_VALUE"""),"")</f>
        <v/>
      </c>
      <c r="R359" s="78" t="str">
        <f>IFERROR(__xludf.DUMMYFUNCTION("""COMPUTED_VALUE"""),"")</f>
        <v/>
      </c>
      <c r="S359" s="80" t="str">
        <f>IFERROR(__xludf.DUMMYFUNCTION("""COMPUTED_VALUE"""),"")</f>
        <v/>
      </c>
      <c r="T359" s="80" t="str">
        <f>IFERROR(__xludf.DUMMYFUNCTION("""COMPUTED_VALUE"""),"")</f>
        <v/>
      </c>
      <c r="U359" s="71" t="str">
        <f>IFERROR(__xludf.DUMMYFUNCTION("""COMPUTED_VALUE"""),"")</f>
        <v/>
      </c>
      <c r="V359" s="78" t="str">
        <f>IFERROR(__xludf.DUMMYFUNCTION("""COMPUTED_VALUE"""),"")</f>
        <v/>
      </c>
      <c r="W359" s="62" t="str">
        <f>IFERROR(__xludf.DUMMYFUNCTION("""COMPUTED_VALUE"""),"")</f>
        <v/>
      </c>
      <c r="X359" s="80" t="str">
        <f>IFERROR(__xludf.DUMMYFUNCTION("""COMPUTED_VALUE"""),"")</f>
        <v/>
      </c>
      <c r="Y359" s="109" t="str">
        <f>IFERROR(__xludf.DUMMYFUNCTION("""COMPUTED_VALUE"""),"")</f>
        <v/>
      </c>
      <c r="Z359" s="71"/>
      <c r="AA359" s="71"/>
      <c r="AB359" s="71"/>
    </row>
    <row r="360">
      <c r="A360" s="71"/>
      <c r="B360" s="71"/>
      <c r="C360" s="71" t="str">
        <f>IFERROR(__xludf.DUMMYFUNCTION("""COMPUTED_VALUE"""),"")</f>
        <v/>
      </c>
      <c r="D360" s="71"/>
      <c r="E360" s="78">
        <f>IFERROR(__xludf.DUMMYFUNCTION("""COMPUTED_VALUE"""),0.0)</f>
        <v>0</v>
      </c>
      <c r="F360" s="71"/>
      <c r="G360" s="78" t="str">
        <f>IFERROR(__xludf.DUMMYFUNCTION("""COMPUTED_VALUE"""),"")</f>
        <v/>
      </c>
      <c r="H360" s="71">
        <f>IFERROR(__xludf.DUMMYFUNCTION("""COMPUTED_VALUE"""),0.0)</f>
        <v>0</v>
      </c>
      <c r="I360" s="80" t="str">
        <f>IFERROR(__xludf.DUMMYFUNCTION("""COMPUTED_VALUE"""),"")</f>
        <v/>
      </c>
      <c r="J360" s="71" t="str">
        <f>IFERROR(__xludf.DUMMYFUNCTION("""COMPUTED_VALUE"""),"")</f>
        <v/>
      </c>
      <c r="K360" s="71"/>
      <c r="L360" s="71" t="str">
        <f>IFERROR(__xludf.DUMMYFUNCTION("""COMPUTED_VALUE"""),"")</f>
        <v/>
      </c>
      <c r="M360" s="71" t="str">
        <f>IFERROR(__xludf.DUMMYFUNCTION("""COMPUTED_VALUE"""),"")</f>
        <v/>
      </c>
      <c r="N360" s="109" t="str">
        <f>IFERROR(__xludf.DUMMYFUNCTION("""COMPUTED_VALUE"""),"")</f>
        <v/>
      </c>
      <c r="O360" s="71" t="str">
        <f>IFERROR(__xludf.DUMMYFUNCTION("""COMPUTED_VALUE"""),"")</f>
        <v/>
      </c>
      <c r="P360" s="71" t="str">
        <f>IFERROR(__xludf.DUMMYFUNCTION("""COMPUTED_VALUE"""),"")</f>
        <v/>
      </c>
      <c r="Q360" s="78" t="str">
        <f>IFERROR(__xludf.DUMMYFUNCTION("""COMPUTED_VALUE"""),"")</f>
        <v/>
      </c>
      <c r="R360" s="78" t="str">
        <f>IFERROR(__xludf.DUMMYFUNCTION("""COMPUTED_VALUE"""),"")</f>
        <v/>
      </c>
      <c r="S360" s="80" t="str">
        <f>IFERROR(__xludf.DUMMYFUNCTION("""COMPUTED_VALUE"""),"")</f>
        <v/>
      </c>
      <c r="T360" s="80" t="str">
        <f>IFERROR(__xludf.DUMMYFUNCTION("""COMPUTED_VALUE"""),"")</f>
        <v/>
      </c>
      <c r="U360" s="71" t="str">
        <f>IFERROR(__xludf.DUMMYFUNCTION("""COMPUTED_VALUE"""),"")</f>
        <v/>
      </c>
      <c r="V360" s="78" t="str">
        <f>IFERROR(__xludf.DUMMYFUNCTION("""COMPUTED_VALUE"""),"")</f>
        <v/>
      </c>
      <c r="W360" s="62" t="str">
        <f>IFERROR(__xludf.DUMMYFUNCTION("""COMPUTED_VALUE"""),"")</f>
        <v/>
      </c>
      <c r="X360" s="80" t="str">
        <f>IFERROR(__xludf.DUMMYFUNCTION("""COMPUTED_VALUE"""),"")</f>
        <v/>
      </c>
      <c r="Y360" s="109" t="str">
        <f>IFERROR(__xludf.DUMMYFUNCTION("""COMPUTED_VALUE"""),"")</f>
        <v/>
      </c>
      <c r="Z360" s="71"/>
      <c r="AA360" s="71"/>
      <c r="AB360" s="71"/>
    </row>
    <row r="361">
      <c r="A361" s="71"/>
      <c r="B361" s="71"/>
      <c r="C361" s="71" t="str">
        <f>IFERROR(__xludf.DUMMYFUNCTION("""COMPUTED_VALUE"""),"")</f>
        <v/>
      </c>
      <c r="D361" s="71"/>
      <c r="E361" s="78">
        <f>IFERROR(__xludf.DUMMYFUNCTION("""COMPUTED_VALUE"""),0.0)</f>
        <v>0</v>
      </c>
      <c r="F361" s="71"/>
      <c r="G361" s="78" t="str">
        <f>IFERROR(__xludf.DUMMYFUNCTION("""COMPUTED_VALUE"""),"")</f>
        <v/>
      </c>
      <c r="H361" s="71">
        <f>IFERROR(__xludf.DUMMYFUNCTION("""COMPUTED_VALUE"""),0.0)</f>
        <v>0</v>
      </c>
      <c r="I361" s="80" t="str">
        <f>IFERROR(__xludf.DUMMYFUNCTION("""COMPUTED_VALUE"""),"")</f>
        <v/>
      </c>
      <c r="J361" s="71" t="str">
        <f>IFERROR(__xludf.DUMMYFUNCTION("""COMPUTED_VALUE"""),"")</f>
        <v/>
      </c>
      <c r="K361" s="71"/>
      <c r="L361" s="71" t="str">
        <f>IFERROR(__xludf.DUMMYFUNCTION("""COMPUTED_VALUE"""),"")</f>
        <v/>
      </c>
      <c r="M361" s="71" t="str">
        <f>IFERROR(__xludf.DUMMYFUNCTION("""COMPUTED_VALUE"""),"")</f>
        <v/>
      </c>
      <c r="N361" s="109" t="str">
        <f>IFERROR(__xludf.DUMMYFUNCTION("""COMPUTED_VALUE"""),"")</f>
        <v/>
      </c>
      <c r="O361" s="71" t="str">
        <f>IFERROR(__xludf.DUMMYFUNCTION("""COMPUTED_VALUE"""),"")</f>
        <v/>
      </c>
      <c r="P361" s="71" t="str">
        <f>IFERROR(__xludf.DUMMYFUNCTION("""COMPUTED_VALUE"""),"")</f>
        <v/>
      </c>
      <c r="Q361" s="78" t="str">
        <f>IFERROR(__xludf.DUMMYFUNCTION("""COMPUTED_VALUE"""),"")</f>
        <v/>
      </c>
      <c r="R361" s="78" t="str">
        <f>IFERROR(__xludf.DUMMYFUNCTION("""COMPUTED_VALUE"""),"")</f>
        <v/>
      </c>
      <c r="S361" s="80" t="str">
        <f>IFERROR(__xludf.DUMMYFUNCTION("""COMPUTED_VALUE"""),"")</f>
        <v/>
      </c>
      <c r="T361" s="80" t="str">
        <f>IFERROR(__xludf.DUMMYFUNCTION("""COMPUTED_VALUE"""),"")</f>
        <v/>
      </c>
      <c r="U361" s="71" t="str">
        <f>IFERROR(__xludf.DUMMYFUNCTION("""COMPUTED_VALUE"""),"")</f>
        <v/>
      </c>
      <c r="V361" s="78" t="str">
        <f>IFERROR(__xludf.DUMMYFUNCTION("""COMPUTED_VALUE"""),"")</f>
        <v/>
      </c>
      <c r="W361" s="62" t="str">
        <f>IFERROR(__xludf.DUMMYFUNCTION("""COMPUTED_VALUE"""),"")</f>
        <v/>
      </c>
      <c r="X361" s="80" t="str">
        <f>IFERROR(__xludf.DUMMYFUNCTION("""COMPUTED_VALUE"""),"")</f>
        <v/>
      </c>
      <c r="Y361" s="109" t="str">
        <f>IFERROR(__xludf.DUMMYFUNCTION("""COMPUTED_VALUE"""),"")</f>
        <v/>
      </c>
      <c r="Z361" s="71"/>
      <c r="AA361" s="71"/>
      <c r="AB361" s="71"/>
    </row>
    <row r="362">
      <c r="A362" s="71"/>
      <c r="B362" s="71"/>
      <c r="C362" s="71" t="str">
        <f>IFERROR(__xludf.DUMMYFUNCTION("""COMPUTED_VALUE"""),"")</f>
        <v/>
      </c>
      <c r="D362" s="71"/>
      <c r="E362" s="78">
        <f>IFERROR(__xludf.DUMMYFUNCTION("""COMPUTED_VALUE"""),0.0)</f>
        <v>0</v>
      </c>
      <c r="F362" s="71"/>
      <c r="G362" s="78" t="str">
        <f>IFERROR(__xludf.DUMMYFUNCTION("""COMPUTED_VALUE"""),"")</f>
        <v/>
      </c>
      <c r="H362" s="71">
        <f>IFERROR(__xludf.DUMMYFUNCTION("""COMPUTED_VALUE"""),0.0)</f>
        <v>0</v>
      </c>
      <c r="I362" s="80" t="str">
        <f>IFERROR(__xludf.DUMMYFUNCTION("""COMPUTED_VALUE"""),"")</f>
        <v/>
      </c>
      <c r="J362" s="71" t="str">
        <f>IFERROR(__xludf.DUMMYFUNCTION("""COMPUTED_VALUE"""),"")</f>
        <v/>
      </c>
      <c r="K362" s="71"/>
      <c r="L362" s="71" t="str">
        <f>IFERROR(__xludf.DUMMYFUNCTION("""COMPUTED_VALUE"""),"")</f>
        <v/>
      </c>
      <c r="M362" s="71" t="str">
        <f>IFERROR(__xludf.DUMMYFUNCTION("""COMPUTED_VALUE"""),"")</f>
        <v/>
      </c>
      <c r="N362" s="109" t="str">
        <f>IFERROR(__xludf.DUMMYFUNCTION("""COMPUTED_VALUE"""),"")</f>
        <v/>
      </c>
      <c r="O362" s="71" t="str">
        <f>IFERROR(__xludf.DUMMYFUNCTION("""COMPUTED_VALUE"""),"")</f>
        <v/>
      </c>
      <c r="P362" s="71" t="str">
        <f>IFERROR(__xludf.DUMMYFUNCTION("""COMPUTED_VALUE"""),"")</f>
        <v/>
      </c>
      <c r="Q362" s="78" t="str">
        <f>IFERROR(__xludf.DUMMYFUNCTION("""COMPUTED_VALUE"""),"")</f>
        <v/>
      </c>
      <c r="R362" s="78" t="str">
        <f>IFERROR(__xludf.DUMMYFUNCTION("""COMPUTED_VALUE"""),"")</f>
        <v/>
      </c>
      <c r="S362" s="80" t="str">
        <f>IFERROR(__xludf.DUMMYFUNCTION("""COMPUTED_VALUE"""),"")</f>
        <v/>
      </c>
      <c r="T362" s="80" t="str">
        <f>IFERROR(__xludf.DUMMYFUNCTION("""COMPUTED_VALUE"""),"")</f>
        <v/>
      </c>
      <c r="U362" s="71" t="str">
        <f>IFERROR(__xludf.DUMMYFUNCTION("""COMPUTED_VALUE"""),"")</f>
        <v/>
      </c>
      <c r="V362" s="78" t="str">
        <f>IFERROR(__xludf.DUMMYFUNCTION("""COMPUTED_VALUE"""),"")</f>
        <v/>
      </c>
      <c r="W362" s="62" t="str">
        <f>IFERROR(__xludf.DUMMYFUNCTION("""COMPUTED_VALUE"""),"")</f>
        <v/>
      </c>
      <c r="X362" s="80" t="str">
        <f>IFERROR(__xludf.DUMMYFUNCTION("""COMPUTED_VALUE"""),"")</f>
        <v/>
      </c>
      <c r="Y362" s="109" t="str">
        <f>IFERROR(__xludf.DUMMYFUNCTION("""COMPUTED_VALUE"""),"")</f>
        <v/>
      </c>
      <c r="Z362" s="71"/>
      <c r="AA362" s="71"/>
      <c r="AB362" s="71"/>
    </row>
    <row r="363">
      <c r="A363" s="71"/>
      <c r="B363" s="71"/>
      <c r="C363" s="71" t="str">
        <f>IFERROR(__xludf.DUMMYFUNCTION("""COMPUTED_VALUE"""),"")</f>
        <v/>
      </c>
      <c r="D363" s="71"/>
      <c r="E363" s="78">
        <f>IFERROR(__xludf.DUMMYFUNCTION("""COMPUTED_VALUE"""),0.0)</f>
        <v>0</v>
      </c>
      <c r="F363" s="71"/>
      <c r="G363" s="78" t="str">
        <f>IFERROR(__xludf.DUMMYFUNCTION("""COMPUTED_VALUE"""),"")</f>
        <v/>
      </c>
      <c r="H363" s="71">
        <f>IFERROR(__xludf.DUMMYFUNCTION("""COMPUTED_VALUE"""),0.0)</f>
        <v>0</v>
      </c>
      <c r="I363" s="80" t="str">
        <f>IFERROR(__xludf.DUMMYFUNCTION("""COMPUTED_VALUE"""),"")</f>
        <v/>
      </c>
      <c r="J363" s="71" t="str">
        <f>IFERROR(__xludf.DUMMYFUNCTION("""COMPUTED_VALUE"""),"")</f>
        <v/>
      </c>
      <c r="K363" s="71"/>
      <c r="L363" s="71" t="str">
        <f>IFERROR(__xludf.DUMMYFUNCTION("""COMPUTED_VALUE"""),"")</f>
        <v/>
      </c>
      <c r="M363" s="71" t="str">
        <f>IFERROR(__xludf.DUMMYFUNCTION("""COMPUTED_VALUE"""),"")</f>
        <v/>
      </c>
      <c r="N363" s="109" t="str">
        <f>IFERROR(__xludf.DUMMYFUNCTION("""COMPUTED_VALUE"""),"")</f>
        <v/>
      </c>
      <c r="O363" s="71" t="str">
        <f>IFERROR(__xludf.DUMMYFUNCTION("""COMPUTED_VALUE"""),"")</f>
        <v/>
      </c>
      <c r="P363" s="71" t="str">
        <f>IFERROR(__xludf.DUMMYFUNCTION("""COMPUTED_VALUE"""),"")</f>
        <v/>
      </c>
      <c r="Q363" s="78" t="str">
        <f>IFERROR(__xludf.DUMMYFUNCTION("""COMPUTED_VALUE"""),"")</f>
        <v/>
      </c>
      <c r="R363" s="78" t="str">
        <f>IFERROR(__xludf.DUMMYFUNCTION("""COMPUTED_VALUE"""),"")</f>
        <v/>
      </c>
      <c r="S363" s="80" t="str">
        <f>IFERROR(__xludf.DUMMYFUNCTION("""COMPUTED_VALUE"""),"")</f>
        <v/>
      </c>
      <c r="T363" s="80" t="str">
        <f>IFERROR(__xludf.DUMMYFUNCTION("""COMPUTED_VALUE"""),"")</f>
        <v/>
      </c>
      <c r="U363" s="71" t="str">
        <f>IFERROR(__xludf.DUMMYFUNCTION("""COMPUTED_VALUE"""),"")</f>
        <v/>
      </c>
      <c r="V363" s="78" t="str">
        <f>IFERROR(__xludf.DUMMYFUNCTION("""COMPUTED_VALUE"""),"")</f>
        <v/>
      </c>
      <c r="W363" s="62" t="str">
        <f>IFERROR(__xludf.DUMMYFUNCTION("""COMPUTED_VALUE"""),"")</f>
        <v/>
      </c>
      <c r="X363" s="80" t="str">
        <f>IFERROR(__xludf.DUMMYFUNCTION("""COMPUTED_VALUE"""),"")</f>
        <v/>
      </c>
      <c r="Y363" s="109" t="str">
        <f>IFERROR(__xludf.DUMMYFUNCTION("""COMPUTED_VALUE"""),"")</f>
        <v/>
      </c>
      <c r="Z363" s="71"/>
      <c r="AA363" s="71"/>
      <c r="AB363" s="71"/>
    </row>
    <row r="364">
      <c r="A364" s="71"/>
      <c r="B364" s="71"/>
      <c r="C364" s="71" t="str">
        <f>IFERROR(__xludf.DUMMYFUNCTION("""COMPUTED_VALUE"""),"")</f>
        <v/>
      </c>
      <c r="D364" s="71"/>
      <c r="E364" s="78">
        <f>IFERROR(__xludf.DUMMYFUNCTION("""COMPUTED_VALUE"""),0.0)</f>
        <v>0</v>
      </c>
      <c r="F364" s="71"/>
      <c r="G364" s="78" t="str">
        <f>IFERROR(__xludf.DUMMYFUNCTION("""COMPUTED_VALUE"""),"")</f>
        <v/>
      </c>
      <c r="H364" s="71">
        <f>IFERROR(__xludf.DUMMYFUNCTION("""COMPUTED_VALUE"""),0.0)</f>
        <v>0</v>
      </c>
      <c r="I364" s="80" t="str">
        <f>IFERROR(__xludf.DUMMYFUNCTION("""COMPUTED_VALUE"""),"")</f>
        <v/>
      </c>
      <c r="J364" s="71" t="str">
        <f>IFERROR(__xludf.DUMMYFUNCTION("""COMPUTED_VALUE"""),"")</f>
        <v/>
      </c>
      <c r="K364" s="71"/>
      <c r="L364" s="71" t="str">
        <f>IFERROR(__xludf.DUMMYFUNCTION("""COMPUTED_VALUE"""),"")</f>
        <v/>
      </c>
      <c r="M364" s="71" t="str">
        <f>IFERROR(__xludf.DUMMYFUNCTION("""COMPUTED_VALUE"""),"")</f>
        <v/>
      </c>
      <c r="N364" s="109" t="str">
        <f>IFERROR(__xludf.DUMMYFUNCTION("""COMPUTED_VALUE"""),"")</f>
        <v/>
      </c>
      <c r="O364" s="71" t="str">
        <f>IFERROR(__xludf.DUMMYFUNCTION("""COMPUTED_VALUE"""),"")</f>
        <v/>
      </c>
      <c r="P364" s="71" t="str">
        <f>IFERROR(__xludf.DUMMYFUNCTION("""COMPUTED_VALUE"""),"")</f>
        <v/>
      </c>
      <c r="Q364" s="78" t="str">
        <f>IFERROR(__xludf.DUMMYFUNCTION("""COMPUTED_VALUE"""),"")</f>
        <v/>
      </c>
      <c r="R364" s="78" t="str">
        <f>IFERROR(__xludf.DUMMYFUNCTION("""COMPUTED_VALUE"""),"")</f>
        <v/>
      </c>
      <c r="S364" s="80" t="str">
        <f>IFERROR(__xludf.DUMMYFUNCTION("""COMPUTED_VALUE"""),"")</f>
        <v/>
      </c>
      <c r="T364" s="80" t="str">
        <f>IFERROR(__xludf.DUMMYFUNCTION("""COMPUTED_VALUE"""),"")</f>
        <v/>
      </c>
      <c r="U364" s="71" t="str">
        <f>IFERROR(__xludf.DUMMYFUNCTION("""COMPUTED_VALUE"""),"")</f>
        <v/>
      </c>
      <c r="V364" s="78" t="str">
        <f>IFERROR(__xludf.DUMMYFUNCTION("""COMPUTED_VALUE"""),"")</f>
        <v/>
      </c>
      <c r="W364" s="62" t="str">
        <f>IFERROR(__xludf.DUMMYFUNCTION("""COMPUTED_VALUE"""),"")</f>
        <v/>
      </c>
      <c r="X364" s="80" t="str">
        <f>IFERROR(__xludf.DUMMYFUNCTION("""COMPUTED_VALUE"""),"")</f>
        <v/>
      </c>
      <c r="Y364" s="109" t="str">
        <f>IFERROR(__xludf.DUMMYFUNCTION("""COMPUTED_VALUE"""),"")</f>
        <v/>
      </c>
      <c r="Z364" s="71"/>
      <c r="AA364" s="71"/>
      <c r="AB364" s="71"/>
    </row>
    <row r="365">
      <c r="A365" s="71"/>
      <c r="B365" s="71"/>
      <c r="C365" s="71" t="str">
        <f>IFERROR(__xludf.DUMMYFUNCTION("""COMPUTED_VALUE"""),"")</f>
        <v/>
      </c>
      <c r="D365" s="71"/>
      <c r="E365" s="78">
        <f>IFERROR(__xludf.DUMMYFUNCTION("""COMPUTED_VALUE"""),0.0)</f>
        <v>0</v>
      </c>
      <c r="F365" s="71"/>
      <c r="G365" s="78" t="str">
        <f>IFERROR(__xludf.DUMMYFUNCTION("""COMPUTED_VALUE"""),"")</f>
        <v/>
      </c>
      <c r="H365" s="71">
        <f>IFERROR(__xludf.DUMMYFUNCTION("""COMPUTED_VALUE"""),0.0)</f>
        <v>0</v>
      </c>
      <c r="I365" s="80" t="str">
        <f>IFERROR(__xludf.DUMMYFUNCTION("""COMPUTED_VALUE"""),"")</f>
        <v/>
      </c>
      <c r="J365" s="71" t="str">
        <f>IFERROR(__xludf.DUMMYFUNCTION("""COMPUTED_VALUE"""),"")</f>
        <v/>
      </c>
      <c r="K365" s="71"/>
      <c r="L365" s="71" t="str">
        <f>IFERROR(__xludf.DUMMYFUNCTION("""COMPUTED_VALUE"""),"")</f>
        <v/>
      </c>
      <c r="M365" s="71" t="str">
        <f>IFERROR(__xludf.DUMMYFUNCTION("""COMPUTED_VALUE"""),"")</f>
        <v/>
      </c>
      <c r="N365" s="109" t="str">
        <f>IFERROR(__xludf.DUMMYFUNCTION("""COMPUTED_VALUE"""),"")</f>
        <v/>
      </c>
      <c r="O365" s="71" t="str">
        <f>IFERROR(__xludf.DUMMYFUNCTION("""COMPUTED_VALUE"""),"")</f>
        <v/>
      </c>
      <c r="P365" s="71" t="str">
        <f>IFERROR(__xludf.DUMMYFUNCTION("""COMPUTED_VALUE"""),"")</f>
        <v/>
      </c>
      <c r="Q365" s="78" t="str">
        <f>IFERROR(__xludf.DUMMYFUNCTION("""COMPUTED_VALUE"""),"")</f>
        <v/>
      </c>
      <c r="R365" s="78" t="str">
        <f>IFERROR(__xludf.DUMMYFUNCTION("""COMPUTED_VALUE"""),"")</f>
        <v/>
      </c>
      <c r="S365" s="80" t="str">
        <f>IFERROR(__xludf.DUMMYFUNCTION("""COMPUTED_VALUE"""),"")</f>
        <v/>
      </c>
      <c r="T365" s="80" t="str">
        <f>IFERROR(__xludf.DUMMYFUNCTION("""COMPUTED_VALUE"""),"")</f>
        <v/>
      </c>
      <c r="U365" s="71" t="str">
        <f>IFERROR(__xludf.DUMMYFUNCTION("""COMPUTED_VALUE"""),"")</f>
        <v/>
      </c>
      <c r="V365" s="78" t="str">
        <f>IFERROR(__xludf.DUMMYFUNCTION("""COMPUTED_VALUE"""),"")</f>
        <v/>
      </c>
      <c r="W365" s="62" t="str">
        <f>IFERROR(__xludf.DUMMYFUNCTION("""COMPUTED_VALUE"""),"")</f>
        <v/>
      </c>
      <c r="X365" s="80" t="str">
        <f>IFERROR(__xludf.DUMMYFUNCTION("""COMPUTED_VALUE"""),"")</f>
        <v/>
      </c>
      <c r="Y365" s="109" t="str">
        <f>IFERROR(__xludf.DUMMYFUNCTION("""COMPUTED_VALUE"""),"")</f>
        <v/>
      </c>
      <c r="Z365" s="71"/>
      <c r="AA365" s="71"/>
      <c r="AB365" s="71"/>
    </row>
    <row r="366">
      <c r="A366" s="71"/>
      <c r="B366" s="71"/>
      <c r="C366" s="71" t="str">
        <f>IFERROR(__xludf.DUMMYFUNCTION("""COMPUTED_VALUE"""),"")</f>
        <v/>
      </c>
      <c r="D366" s="71"/>
      <c r="E366" s="78">
        <f>IFERROR(__xludf.DUMMYFUNCTION("""COMPUTED_VALUE"""),0.0)</f>
        <v>0</v>
      </c>
      <c r="F366" s="71"/>
      <c r="G366" s="78" t="str">
        <f>IFERROR(__xludf.DUMMYFUNCTION("""COMPUTED_VALUE"""),"")</f>
        <v/>
      </c>
      <c r="H366" s="71">
        <f>IFERROR(__xludf.DUMMYFUNCTION("""COMPUTED_VALUE"""),0.0)</f>
        <v>0</v>
      </c>
      <c r="I366" s="80" t="str">
        <f>IFERROR(__xludf.DUMMYFUNCTION("""COMPUTED_VALUE"""),"")</f>
        <v/>
      </c>
      <c r="J366" s="71" t="str">
        <f>IFERROR(__xludf.DUMMYFUNCTION("""COMPUTED_VALUE"""),"")</f>
        <v/>
      </c>
      <c r="K366" s="71"/>
      <c r="L366" s="71" t="str">
        <f>IFERROR(__xludf.DUMMYFUNCTION("""COMPUTED_VALUE"""),"")</f>
        <v/>
      </c>
      <c r="M366" s="71" t="str">
        <f>IFERROR(__xludf.DUMMYFUNCTION("""COMPUTED_VALUE"""),"")</f>
        <v/>
      </c>
      <c r="N366" s="109" t="str">
        <f>IFERROR(__xludf.DUMMYFUNCTION("""COMPUTED_VALUE"""),"")</f>
        <v/>
      </c>
      <c r="O366" s="71" t="str">
        <f>IFERROR(__xludf.DUMMYFUNCTION("""COMPUTED_VALUE"""),"")</f>
        <v/>
      </c>
      <c r="P366" s="71" t="str">
        <f>IFERROR(__xludf.DUMMYFUNCTION("""COMPUTED_VALUE"""),"")</f>
        <v/>
      </c>
      <c r="Q366" s="78" t="str">
        <f>IFERROR(__xludf.DUMMYFUNCTION("""COMPUTED_VALUE"""),"")</f>
        <v/>
      </c>
      <c r="R366" s="78" t="str">
        <f>IFERROR(__xludf.DUMMYFUNCTION("""COMPUTED_VALUE"""),"")</f>
        <v/>
      </c>
      <c r="S366" s="80" t="str">
        <f>IFERROR(__xludf.DUMMYFUNCTION("""COMPUTED_VALUE"""),"")</f>
        <v/>
      </c>
      <c r="T366" s="80" t="str">
        <f>IFERROR(__xludf.DUMMYFUNCTION("""COMPUTED_VALUE"""),"")</f>
        <v/>
      </c>
      <c r="U366" s="71" t="str">
        <f>IFERROR(__xludf.DUMMYFUNCTION("""COMPUTED_VALUE"""),"")</f>
        <v/>
      </c>
      <c r="V366" s="78" t="str">
        <f>IFERROR(__xludf.DUMMYFUNCTION("""COMPUTED_VALUE"""),"")</f>
        <v/>
      </c>
      <c r="W366" s="62" t="str">
        <f>IFERROR(__xludf.DUMMYFUNCTION("""COMPUTED_VALUE"""),"")</f>
        <v/>
      </c>
      <c r="X366" s="80" t="str">
        <f>IFERROR(__xludf.DUMMYFUNCTION("""COMPUTED_VALUE"""),"")</f>
        <v/>
      </c>
      <c r="Y366" s="109" t="str">
        <f>IFERROR(__xludf.DUMMYFUNCTION("""COMPUTED_VALUE"""),"")</f>
        <v/>
      </c>
      <c r="Z366" s="71"/>
      <c r="AA366" s="71"/>
      <c r="AB366" s="71"/>
    </row>
    <row r="367">
      <c r="A367" s="71"/>
      <c r="B367" s="71"/>
      <c r="C367" s="71" t="str">
        <f>IFERROR(__xludf.DUMMYFUNCTION("""COMPUTED_VALUE"""),"")</f>
        <v/>
      </c>
      <c r="D367" s="71"/>
      <c r="E367" s="78">
        <f>IFERROR(__xludf.DUMMYFUNCTION("""COMPUTED_VALUE"""),0.0)</f>
        <v>0</v>
      </c>
      <c r="F367" s="71"/>
      <c r="G367" s="78" t="str">
        <f>IFERROR(__xludf.DUMMYFUNCTION("""COMPUTED_VALUE"""),"")</f>
        <v/>
      </c>
      <c r="H367" s="71">
        <f>IFERROR(__xludf.DUMMYFUNCTION("""COMPUTED_VALUE"""),0.0)</f>
        <v>0</v>
      </c>
      <c r="I367" s="80" t="str">
        <f>IFERROR(__xludf.DUMMYFUNCTION("""COMPUTED_VALUE"""),"")</f>
        <v/>
      </c>
      <c r="J367" s="71" t="str">
        <f>IFERROR(__xludf.DUMMYFUNCTION("""COMPUTED_VALUE"""),"")</f>
        <v/>
      </c>
      <c r="K367" s="71"/>
      <c r="L367" s="71" t="str">
        <f>IFERROR(__xludf.DUMMYFUNCTION("""COMPUTED_VALUE"""),"")</f>
        <v/>
      </c>
      <c r="M367" s="71" t="str">
        <f>IFERROR(__xludf.DUMMYFUNCTION("""COMPUTED_VALUE"""),"")</f>
        <v/>
      </c>
      <c r="N367" s="109" t="str">
        <f>IFERROR(__xludf.DUMMYFUNCTION("""COMPUTED_VALUE"""),"")</f>
        <v/>
      </c>
      <c r="O367" s="71" t="str">
        <f>IFERROR(__xludf.DUMMYFUNCTION("""COMPUTED_VALUE"""),"")</f>
        <v/>
      </c>
      <c r="P367" s="71" t="str">
        <f>IFERROR(__xludf.DUMMYFUNCTION("""COMPUTED_VALUE"""),"")</f>
        <v/>
      </c>
      <c r="Q367" s="78" t="str">
        <f>IFERROR(__xludf.DUMMYFUNCTION("""COMPUTED_VALUE"""),"")</f>
        <v/>
      </c>
      <c r="R367" s="78" t="str">
        <f>IFERROR(__xludf.DUMMYFUNCTION("""COMPUTED_VALUE"""),"")</f>
        <v/>
      </c>
      <c r="S367" s="80" t="str">
        <f>IFERROR(__xludf.DUMMYFUNCTION("""COMPUTED_VALUE"""),"")</f>
        <v/>
      </c>
      <c r="T367" s="80" t="str">
        <f>IFERROR(__xludf.DUMMYFUNCTION("""COMPUTED_VALUE"""),"")</f>
        <v/>
      </c>
      <c r="U367" s="71" t="str">
        <f>IFERROR(__xludf.DUMMYFUNCTION("""COMPUTED_VALUE"""),"")</f>
        <v/>
      </c>
      <c r="V367" s="78" t="str">
        <f>IFERROR(__xludf.DUMMYFUNCTION("""COMPUTED_VALUE"""),"")</f>
        <v/>
      </c>
      <c r="W367" s="62" t="str">
        <f>IFERROR(__xludf.DUMMYFUNCTION("""COMPUTED_VALUE"""),"")</f>
        <v/>
      </c>
      <c r="X367" s="80" t="str">
        <f>IFERROR(__xludf.DUMMYFUNCTION("""COMPUTED_VALUE"""),"")</f>
        <v/>
      </c>
      <c r="Y367" s="109" t="str">
        <f>IFERROR(__xludf.DUMMYFUNCTION("""COMPUTED_VALUE"""),"")</f>
        <v/>
      </c>
      <c r="Z367" s="71"/>
      <c r="AA367" s="71"/>
      <c r="AB367" s="71"/>
    </row>
    <row r="368">
      <c r="A368" s="71"/>
      <c r="B368" s="71"/>
      <c r="C368" s="71" t="str">
        <f>IFERROR(__xludf.DUMMYFUNCTION("""COMPUTED_VALUE"""),"")</f>
        <v/>
      </c>
      <c r="D368" s="71"/>
      <c r="E368" s="78">
        <f>IFERROR(__xludf.DUMMYFUNCTION("""COMPUTED_VALUE"""),0.0)</f>
        <v>0</v>
      </c>
      <c r="F368" s="71"/>
      <c r="G368" s="78" t="str">
        <f>IFERROR(__xludf.DUMMYFUNCTION("""COMPUTED_VALUE"""),"")</f>
        <v/>
      </c>
      <c r="H368" s="71">
        <f>IFERROR(__xludf.DUMMYFUNCTION("""COMPUTED_VALUE"""),0.0)</f>
        <v>0</v>
      </c>
      <c r="I368" s="80" t="str">
        <f>IFERROR(__xludf.DUMMYFUNCTION("""COMPUTED_VALUE"""),"")</f>
        <v/>
      </c>
      <c r="J368" s="71" t="str">
        <f>IFERROR(__xludf.DUMMYFUNCTION("""COMPUTED_VALUE"""),"")</f>
        <v/>
      </c>
      <c r="K368" s="71"/>
      <c r="L368" s="71" t="str">
        <f>IFERROR(__xludf.DUMMYFUNCTION("""COMPUTED_VALUE"""),"")</f>
        <v/>
      </c>
      <c r="M368" s="71" t="str">
        <f>IFERROR(__xludf.DUMMYFUNCTION("""COMPUTED_VALUE"""),"")</f>
        <v/>
      </c>
      <c r="N368" s="109" t="str">
        <f>IFERROR(__xludf.DUMMYFUNCTION("""COMPUTED_VALUE"""),"")</f>
        <v/>
      </c>
      <c r="O368" s="71" t="str">
        <f>IFERROR(__xludf.DUMMYFUNCTION("""COMPUTED_VALUE"""),"")</f>
        <v/>
      </c>
      <c r="P368" s="71" t="str">
        <f>IFERROR(__xludf.DUMMYFUNCTION("""COMPUTED_VALUE"""),"")</f>
        <v/>
      </c>
      <c r="Q368" s="78" t="str">
        <f>IFERROR(__xludf.DUMMYFUNCTION("""COMPUTED_VALUE"""),"")</f>
        <v/>
      </c>
      <c r="R368" s="78" t="str">
        <f>IFERROR(__xludf.DUMMYFUNCTION("""COMPUTED_VALUE"""),"")</f>
        <v/>
      </c>
      <c r="S368" s="80" t="str">
        <f>IFERROR(__xludf.DUMMYFUNCTION("""COMPUTED_VALUE"""),"")</f>
        <v/>
      </c>
      <c r="T368" s="80" t="str">
        <f>IFERROR(__xludf.DUMMYFUNCTION("""COMPUTED_VALUE"""),"")</f>
        <v/>
      </c>
      <c r="U368" s="71" t="str">
        <f>IFERROR(__xludf.DUMMYFUNCTION("""COMPUTED_VALUE"""),"")</f>
        <v/>
      </c>
      <c r="V368" s="78" t="str">
        <f>IFERROR(__xludf.DUMMYFUNCTION("""COMPUTED_VALUE"""),"")</f>
        <v/>
      </c>
      <c r="W368" s="62" t="str">
        <f>IFERROR(__xludf.DUMMYFUNCTION("""COMPUTED_VALUE"""),"")</f>
        <v/>
      </c>
      <c r="X368" s="80" t="str">
        <f>IFERROR(__xludf.DUMMYFUNCTION("""COMPUTED_VALUE"""),"")</f>
        <v/>
      </c>
      <c r="Y368" s="109" t="str">
        <f>IFERROR(__xludf.DUMMYFUNCTION("""COMPUTED_VALUE"""),"")</f>
        <v/>
      </c>
      <c r="Z368" s="71"/>
      <c r="AA368" s="71"/>
      <c r="AB368" s="71"/>
    </row>
    <row r="369">
      <c r="A369" s="71"/>
      <c r="B369" s="71"/>
      <c r="C369" s="71" t="str">
        <f>IFERROR(__xludf.DUMMYFUNCTION("""COMPUTED_VALUE"""),"")</f>
        <v/>
      </c>
      <c r="D369" s="71"/>
      <c r="E369" s="78">
        <f>IFERROR(__xludf.DUMMYFUNCTION("""COMPUTED_VALUE"""),0.0)</f>
        <v>0</v>
      </c>
      <c r="F369" s="71"/>
      <c r="G369" s="78" t="str">
        <f>IFERROR(__xludf.DUMMYFUNCTION("""COMPUTED_VALUE"""),"")</f>
        <v/>
      </c>
      <c r="H369" s="71">
        <f>IFERROR(__xludf.DUMMYFUNCTION("""COMPUTED_VALUE"""),0.0)</f>
        <v>0</v>
      </c>
      <c r="I369" s="80" t="str">
        <f>IFERROR(__xludf.DUMMYFUNCTION("""COMPUTED_VALUE"""),"")</f>
        <v/>
      </c>
      <c r="J369" s="71" t="str">
        <f>IFERROR(__xludf.DUMMYFUNCTION("""COMPUTED_VALUE"""),"")</f>
        <v/>
      </c>
      <c r="K369" s="71"/>
      <c r="L369" s="71" t="str">
        <f>IFERROR(__xludf.DUMMYFUNCTION("""COMPUTED_VALUE"""),"")</f>
        <v/>
      </c>
      <c r="M369" s="71" t="str">
        <f>IFERROR(__xludf.DUMMYFUNCTION("""COMPUTED_VALUE"""),"")</f>
        <v/>
      </c>
      <c r="N369" s="109" t="str">
        <f>IFERROR(__xludf.DUMMYFUNCTION("""COMPUTED_VALUE"""),"")</f>
        <v/>
      </c>
      <c r="O369" s="71" t="str">
        <f>IFERROR(__xludf.DUMMYFUNCTION("""COMPUTED_VALUE"""),"")</f>
        <v/>
      </c>
      <c r="P369" s="71" t="str">
        <f>IFERROR(__xludf.DUMMYFUNCTION("""COMPUTED_VALUE"""),"")</f>
        <v/>
      </c>
      <c r="Q369" s="78" t="str">
        <f>IFERROR(__xludf.DUMMYFUNCTION("""COMPUTED_VALUE"""),"")</f>
        <v/>
      </c>
      <c r="R369" s="78" t="str">
        <f>IFERROR(__xludf.DUMMYFUNCTION("""COMPUTED_VALUE"""),"")</f>
        <v/>
      </c>
      <c r="S369" s="80" t="str">
        <f>IFERROR(__xludf.DUMMYFUNCTION("""COMPUTED_VALUE"""),"")</f>
        <v/>
      </c>
      <c r="T369" s="80" t="str">
        <f>IFERROR(__xludf.DUMMYFUNCTION("""COMPUTED_VALUE"""),"")</f>
        <v/>
      </c>
      <c r="U369" s="71" t="str">
        <f>IFERROR(__xludf.DUMMYFUNCTION("""COMPUTED_VALUE"""),"")</f>
        <v/>
      </c>
      <c r="V369" s="78" t="str">
        <f>IFERROR(__xludf.DUMMYFUNCTION("""COMPUTED_VALUE"""),"")</f>
        <v/>
      </c>
      <c r="W369" s="62" t="str">
        <f>IFERROR(__xludf.DUMMYFUNCTION("""COMPUTED_VALUE"""),"")</f>
        <v/>
      </c>
      <c r="X369" s="80" t="str">
        <f>IFERROR(__xludf.DUMMYFUNCTION("""COMPUTED_VALUE"""),"")</f>
        <v/>
      </c>
      <c r="Y369" s="109" t="str">
        <f>IFERROR(__xludf.DUMMYFUNCTION("""COMPUTED_VALUE"""),"")</f>
        <v/>
      </c>
      <c r="Z369" s="71"/>
      <c r="AA369" s="71"/>
      <c r="AB369" s="71"/>
    </row>
    <row r="370">
      <c r="A370" s="71"/>
      <c r="B370" s="71"/>
      <c r="C370" s="71" t="str">
        <f>IFERROR(__xludf.DUMMYFUNCTION("""COMPUTED_VALUE"""),"")</f>
        <v/>
      </c>
      <c r="D370" s="71"/>
      <c r="E370" s="78">
        <f>IFERROR(__xludf.DUMMYFUNCTION("""COMPUTED_VALUE"""),0.0)</f>
        <v>0</v>
      </c>
      <c r="F370" s="71"/>
      <c r="G370" s="78" t="str">
        <f>IFERROR(__xludf.DUMMYFUNCTION("""COMPUTED_VALUE"""),"")</f>
        <v/>
      </c>
      <c r="H370" s="71">
        <f>IFERROR(__xludf.DUMMYFUNCTION("""COMPUTED_VALUE"""),0.0)</f>
        <v>0</v>
      </c>
      <c r="I370" s="80" t="str">
        <f>IFERROR(__xludf.DUMMYFUNCTION("""COMPUTED_VALUE"""),"")</f>
        <v/>
      </c>
      <c r="J370" s="71" t="str">
        <f>IFERROR(__xludf.DUMMYFUNCTION("""COMPUTED_VALUE"""),"")</f>
        <v/>
      </c>
      <c r="K370" s="71"/>
      <c r="L370" s="71" t="str">
        <f>IFERROR(__xludf.DUMMYFUNCTION("""COMPUTED_VALUE"""),"")</f>
        <v/>
      </c>
      <c r="M370" s="71" t="str">
        <f>IFERROR(__xludf.DUMMYFUNCTION("""COMPUTED_VALUE"""),"")</f>
        <v/>
      </c>
      <c r="N370" s="109" t="str">
        <f>IFERROR(__xludf.DUMMYFUNCTION("""COMPUTED_VALUE"""),"")</f>
        <v/>
      </c>
      <c r="O370" s="71" t="str">
        <f>IFERROR(__xludf.DUMMYFUNCTION("""COMPUTED_VALUE"""),"")</f>
        <v/>
      </c>
      <c r="P370" s="71" t="str">
        <f>IFERROR(__xludf.DUMMYFUNCTION("""COMPUTED_VALUE"""),"")</f>
        <v/>
      </c>
      <c r="Q370" s="78" t="str">
        <f>IFERROR(__xludf.DUMMYFUNCTION("""COMPUTED_VALUE"""),"")</f>
        <v/>
      </c>
      <c r="R370" s="78" t="str">
        <f>IFERROR(__xludf.DUMMYFUNCTION("""COMPUTED_VALUE"""),"")</f>
        <v/>
      </c>
      <c r="S370" s="80" t="str">
        <f>IFERROR(__xludf.DUMMYFUNCTION("""COMPUTED_VALUE"""),"")</f>
        <v/>
      </c>
      <c r="T370" s="80" t="str">
        <f>IFERROR(__xludf.DUMMYFUNCTION("""COMPUTED_VALUE"""),"")</f>
        <v/>
      </c>
      <c r="U370" s="71" t="str">
        <f>IFERROR(__xludf.DUMMYFUNCTION("""COMPUTED_VALUE"""),"")</f>
        <v/>
      </c>
      <c r="V370" s="78" t="str">
        <f>IFERROR(__xludf.DUMMYFUNCTION("""COMPUTED_VALUE"""),"")</f>
        <v/>
      </c>
      <c r="W370" s="62" t="str">
        <f>IFERROR(__xludf.DUMMYFUNCTION("""COMPUTED_VALUE"""),"")</f>
        <v/>
      </c>
      <c r="X370" s="80" t="str">
        <f>IFERROR(__xludf.DUMMYFUNCTION("""COMPUTED_VALUE"""),"")</f>
        <v/>
      </c>
      <c r="Y370" s="109" t="str">
        <f>IFERROR(__xludf.DUMMYFUNCTION("""COMPUTED_VALUE"""),"")</f>
        <v/>
      </c>
      <c r="Z370" s="71"/>
      <c r="AA370" s="71"/>
      <c r="AB370" s="71"/>
    </row>
    <row r="371">
      <c r="A371" s="71"/>
      <c r="B371" s="71"/>
      <c r="C371" s="71" t="str">
        <f>IFERROR(__xludf.DUMMYFUNCTION("""COMPUTED_VALUE"""),"")</f>
        <v/>
      </c>
      <c r="D371" s="71"/>
      <c r="E371" s="78">
        <f>IFERROR(__xludf.DUMMYFUNCTION("""COMPUTED_VALUE"""),0.0)</f>
        <v>0</v>
      </c>
      <c r="F371" s="71"/>
      <c r="G371" s="78" t="str">
        <f>IFERROR(__xludf.DUMMYFUNCTION("""COMPUTED_VALUE"""),"")</f>
        <v/>
      </c>
      <c r="H371" s="71">
        <f>IFERROR(__xludf.DUMMYFUNCTION("""COMPUTED_VALUE"""),0.0)</f>
        <v>0</v>
      </c>
      <c r="I371" s="80" t="str">
        <f>IFERROR(__xludf.DUMMYFUNCTION("""COMPUTED_VALUE"""),"")</f>
        <v/>
      </c>
      <c r="J371" s="71" t="str">
        <f>IFERROR(__xludf.DUMMYFUNCTION("""COMPUTED_VALUE"""),"")</f>
        <v/>
      </c>
      <c r="K371" s="71"/>
      <c r="L371" s="71" t="str">
        <f>IFERROR(__xludf.DUMMYFUNCTION("""COMPUTED_VALUE"""),"")</f>
        <v/>
      </c>
      <c r="M371" s="71" t="str">
        <f>IFERROR(__xludf.DUMMYFUNCTION("""COMPUTED_VALUE"""),"")</f>
        <v/>
      </c>
      <c r="N371" s="109" t="str">
        <f>IFERROR(__xludf.DUMMYFUNCTION("""COMPUTED_VALUE"""),"")</f>
        <v/>
      </c>
      <c r="O371" s="71" t="str">
        <f>IFERROR(__xludf.DUMMYFUNCTION("""COMPUTED_VALUE"""),"")</f>
        <v/>
      </c>
      <c r="P371" s="71" t="str">
        <f>IFERROR(__xludf.DUMMYFUNCTION("""COMPUTED_VALUE"""),"")</f>
        <v/>
      </c>
      <c r="Q371" s="78" t="str">
        <f>IFERROR(__xludf.DUMMYFUNCTION("""COMPUTED_VALUE"""),"")</f>
        <v/>
      </c>
      <c r="R371" s="78" t="str">
        <f>IFERROR(__xludf.DUMMYFUNCTION("""COMPUTED_VALUE"""),"")</f>
        <v/>
      </c>
      <c r="S371" s="80" t="str">
        <f>IFERROR(__xludf.DUMMYFUNCTION("""COMPUTED_VALUE"""),"")</f>
        <v/>
      </c>
      <c r="T371" s="80" t="str">
        <f>IFERROR(__xludf.DUMMYFUNCTION("""COMPUTED_VALUE"""),"")</f>
        <v/>
      </c>
      <c r="U371" s="71" t="str">
        <f>IFERROR(__xludf.DUMMYFUNCTION("""COMPUTED_VALUE"""),"")</f>
        <v/>
      </c>
      <c r="V371" s="78" t="str">
        <f>IFERROR(__xludf.DUMMYFUNCTION("""COMPUTED_VALUE"""),"")</f>
        <v/>
      </c>
      <c r="W371" s="62" t="str">
        <f>IFERROR(__xludf.DUMMYFUNCTION("""COMPUTED_VALUE"""),"")</f>
        <v/>
      </c>
      <c r="X371" s="80" t="str">
        <f>IFERROR(__xludf.DUMMYFUNCTION("""COMPUTED_VALUE"""),"")</f>
        <v/>
      </c>
      <c r="Y371" s="109" t="str">
        <f>IFERROR(__xludf.DUMMYFUNCTION("""COMPUTED_VALUE"""),"")</f>
        <v/>
      </c>
      <c r="Z371" s="71"/>
      <c r="AA371" s="71"/>
      <c r="AB371" s="71"/>
    </row>
    <row r="372">
      <c r="A372" s="71"/>
      <c r="B372" s="71"/>
      <c r="C372" s="71" t="str">
        <f>IFERROR(__xludf.DUMMYFUNCTION("""COMPUTED_VALUE"""),"")</f>
        <v/>
      </c>
      <c r="D372" s="71"/>
      <c r="E372" s="78">
        <f>IFERROR(__xludf.DUMMYFUNCTION("""COMPUTED_VALUE"""),0.0)</f>
        <v>0</v>
      </c>
      <c r="F372" s="71"/>
      <c r="G372" s="78" t="str">
        <f>IFERROR(__xludf.DUMMYFUNCTION("""COMPUTED_VALUE"""),"")</f>
        <v/>
      </c>
      <c r="H372" s="71">
        <f>IFERROR(__xludf.DUMMYFUNCTION("""COMPUTED_VALUE"""),0.0)</f>
        <v>0</v>
      </c>
      <c r="I372" s="80" t="str">
        <f>IFERROR(__xludf.DUMMYFUNCTION("""COMPUTED_VALUE"""),"")</f>
        <v/>
      </c>
      <c r="J372" s="71" t="str">
        <f>IFERROR(__xludf.DUMMYFUNCTION("""COMPUTED_VALUE"""),"")</f>
        <v/>
      </c>
      <c r="K372" s="71"/>
      <c r="L372" s="71" t="str">
        <f>IFERROR(__xludf.DUMMYFUNCTION("""COMPUTED_VALUE"""),"")</f>
        <v/>
      </c>
      <c r="M372" s="71" t="str">
        <f>IFERROR(__xludf.DUMMYFUNCTION("""COMPUTED_VALUE"""),"")</f>
        <v/>
      </c>
      <c r="N372" s="109" t="str">
        <f>IFERROR(__xludf.DUMMYFUNCTION("""COMPUTED_VALUE"""),"")</f>
        <v/>
      </c>
      <c r="O372" s="71" t="str">
        <f>IFERROR(__xludf.DUMMYFUNCTION("""COMPUTED_VALUE"""),"")</f>
        <v/>
      </c>
      <c r="P372" s="71" t="str">
        <f>IFERROR(__xludf.DUMMYFUNCTION("""COMPUTED_VALUE"""),"")</f>
        <v/>
      </c>
      <c r="Q372" s="78" t="str">
        <f>IFERROR(__xludf.DUMMYFUNCTION("""COMPUTED_VALUE"""),"")</f>
        <v/>
      </c>
      <c r="R372" s="78" t="str">
        <f>IFERROR(__xludf.DUMMYFUNCTION("""COMPUTED_VALUE"""),"")</f>
        <v/>
      </c>
      <c r="S372" s="80" t="str">
        <f>IFERROR(__xludf.DUMMYFUNCTION("""COMPUTED_VALUE"""),"")</f>
        <v/>
      </c>
      <c r="T372" s="80" t="str">
        <f>IFERROR(__xludf.DUMMYFUNCTION("""COMPUTED_VALUE"""),"")</f>
        <v/>
      </c>
      <c r="U372" s="71" t="str">
        <f>IFERROR(__xludf.DUMMYFUNCTION("""COMPUTED_VALUE"""),"")</f>
        <v/>
      </c>
      <c r="V372" s="78" t="str">
        <f>IFERROR(__xludf.DUMMYFUNCTION("""COMPUTED_VALUE"""),"")</f>
        <v/>
      </c>
      <c r="W372" s="62" t="str">
        <f>IFERROR(__xludf.DUMMYFUNCTION("""COMPUTED_VALUE"""),"")</f>
        <v/>
      </c>
      <c r="X372" s="80" t="str">
        <f>IFERROR(__xludf.DUMMYFUNCTION("""COMPUTED_VALUE"""),"")</f>
        <v/>
      </c>
      <c r="Y372" s="109" t="str">
        <f>IFERROR(__xludf.DUMMYFUNCTION("""COMPUTED_VALUE"""),"")</f>
        <v/>
      </c>
      <c r="Z372" s="71"/>
      <c r="AA372" s="71"/>
      <c r="AB372" s="71"/>
    </row>
    <row r="373">
      <c r="A373" s="71"/>
      <c r="B373" s="71"/>
      <c r="C373" s="71" t="str">
        <f>IFERROR(__xludf.DUMMYFUNCTION("""COMPUTED_VALUE"""),"")</f>
        <v/>
      </c>
      <c r="D373" s="71"/>
      <c r="E373" s="78">
        <f>IFERROR(__xludf.DUMMYFUNCTION("""COMPUTED_VALUE"""),0.0)</f>
        <v>0</v>
      </c>
      <c r="F373" s="71"/>
      <c r="G373" s="78" t="str">
        <f>IFERROR(__xludf.DUMMYFUNCTION("""COMPUTED_VALUE"""),"")</f>
        <v/>
      </c>
      <c r="H373" s="71">
        <f>IFERROR(__xludf.DUMMYFUNCTION("""COMPUTED_VALUE"""),0.0)</f>
        <v>0</v>
      </c>
      <c r="I373" s="80" t="str">
        <f>IFERROR(__xludf.DUMMYFUNCTION("""COMPUTED_VALUE"""),"")</f>
        <v/>
      </c>
      <c r="J373" s="71" t="str">
        <f>IFERROR(__xludf.DUMMYFUNCTION("""COMPUTED_VALUE"""),"")</f>
        <v/>
      </c>
      <c r="K373" s="71"/>
      <c r="L373" s="71" t="str">
        <f>IFERROR(__xludf.DUMMYFUNCTION("""COMPUTED_VALUE"""),"")</f>
        <v/>
      </c>
      <c r="M373" s="71" t="str">
        <f>IFERROR(__xludf.DUMMYFUNCTION("""COMPUTED_VALUE"""),"")</f>
        <v/>
      </c>
      <c r="N373" s="109" t="str">
        <f>IFERROR(__xludf.DUMMYFUNCTION("""COMPUTED_VALUE"""),"")</f>
        <v/>
      </c>
      <c r="O373" s="71" t="str">
        <f>IFERROR(__xludf.DUMMYFUNCTION("""COMPUTED_VALUE"""),"")</f>
        <v/>
      </c>
      <c r="P373" s="71" t="str">
        <f>IFERROR(__xludf.DUMMYFUNCTION("""COMPUTED_VALUE"""),"")</f>
        <v/>
      </c>
      <c r="Q373" s="78" t="str">
        <f>IFERROR(__xludf.DUMMYFUNCTION("""COMPUTED_VALUE"""),"")</f>
        <v/>
      </c>
      <c r="R373" s="78" t="str">
        <f>IFERROR(__xludf.DUMMYFUNCTION("""COMPUTED_VALUE"""),"")</f>
        <v/>
      </c>
      <c r="S373" s="80" t="str">
        <f>IFERROR(__xludf.DUMMYFUNCTION("""COMPUTED_VALUE"""),"")</f>
        <v/>
      </c>
      <c r="T373" s="80" t="str">
        <f>IFERROR(__xludf.DUMMYFUNCTION("""COMPUTED_VALUE"""),"")</f>
        <v/>
      </c>
      <c r="U373" s="71" t="str">
        <f>IFERROR(__xludf.DUMMYFUNCTION("""COMPUTED_VALUE"""),"")</f>
        <v/>
      </c>
      <c r="V373" s="78" t="str">
        <f>IFERROR(__xludf.DUMMYFUNCTION("""COMPUTED_VALUE"""),"")</f>
        <v/>
      </c>
      <c r="W373" s="62" t="str">
        <f>IFERROR(__xludf.DUMMYFUNCTION("""COMPUTED_VALUE"""),"")</f>
        <v/>
      </c>
      <c r="X373" s="80" t="str">
        <f>IFERROR(__xludf.DUMMYFUNCTION("""COMPUTED_VALUE"""),"")</f>
        <v/>
      </c>
      <c r="Y373" s="109" t="str">
        <f>IFERROR(__xludf.DUMMYFUNCTION("""COMPUTED_VALUE"""),"")</f>
        <v/>
      </c>
      <c r="Z373" s="71"/>
      <c r="AA373" s="71"/>
      <c r="AB373" s="71"/>
    </row>
    <row r="374">
      <c r="A374" s="71"/>
      <c r="B374" s="71"/>
      <c r="C374" s="71" t="str">
        <f>IFERROR(__xludf.DUMMYFUNCTION("""COMPUTED_VALUE"""),"")</f>
        <v/>
      </c>
      <c r="D374" s="71"/>
      <c r="E374" s="78">
        <f>IFERROR(__xludf.DUMMYFUNCTION("""COMPUTED_VALUE"""),0.0)</f>
        <v>0</v>
      </c>
      <c r="F374" s="71"/>
      <c r="G374" s="78" t="str">
        <f>IFERROR(__xludf.DUMMYFUNCTION("""COMPUTED_VALUE"""),"")</f>
        <v/>
      </c>
      <c r="H374" s="71">
        <f>IFERROR(__xludf.DUMMYFUNCTION("""COMPUTED_VALUE"""),0.0)</f>
        <v>0</v>
      </c>
      <c r="I374" s="80" t="str">
        <f>IFERROR(__xludf.DUMMYFUNCTION("""COMPUTED_VALUE"""),"")</f>
        <v/>
      </c>
      <c r="J374" s="71" t="str">
        <f>IFERROR(__xludf.DUMMYFUNCTION("""COMPUTED_VALUE"""),"")</f>
        <v/>
      </c>
      <c r="K374" s="71"/>
      <c r="L374" s="71" t="str">
        <f>IFERROR(__xludf.DUMMYFUNCTION("""COMPUTED_VALUE"""),"")</f>
        <v/>
      </c>
      <c r="M374" s="71" t="str">
        <f>IFERROR(__xludf.DUMMYFUNCTION("""COMPUTED_VALUE"""),"")</f>
        <v/>
      </c>
      <c r="N374" s="109" t="str">
        <f>IFERROR(__xludf.DUMMYFUNCTION("""COMPUTED_VALUE"""),"")</f>
        <v/>
      </c>
      <c r="O374" s="71" t="str">
        <f>IFERROR(__xludf.DUMMYFUNCTION("""COMPUTED_VALUE"""),"")</f>
        <v/>
      </c>
      <c r="P374" s="71" t="str">
        <f>IFERROR(__xludf.DUMMYFUNCTION("""COMPUTED_VALUE"""),"")</f>
        <v/>
      </c>
      <c r="Q374" s="78" t="str">
        <f>IFERROR(__xludf.DUMMYFUNCTION("""COMPUTED_VALUE"""),"")</f>
        <v/>
      </c>
      <c r="R374" s="78" t="str">
        <f>IFERROR(__xludf.DUMMYFUNCTION("""COMPUTED_VALUE"""),"")</f>
        <v/>
      </c>
      <c r="S374" s="80" t="str">
        <f>IFERROR(__xludf.DUMMYFUNCTION("""COMPUTED_VALUE"""),"")</f>
        <v/>
      </c>
      <c r="T374" s="80" t="str">
        <f>IFERROR(__xludf.DUMMYFUNCTION("""COMPUTED_VALUE"""),"")</f>
        <v/>
      </c>
      <c r="U374" s="71" t="str">
        <f>IFERROR(__xludf.DUMMYFUNCTION("""COMPUTED_VALUE"""),"")</f>
        <v/>
      </c>
      <c r="V374" s="78" t="str">
        <f>IFERROR(__xludf.DUMMYFUNCTION("""COMPUTED_VALUE"""),"")</f>
        <v/>
      </c>
      <c r="W374" s="62" t="str">
        <f>IFERROR(__xludf.DUMMYFUNCTION("""COMPUTED_VALUE"""),"")</f>
        <v/>
      </c>
      <c r="X374" s="80" t="str">
        <f>IFERROR(__xludf.DUMMYFUNCTION("""COMPUTED_VALUE"""),"")</f>
        <v/>
      </c>
      <c r="Y374" s="109" t="str">
        <f>IFERROR(__xludf.DUMMYFUNCTION("""COMPUTED_VALUE"""),"")</f>
        <v/>
      </c>
      <c r="Z374" s="71"/>
      <c r="AA374" s="71"/>
      <c r="AB374" s="71"/>
    </row>
    <row r="375">
      <c r="A375" s="71"/>
      <c r="B375" s="71"/>
      <c r="C375" s="71" t="str">
        <f>IFERROR(__xludf.DUMMYFUNCTION("""COMPUTED_VALUE"""),"")</f>
        <v/>
      </c>
      <c r="D375" s="71"/>
      <c r="E375" s="78">
        <f>IFERROR(__xludf.DUMMYFUNCTION("""COMPUTED_VALUE"""),0.0)</f>
        <v>0</v>
      </c>
      <c r="F375" s="71"/>
      <c r="G375" s="78" t="str">
        <f>IFERROR(__xludf.DUMMYFUNCTION("""COMPUTED_VALUE"""),"")</f>
        <v/>
      </c>
      <c r="H375" s="71">
        <f>IFERROR(__xludf.DUMMYFUNCTION("""COMPUTED_VALUE"""),0.0)</f>
        <v>0</v>
      </c>
      <c r="I375" s="80" t="str">
        <f>IFERROR(__xludf.DUMMYFUNCTION("""COMPUTED_VALUE"""),"")</f>
        <v/>
      </c>
      <c r="J375" s="71" t="str">
        <f>IFERROR(__xludf.DUMMYFUNCTION("""COMPUTED_VALUE"""),"")</f>
        <v/>
      </c>
      <c r="K375" s="71"/>
      <c r="L375" s="71" t="str">
        <f>IFERROR(__xludf.DUMMYFUNCTION("""COMPUTED_VALUE"""),"")</f>
        <v/>
      </c>
      <c r="M375" s="71" t="str">
        <f>IFERROR(__xludf.DUMMYFUNCTION("""COMPUTED_VALUE"""),"")</f>
        <v/>
      </c>
      <c r="N375" s="109" t="str">
        <f>IFERROR(__xludf.DUMMYFUNCTION("""COMPUTED_VALUE"""),"")</f>
        <v/>
      </c>
      <c r="O375" s="71" t="str">
        <f>IFERROR(__xludf.DUMMYFUNCTION("""COMPUTED_VALUE"""),"")</f>
        <v/>
      </c>
      <c r="P375" s="71" t="str">
        <f>IFERROR(__xludf.DUMMYFUNCTION("""COMPUTED_VALUE"""),"")</f>
        <v/>
      </c>
      <c r="Q375" s="78" t="str">
        <f>IFERROR(__xludf.DUMMYFUNCTION("""COMPUTED_VALUE"""),"")</f>
        <v/>
      </c>
      <c r="R375" s="78" t="str">
        <f>IFERROR(__xludf.DUMMYFUNCTION("""COMPUTED_VALUE"""),"")</f>
        <v/>
      </c>
      <c r="S375" s="80" t="str">
        <f>IFERROR(__xludf.DUMMYFUNCTION("""COMPUTED_VALUE"""),"")</f>
        <v/>
      </c>
      <c r="T375" s="80" t="str">
        <f>IFERROR(__xludf.DUMMYFUNCTION("""COMPUTED_VALUE"""),"")</f>
        <v/>
      </c>
      <c r="U375" s="71" t="str">
        <f>IFERROR(__xludf.DUMMYFUNCTION("""COMPUTED_VALUE"""),"")</f>
        <v/>
      </c>
      <c r="V375" s="78" t="str">
        <f>IFERROR(__xludf.DUMMYFUNCTION("""COMPUTED_VALUE"""),"")</f>
        <v/>
      </c>
      <c r="W375" s="62" t="str">
        <f>IFERROR(__xludf.DUMMYFUNCTION("""COMPUTED_VALUE"""),"")</f>
        <v/>
      </c>
      <c r="X375" s="80" t="str">
        <f>IFERROR(__xludf.DUMMYFUNCTION("""COMPUTED_VALUE"""),"")</f>
        <v/>
      </c>
      <c r="Y375" s="109" t="str">
        <f>IFERROR(__xludf.DUMMYFUNCTION("""COMPUTED_VALUE"""),"")</f>
        <v/>
      </c>
      <c r="Z375" s="71"/>
      <c r="AA375" s="71"/>
      <c r="AB375" s="71"/>
    </row>
    <row r="376">
      <c r="A376" s="71"/>
      <c r="B376" s="71"/>
      <c r="C376" s="71" t="str">
        <f>IFERROR(__xludf.DUMMYFUNCTION("""COMPUTED_VALUE"""),"")</f>
        <v/>
      </c>
      <c r="D376" s="71"/>
      <c r="E376" s="78">
        <f>IFERROR(__xludf.DUMMYFUNCTION("""COMPUTED_VALUE"""),0.0)</f>
        <v>0</v>
      </c>
      <c r="F376" s="71"/>
      <c r="G376" s="78" t="str">
        <f>IFERROR(__xludf.DUMMYFUNCTION("""COMPUTED_VALUE"""),"")</f>
        <v/>
      </c>
      <c r="H376" s="71">
        <f>IFERROR(__xludf.DUMMYFUNCTION("""COMPUTED_VALUE"""),0.0)</f>
        <v>0</v>
      </c>
      <c r="I376" s="80" t="str">
        <f>IFERROR(__xludf.DUMMYFUNCTION("""COMPUTED_VALUE"""),"")</f>
        <v/>
      </c>
      <c r="J376" s="71" t="str">
        <f>IFERROR(__xludf.DUMMYFUNCTION("""COMPUTED_VALUE"""),"")</f>
        <v/>
      </c>
      <c r="K376" s="71"/>
      <c r="L376" s="71" t="str">
        <f>IFERROR(__xludf.DUMMYFUNCTION("""COMPUTED_VALUE"""),"")</f>
        <v/>
      </c>
      <c r="M376" s="71" t="str">
        <f>IFERROR(__xludf.DUMMYFUNCTION("""COMPUTED_VALUE"""),"")</f>
        <v/>
      </c>
      <c r="N376" s="109" t="str">
        <f>IFERROR(__xludf.DUMMYFUNCTION("""COMPUTED_VALUE"""),"")</f>
        <v/>
      </c>
      <c r="O376" s="71" t="str">
        <f>IFERROR(__xludf.DUMMYFUNCTION("""COMPUTED_VALUE"""),"")</f>
        <v/>
      </c>
      <c r="P376" s="71" t="str">
        <f>IFERROR(__xludf.DUMMYFUNCTION("""COMPUTED_VALUE"""),"")</f>
        <v/>
      </c>
      <c r="Q376" s="78" t="str">
        <f>IFERROR(__xludf.DUMMYFUNCTION("""COMPUTED_VALUE"""),"")</f>
        <v/>
      </c>
      <c r="R376" s="78" t="str">
        <f>IFERROR(__xludf.DUMMYFUNCTION("""COMPUTED_VALUE"""),"")</f>
        <v/>
      </c>
      <c r="S376" s="80" t="str">
        <f>IFERROR(__xludf.DUMMYFUNCTION("""COMPUTED_VALUE"""),"")</f>
        <v/>
      </c>
      <c r="T376" s="80" t="str">
        <f>IFERROR(__xludf.DUMMYFUNCTION("""COMPUTED_VALUE"""),"")</f>
        <v/>
      </c>
      <c r="U376" s="71" t="str">
        <f>IFERROR(__xludf.DUMMYFUNCTION("""COMPUTED_VALUE"""),"")</f>
        <v/>
      </c>
      <c r="V376" s="78" t="str">
        <f>IFERROR(__xludf.DUMMYFUNCTION("""COMPUTED_VALUE"""),"")</f>
        <v/>
      </c>
      <c r="W376" s="62" t="str">
        <f>IFERROR(__xludf.DUMMYFUNCTION("""COMPUTED_VALUE"""),"")</f>
        <v/>
      </c>
      <c r="X376" s="80" t="str">
        <f>IFERROR(__xludf.DUMMYFUNCTION("""COMPUTED_VALUE"""),"")</f>
        <v/>
      </c>
      <c r="Y376" s="109" t="str">
        <f>IFERROR(__xludf.DUMMYFUNCTION("""COMPUTED_VALUE"""),"")</f>
        <v/>
      </c>
      <c r="Z376" s="71"/>
      <c r="AA376" s="71"/>
      <c r="AB376" s="71"/>
    </row>
    <row r="377">
      <c r="A377" s="71"/>
      <c r="B377" s="71"/>
      <c r="C377" s="71" t="str">
        <f>IFERROR(__xludf.DUMMYFUNCTION("""COMPUTED_VALUE"""),"")</f>
        <v/>
      </c>
      <c r="D377" s="71"/>
      <c r="E377" s="78">
        <f>IFERROR(__xludf.DUMMYFUNCTION("""COMPUTED_VALUE"""),0.0)</f>
        <v>0</v>
      </c>
      <c r="F377" s="71"/>
      <c r="G377" s="78" t="str">
        <f>IFERROR(__xludf.DUMMYFUNCTION("""COMPUTED_VALUE"""),"")</f>
        <v/>
      </c>
      <c r="H377" s="71">
        <f>IFERROR(__xludf.DUMMYFUNCTION("""COMPUTED_VALUE"""),0.0)</f>
        <v>0</v>
      </c>
      <c r="I377" s="80" t="str">
        <f>IFERROR(__xludf.DUMMYFUNCTION("""COMPUTED_VALUE"""),"")</f>
        <v/>
      </c>
      <c r="J377" s="71" t="str">
        <f>IFERROR(__xludf.DUMMYFUNCTION("""COMPUTED_VALUE"""),"")</f>
        <v/>
      </c>
      <c r="K377" s="71"/>
      <c r="L377" s="71" t="str">
        <f>IFERROR(__xludf.DUMMYFUNCTION("""COMPUTED_VALUE"""),"")</f>
        <v/>
      </c>
      <c r="M377" s="71" t="str">
        <f>IFERROR(__xludf.DUMMYFUNCTION("""COMPUTED_VALUE"""),"")</f>
        <v/>
      </c>
      <c r="N377" s="109" t="str">
        <f>IFERROR(__xludf.DUMMYFUNCTION("""COMPUTED_VALUE"""),"")</f>
        <v/>
      </c>
      <c r="O377" s="71" t="str">
        <f>IFERROR(__xludf.DUMMYFUNCTION("""COMPUTED_VALUE"""),"")</f>
        <v/>
      </c>
      <c r="P377" s="71" t="str">
        <f>IFERROR(__xludf.DUMMYFUNCTION("""COMPUTED_VALUE"""),"")</f>
        <v/>
      </c>
      <c r="Q377" s="78" t="str">
        <f>IFERROR(__xludf.DUMMYFUNCTION("""COMPUTED_VALUE"""),"")</f>
        <v/>
      </c>
      <c r="R377" s="78" t="str">
        <f>IFERROR(__xludf.DUMMYFUNCTION("""COMPUTED_VALUE"""),"")</f>
        <v/>
      </c>
      <c r="S377" s="80" t="str">
        <f>IFERROR(__xludf.DUMMYFUNCTION("""COMPUTED_VALUE"""),"")</f>
        <v/>
      </c>
      <c r="T377" s="80" t="str">
        <f>IFERROR(__xludf.DUMMYFUNCTION("""COMPUTED_VALUE"""),"")</f>
        <v/>
      </c>
      <c r="U377" s="71" t="str">
        <f>IFERROR(__xludf.DUMMYFUNCTION("""COMPUTED_VALUE"""),"")</f>
        <v/>
      </c>
      <c r="V377" s="78" t="str">
        <f>IFERROR(__xludf.DUMMYFUNCTION("""COMPUTED_VALUE"""),"")</f>
        <v/>
      </c>
      <c r="W377" s="62" t="str">
        <f>IFERROR(__xludf.DUMMYFUNCTION("""COMPUTED_VALUE"""),"")</f>
        <v/>
      </c>
      <c r="X377" s="80" t="str">
        <f>IFERROR(__xludf.DUMMYFUNCTION("""COMPUTED_VALUE"""),"")</f>
        <v/>
      </c>
      <c r="Y377" s="109" t="str">
        <f>IFERROR(__xludf.DUMMYFUNCTION("""COMPUTED_VALUE"""),"")</f>
        <v/>
      </c>
      <c r="Z377" s="71"/>
      <c r="AA377" s="71"/>
      <c r="AB377" s="71"/>
    </row>
    <row r="378">
      <c r="A378" s="71"/>
      <c r="B378" s="71"/>
      <c r="C378" s="71" t="str">
        <f>IFERROR(__xludf.DUMMYFUNCTION("""COMPUTED_VALUE"""),"")</f>
        <v/>
      </c>
      <c r="D378" s="71"/>
      <c r="E378" s="78">
        <f>IFERROR(__xludf.DUMMYFUNCTION("""COMPUTED_VALUE"""),0.0)</f>
        <v>0</v>
      </c>
      <c r="F378" s="71"/>
      <c r="G378" s="78" t="str">
        <f>IFERROR(__xludf.DUMMYFUNCTION("""COMPUTED_VALUE"""),"")</f>
        <v/>
      </c>
      <c r="H378" s="71">
        <f>IFERROR(__xludf.DUMMYFUNCTION("""COMPUTED_VALUE"""),0.0)</f>
        <v>0</v>
      </c>
      <c r="I378" s="80" t="str">
        <f>IFERROR(__xludf.DUMMYFUNCTION("""COMPUTED_VALUE"""),"")</f>
        <v/>
      </c>
      <c r="J378" s="71" t="str">
        <f>IFERROR(__xludf.DUMMYFUNCTION("""COMPUTED_VALUE"""),"")</f>
        <v/>
      </c>
      <c r="K378" s="71"/>
      <c r="L378" s="71" t="str">
        <f>IFERROR(__xludf.DUMMYFUNCTION("""COMPUTED_VALUE"""),"")</f>
        <v/>
      </c>
      <c r="M378" s="71" t="str">
        <f>IFERROR(__xludf.DUMMYFUNCTION("""COMPUTED_VALUE"""),"")</f>
        <v/>
      </c>
      <c r="N378" s="109" t="str">
        <f>IFERROR(__xludf.DUMMYFUNCTION("""COMPUTED_VALUE"""),"")</f>
        <v/>
      </c>
      <c r="O378" s="71" t="str">
        <f>IFERROR(__xludf.DUMMYFUNCTION("""COMPUTED_VALUE"""),"")</f>
        <v/>
      </c>
      <c r="P378" s="71" t="str">
        <f>IFERROR(__xludf.DUMMYFUNCTION("""COMPUTED_VALUE"""),"")</f>
        <v/>
      </c>
      <c r="Q378" s="78" t="str">
        <f>IFERROR(__xludf.DUMMYFUNCTION("""COMPUTED_VALUE"""),"")</f>
        <v/>
      </c>
      <c r="R378" s="78" t="str">
        <f>IFERROR(__xludf.DUMMYFUNCTION("""COMPUTED_VALUE"""),"")</f>
        <v/>
      </c>
      <c r="S378" s="80" t="str">
        <f>IFERROR(__xludf.DUMMYFUNCTION("""COMPUTED_VALUE"""),"")</f>
        <v/>
      </c>
      <c r="T378" s="80" t="str">
        <f>IFERROR(__xludf.DUMMYFUNCTION("""COMPUTED_VALUE"""),"")</f>
        <v/>
      </c>
      <c r="U378" s="71" t="str">
        <f>IFERROR(__xludf.DUMMYFUNCTION("""COMPUTED_VALUE"""),"")</f>
        <v/>
      </c>
      <c r="V378" s="78" t="str">
        <f>IFERROR(__xludf.DUMMYFUNCTION("""COMPUTED_VALUE"""),"")</f>
        <v/>
      </c>
      <c r="W378" s="62" t="str">
        <f>IFERROR(__xludf.DUMMYFUNCTION("""COMPUTED_VALUE"""),"")</f>
        <v/>
      </c>
      <c r="X378" s="80" t="str">
        <f>IFERROR(__xludf.DUMMYFUNCTION("""COMPUTED_VALUE"""),"")</f>
        <v/>
      </c>
      <c r="Y378" s="109" t="str">
        <f>IFERROR(__xludf.DUMMYFUNCTION("""COMPUTED_VALUE"""),"")</f>
        <v/>
      </c>
      <c r="Z378" s="71"/>
      <c r="AA378" s="71"/>
      <c r="AB378" s="71"/>
    </row>
    <row r="379">
      <c r="A379" s="71"/>
      <c r="B379" s="71"/>
      <c r="C379" s="71" t="str">
        <f>IFERROR(__xludf.DUMMYFUNCTION("""COMPUTED_VALUE"""),"")</f>
        <v/>
      </c>
      <c r="D379" s="71"/>
      <c r="E379" s="78">
        <f>IFERROR(__xludf.DUMMYFUNCTION("""COMPUTED_VALUE"""),0.0)</f>
        <v>0</v>
      </c>
      <c r="F379" s="71"/>
      <c r="G379" s="78" t="str">
        <f>IFERROR(__xludf.DUMMYFUNCTION("""COMPUTED_VALUE"""),"")</f>
        <v/>
      </c>
      <c r="H379" s="71">
        <f>IFERROR(__xludf.DUMMYFUNCTION("""COMPUTED_VALUE"""),0.0)</f>
        <v>0</v>
      </c>
      <c r="I379" s="80" t="str">
        <f>IFERROR(__xludf.DUMMYFUNCTION("""COMPUTED_VALUE"""),"")</f>
        <v/>
      </c>
      <c r="J379" s="71" t="str">
        <f>IFERROR(__xludf.DUMMYFUNCTION("""COMPUTED_VALUE"""),"")</f>
        <v/>
      </c>
      <c r="K379" s="71"/>
      <c r="L379" s="71" t="str">
        <f>IFERROR(__xludf.DUMMYFUNCTION("""COMPUTED_VALUE"""),"")</f>
        <v/>
      </c>
      <c r="M379" s="71" t="str">
        <f>IFERROR(__xludf.DUMMYFUNCTION("""COMPUTED_VALUE"""),"")</f>
        <v/>
      </c>
      <c r="N379" s="109" t="str">
        <f>IFERROR(__xludf.DUMMYFUNCTION("""COMPUTED_VALUE"""),"")</f>
        <v/>
      </c>
      <c r="O379" s="71" t="str">
        <f>IFERROR(__xludf.DUMMYFUNCTION("""COMPUTED_VALUE"""),"")</f>
        <v/>
      </c>
      <c r="P379" s="71" t="str">
        <f>IFERROR(__xludf.DUMMYFUNCTION("""COMPUTED_VALUE"""),"")</f>
        <v/>
      </c>
      <c r="Q379" s="78" t="str">
        <f>IFERROR(__xludf.DUMMYFUNCTION("""COMPUTED_VALUE"""),"")</f>
        <v/>
      </c>
      <c r="R379" s="78" t="str">
        <f>IFERROR(__xludf.DUMMYFUNCTION("""COMPUTED_VALUE"""),"")</f>
        <v/>
      </c>
      <c r="S379" s="80" t="str">
        <f>IFERROR(__xludf.DUMMYFUNCTION("""COMPUTED_VALUE"""),"")</f>
        <v/>
      </c>
      <c r="T379" s="80" t="str">
        <f>IFERROR(__xludf.DUMMYFUNCTION("""COMPUTED_VALUE"""),"")</f>
        <v/>
      </c>
      <c r="U379" s="71" t="str">
        <f>IFERROR(__xludf.DUMMYFUNCTION("""COMPUTED_VALUE"""),"")</f>
        <v/>
      </c>
      <c r="V379" s="78" t="str">
        <f>IFERROR(__xludf.DUMMYFUNCTION("""COMPUTED_VALUE"""),"")</f>
        <v/>
      </c>
      <c r="W379" s="62" t="str">
        <f>IFERROR(__xludf.DUMMYFUNCTION("""COMPUTED_VALUE"""),"")</f>
        <v/>
      </c>
      <c r="X379" s="80" t="str">
        <f>IFERROR(__xludf.DUMMYFUNCTION("""COMPUTED_VALUE"""),"")</f>
        <v/>
      </c>
      <c r="Y379" s="109" t="str">
        <f>IFERROR(__xludf.DUMMYFUNCTION("""COMPUTED_VALUE"""),"")</f>
        <v/>
      </c>
      <c r="Z379" s="71"/>
      <c r="AA379" s="71"/>
      <c r="AB379" s="71"/>
    </row>
    <row r="380">
      <c r="A380" s="71"/>
      <c r="B380" s="71"/>
      <c r="C380" s="71" t="str">
        <f>IFERROR(__xludf.DUMMYFUNCTION("""COMPUTED_VALUE"""),"")</f>
        <v/>
      </c>
      <c r="D380" s="71"/>
      <c r="E380" s="78">
        <f>IFERROR(__xludf.DUMMYFUNCTION("""COMPUTED_VALUE"""),0.0)</f>
        <v>0</v>
      </c>
      <c r="F380" s="71"/>
      <c r="G380" s="78" t="str">
        <f>IFERROR(__xludf.DUMMYFUNCTION("""COMPUTED_VALUE"""),"")</f>
        <v/>
      </c>
      <c r="H380" s="71">
        <f>IFERROR(__xludf.DUMMYFUNCTION("""COMPUTED_VALUE"""),0.0)</f>
        <v>0</v>
      </c>
      <c r="I380" s="80" t="str">
        <f>IFERROR(__xludf.DUMMYFUNCTION("""COMPUTED_VALUE"""),"")</f>
        <v/>
      </c>
      <c r="J380" s="71" t="str">
        <f>IFERROR(__xludf.DUMMYFUNCTION("""COMPUTED_VALUE"""),"")</f>
        <v/>
      </c>
      <c r="K380" s="71"/>
      <c r="L380" s="71" t="str">
        <f>IFERROR(__xludf.DUMMYFUNCTION("""COMPUTED_VALUE"""),"")</f>
        <v/>
      </c>
      <c r="M380" s="71" t="str">
        <f>IFERROR(__xludf.DUMMYFUNCTION("""COMPUTED_VALUE"""),"")</f>
        <v/>
      </c>
      <c r="N380" s="109" t="str">
        <f>IFERROR(__xludf.DUMMYFUNCTION("""COMPUTED_VALUE"""),"")</f>
        <v/>
      </c>
      <c r="O380" s="71" t="str">
        <f>IFERROR(__xludf.DUMMYFUNCTION("""COMPUTED_VALUE"""),"")</f>
        <v/>
      </c>
      <c r="P380" s="71" t="str">
        <f>IFERROR(__xludf.DUMMYFUNCTION("""COMPUTED_VALUE"""),"")</f>
        <v/>
      </c>
      <c r="Q380" s="78" t="str">
        <f>IFERROR(__xludf.DUMMYFUNCTION("""COMPUTED_VALUE"""),"")</f>
        <v/>
      </c>
      <c r="R380" s="78" t="str">
        <f>IFERROR(__xludf.DUMMYFUNCTION("""COMPUTED_VALUE"""),"")</f>
        <v/>
      </c>
      <c r="S380" s="80" t="str">
        <f>IFERROR(__xludf.DUMMYFUNCTION("""COMPUTED_VALUE"""),"")</f>
        <v/>
      </c>
      <c r="T380" s="80" t="str">
        <f>IFERROR(__xludf.DUMMYFUNCTION("""COMPUTED_VALUE"""),"")</f>
        <v/>
      </c>
      <c r="U380" s="71" t="str">
        <f>IFERROR(__xludf.DUMMYFUNCTION("""COMPUTED_VALUE"""),"")</f>
        <v/>
      </c>
      <c r="V380" s="78" t="str">
        <f>IFERROR(__xludf.DUMMYFUNCTION("""COMPUTED_VALUE"""),"")</f>
        <v/>
      </c>
      <c r="W380" s="62" t="str">
        <f>IFERROR(__xludf.DUMMYFUNCTION("""COMPUTED_VALUE"""),"")</f>
        <v/>
      </c>
      <c r="X380" s="80" t="str">
        <f>IFERROR(__xludf.DUMMYFUNCTION("""COMPUTED_VALUE"""),"")</f>
        <v/>
      </c>
      <c r="Y380" s="109" t="str">
        <f>IFERROR(__xludf.DUMMYFUNCTION("""COMPUTED_VALUE"""),"")</f>
        <v/>
      </c>
      <c r="Z380" s="71"/>
      <c r="AA380" s="71"/>
      <c r="AB380" s="71"/>
    </row>
    <row r="381">
      <c r="A381" s="71"/>
      <c r="B381" s="71"/>
      <c r="C381" s="71" t="str">
        <f>IFERROR(__xludf.DUMMYFUNCTION("""COMPUTED_VALUE"""),"")</f>
        <v/>
      </c>
      <c r="D381" s="71"/>
      <c r="E381" s="78">
        <f>IFERROR(__xludf.DUMMYFUNCTION("""COMPUTED_VALUE"""),0.0)</f>
        <v>0</v>
      </c>
      <c r="F381" s="71"/>
      <c r="G381" s="78" t="str">
        <f>IFERROR(__xludf.DUMMYFUNCTION("""COMPUTED_VALUE"""),"")</f>
        <v/>
      </c>
      <c r="H381" s="71">
        <f>IFERROR(__xludf.DUMMYFUNCTION("""COMPUTED_VALUE"""),0.0)</f>
        <v>0</v>
      </c>
      <c r="I381" s="80" t="str">
        <f>IFERROR(__xludf.DUMMYFUNCTION("""COMPUTED_VALUE"""),"")</f>
        <v/>
      </c>
      <c r="J381" s="71" t="str">
        <f>IFERROR(__xludf.DUMMYFUNCTION("""COMPUTED_VALUE"""),"")</f>
        <v/>
      </c>
      <c r="K381" s="71"/>
      <c r="L381" s="71" t="str">
        <f>IFERROR(__xludf.DUMMYFUNCTION("""COMPUTED_VALUE"""),"")</f>
        <v/>
      </c>
      <c r="M381" s="71" t="str">
        <f>IFERROR(__xludf.DUMMYFUNCTION("""COMPUTED_VALUE"""),"")</f>
        <v/>
      </c>
      <c r="N381" s="109" t="str">
        <f>IFERROR(__xludf.DUMMYFUNCTION("""COMPUTED_VALUE"""),"")</f>
        <v/>
      </c>
      <c r="O381" s="71" t="str">
        <f>IFERROR(__xludf.DUMMYFUNCTION("""COMPUTED_VALUE"""),"")</f>
        <v/>
      </c>
      <c r="P381" s="71" t="str">
        <f>IFERROR(__xludf.DUMMYFUNCTION("""COMPUTED_VALUE"""),"")</f>
        <v/>
      </c>
      <c r="Q381" s="78" t="str">
        <f>IFERROR(__xludf.DUMMYFUNCTION("""COMPUTED_VALUE"""),"")</f>
        <v/>
      </c>
      <c r="R381" s="78" t="str">
        <f>IFERROR(__xludf.DUMMYFUNCTION("""COMPUTED_VALUE"""),"")</f>
        <v/>
      </c>
      <c r="S381" s="80" t="str">
        <f>IFERROR(__xludf.DUMMYFUNCTION("""COMPUTED_VALUE"""),"")</f>
        <v/>
      </c>
      <c r="T381" s="80" t="str">
        <f>IFERROR(__xludf.DUMMYFUNCTION("""COMPUTED_VALUE"""),"")</f>
        <v/>
      </c>
      <c r="U381" s="71" t="str">
        <f>IFERROR(__xludf.DUMMYFUNCTION("""COMPUTED_VALUE"""),"")</f>
        <v/>
      </c>
      <c r="V381" s="78" t="str">
        <f>IFERROR(__xludf.DUMMYFUNCTION("""COMPUTED_VALUE"""),"")</f>
        <v/>
      </c>
      <c r="W381" s="62" t="str">
        <f>IFERROR(__xludf.DUMMYFUNCTION("""COMPUTED_VALUE"""),"")</f>
        <v/>
      </c>
      <c r="X381" s="80" t="str">
        <f>IFERROR(__xludf.DUMMYFUNCTION("""COMPUTED_VALUE"""),"")</f>
        <v/>
      </c>
      <c r="Y381" s="109" t="str">
        <f>IFERROR(__xludf.DUMMYFUNCTION("""COMPUTED_VALUE"""),"")</f>
        <v/>
      </c>
      <c r="Z381" s="71"/>
      <c r="AA381" s="71"/>
      <c r="AB381" s="71"/>
    </row>
    <row r="382">
      <c r="A382" s="71"/>
      <c r="B382" s="71"/>
      <c r="C382" s="71" t="str">
        <f>IFERROR(__xludf.DUMMYFUNCTION("""COMPUTED_VALUE"""),"")</f>
        <v/>
      </c>
      <c r="D382" s="71"/>
      <c r="E382" s="78">
        <f>IFERROR(__xludf.DUMMYFUNCTION("""COMPUTED_VALUE"""),0.0)</f>
        <v>0</v>
      </c>
      <c r="F382" s="71"/>
      <c r="G382" s="78" t="str">
        <f>IFERROR(__xludf.DUMMYFUNCTION("""COMPUTED_VALUE"""),"")</f>
        <v/>
      </c>
      <c r="H382" s="71">
        <f>IFERROR(__xludf.DUMMYFUNCTION("""COMPUTED_VALUE"""),0.0)</f>
        <v>0</v>
      </c>
      <c r="I382" s="80" t="str">
        <f>IFERROR(__xludf.DUMMYFUNCTION("""COMPUTED_VALUE"""),"")</f>
        <v/>
      </c>
      <c r="J382" s="71" t="str">
        <f>IFERROR(__xludf.DUMMYFUNCTION("""COMPUTED_VALUE"""),"")</f>
        <v/>
      </c>
      <c r="K382" s="71"/>
      <c r="L382" s="71" t="str">
        <f>IFERROR(__xludf.DUMMYFUNCTION("""COMPUTED_VALUE"""),"")</f>
        <v/>
      </c>
      <c r="M382" s="71" t="str">
        <f>IFERROR(__xludf.DUMMYFUNCTION("""COMPUTED_VALUE"""),"")</f>
        <v/>
      </c>
      <c r="N382" s="109" t="str">
        <f>IFERROR(__xludf.DUMMYFUNCTION("""COMPUTED_VALUE"""),"")</f>
        <v/>
      </c>
      <c r="O382" s="71" t="str">
        <f>IFERROR(__xludf.DUMMYFUNCTION("""COMPUTED_VALUE"""),"")</f>
        <v/>
      </c>
      <c r="P382" s="71" t="str">
        <f>IFERROR(__xludf.DUMMYFUNCTION("""COMPUTED_VALUE"""),"")</f>
        <v/>
      </c>
      <c r="Q382" s="78" t="str">
        <f>IFERROR(__xludf.DUMMYFUNCTION("""COMPUTED_VALUE"""),"")</f>
        <v/>
      </c>
      <c r="R382" s="78" t="str">
        <f>IFERROR(__xludf.DUMMYFUNCTION("""COMPUTED_VALUE"""),"")</f>
        <v/>
      </c>
      <c r="S382" s="80" t="str">
        <f>IFERROR(__xludf.DUMMYFUNCTION("""COMPUTED_VALUE"""),"")</f>
        <v/>
      </c>
      <c r="T382" s="80" t="str">
        <f>IFERROR(__xludf.DUMMYFUNCTION("""COMPUTED_VALUE"""),"")</f>
        <v/>
      </c>
      <c r="U382" s="71" t="str">
        <f>IFERROR(__xludf.DUMMYFUNCTION("""COMPUTED_VALUE"""),"")</f>
        <v/>
      </c>
      <c r="V382" s="78" t="str">
        <f>IFERROR(__xludf.DUMMYFUNCTION("""COMPUTED_VALUE"""),"")</f>
        <v/>
      </c>
      <c r="W382" s="62" t="str">
        <f>IFERROR(__xludf.DUMMYFUNCTION("""COMPUTED_VALUE"""),"")</f>
        <v/>
      </c>
      <c r="X382" s="80" t="str">
        <f>IFERROR(__xludf.DUMMYFUNCTION("""COMPUTED_VALUE"""),"")</f>
        <v/>
      </c>
      <c r="Y382" s="109" t="str">
        <f>IFERROR(__xludf.DUMMYFUNCTION("""COMPUTED_VALUE"""),"")</f>
        <v/>
      </c>
      <c r="Z382" s="71"/>
      <c r="AA382" s="71"/>
      <c r="AB382" s="71"/>
    </row>
    <row r="383">
      <c r="A383" s="71"/>
      <c r="B383" s="71"/>
      <c r="C383" s="71" t="str">
        <f>IFERROR(__xludf.DUMMYFUNCTION("""COMPUTED_VALUE"""),"")</f>
        <v/>
      </c>
      <c r="D383" s="71"/>
      <c r="E383" s="78">
        <f>IFERROR(__xludf.DUMMYFUNCTION("""COMPUTED_VALUE"""),0.0)</f>
        <v>0</v>
      </c>
      <c r="F383" s="71"/>
      <c r="G383" s="78" t="str">
        <f>IFERROR(__xludf.DUMMYFUNCTION("""COMPUTED_VALUE"""),"")</f>
        <v/>
      </c>
      <c r="H383" s="71">
        <f>IFERROR(__xludf.DUMMYFUNCTION("""COMPUTED_VALUE"""),0.0)</f>
        <v>0</v>
      </c>
      <c r="I383" s="80" t="str">
        <f>IFERROR(__xludf.DUMMYFUNCTION("""COMPUTED_VALUE"""),"")</f>
        <v/>
      </c>
      <c r="J383" s="71" t="str">
        <f>IFERROR(__xludf.DUMMYFUNCTION("""COMPUTED_VALUE"""),"")</f>
        <v/>
      </c>
      <c r="K383" s="71"/>
      <c r="L383" s="71" t="str">
        <f>IFERROR(__xludf.DUMMYFUNCTION("""COMPUTED_VALUE"""),"")</f>
        <v/>
      </c>
      <c r="M383" s="71" t="str">
        <f>IFERROR(__xludf.DUMMYFUNCTION("""COMPUTED_VALUE"""),"")</f>
        <v/>
      </c>
      <c r="N383" s="109" t="str">
        <f>IFERROR(__xludf.DUMMYFUNCTION("""COMPUTED_VALUE"""),"")</f>
        <v/>
      </c>
      <c r="O383" s="71" t="str">
        <f>IFERROR(__xludf.DUMMYFUNCTION("""COMPUTED_VALUE"""),"")</f>
        <v/>
      </c>
      <c r="P383" s="71" t="str">
        <f>IFERROR(__xludf.DUMMYFUNCTION("""COMPUTED_VALUE"""),"")</f>
        <v/>
      </c>
      <c r="Q383" s="78" t="str">
        <f>IFERROR(__xludf.DUMMYFUNCTION("""COMPUTED_VALUE"""),"")</f>
        <v/>
      </c>
      <c r="R383" s="78" t="str">
        <f>IFERROR(__xludf.DUMMYFUNCTION("""COMPUTED_VALUE"""),"")</f>
        <v/>
      </c>
      <c r="S383" s="80" t="str">
        <f>IFERROR(__xludf.DUMMYFUNCTION("""COMPUTED_VALUE"""),"")</f>
        <v/>
      </c>
      <c r="T383" s="80" t="str">
        <f>IFERROR(__xludf.DUMMYFUNCTION("""COMPUTED_VALUE"""),"")</f>
        <v/>
      </c>
      <c r="U383" s="71" t="str">
        <f>IFERROR(__xludf.DUMMYFUNCTION("""COMPUTED_VALUE"""),"")</f>
        <v/>
      </c>
      <c r="V383" s="78" t="str">
        <f>IFERROR(__xludf.DUMMYFUNCTION("""COMPUTED_VALUE"""),"")</f>
        <v/>
      </c>
      <c r="W383" s="62" t="str">
        <f>IFERROR(__xludf.DUMMYFUNCTION("""COMPUTED_VALUE"""),"")</f>
        <v/>
      </c>
      <c r="X383" s="80" t="str">
        <f>IFERROR(__xludf.DUMMYFUNCTION("""COMPUTED_VALUE"""),"")</f>
        <v/>
      </c>
      <c r="Y383" s="109" t="str">
        <f>IFERROR(__xludf.DUMMYFUNCTION("""COMPUTED_VALUE"""),"")</f>
        <v/>
      </c>
      <c r="Z383" s="71"/>
      <c r="AA383" s="71"/>
      <c r="AB383" s="71"/>
    </row>
    <row r="384">
      <c r="A384" s="71"/>
      <c r="B384" s="71"/>
      <c r="C384" s="71" t="str">
        <f>IFERROR(__xludf.DUMMYFUNCTION("""COMPUTED_VALUE"""),"")</f>
        <v/>
      </c>
      <c r="D384" s="71"/>
      <c r="E384" s="78">
        <f>IFERROR(__xludf.DUMMYFUNCTION("""COMPUTED_VALUE"""),0.0)</f>
        <v>0</v>
      </c>
      <c r="F384" s="71"/>
      <c r="G384" s="78" t="str">
        <f>IFERROR(__xludf.DUMMYFUNCTION("""COMPUTED_VALUE"""),"")</f>
        <v/>
      </c>
      <c r="H384" s="71">
        <f>IFERROR(__xludf.DUMMYFUNCTION("""COMPUTED_VALUE"""),0.0)</f>
        <v>0</v>
      </c>
      <c r="I384" s="80" t="str">
        <f>IFERROR(__xludf.DUMMYFUNCTION("""COMPUTED_VALUE"""),"")</f>
        <v/>
      </c>
      <c r="J384" s="71" t="str">
        <f>IFERROR(__xludf.DUMMYFUNCTION("""COMPUTED_VALUE"""),"")</f>
        <v/>
      </c>
      <c r="K384" s="71"/>
      <c r="L384" s="71" t="str">
        <f>IFERROR(__xludf.DUMMYFUNCTION("""COMPUTED_VALUE"""),"")</f>
        <v/>
      </c>
      <c r="M384" s="71" t="str">
        <f>IFERROR(__xludf.DUMMYFUNCTION("""COMPUTED_VALUE"""),"")</f>
        <v/>
      </c>
      <c r="N384" s="109" t="str">
        <f>IFERROR(__xludf.DUMMYFUNCTION("""COMPUTED_VALUE"""),"")</f>
        <v/>
      </c>
      <c r="O384" s="71" t="str">
        <f>IFERROR(__xludf.DUMMYFUNCTION("""COMPUTED_VALUE"""),"")</f>
        <v/>
      </c>
      <c r="P384" s="71" t="str">
        <f>IFERROR(__xludf.DUMMYFUNCTION("""COMPUTED_VALUE"""),"")</f>
        <v/>
      </c>
      <c r="Q384" s="78" t="str">
        <f>IFERROR(__xludf.DUMMYFUNCTION("""COMPUTED_VALUE"""),"")</f>
        <v/>
      </c>
      <c r="R384" s="78" t="str">
        <f>IFERROR(__xludf.DUMMYFUNCTION("""COMPUTED_VALUE"""),"")</f>
        <v/>
      </c>
      <c r="S384" s="80" t="str">
        <f>IFERROR(__xludf.DUMMYFUNCTION("""COMPUTED_VALUE"""),"")</f>
        <v/>
      </c>
      <c r="T384" s="80" t="str">
        <f>IFERROR(__xludf.DUMMYFUNCTION("""COMPUTED_VALUE"""),"")</f>
        <v/>
      </c>
      <c r="U384" s="71" t="str">
        <f>IFERROR(__xludf.DUMMYFUNCTION("""COMPUTED_VALUE"""),"")</f>
        <v/>
      </c>
      <c r="V384" s="78" t="str">
        <f>IFERROR(__xludf.DUMMYFUNCTION("""COMPUTED_VALUE"""),"")</f>
        <v/>
      </c>
      <c r="W384" s="62" t="str">
        <f>IFERROR(__xludf.DUMMYFUNCTION("""COMPUTED_VALUE"""),"")</f>
        <v/>
      </c>
      <c r="X384" s="80" t="str">
        <f>IFERROR(__xludf.DUMMYFUNCTION("""COMPUTED_VALUE"""),"")</f>
        <v/>
      </c>
      <c r="Y384" s="109" t="str">
        <f>IFERROR(__xludf.DUMMYFUNCTION("""COMPUTED_VALUE"""),"")</f>
        <v/>
      </c>
      <c r="Z384" s="71"/>
      <c r="AA384" s="71"/>
      <c r="AB384" s="71"/>
    </row>
    <row r="385">
      <c r="A385" s="71"/>
      <c r="B385" s="71"/>
      <c r="C385" s="71" t="str">
        <f>IFERROR(__xludf.DUMMYFUNCTION("""COMPUTED_VALUE"""),"")</f>
        <v/>
      </c>
      <c r="D385" s="71"/>
      <c r="E385" s="78">
        <f>IFERROR(__xludf.DUMMYFUNCTION("""COMPUTED_VALUE"""),0.0)</f>
        <v>0</v>
      </c>
      <c r="F385" s="71"/>
      <c r="G385" s="78" t="str">
        <f>IFERROR(__xludf.DUMMYFUNCTION("""COMPUTED_VALUE"""),"")</f>
        <v/>
      </c>
      <c r="H385" s="71">
        <f>IFERROR(__xludf.DUMMYFUNCTION("""COMPUTED_VALUE"""),0.0)</f>
        <v>0</v>
      </c>
      <c r="I385" s="80" t="str">
        <f>IFERROR(__xludf.DUMMYFUNCTION("""COMPUTED_VALUE"""),"")</f>
        <v/>
      </c>
      <c r="J385" s="71" t="str">
        <f>IFERROR(__xludf.DUMMYFUNCTION("""COMPUTED_VALUE"""),"")</f>
        <v/>
      </c>
      <c r="K385" s="71"/>
      <c r="L385" s="71" t="str">
        <f>IFERROR(__xludf.DUMMYFUNCTION("""COMPUTED_VALUE"""),"")</f>
        <v/>
      </c>
      <c r="M385" s="71" t="str">
        <f>IFERROR(__xludf.DUMMYFUNCTION("""COMPUTED_VALUE"""),"")</f>
        <v/>
      </c>
      <c r="N385" s="109" t="str">
        <f>IFERROR(__xludf.DUMMYFUNCTION("""COMPUTED_VALUE"""),"")</f>
        <v/>
      </c>
      <c r="O385" s="71" t="str">
        <f>IFERROR(__xludf.DUMMYFUNCTION("""COMPUTED_VALUE"""),"")</f>
        <v/>
      </c>
      <c r="P385" s="71" t="str">
        <f>IFERROR(__xludf.DUMMYFUNCTION("""COMPUTED_VALUE"""),"")</f>
        <v/>
      </c>
      <c r="Q385" s="78" t="str">
        <f>IFERROR(__xludf.DUMMYFUNCTION("""COMPUTED_VALUE"""),"")</f>
        <v/>
      </c>
      <c r="R385" s="78" t="str">
        <f>IFERROR(__xludf.DUMMYFUNCTION("""COMPUTED_VALUE"""),"")</f>
        <v/>
      </c>
      <c r="S385" s="80" t="str">
        <f>IFERROR(__xludf.DUMMYFUNCTION("""COMPUTED_VALUE"""),"")</f>
        <v/>
      </c>
      <c r="T385" s="80" t="str">
        <f>IFERROR(__xludf.DUMMYFUNCTION("""COMPUTED_VALUE"""),"")</f>
        <v/>
      </c>
      <c r="U385" s="71" t="str">
        <f>IFERROR(__xludf.DUMMYFUNCTION("""COMPUTED_VALUE"""),"")</f>
        <v/>
      </c>
      <c r="V385" s="78" t="str">
        <f>IFERROR(__xludf.DUMMYFUNCTION("""COMPUTED_VALUE"""),"")</f>
        <v/>
      </c>
      <c r="W385" s="62" t="str">
        <f>IFERROR(__xludf.DUMMYFUNCTION("""COMPUTED_VALUE"""),"")</f>
        <v/>
      </c>
      <c r="X385" s="80" t="str">
        <f>IFERROR(__xludf.DUMMYFUNCTION("""COMPUTED_VALUE"""),"")</f>
        <v/>
      </c>
      <c r="Y385" s="109" t="str">
        <f>IFERROR(__xludf.DUMMYFUNCTION("""COMPUTED_VALUE"""),"")</f>
        <v/>
      </c>
      <c r="Z385" s="71"/>
      <c r="AA385" s="71"/>
      <c r="AB385" s="71"/>
    </row>
    <row r="386">
      <c r="A386" s="71"/>
      <c r="B386" s="71"/>
      <c r="C386" s="71" t="str">
        <f>IFERROR(__xludf.DUMMYFUNCTION("""COMPUTED_VALUE"""),"")</f>
        <v/>
      </c>
      <c r="D386" s="71"/>
      <c r="E386" s="78">
        <f>IFERROR(__xludf.DUMMYFUNCTION("""COMPUTED_VALUE"""),0.0)</f>
        <v>0</v>
      </c>
      <c r="F386" s="71"/>
      <c r="G386" s="78" t="str">
        <f>IFERROR(__xludf.DUMMYFUNCTION("""COMPUTED_VALUE"""),"")</f>
        <v/>
      </c>
      <c r="H386" s="71">
        <f>IFERROR(__xludf.DUMMYFUNCTION("""COMPUTED_VALUE"""),0.0)</f>
        <v>0</v>
      </c>
      <c r="I386" s="80" t="str">
        <f>IFERROR(__xludf.DUMMYFUNCTION("""COMPUTED_VALUE"""),"")</f>
        <v/>
      </c>
      <c r="J386" s="71" t="str">
        <f>IFERROR(__xludf.DUMMYFUNCTION("""COMPUTED_VALUE"""),"")</f>
        <v/>
      </c>
      <c r="K386" s="71"/>
      <c r="L386" s="71" t="str">
        <f>IFERROR(__xludf.DUMMYFUNCTION("""COMPUTED_VALUE"""),"")</f>
        <v/>
      </c>
      <c r="M386" s="71" t="str">
        <f>IFERROR(__xludf.DUMMYFUNCTION("""COMPUTED_VALUE"""),"")</f>
        <v/>
      </c>
      <c r="N386" s="109" t="str">
        <f>IFERROR(__xludf.DUMMYFUNCTION("""COMPUTED_VALUE"""),"")</f>
        <v/>
      </c>
      <c r="O386" s="71" t="str">
        <f>IFERROR(__xludf.DUMMYFUNCTION("""COMPUTED_VALUE"""),"")</f>
        <v/>
      </c>
      <c r="P386" s="71" t="str">
        <f>IFERROR(__xludf.DUMMYFUNCTION("""COMPUTED_VALUE"""),"")</f>
        <v/>
      </c>
      <c r="Q386" s="78" t="str">
        <f>IFERROR(__xludf.DUMMYFUNCTION("""COMPUTED_VALUE"""),"")</f>
        <v/>
      </c>
      <c r="R386" s="78" t="str">
        <f>IFERROR(__xludf.DUMMYFUNCTION("""COMPUTED_VALUE"""),"")</f>
        <v/>
      </c>
      <c r="S386" s="80" t="str">
        <f>IFERROR(__xludf.DUMMYFUNCTION("""COMPUTED_VALUE"""),"")</f>
        <v/>
      </c>
      <c r="T386" s="80" t="str">
        <f>IFERROR(__xludf.DUMMYFUNCTION("""COMPUTED_VALUE"""),"")</f>
        <v/>
      </c>
      <c r="U386" s="71" t="str">
        <f>IFERROR(__xludf.DUMMYFUNCTION("""COMPUTED_VALUE"""),"")</f>
        <v/>
      </c>
      <c r="V386" s="78" t="str">
        <f>IFERROR(__xludf.DUMMYFUNCTION("""COMPUTED_VALUE"""),"")</f>
        <v/>
      </c>
      <c r="W386" s="62" t="str">
        <f>IFERROR(__xludf.DUMMYFUNCTION("""COMPUTED_VALUE"""),"")</f>
        <v/>
      </c>
      <c r="X386" s="80" t="str">
        <f>IFERROR(__xludf.DUMMYFUNCTION("""COMPUTED_VALUE"""),"")</f>
        <v/>
      </c>
      <c r="Y386" s="109" t="str">
        <f>IFERROR(__xludf.DUMMYFUNCTION("""COMPUTED_VALUE"""),"")</f>
        <v/>
      </c>
      <c r="Z386" s="71"/>
      <c r="AA386" s="71"/>
      <c r="AB386" s="71"/>
    </row>
    <row r="387">
      <c r="A387" s="71"/>
      <c r="B387" s="71"/>
      <c r="C387" s="71" t="str">
        <f>IFERROR(__xludf.DUMMYFUNCTION("""COMPUTED_VALUE"""),"")</f>
        <v/>
      </c>
      <c r="D387" s="71"/>
      <c r="E387" s="78">
        <f>IFERROR(__xludf.DUMMYFUNCTION("""COMPUTED_VALUE"""),0.0)</f>
        <v>0</v>
      </c>
      <c r="F387" s="71"/>
      <c r="G387" s="78" t="str">
        <f>IFERROR(__xludf.DUMMYFUNCTION("""COMPUTED_VALUE"""),"")</f>
        <v/>
      </c>
      <c r="H387" s="71">
        <f>IFERROR(__xludf.DUMMYFUNCTION("""COMPUTED_VALUE"""),0.0)</f>
        <v>0</v>
      </c>
      <c r="I387" s="80" t="str">
        <f>IFERROR(__xludf.DUMMYFUNCTION("""COMPUTED_VALUE"""),"")</f>
        <v/>
      </c>
      <c r="J387" s="71" t="str">
        <f>IFERROR(__xludf.DUMMYFUNCTION("""COMPUTED_VALUE"""),"")</f>
        <v/>
      </c>
      <c r="K387" s="71"/>
      <c r="L387" s="71" t="str">
        <f>IFERROR(__xludf.DUMMYFUNCTION("""COMPUTED_VALUE"""),"")</f>
        <v/>
      </c>
      <c r="M387" s="71" t="str">
        <f>IFERROR(__xludf.DUMMYFUNCTION("""COMPUTED_VALUE"""),"")</f>
        <v/>
      </c>
      <c r="N387" s="109" t="str">
        <f>IFERROR(__xludf.DUMMYFUNCTION("""COMPUTED_VALUE"""),"")</f>
        <v/>
      </c>
      <c r="O387" s="71" t="str">
        <f>IFERROR(__xludf.DUMMYFUNCTION("""COMPUTED_VALUE"""),"")</f>
        <v/>
      </c>
      <c r="P387" s="71" t="str">
        <f>IFERROR(__xludf.DUMMYFUNCTION("""COMPUTED_VALUE"""),"")</f>
        <v/>
      </c>
      <c r="Q387" s="78" t="str">
        <f>IFERROR(__xludf.DUMMYFUNCTION("""COMPUTED_VALUE"""),"")</f>
        <v/>
      </c>
      <c r="R387" s="78" t="str">
        <f>IFERROR(__xludf.DUMMYFUNCTION("""COMPUTED_VALUE"""),"")</f>
        <v/>
      </c>
      <c r="S387" s="80" t="str">
        <f>IFERROR(__xludf.DUMMYFUNCTION("""COMPUTED_VALUE"""),"")</f>
        <v/>
      </c>
      <c r="T387" s="80" t="str">
        <f>IFERROR(__xludf.DUMMYFUNCTION("""COMPUTED_VALUE"""),"")</f>
        <v/>
      </c>
      <c r="U387" s="71" t="str">
        <f>IFERROR(__xludf.DUMMYFUNCTION("""COMPUTED_VALUE"""),"")</f>
        <v/>
      </c>
      <c r="V387" s="78" t="str">
        <f>IFERROR(__xludf.DUMMYFUNCTION("""COMPUTED_VALUE"""),"")</f>
        <v/>
      </c>
      <c r="W387" s="62" t="str">
        <f>IFERROR(__xludf.DUMMYFUNCTION("""COMPUTED_VALUE"""),"")</f>
        <v/>
      </c>
      <c r="X387" s="80" t="str">
        <f>IFERROR(__xludf.DUMMYFUNCTION("""COMPUTED_VALUE"""),"")</f>
        <v/>
      </c>
      <c r="Y387" s="109" t="str">
        <f>IFERROR(__xludf.DUMMYFUNCTION("""COMPUTED_VALUE"""),"")</f>
        <v/>
      </c>
      <c r="Z387" s="71"/>
      <c r="AA387" s="71"/>
      <c r="AB387" s="71"/>
    </row>
    <row r="388">
      <c r="A388" s="71"/>
      <c r="B388" s="71"/>
      <c r="C388" s="71" t="str">
        <f>IFERROR(__xludf.DUMMYFUNCTION("""COMPUTED_VALUE"""),"")</f>
        <v/>
      </c>
      <c r="D388" s="71"/>
      <c r="E388" s="78">
        <f>IFERROR(__xludf.DUMMYFUNCTION("""COMPUTED_VALUE"""),0.0)</f>
        <v>0</v>
      </c>
      <c r="F388" s="71"/>
      <c r="G388" s="78" t="str">
        <f>IFERROR(__xludf.DUMMYFUNCTION("""COMPUTED_VALUE"""),"")</f>
        <v/>
      </c>
      <c r="H388" s="71">
        <f>IFERROR(__xludf.DUMMYFUNCTION("""COMPUTED_VALUE"""),0.0)</f>
        <v>0</v>
      </c>
      <c r="I388" s="80" t="str">
        <f>IFERROR(__xludf.DUMMYFUNCTION("""COMPUTED_VALUE"""),"")</f>
        <v/>
      </c>
      <c r="J388" s="71" t="str">
        <f>IFERROR(__xludf.DUMMYFUNCTION("""COMPUTED_VALUE"""),"")</f>
        <v/>
      </c>
      <c r="K388" s="71"/>
      <c r="L388" s="71" t="str">
        <f>IFERROR(__xludf.DUMMYFUNCTION("""COMPUTED_VALUE"""),"")</f>
        <v/>
      </c>
      <c r="M388" s="71" t="str">
        <f>IFERROR(__xludf.DUMMYFUNCTION("""COMPUTED_VALUE"""),"")</f>
        <v/>
      </c>
      <c r="N388" s="109" t="str">
        <f>IFERROR(__xludf.DUMMYFUNCTION("""COMPUTED_VALUE"""),"")</f>
        <v/>
      </c>
      <c r="O388" s="71" t="str">
        <f>IFERROR(__xludf.DUMMYFUNCTION("""COMPUTED_VALUE"""),"")</f>
        <v/>
      </c>
      <c r="P388" s="71" t="str">
        <f>IFERROR(__xludf.DUMMYFUNCTION("""COMPUTED_VALUE"""),"")</f>
        <v/>
      </c>
      <c r="Q388" s="78" t="str">
        <f>IFERROR(__xludf.DUMMYFUNCTION("""COMPUTED_VALUE"""),"")</f>
        <v/>
      </c>
      <c r="R388" s="78" t="str">
        <f>IFERROR(__xludf.DUMMYFUNCTION("""COMPUTED_VALUE"""),"")</f>
        <v/>
      </c>
      <c r="S388" s="80" t="str">
        <f>IFERROR(__xludf.DUMMYFUNCTION("""COMPUTED_VALUE"""),"")</f>
        <v/>
      </c>
      <c r="T388" s="80" t="str">
        <f>IFERROR(__xludf.DUMMYFUNCTION("""COMPUTED_VALUE"""),"")</f>
        <v/>
      </c>
      <c r="U388" s="71" t="str">
        <f>IFERROR(__xludf.DUMMYFUNCTION("""COMPUTED_VALUE"""),"")</f>
        <v/>
      </c>
      <c r="V388" s="78" t="str">
        <f>IFERROR(__xludf.DUMMYFUNCTION("""COMPUTED_VALUE"""),"")</f>
        <v/>
      </c>
      <c r="W388" s="62" t="str">
        <f>IFERROR(__xludf.DUMMYFUNCTION("""COMPUTED_VALUE"""),"")</f>
        <v/>
      </c>
      <c r="X388" s="80" t="str">
        <f>IFERROR(__xludf.DUMMYFUNCTION("""COMPUTED_VALUE"""),"")</f>
        <v/>
      </c>
      <c r="Y388" s="109" t="str">
        <f>IFERROR(__xludf.DUMMYFUNCTION("""COMPUTED_VALUE"""),"")</f>
        <v/>
      </c>
      <c r="Z388" s="71"/>
      <c r="AA388" s="71"/>
      <c r="AB388" s="71"/>
    </row>
    <row r="389">
      <c r="A389" s="71"/>
      <c r="B389" s="71"/>
      <c r="C389" s="71" t="str">
        <f>IFERROR(__xludf.DUMMYFUNCTION("""COMPUTED_VALUE"""),"")</f>
        <v/>
      </c>
      <c r="D389" s="71"/>
      <c r="E389" s="78">
        <f>IFERROR(__xludf.DUMMYFUNCTION("""COMPUTED_VALUE"""),0.0)</f>
        <v>0</v>
      </c>
      <c r="F389" s="71"/>
      <c r="G389" s="78" t="str">
        <f>IFERROR(__xludf.DUMMYFUNCTION("""COMPUTED_VALUE"""),"")</f>
        <v/>
      </c>
      <c r="H389" s="71">
        <f>IFERROR(__xludf.DUMMYFUNCTION("""COMPUTED_VALUE"""),0.0)</f>
        <v>0</v>
      </c>
      <c r="I389" s="80" t="str">
        <f>IFERROR(__xludf.DUMMYFUNCTION("""COMPUTED_VALUE"""),"")</f>
        <v/>
      </c>
      <c r="J389" s="71" t="str">
        <f>IFERROR(__xludf.DUMMYFUNCTION("""COMPUTED_VALUE"""),"")</f>
        <v/>
      </c>
      <c r="K389" s="71"/>
      <c r="L389" s="71" t="str">
        <f>IFERROR(__xludf.DUMMYFUNCTION("""COMPUTED_VALUE"""),"")</f>
        <v/>
      </c>
      <c r="M389" s="71" t="str">
        <f>IFERROR(__xludf.DUMMYFUNCTION("""COMPUTED_VALUE"""),"")</f>
        <v/>
      </c>
      <c r="N389" s="109" t="str">
        <f>IFERROR(__xludf.DUMMYFUNCTION("""COMPUTED_VALUE"""),"")</f>
        <v/>
      </c>
      <c r="O389" s="71" t="str">
        <f>IFERROR(__xludf.DUMMYFUNCTION("""COMPUTED_VALUE"""),"")</f>
        <v/>
      </c>
      <c r="P389" s="71" t="str">
        <f>IFERROR(__xludf.DUMMYFUNCTION("""COMPUTED_VALUE"""),"")</f>
        <v/>
      </c>
      <c r="Q389" s="78" t="str">
        <f>IFERROR(__xludf.DUMMYFUNCTION("""COMPUTED_VALUE"""),"")</f>
        <v/>
      </c>
      <c r="R389" s="78" t="str">
        <f>IFERROR(__xludf.DUMMYFUNCTION("""COMPUTED_VALUE"""),"")</f>
        <v/>
      </c>
      <c r="S389" s="80" t="str">
        <f>IFERROR(__xludf.DUMMYFUNCTION("""COMPUTED_VALUE"""),"")</f>
        <v/>
      </c>
      <c r="T389" s="80" t="str">
        <f>IFERROR(__xludf.DUMMYFUNCTION("""COMPUTED_VALUE"""),"")</f>
        <v/>
      </c>
      <c r="U389" s="71" t="str">
        <f>IFERROR(__xludf.DUMMYFUNCTION("""COMPUTED_VALUE"""),"")</f>
        <v/>
      </c>
      <c r="V389" s="78" t="str">
        <f>IFERROR(__xludf.DUMMYFUNCTION("""COMPUTED_VALUE"""),"")</f>
        <v/>
      </c>
      <c r="W389" s="62" t="str">
        <f>IFERROR(__xludf.DUMMYFUNCTION("""COMPUTED_VALUE"""),"")</f>
        <v/>
      </c>
      <c r="X389" s="80" t="str">
        <f>IFERROR(__xludf.DUMMYFUNCTION("""COMPUTED_VALUE"""),"")</f>
        <v/>
      </c>
      <c r="Y389" s="109" t="str">
        <f>IFERROR(__xludf.DUMMYFUNCTION("""COMPUTED_VALUE"""),"")</f>
        <v/>
      </c>
      <c r="Z389" s="71"/>
      <c r="AA389" s="71"/>
      <c r="AB389" s="71"/>
    </row>
    <row r="390">
      <c r="A390" s="71"/>
      <c r="B390" s="71"/>
      <c r="C390" s="71" t="str">
        <f>IFERROR(__xludf.DUMMYFUNCTION("""COMPUTED_VALUE"""),"")</f>
        <v/>
      </c>
      <c r="D390" s="71"/>
      <c r="E390" s="78">
        <f>IFERROR(__xludf.DUMMYFUNCTION("""COMPUTED_VALUE"""),0.0)</f>
        <v>0</v>
      </c>
      <c r="F390" s="71"/>
      <c r="G390" s="78" t="str">
        <f>IFERROR(__xludf.DUMMYFUNCTION("""COMPUTED_VALUE"""),"")</f>
        <v/>
      </c>
      <c r="H390" s="71">
        <f>IFERROR(__xludf.DUMMYFUNCTION("""COMPUTED_VALUE"""),0.0)</f>
        <v>0</v>
      </c>
      <c r="I390" s="80" t="str">
        <f>IFERROR(__xludf.DUMMYFUNCTION("""COMPUTED_VALUE"""),"")</f>
        <v/>
      </c>
      <c r="J390" s="71" t="str">
        <f>IFERROR(__xludf.DUMMYFUNCTION("""COMPUTED_VALUE"""),"")</f>
        <v/>
      </c>
      <c r="K390" s="71"/>
      <c r="L390" s="71" t="str">
        <f>IFERROR(__xludf.DUMMYFUNCTION("""COMPUTED_VALUE"""),"")</f>
        <v/>
      </c>
      <c r="M390" s="71" t="str">
        <f>IFERROR(__xludf.DUMMYFUNCTION("""COMPUTED_VALUE"""),"")</f>
        <v/>
      </c>
      <c r="N390" s="109" t="str">
        <f>IFERROR(__xludf.DUMMYFUNCTION("""COMPUTED_VALUE"""),"")</f>
        <v/>
      </c>
      <c r="O390" s="71" t="str">
        <f>IFERROR(__xludf.DUMMYFUNCTION("""COMPUTED_VALUE"""),"")</f>
        <v/>
      </c>
      <c r="P390" s="71" t="str">
        <f>IFERROR(__xludf.DUMMYFUNCTION("""COMPUTED_VALUE"""),"")</f>
        <v/>
      </c>
      <c r="Q390" s="78" t="str">
        <f>IFERROR(__xludf.DUMMYFUNCTION("""COMPUTED_VALUE"""),"")</f>
        <v/>
      </c>
      <c r="R390" s="78" t="str">
        <f>IFERROR(__xludf.DUMMYFUNCTION("""COMPUTED_VALUE"""),"")</f>
        <v/>
      </c>
      <c r="S390" s="80" t="str">
        <f>IFERROR(__xludf.DUMMYFUNCTION("""COMPUTED_VALUE"""),"")</f>
        <v/>
      </c>
      <c r="T390" s="80" t="str">
        <f>IFERROR(__xludf.DUMMYFUNCTION("""COMPUTED_VALUE"""),"")</f>
        <v/>
      </c>
      <c r="U390" s="71" t="str">
        <f>IFERROR(__xludf.DUMMYFUNCTION("""COMPUTED_VALUE"""),"")</f>
        <v/>
      </c>
      <c r="V390" s="78" t="str">
        <f>IFERROR(__xludf.DUMMYFUNCTION("""COMPUTED_VALUE"""),"")</f>
        <v/>
      </c>
      <c r="W390" s="62" t="str">
        <f>IFERROR(__xludf.DUMMYFUNCTION("""COMPUTED_VALUE"""),"")</f>
        <v/>
      </c>
      <c r="X390" s="80" t="str">
        <f>IFERROR(__xludf.DUMMYFUNCTION("""COMPUTED_VALUE"""),"")</f>
        <v/>
      </c>
      <c r="Y390" s="109" t="str">
        <f>IFERROR(__xludf.DUMMYFUNCTION("""COMPUTED_VALUE"""),"")</f>
        <v/>
      </c>
      <c r="Z390" s="71"/>
      <c r="AA390" s="71"/>
      <c r="AB390" s="71"/>
    </row>
    <row r="391">
      <c r="A391" s="71"/>
      <c r="B391" s="71"/>
      <c r="C391" s="71" t="str">
        <f>IFERROR(__xludf.DUMMYFUNCTION("""COMPUTED_VALUE"""),"")</f>
        <v/>
      </c>
      <c r="D391" s="71"/>
      <c r="E391" s="78">
        <f>IFERROR(__xludf.DUMMYFUNCTION("""COMPUTED_VALUE"""),0.0)</f>
        <v>0</v>
      </c>
      <c r="F391" s="71"/>
      <c r="G391" s="78" t="str">
        <f>IFERROR(__xludf.DUMMYFUNCTION("""COMPUTED_VALUE"""),"")</f>
        <v/>
      </c>
      <c r="H391" s="71">
        <f>IFERROR(__xludf.DUMMYFUNCTION("""COMPUTED_VALUE"""),0.0)</f>
        <v>0</v>
      </c>
      <c r="I391" s="80" t="str">
        <f>IFERROR(__xludf.DUMMYFUNCTION("""COMPUTED_VALUE"""),"")</f>
        <v/>
      </c>
      <c r="J391" s="71" t="str">
        <f>IFERROR(__xludf.DUMMYFUNCTION("""COMPUTED_VALUE"""),"")</f>
        <v/>
      </c>
      <c r="K391" s="71"/>
      <c r="L391" s="71" t="str">
        <f>IFERROR(__xludf.DUMMYFUNCTION("""COMPUTED_VALUE"""),"")</f>
        <v/>
      </c>
      <c r="M391" s="71" t="str">
        <f>IFERROR(__xludf.DUMMYFUNCTION("""COMPUTED_VALUE"""),"")</f>
        <v/>
      </c>
      <c r="N391" s="109" t="str">
        <f>IFERROR(__xludf.DUMMYFUNCTION("""COMPUTED_VALUE"""),"")</f>
        <v/>
      </c>
      <c r="O391" s="71" t="str">
        <f>IFERROR(__xludf.DUMMYFUNCTION("""COMPUTED_VALUE"""),"")</f>
        <v/>
      </c>
      <c r="P391" s="71" t="str">
        <f>IFERROR(__xludf.DUMMYFUNCTION("""COMPUTED_VALUE"""),"")</f>
        <v/>
      </c>
      <c r="Q391" s="78" t="str">
        <f>IFERROR(__xludf.DUMMYFUNCTION("""COMPUTED_VALUE"""),"")</f>
        <v/>
      </c>
      <c r="R391" s="78" t="str">
        <f>IFERROR(__xludf.DUMMYFUNCTION("""COMPUTED_VALUE"""),"")</f>
        <v/>
      </c>
      <c r="S391" s="80" t="str">
        <f>IFERROR(__xludf.DUMMYFUNCTION("""COMPUTED_VALUE"""),"")</f>
        <v/>
      </c>
      <c r="T391" s="80" t="str">
        <f>IFERROR(__xludf.DUMMYFUNCTION("""COMPUTED_VALUE"""),"")</f>
        <v/>
      </c>
      <c r="U391" s="71" t="str">
        <f>IFERROR(__xludf.DUMMYFUNCTION("""COMPUTED_VALUE"""),"")</f>
        <v/>
      </c>
      <c r="V391" s="78" t="str">
        <f>IFERROR(__xludf.DUMMYFUNCTION("""COMPUTED_VALUE"""),"")</f>
        <v/>
      </c>
      <c r="W391" s="62" t="str">
        <f>IFERROR(__xludf.DUMMYFUNCTION("""COMPUTED_VALUE"""),"")</f>
        <v/>
      </c>
      <c r="X391" s="80" t="str">
        <f>IFERROR(__xludf.DUMMYFUNCTION("""COMPUTED_VALUE"""),"")</f>
        <v/>
      </c>
      <c r="Y391" s="109" t="str">
        <f>IFERROR(__xludf.DUMMYFUNCTION("""COMPUTED_VALUE"""),"")</f>
        <v/>
      </c>
      <c r="Z391" s="71"/>
      <c r="AA391" s="71"/>
      <c r="AB391" s="71"/>
    </row>
    <row r="392">
      <c r="A392" s="71"/>
      <c r="B392" s="71"/>
      <c r="C392" s="71" t="str">
        <f>IFERROR(__xludf.DUMMYFUNCTION("""COMPUTED_VALUE"""),"")</f>
        <v/>
      </c>
      <c r="D392" s="71"/>
      <c r="E392" s="78">
        <f>IFERROR(__xludf.DUMMYFUNCTION("""COMPUTED_VALUE"""),0.0)</f>
        <v>0</v>
      </c>
      <c r="F392" s="71"/>
      <c r="G392" s="78" t="str">
        <f>IFERROR(__xludf.DUMMYFUNCTION("""COMPUTED_VALUE"""),"")</f>
        <v/>
      </c>
      <c r="H392" s="71">
        <f>IFERROR(__xludf.DUMMYFUNCTION("""COMPUTED_VALUE"""),0.0)</f>
        <v>0</v>
      </c>
      <c r="I392" s="80" t="str">
        <f>IFERROR(__xludf.DUMMYFUNCTION("""COMPUTED_VALUE"""),"")</f>
        <v/>
      </c>
      <c r="J392" s="71" t="str">
        <f>IFERROR(__xludf.DUMMYFUNCTION("""COMPUTED_VALUE"""),"")</f>
        <v/>
      </c>
      <c r="K392" s="71"/>
      <c r="L392" s="71" t="str">
        <f>IFERROR(__xludf.DUMMYFUNCTION("""COMPUTED_VALUE"""),"")</f>
        <v/>
      </c>
      <c r="M392" s="71" t="str">
        <f>IFERROR(__xludf.DUMMYFUNCTION("""COMPUTED_VALUE"""),"")</f>
        <v/>
      </c>
      <c r="N392" s="109" t="str">
        <f>IFERROR(__xludf.DUMMYFUNCTION("""COMPUTED_VALUE"""),"")</f>
        <v/>
      </c>
      <c r="O392" s="71" t="str">
        <f>IFERROR(__xludf.DUMMYFUNCTION("""COMPUTED_VALUE"""),"")</f>
        <v/>
      </c>
      <c r="P392" s="71" t="str">
        <f>IFERROR(__xludf.DUMMYFUNCTION("""COMPUTED_VALUE"""),"")</f>
        <v/>
      </c>
      <c r="Q392" s="78" t="str">
        <f>IFERROR(__xludf.DUMMYFUNCTION("""COMPUTED_VALUE"""),"")</f>
        <v/>
      </c>
      <c r="R392" s="78" t="str">
        <f>IFERROR(__xludf.DUMMYFUNCTION("""COMPUTED_VALUE"""),"")</f>
        <v/>
      </c>
      <c r="S392" s="80" t="str">
        <f>IFERROR(__xludf.DUMMYFUNCTION("""COMPUTED_VALUE"""),"")</f>
        <v/>
      </c>
      <c r="T392" s="80" t="str">
        <f>IFERROR(__xludf.DUMMYFUNCTION("""COMPUTED_VALUE"""),"")</f>
        <v/>
      </c>
      <c r="U392" s="71" t="str">
        <f>IFERROR(__xludf.DUMMYFUNCTION("""COMPUTED_VALUE"""),"")</f>
        <v/>
      </c>
      <c r="V392" s="78" t="str">
        <f>IFERROR(__xludf.DUMMYFUNCTION("""COMPUTED_VALUE"""),"")</f>
        <v/>
      </c>
      <c r="W392" s="62" t="str">
        <f>IFERROR(__xludf.DUMMYFUNCTION("""COMPUTED_VALUE"""),"")</f>
        <v/>
      </c>
      <c r="X392" s="80" t="str">
        <f>IFERROR(__xludf.DUMMYFUNCTION("""COMPUTED_VALUE"""),"")</f>
        <v/>
      </c>
      <c r="Y392" s="109" t="str">
        <f>IFERROR(__xludf.DUMMYFUNCTION("""COMPUTED_VALUE"""),"")</f>
        <v/>
      </c>
      <c r="Z392" s="71"/>
      <c r="AA392" s="71"/>
      <c r="AB392" s="71"/>
    </row>
    <row r="393">
      <c r="A393" s="71"/>
      <c r="B393" s="71"/>
      <c r="C393" s="71" t="str">
        <f>IFERROR(__xludf.DUMMYFUNCTION("""COMPUTED_VALUE"""),"")</f>
        <v/>
      </c>
      <c r="D393" s="71"/>
      <c r="E393" s="78">
        <f>IFERROR(__xludf.DUMMYFUNCTION("""COMPUTED_VALUE"""),0.0)</f>
        <v>0</v>
      </c>
      <c r="F393" s="71"/>
      <c r="G393" s="78" t="str">
        <f>IFERROR(__xludf.DUMMYFUNCTION("""COMPUTED_VALUE"""),"")</f>
        <v/>
      </c>
      <c r="H393" s="71">
        <f>IFERROR(__xludf.DUMMYFUNCTION("""COMPUTED_VALUE"""),0.0)</f>
        <v>0</v>
      </c>
      <c r="I393" s="80" t="str">
        <f>IFERROR(__xludf.DUMMYFUNCTION("""COMPUTED_VALUE"""),"")</f>
        <v/>
      </c>
      <c r="J393" s="71" t="str">
        <f>IFERROR(__xludf.DUMMYFUNCTION("""COMPUTED_VALUE"""),"")</f>
        <v/>
      </c>
      <c r="K393" s="71"/>
      <c r="L393" s="71" t="str">
        <f>IFERROR(__xludf.DUMMYFUNCTION("""COMPUTED_VALUE"""),"")</f>
        <v/>
      </c>
      <c r="M393" s="71" t="str">
        <f>IFERROR(__xludf.DUMMYFUNCTION("""COMPUTED_VALUE"""),"")</f>
        <v/>
      </c>
      <c r="N393" s="109" t="str">
        <f>IFERROR(__xludf.DUMMYFUNCTION("""COMPUTED_VALUE"""),"")</f>
        <v/>
      </c>
      <c r="O393" s="71" t="str">
        <f>IFERROR(__xludf.DUMMYFUNCTION("""COMPUTED_VALUE"""),"")</f>
        <v/>
      </c>
      <c r="P393" s="71" t="str">
        <f>IFERROR(__xludf.DUMMYFUNCTION("""COMPUTED_VALUE"""),"")</f>
        <v/>
      </c>
      <c r="Q393" s="78" t="str">
        <f>IFERROR(__xludf.DUMMYFUNCTION("""COMPUTED_VALUE"""),"")</f>
        <v/>
      </c>
      <c r="R393" s="78" t="str">
        <f>IFERROR(__xludf.DUMMYFUNCTION("""COMPUTED_VALUE"""),"")</f>
        <v/>
      </c>
      <c r="S393" s="80" t="str">
        <f>IFERROR(__xludf.DUMMYFUNCTION("""COMPUTED_VALUE"""),"")</f>
        <v/>
      </c>
      <c r="T393" s="80" t="str">
        <f>IFERROR(__xludf.DUMMYFUNCTION("""COMPUTED_VALUE"""),"")</f>
        <v/>
      </c>
      <c r="U393" s="71" t="str">
        <f>IFERROR(__xludf.DUMMYFUNCTION("""COMPUTED_VALUE"""),"")</f>
        <v/>
      </c>
      <c r="V393" s="78" t="str">
        <f>IFERROR(__xludf.DUMMYFUNCTION("""COMPUTED_VALUE"""),"")</f>
        <v/>
      </c>
      <c r="W393" s="62" t="str">
        <f>IFERROR(__xludf.DUMMYFUNCTION("""COMPUTED_VALUE"""),"")</f>
        <v/>
      </c>
      <c r="X393" s="80" t="str">
        <f>IFERROR(__xludf.DUMMYFUNCTION("""COMPUTED_VALUE"""),"")</f>
        <v/>
      </c>
      <c r="Y393" s="109" t="str">
        <f>IFERROR(__xludf.DUMMYFUNCTION("""COMPUTED_VALUE"""),"")</f>
        <v/>
      </c>
      <c r="Z393" s="71"/>
      <c r="AA393" s="71"/>
      <c r="AB393" s="71"/>
    </row>
    <row r="394">
      <c r="A394" s="71"/>
      <c r="B394" s="71"/>
      <c r="C394" s="71" t="str">
        <f>IFERROR(__xludf.DUMMYFUNCTION("""COMPUTED_VALUE"""),"")</f>
        <v/>
      </c>
      <c r="D394" s="71"/>
      <c r="E394" s="78">
        <f>IFERROR(__xludf.DUMMYFUNCTION("""COMPUTED_VALUE"""),0.0)</f>
        <v>0</v>
      </c>
      <c r="F394" s="71"/>
      <c r="G394" s="78" t="str">
        <f>IFERROR(__xludf.DUMMYFUNCTION("""COMPUTED_VALUE"""),"")</f>
        <v/>
      </c>
      <c r="H394" s="71">
        <f>IFERROR(__xludf.DUMMYFUNCTION("""COMPUTED_VALUE"""),0.0)</f>
        <v>0</v>
      </c>
      <c r="I394" s="80" t="str">
        <f>IFERROR(__xludf.DUMMYFUNCTION("""COMPUTED_VALUE"""),"")</f>
        <v/>
      </c>
      <c r="J394" s="71" t="str">
        <f>IFERROR(__xludf.DUMMYFUNCTION("""COMPUTED_VALUE"""),"")</f>
        <v/>
      </c>
      <c r="K394" s="71"/>
      <c r="L394" s="71" t="str">
        <f>IFERROR(__xludf.DUMMYFUNCTION("""COMPUTED_VALUE"""),"")</f>
        <v/>
      </c>
      <c r="M394" s="71" t="str">
        <f>IFERROR(__xludf.DUMMYFUNCTION("""COMPUTED_VALUE"""),"")</f>
        <v/>
      </c>
      <c r="N394" s="109" t="str">
        <f>IFERROR(__xludf.DUMMYFUNCTION("""COMPUTED_VALUE"""),"")</f>
        <v/>
      </c>
      <c r="O394" s="71" t="str">
        <f>IFERROR(__xludf.DUMMYFUNCTION("""COMPUTED_VALUE"""),"")</f>
        <v/>
      </c>
      <c r="P394" s="71" t="str">
        <f>IFERROR(__xludf.DUMMYFUNCTION("""COMPUTED_VALUE"""),"")</f>
        <v/>
      </c>
      <c r="Q394" s="78" t="str">
        <f>IFERROR(__xludf.DUMMYFUNCTION("""COMPUTED_VALUE"""),"")</f>
        <v/>
      </c>
      <c r="R394" s="78" t="str">
        <f>IFERROR(__xludf.DUMMYFUNCTION("""COMPUTED_VALUE"""),"")</f>
        <v/>
      </c>
      <c r="S394" s="80" t="str">
        <f>IFERROR(__xludf.DUMMYFUNCTION("""COMPUTED_VALUE"""),"")</f>
        <v/>
      </c>
      <c r="T394" s="80" t="str">
        <f>IFERROR(__xludf.DUMMYFUNCTION("""COMPUTED_VALUE"""),"")</f>
        <v/>
      </c>
      <c r="U394" s="71" t="str">
        <f>IFERROR(__xludf.DUMMYFUNCTION("""COMPUTED_VALUE"""),"")</f>
        <v/>
      </c>
      <c r="V394" s="78" t="str">
        <f>IFERROR(__xludf.DUMMYFUNCTION("""COMPUTED_VALUE"""),"")</f>
        <v/>
      </c>
      <c r="W394" s="62" t="str">
        <f>IFERROR(__xludf.DUMMYFUNCTION("""COMPUTED_VALUE"""),"")</f>
        <v/>
      </c>
      <c r="X394" s="80" t="str">
        <f>IFERROR(__xludf.DUMMYFUNCTION("""COMPUTED_VALUE"""),"")</f>
        <v/>
      </c>
      <c r="Y394" s="109" t="str">
        <f>IFERROR(__xludf.DUMMYFUNCTION("""COMPUTED_VALUE"""),"")</f>
        <v/>
      </c>
      <c r="Z394" s="71"/>
      <c r="AA394" s="71"/>
      <c r="AB394" s="71"/>
    </row>
    <row r="395">
      <c r="A395" s="71"/>
      <c r="B395" s="71"/>
      <c r="C395" s="71" t="str">
        <f>IFERROR(__xludf.DUMMYFUNCTION("""COMPUTED_VALUE"""),"")</f>
        <v/>
      </c>
      <c r="D395" s="71"/>
      <c r="E395" s="78">
        <f>IFERROR(__xludf.DUMMYFUNCTION("""COMPUTED_VALUE"""),0.0)</f>
        <v>0</v>
      </c>
      <c r="F395" s="71"/>
      <c r="G395" s="78" t="str">
        <f>IFERROR(__xludf.DUMMYFUNCTION("""COMPUTED_VALUE"""),"")</f>
        <v/>
      </c>
      <c r="H395" s="71">
        <f>IFERROR(__xludf.DUMMYFUNCTION("""COMPUTED_VALUE"""),0.0)</f>
        <v>0</v>
      </c>
      <c r="I395" s="80" t="str">
        <f>IFERROR(__xludf.DUMMYFUNCTION("""COMPUTED_VALUE"""),"")</f>
        <v/>
      </c>
      <c r="J395" s="71" t="str">
        <f>IFERROR(__xludf.DUMMYFUNCTION("""COMPUTED_VALUE"""),"")</f>
        <v/>
      </c>
      <c r="K395" s="71"/>
      <c r="L395" s="71" t="str">
        <f>IFERROR(__xludf.DUMMYFUNCTION("""COMPUTED_VALUE"""),"")</f>
        <v/>
      </c>
      <c r="M395" s="71" t="str">
        <f>IFERROR(__xludf.DUMMYFUNCTION("""COMPUTED_VALUE"""),"")</f>
        <v/>
      </c>
      <c r="N395" s="109" t="str">
        <f>IFERROR(__xludf.DUMMYFUNCTION("""COMPUTED_VALUE"""),"")</f>
        <v/>
      </c>
      <c r="O395" s="71" t="str">
        <f>IFERROR(__xludf.DUMMYFUNCTION("""COMPUTED_VALUE"""),"")</f>
        <v/>
      </c>
      <c r="P395" s="71" t="str">
        <f>IFERROR(__xludf.DUMMYFUNCTION("""COMPUTED_VALUE"""),"")</f>
        <v/>
      </c>
      <c r="Q395" s="78" t="str">
        <f>IFERROR(__xludf.DUMMYFUNCTION("""COMPUTED_VALUE"""),"")</f>
        <v/>
      </c>
      <c r="R395" s="78" t="str">
        <f>IFERROR(__xludf.DUMMYFUNCTION("""COMPUTED_VALUE"""),"")</f>
        <v/>
      </c>
      <c r="S395" s="80" t="str">
        <f>IFERROR(__xludf.DUMMYFUNCTION("""COMPUTED_VALUE"""),"")</f>
        <v/>
      </c>
      <c r="T395" s="80" t="str">
        <f>IFERROR(__xludf.DUMMYFUNCTION("""COMPUTED_VALUE"""),"")</f>
        <v/>
      </c>
      <c r="U395" s="71" t="str">
        <f>IFERROR(__xludf.DUMMYFUNCTION("""COMPUTED_VALUE"""),"")</f>
        <v/>
      </c>
      <c r="V395" s="78" t="str">
        <f>IFERROR(__xludf.DUMMYFUNCTION("""COMPUTED_VALUE"""),"")</f>
        <v/>
      </c>
      <c r="W395" s="62" t="str">
        <f>IFERROR(__xludf.DUMMYFUNCTION("""COMPUTED_VALUE"""),"")</f>
        <v/>
      </c>
      <c r="X395" s="80" t="str">
        <f>IFERROR(__xludf.DUMMYFUNCTION("""COMPUTED_VALUE"""),"")</f>
        <v/>
      </c>
      <c r="Y395" s="109" t="str">
        <f>IFERROR(__xludf.DUMMYFUNCTION("""COMPUTED_VALUE"""),"")</f>
        <v/>
      </c>
      <c r="Z395" s="71"/>
      <c r="AA395" s="71"/>
      <c r="AB395" s="71"/>
    </row>
    <row r="396">
      <c r="A396" s="71"/>
      <c r="B396" s="71"/>
      <c r="C396" s="71" t="str">
        <f>IFERROR(__xludf.DUMMYFUNCTION("""COMPUTED_VALUE"""),"")</f>
        <v/>
      </c>
      <c r="D396" s="71"/>
      <c r="E396" s="78">
        <f>IFERROR(__xludf.DUMMYFUNCTION("""COMPUTED_VALUE"""),0.0)</f>
        <v>0</v>
      </c>
      <c r="F396" s="71"/>
      <c r="G396" s="78" t="str">
        <f>IFERROR(__xludf.DUMMYFUNCTION("""COMPUTED_VALUE"""),"")</f>
        <v/>
      </c>
      <c r="H396" s="71">
        <f>IFERROR(__xludf.DUMMYFUNCTION("""COMPUTED_VALUE"""),0.0)</f>
        <v>0</v>
      </c>
      <c r="I396" s="80" t="str">
        <f>IFERROR(__xludf.DUMMYFUNCTION("""COMPUTED_VALUE"""),"")</f>
        <v/>
      </c>
      <c r="J396" s="71" t="str">
        <f>IFERROR(__xludf.DUMMYFUNCTION("""COMPUTED_VALUE"""),"")</f>
        <v/>
      </c>
      <c r="K396" s="71"/>
      <c r="L396" s="71" t="str">
        <f>IFERROR(__xludf.DUMMYFUNCTION("""COMPUTED_VALUE"""),"")</f>
        <v/>
      </c>
      <c r="M396" s="71" t="str">
        <f>IFERROR(__xludf.DUMMYFUNCTION("""COMPUTED_VALUE"""),"")</f>
        <v/>
      </c>
      <c r="N396" s="109" t="str">
        <f>IFERROR(__xludf.DUMMYFUNCTION("""COMPUTED_VALUE"""),"")</f>
        <v/>
      </c>
      <c r="O396" s="71" t="str">
        <f>IFERROR(__xludf.DUMMYFUNCTION("""COMPUTED_VALUE"""),"")</f>
        <v/>
      </c>
      <c r="P396" s="71" t="str">
        <f>IFERROR(__xludf.DUMMYFUNCTION("""COMPUTED_VALUE"""),"")</f>
        <v/>
      </c>
      <c r="Q396" s="78" t="str">
        <f>IFERROR(__xludf.DUMMYFUNCTION("""COMPUTED_VALUE"""),"")</f>
        <v/>
      </c>
      <c r="R396" s="78" t="str">
        <f>IFERROR(__xludf.DUMMYFUNCTION("""COMPUTED_VALUE"""),"")</f>
        <v/>
      </c>
      <c r="S396" s="80" t="str">
        <f>IFERROR(__xludf.DUMMYFUNCTION("""COMPUTED_VALUE"""),"")</f>
        <v/>
      </c>
      <c r="T396" s="80" t="str">
        <f>IFERROR(__xludf.DUMMYFUNCTION("""COMPUTED_VALUE"""),"")</f>
        <v/>
      </c>
      <c r="U396" s="71" t="str">
        <f>IFERROR(__xludf.DUMMYFUNCTION("""COMPUTED_VALUE"""),"")</f>
        <v/>
      </c>
      <c r="V396" s="78" t="str">
        <f>IFERROR(__xludf.DUMMYFUNCTION("""COMPUTED_VALUE"""),"")</f>
        <v/>
      </c>
      <c r="W396" s="62" t="str">
        <f>IFERROR(__xludf.DUMMYFUNCTION("""COMPUTED_VALUE"""),"")</f>
        <v/>
      </c>
      <c r="X396" s="80" t="str">
        <f>IFERROR(__xludf.DUMMYFUNCTION("""COMPUTED_VALUE"""),"")</f>
        <v/>
      </c>
      <c r="Y396" s="109" t="str">
        <f>IFERROR(__xludf.DUMMYFUNCTION("""COMPUTED_VALUE"""),"")</f>
        <v/>
      </c>
      <c r="Z396" s="71"/>
      <c r="AA396" s="71"/>
      <c r="AB396" s="71"/>
    </row>
    <row r="397">
      <c r="A397" s="71"/>
      <c r="B397" s="71"/>
      <c r="C397" s="71" t="str">
        <f>IFERROR(__xludf.DUMMYFUNCTION("""COMPUTED_VALUE"""),"")</f>
        <v/>
      </c>
      <c r="D397" s="71"/>
      <c r="E397" s="78">
        <f>IFERROR(__xludf.DUMMYFUNCTION("""COMPUTED_VALUE"""),0.0)</f>
        <v>0</v>
      </c>
      <c r="F397" s="71"/>
      <c r="G397" s="78" t="str">
        <f>IFERROR(__xludf.DUMMYFUNCTION("""COMPUTED_VALUE"""),"")</f>
        <v/>
      </c>
      <c r="H397" s="71">
        <f>IFERROR(__xludf.DUMMYFUNCTION("""COMPUTED_VALUE"""),0.0)</f>
        <v>0</v>
      </c>
      <c r="I397" s="80" t="str">
        <f>IFERROR(__xludf.DUMMYFUNCTION("""COMPUTED_VALUE"""),"")</f>
        <v/>
      </c>
      <c r="J397" s="71" t="str">
        <f>IFERROR(__xludf.DUMMYFUNCTION("""COMPUTED_VALUE"""),"")</f>
        <v/>
      </c>
      <c r="K397" s="71"/>
      <c r="L397" s="71" t="str">
        <f>IFERROR(__xludf.DUMMYFUNCTION("""COMPUTED_VALUE"""),"")</f>
        <v/>
      </c>
      <c r="M397" s="71" t="str">
        <f>IFERROR(__xludf.DUMMYFUNCTION("""COMPUTED_VALUE"""),"")</f>
        <v/>
      </c>
      <c r="N397" s="109" t="str">
        <f>IFERROR(__xludf.DUMMYFUNCTION("""COMPUTED_VALUE"""),"")</f>
        <v/>
      </c>
      <c r="O397" s="71" t="str">
        <f>IFERROR(__xludf.DUMMYFUNCTION("""COMPUTED_VALUE"""),"")</f>
        <v/>
      </c>
      <c r="P397" s="71" t="str">
        <f>IFERROR(__xludf.DUMMYFUNCTION("""COMPUTED_VALUE"""),"")</f>
        <v/>
      </c>
      <c r="Q397" s="78" t="str">
        <f>IFERROR(__xludf.DUMMYFUNCTION("""COMPUTED_VALUE"""),"")</f>
        <v/>
      </c>
      <c r="R397" s="78" t="str">
        <f>IFERROR(__xludf.DUMMYFUNCTION("""COMPUTED_VALUE"""),"")</f>
        <v/>
      </c>
      <c r="S397" s="80" t="str">
        <f>IFERROR(__xludf.DUMMYFUNCTION("""COMPUTED_VALUE"""),"")</f>
        <v/>
      </c>
      <c r="T397" s="80" t="str">
        <f>IFERROR(__xludf.DUMMYFUNCTION("""COMPUTED_VALUE"""),"")</f>
        <v/>
      </c>
      <c r="U397" s="71" t="str">
        <f>IFERROR(__xludf.DUMMYFUNCTION("""COMPUTED_VALUE"""),"")</f>
        <v/>
      </c>
      <c r="V397" s="78" t="str">
        <f>IFERROR(__xludf.DUMMYFUNCTION("""COMPUTED_VALUE"""),"")</f>
        <v/>
      </c>
      <c r="W397" s="62" t="str">
        <f>IFERROR(__xludf.DUMMYFUNCTION("""COMPUTED_VALUE"""),"")</f>
        <v/>
      </c>
      <c r="X397" s="80" t="str">
        <f>IFERROR(__xludf.DUMMYFUNCTION("""COMPUTED_VALUE"""),"")</f>
        <v/>
      </c>
      <c r="Y397" s="109" t="str">
        <f>IFERROR(__xludf.DUMMYFUNCTION("""COMPUTED_VALUE"""),"")</f>
        <v/>
      </c>
      <c r="Z397" s="71"/>
      <c r="AA397" s="71"/>
      <c r="AB397" s="71"/>
    </row>
    <row r="398">
      <c r="A398" s="71"/>
      <c r="B398" s="71"/>
      <c r="C398" s="71" t="str">
        <f>IFERROR(__xludf.DUMMYFUNCTION("""COMPUTED_VALUE"""),"")</f>
        <v/>
      </c>
      <c r="D398" s="71"/>
      <c r="E398" s="78">
        <f>IFERROR(__xludf.DUMMYFUNCTION("""COMPUTED_VALUE"""),0.0)</f>
        <v>0</v>
      </c>
      <c r="F398" s="71"/>
      <c r="G398" s="78" t="str">
        <f>IFERROR(__xludf.DUMMYFUNCTION("""COMPUTED_VALUE"""),"")</f>
        <v/>
      </c>
      <c r="H398" s="71">
        <f>IFERROR(__xludf.DUMMYFUNCTION("""COMPUTED_VALUE"""),0.0)</f>
        <v>0</v>
      </c>
      <c r="I398" s="80" t="str">
        <f>IFERROR(__xludf.DUMMYFUNCTION("""COMPUTED_VALUE"""),"")</f>
        <v/>
      </c>
      <c r="J398" s="71" t="str">
        <f>IFERROR(__xludf.DUMMYFUNCTION("""COMPUTED_VALUE"""),"")</f>
        <v/>
      </c>
      <c r="K398" s="71"/>
      <c r="L398" s="71" t="str">
        <f>IFERROR(__xludf.DUMMYFUNCTION("""COMPUTED_VALUE"""),"")</f>
        <v/>
      </c>
      <c r="M398" s="71" t="str">
        <f>IFERROR(__xludf.DUMMYFUNCTION("""COMPUTED_VALUE"""),"")</f>
        <v/>
      </c>
      <c r="N398" s="109" t="str">
        <f>IFERROR(__xludf.DUMMYFUNCTION("""COMPUTED_VALUE"""),"")</f>
        <v/>
      </c>
      <c r="O398" s="71" t="str">
        <f>IFERROR(__xludf.DUMMYFUNCTION("""COMPUTED_VALUE"""),"")</f>
        <v/>
      </c>
      <c r="P398" s="71" t="str">
        <f>IFERROR(__xludf.DUMMYFUNCTION("""COMPUTED_VALUE"""),"")</f>
        <v/>
      </c>
      <c r="Q398" s="78" t="str">
        <f>IFERROR(__xludf.DUMMYFUNCTION("""COMPUTED_VALUE"""),"")</f>
        <v/>
      </c>
      <c r="R398" s="78" t="str">
        <f>IFERROR(__xludf.DUMMYFUNCTION("""COMPUTED_VALUE"""),"")</f>
        <v/>
      </c>
      <c r="S398" s="80" t="str">
        <f>IFERROR(__xludf.DUMMYFUNCTION("""COMPUTED_VALUE"""),"")</f>
        <v/>
      </c>
      <c r="T398" s="80" t="str">
        <f>IFERROR(__xludf.DUMMYFUNCTION("""COMPUTED_VALUE"""),"")</f>
        <v/>
      </c>
      <c r="U398" s="71" t="str">
        <f>IFERROR(__xludf.DUMMYFUNCTION("""COMPUTED_VALUE"""),"")</f>
        <v/>
      </c>
      <c r="V398" s="78" t="str">
        <f>IFERROR(__xludf.DUMMYFUNCTION("""COMPUTED_VALUE"""),"")</f>
        <v/>
      </c>
      <c r="W398" s="62" t="str">
        <f>IFERROR(__xludf.DUMMYFUNCTION("""COMPUTED_VALUE"""),"")</f>
        <v/>
      </c>
      <c r="X398" s="80" t="str">
        <f>IFERROR(__xludf.DUMMYFUNCTION("""COMPUTED_VALUE"""),"")</f>
        <v/>
      </c>
      <c r="Y398" s="109" t="str">
        <f>IFERROR(__xludf.DUMMYFUNCTION("""COMPUTED_VALUE"""),"")</f>
        <v/>
      </c>
      <c r="Z398" s="71"/>
      <c r="AA398" s="71"/>
      <c r="AB398" s="71"/>
    </row>
    <row r="399">
      <c r="A399" s="71"/>
      <c r="B399" s="71"/>
      <c r="C399" s="71" t="str">
        <f>IFERROR(__xludf.DUMMYFUNCTION("""COMPUTED_VALUE"""),"")</f>
        <v/>
      </c>
      <c r="D399" s="71"/>
      <c r="E399" s="78">
        <f>IFERROR(__xludf.DUMMYFUNCTION("""COMPUTED_VALUE"""),0.0)</f>
        <v>0</v>
      </c>
      <c r="F399" s="71"/>
      <c r="G399" s="78" t="str">
        <f>IFERROR(__xludf.DUMMYFUNCTION("""COMPUTED_VALUE"""),"")</f>
        <v/>
      </c>
      <c r="H399" s="71">
        <f>IFERROR(__xludf.DUMMYFUNCTION("""COMPUTED_VALUE"""),0.0)</f>
        <v>0</v>
      </c>
      <c r="I399" s="80" t="str">
        <f>IFERROR(__xludf.DUMMYFUNCTION("""COMPUTED_VALUE"""),"")</f>
        <v/>
      </c>
      <c r="J399" s="71" t="str">
        <f>IFERROR(__xludf.DUMMYFUNCTION("""COMPUTED_VALUE"""),"")</f>
        <v/>
      </c>
      <c r="K399" s="71"/>
      <c r="L399" s="71" t="str">
        <f>IFERROR(__xludf.DUMMYFUNCTION("""COMPUTED_VALUE"""),"")</f>
        <v/>
      </c>
      <c r="M399" s="71" t="str">
        <f>IFERROR(__xludf.DUMMYFUNCTION("""COMPUTED_VALUE"""),"")</f>
        <v/>
      </c>
      <c r="N399" s="109" t="str">
        <f>IFERROR(__xludf.DUMMYFUNCTION("""COMPUTED_VALUE"""),"")</f>
        <v/>
      </c>
      <c r="O399" s="71" t="str">
        <f>IFERROR(__xludf.DUMMYFUNCTION("""COMPUTED_VALUE"""),"")</f>
        <v/>
      </c>
      <c r="P399" s="71" t="str">
        <f>IFERROR(__xludf.DUMMYFUNCTION("""COMPUTED_VALUE"""),"")</f>
        <v/>
      </c>
      <c r="Q399" s="78" t="str">
        <f>IFERROR(__xludf.DUMMYFUNCTION("""COMPUTED_VALUE"""),"")</f>
        <v/>
      </c>
      <c r="R399" s="78" t="str">
        <f>IFERROR(__xludf.DUMMYFUNCTION("""COMPUTED_VALUE"""),"")</f>
        <v/>
      </c>
      <c r="S399" s="80" t="str">
        <f>IFERROR(__xludf.DUMMYFUNCTION("""COMPUTED_VALUE"""),"")</f>
        <v/>
      </c>
      <c r="T399" s="80" t="str">
        <f>IFERROR(__xludf.DUMMYFUNCTION("""COMPUTED_VALUE"""),"")</f>
        <v/>
      </c>
      <c r="U399" s="71" t="str">
        <f>IFERROR(__xludf.DUMMYFUNCTION("""COMPUTED_VALUE"""),"")</f>
        <v/>
      </c>
      <c r="V399" s="78" t="str">
        <f>IFERROR(__xludf.DUMMYFUNCTION("""COMPUTED_VALUE"""),"")</f>
        <v/>
      </c>
      <c r="W399" s="62" t="str">
        <f>IFERROR(__xludf.DUMMYFUNCTION("""COMPUTED_VALUE"""),"")</f>
        <v/>
      </c>
      <c r="X399" s="80" t="str">
        <f>IFERROR(__xludf.DUMMYFUNCTION("""COMPUTED_VALUE"""),"")</f>
        <v/>
      </c>
      <c r="Y399" s="109" t="str">
        <f>IFERROR(__xludf.DUMMYFUNCTION("""COMPUTED_VALUE"""),"")</f>
        <v/>
      </c>
      <c r="Z399" s="71"/>
      <c r="AA399" s="71"/>
      <c r="AB399" s="71"/>
    </row>
    <row r="400">
      <c r="A400" s="71"/>
      <c r="B400" s="71"/>
      <c r="C400" s="71" t="str">
        <f>IFERROR(__xludf.DUMMYFUNCTION("""COMPUTED_VALUE"""),"")</f>
        <v/>
      </c>
      <c r="D400" s="71"/>
      <c r="E400" s="78">
        <f>IFERROR(__xludf.DUMMYFUNCTION("""COMPUTED_VALUE"""),0.0)</f>
        <v>0</v>
      </c>
      <c r="F400" s="71"/>
      <c r="G400" s="78" t="str">
        <f>IFERROR(__xludf.DUMMYFUNCTION("""COMPUTED_VALUE"""),"")</f>
        <v/>
      </c>
      <c r="H400" s="71">
        <f>IFERROR(__xludf.DUMMYFUNCTION("""COMPUTED_VALUE"""),0.0)</f>
        <v>0</v>
      </c>
      <c r="I400" s="80" t="str">
        <f>IFERROR(__xludf.DUMMYFUNCTION("""COMPUTED_VALUE"""),"")</f>
        <v/>
      </c>
      <c r="J400" s="71" t="str">
        <f>IFERROR(__xludf.DUMMYFUNCTION("""COMPUTED_VALUE"""),"")</f>
        <v/>
      </c>
      <c r="K400" s="71"/>
      <c r="L400" s="71" t="str">
        <f>IFERROR(__xludf.DUMMYFUNCTION("""COMPUTED_VALUE"""),"")</f>
        <v/>
      </c>
      <c r="M400" s="71" t="str">
        <f>IFERROR(__xludf.DUMMYFUNCTION("""COMPUTED_VALUE"""),"")</f>
        <v/>
      </c>
      <c r="N400" s="109" t="str">
        <f>IFERROR(__xludf.DUMMYFUNCTION("""COMPUTED_VALUE"""),"")</f>
        <v/>
      </c>
      <c r="O400" s="71" t="str">
        <f>IFERROR(__xludf.DUMMYFUNCTION("""COMPUTED_VALUE"""),"")</f>
        <v/>
      </c>
      <c r="P400" s="71" t="str">
        <f>IFERROR(__xludf.DUMMYFUNCTION("""COMPUTED_VALUE"""),"")</f>
        <v/>
      </c>
      <c r="Q400" s="78" t="str">
        <f>IFERROR(__xludf.DUMMYFUNCTION("""COMPUTED_VALUE"""),"")</f>
        <v/>
      </c>
      <c r="R400" s="78" t="str">
        <f>IFERROR(__xludf.DUMMYFUNCTION("""COMPUTED_VALUE"""),"")</f>
        <v/>
      </c>
      <c r="S400" s="80" t="str">
        <f>IFERROR(__xludf.DUMMYFUNCTION("""COMPUTED_VALUE"""),"")</f>
        <v/>
      </c>
      <c r="T400" s="80" t="str">
        <f>IFERROR(__xludf.DUMMYFUNCTION("""COMPUTED_VALUE"""),"")</f>
        <v/>
      </c>
      <c r="U400" s="71" t="str">
        <f>IFERROR(__xludf.DUMMYFUNCTION("""COMPUTED_VALUE"""),"")</f>
        <v/>
      </c>
      <c r="V400" s="78" t="str">
        <f>IFERROR(__xludf.DUMMYFUNCTION("""COMPUTED_VALUE"""),"")</f>
        <v/>
      </c>
      <c r="W400" s="62" t="str">
        <f>IFERROR(__xludf.DUMMYFUNCTION("""COMPUTED_VALUE"""),"")</f>
        <v/>
      </c>
      <c r="X400" s="80" t="str">
        <f>IFERROR(__xludf.DUMMYFUNCTION("""COMPUTED_VALUE"""),"")</f>
        <v/>
      </c>
      <c r="Y400" s="109" t="str">
        <f>IFERROR(__xludf.DUMMYFUNCTION("""COMPUTED_VALUE"""),"")</f>
        <v/>
      </c>
      <c r="Z400" s="71"/>
      <c r="AA400" s="71"/>
      <c r="AB400" s="71"/>
    </row>
    <row r="401">
      <c r="A401" s="71"/>
      <c r="B401" s="71"/>
      <c r="C401" s="71" t="str">
        <f>IFERROR(__xludf.DUMMYFUNCTION("""COMPUTED_VALUE"""),"")</f>
        <v/>
      </c>
      <c r="D401" s="71"/>
      <c r="E401" s="78">
        <f>IFERROR(__xludf.DUMMYFUNCTION("""COMPUTED_VALUE"""),0.0)</f>
        <v>0</v>
      </c>
      <c r="F401" s="71"/>
      <c r="G401" s="78" t="str">
        <f>IFERROR(__xludf.DUMMYFUNCTION("""COMPUTED_VALUE"""),"")</f>
        <v/>
      </c>
      <c r="H401" s="71">
        <f>IFERROR(__xludf.DUMMYFUNCTION("""COMPUTED_VALUE"""),0.0)</f>
        <v>0</v>
      </c>
      <c r="I401" s="80" t="str">
        <f>IFERROR(__xludf.DUMMYFUNCTION("""COMPUTED_VALUE"""),"")</f>
        <v/>
      </c>
      <c r="J401" s="71" t="str">
        <f>IFERROR(__xludf.DUMMYFUNCTION("""COMPUTED_VALUE"""),"")</f>
        <v/>
      </c>
      <c r="K401" s="71"/>
      <c r="L401" s="71" t="str">
        <f>IFERROR(__xludf.DUMMYFUNCTION("""COMPUTED_VALUE"""),"")</f>
        <v/>
      </c>
      <c r="M401" s="71" t="str">
        <f>IFERROR(__xludf.DUMMYFUNCTION("""COMPUTED_VALUE"""),"")</f>
        <v/>
      </c>
      <c r="N401" s="109" t="str">
        <f>IFERROR(__xludf.DUMMYFUNCTION("""COMPUTED_VALUE"""),"")</f>
        <v/>
      </c>
      <c r="O401" s="71" t="str">
        <f>IFERROR(__xludf.DUMMYFUNCTION("""COMPUTED_VALUE"""),"")</f>
        <v/>
      </c>
      <c r="P401" s="71" t="str">
        <f>IFERROR(__xludf.DUMMYFUNCTION("""COMPUTED_VALUE"""),"")</f>
        <v/>
      </c>
      <c r="Q401" s="78" t="str">
        <f>IFERROR(__xludf.DUMMYFUNCTION("""COMPUTED_VALUE"""),"")</f>
        <v/>
      </c>
      <c r="R401" s="78" t="str">
        <f>IFERROR(__xludf.DUMMYFUNCTION("""COMPUTED_VALUE"""),"")</f>
        <v/>
      </c>
      <c r="S401" s="80" t="str">
        <f>IFERROR(__xludf.DUMMYFUNCTION("""COMPUTED_VALUE"""),"")</f>
        <v/>
      </c>
      <c r="T401" s="80" t="str">
        <f>IFERROR(__xludf.DUMMYFUNCTION("""COMPUTED_VALUE"""),"")</f>
        <v/>
      </c>
      <c r="U401" s="71" t="str">
        <f>IFERROR(__xludf.DUMMYFUNCTION("""COMPUTED_VALUE"""),"")</f>
        <v/>
      </c>
      <c r="V401" s="78" t="str">
        <f>IFERROR(__xludf.DUMMYFUNCTION("""COMPUTED_VALUE"""),"")</f>
        <v/>
      </c>
      <c r="W401" s="62" t="str">
        <f>IFERROR(__xludf.DUMMYFUNCTION("""COMPUTED_VALUE"""),"")</f>
        <v/>
      </c>
      <c r="X401" s="80" t="str">
        <f>IFERROR(__xludf.DUMMYFUNCTION("""COMPUTED_VALUE"""),"")</f>
        <v/>
      </c>
      <c r="Y401" s="109" t="str">
        <f>IFERROR(__xludf.DUMMYFUNCTION("""COMPUTED_VALUE"""),"")</f>
        <v/>
      </c>
      <c r="Z401" s="71"/>
      <c r="AA401" s="71"/>
      <c r="AB401" s="71"/>
    </row>
    <row r="402">
      <c r="A402" s="71"/>
      <c r="B402" s="71"/>
      <c r="C402" s="71" t="str">
        <f>IFERROR(__xludf.DUMMYFUNCTION("""COMPUTED_VALUE"""),"")</f>
        <v/>
      </c>
      <c r="D402" s="71"/>
      <c r="E402" s="78">
        <f>IFERROR(__xludf.DUMMYFUNCTION("""COMPUTED_VALUE"""),0.0)</f>
        <v>0</v>
      </c>
      <c r="F402" s="71"/>
      <c r="G402" s="78" t="str">
        <f>IFERROR(__xludf.DUMMYFUNCTION("""COMPUTED_VALUE"""),"")</f>
        <v/>
      </c>
      <c r="H402" s="71">
        <f>IFERROR(__xludf.DUMMYFUNCTION("""COMPUTED_VALUE"""),0.0)</f>
        <v>0</v>
      </c>
      <c r="I402" s="80" t="str">
        <f>IFERROR(__xludf.DUMMYFUNCTION("""COMPUTED_VALUE"""),"")</f>
        <v/>
      </c>
      <c r="J402" s="71" t="str">
        <f>IFERROR(__xludf.DUMMYFUNCTION("""COMPUTED_VALUE"""),"")</f>
        <v/>
      </c>
      <c r="K402" s="71"/>
      <c r="L402" s="71" t="str">
        <f>IFERROR(__xludf.DUMMYFUNCTION("""COMPUTED_VALUE"""),"")</f>
        <v/>
      </c>
      <c r="M402" s="71" t="str">
        <f>IFERROR(__xludf.DUMMYFUNCTION("""COMPUTED_VALUE"""),"")</f>
        <v/>
      </c>
      <c r="N402" s="109" t="str">
        <f>IFERROR(__xludf.DUMMYFUNCTION("""COMPUTED_VALUE"""),"")</f>
        <v/>
      </c>
      <c r="O402" s="71" t="str">
        <f>IFERROR(__xludf.DUMMYFUNCTION("""COMPUTED_VALUE"""),"")</f>
        <v/>
      </c>
      <c r="P402" s="71" t="str">
        <f>IFERROR(__xludf.DUMMYFUNCTION("""COMPUTED_VALUE"""),"")</f>
        <v/>
      </c>
      <c r="Q402" s="78" t="str">
        <f>IFERROR(__xludf.DUMMYFUNCTION("""COMPUTED_VALUE"""),"")</f>
        <v/>
      </c>
      <c r="R402" s="78" t="str">
        <f>IFERROR(__xludf.DUMMYFUNCTION("""COMPUTED_VALUE"""),"")</f>
        <v/>
      </c>
      <c r="S402" s="80" t="str">
        <f>IFERROR(__xludf.DUMMYFUNCTION("""COMPUTED_VALUE"""),"")</f>
        <v/>
      </c>
      <c r="T402" s="80" t="str">
        <f>IFERROR(__xludf.DUMMYFUNCTION("""COMPUTED_VALUE"""),"")</f>
        <v/>
      </c>
      <c r="U402" s="71" t="str">
        <f>IFERROR(__xludf.DUMMYFUNCTION("""COMPUTED_VALUE"""),"")</f>
        <v/>
      </c>
      <c r="V402" s="78" t="str">
        <f>IFERROR(__xludf.DUMMYFUNCTION("""COMPUTED_VALUE"""),"")</f>
        <v/>
      </c>
      <c r="W402" s="62" t="str">
        <f>IFERROR(__xludf.DUMMYFUNCTION("""COMPUTED_VALUE"""),"")</f>
        <v/>
      </c>
      <c r="X402" s="80" t="str">
        <f>IFERROR(__xludf.DUMMYFUNCTION("""COMPUTED_VALUE"""),"")</f>
        <v/>
      </c>
      <c r="Y402" s="109" t="str">
        <f>IFERROR(__xludf.DUMMYFUNCTION("""COMPUTED_VALUE"""),"")</f>
        <v/>
      </c>
      <c r="Z402" s="71"/>
      <c r="AA402" s="71"/>
      <c r="AB402" s="71"/>
    </row>
    <row r="403">
      <c r="A403" s="71"/>
      <c r="B403" s="71"/>
      <c r="C403" s="71" t="str">
        <f>IFERROR(__xludf.DUMMYFUNCTION("""COMPUTED_VALUE"""),"")</f>
        <v/>
      </c>
      <c r="D403" s="71"/>
      <c r="E403" s="78">
        <f>IFERROR(__xludf.DUMMYFUNCTION("""COMPUTED_VALUE"""),0.0)</f>
        <v>0</v>
      </c>
      <c r="F403" s="71"/>
      <c r="G403" s="78" t="str">
        <f>IFERROR(__xludf.DUMMYFUNCTION("""COMPUTED_VALUE"""),"")</f>
        <v/>
      </c>
      <c r="H403" s="71">
        <f>IFERROR(__xludf.DUMMYFUNCTION("""COMPUTED_VALUE"""),0.0)</f>
        <v>0</v>
      </c>
      <c r="I403" s="80" t="str">
        <f>IFERROR(__xludf.DUMMYFUNCTION("""COMPUTED_VALUE"""),"")</f>
        <v/>
      </c>
      <c r="J403" s="71" t="str">
        <f>IFERROR(__xludf.DUMMYFUNCTION("""COMPUTED_VALUE"""),"")</f>
        <v/>
      </c>
      <c r="K403" s="71"/>
      <c r="L403" s="71" t="str">
        <f>IFERROR(__xludf.DUMMYFUNCTION("""COMPUTED_VALUE"""),"")</f>
        <v/>
      </c>
      <c r="M403" s="71" t="str">
        <f>IFERROR(__xludf.DUMMYFUNCTION("""COMPUTED_VALUE"""),"")</f>
        <v/>
      </c>
      <c r="N403" s="109" t="str">
        <f>IFERROR(__xludf.DUMMYFUNCTION("""COMPUTED_VALUE"""),"")</f>
        <v/>
      </c>
      <c r="O403" s="71" t="str">
        <f>IFERROR(__xludf.DUMMYFUNCTION("""COMPUTED_VALUE"""),"")</f>
        <v/>
      </c>
      <c r="P403" s="71" t="str">
        <f>IFERROR(__xludf.DUMMYFUNCTION("""COMPUTED_VALUE"""),"")</f>
        <v/>
      </c>
      <c r="Q403" s="78" t="str">
        <f>IFERROR(__xludf.DUMMYFUNCTION("""COMPUTED_VALUE"""),"")</f>
        <v/>
      </c>
      <c r="R403" s="78" t="str">
        <f>IFERROR(__xludf.DUMMYFUNCTION("""COMPUTED_VALUE"""),"")</f>
        <v/>
      </c>
      <c r="S403" s="80" t="str">
        <f>IFERROR(__xludf.DUMMYFUNCTION("""COMPUTED_VALUE"""),"")</f>
        <v/>
      </c>
      <c r="T403" s="80" t="str">
        <f>IFERROR(__xludf.DUMMYFUNCTION("""COMPUTED_VALUE"""),"")</f>
        <v/>
      </c>
      <c r="U403" s="71" t="str">
        <f>IFERROR(__xludf.DUMMYFUNCTION("""COMPUTED_VALUE"""),"")</f>
        <v/>
      </c>
      <c r="V403" s="78" t="str">
        <f>IFERROR(__xludf.DUMMYFUNCTION("""COMPUTED_VALUE"""),"")</f>
        <v/>
      </c>
      <c r="W403" s="62" t="str">
        <f>IFERROR(__xludf.DUMMYFUNCTION("""COMPUTED_VALUE"""),"")</f>
        <v/>
      </c>
      <c r="X403" s="80" t="str">
        <f>IFERROR(__xludf.DUMMYFUNCTION("""COMPUTED_VALUE"""),"")</f>
        <v/>
      </c>
      <c r="Y403" s="109" t="str">
        <f>IFERROR(__xludf.DUMMYFUNCTION("""COMPUTED_VALUE"""),"")</f>
        <v/>
      </c>
      <c r="Z403" s="71"/>
      <c r="AA403" s="71"/>
      <c r="AB403" s="71"/>
    </row>
    <row r="404">
      <c r="A404" s="71"/>
      <c r="B404" s="71"/>
      <c r="C404" s="71" t="str">
        <f>IFERROR(__xludf.DUMMYFUNCTION("""COMPUTED_VALUE"""),"")</f>
        <v/>
      </c>
      <c r="D404" s="71"/>
      <c r="E404" s="78">
        <f>IFERROR(__xludf.DUMMYFUNCTION("""COMPUTED_VALUE"""),0.0)</f>
        <v>0</v>
      </c>
      <c r="F404" s="71"/>
      <c r="G404" s="78" t="str">
        <f>IFERROR(__xludf.DUMMYFUNCTION("""COMPUTED_VALUE"""),"")</f>
        <v/>
      </c>
      <c r="H404" s="71">
        <f>IFERROR(__xludf.DUMMYFUNCTION("""COMPUTED_VALUE"""),0.0)</f>
        <v>0</v>
      </c>
      <c r="I404" s="80" t="str">
        <f>IFERROR(__xludf.DUMMYFUNCTION("""COMPUTED_VALUE"""),"")</f>
        <v/>
      </c>
      <c r="J404" s="71" t="str">
        <f>IFERROR(__xludf.DUMMYFUNCTION("""COMPUTED_VALUE"""),"")</f>
        <v/>
      </c>
      <c r="K404" s="71"/>
      <c r="L404" s="71" t="str">
        <f>IFERROR(__xludf.DUMMYFUNCTION("""COMPUTED_VALUE"""),"")</f>
        <v/>
      </c>
      <c r="M404" s="71" t="str">
        <f>IFERROR(__xludf.DUMMYFUNCTION("""COMPUTED_VALUE"""),"")</f>
        <v/>
      </c>
      <c r="N404" s="109" t="str">
        <f>IFERROR(__xludf.DUMMYFUNCTION("""COMPUTED_VALUE"""),"")</f>
        <v/>
      </c>
      <c r="O404" s="71" t="str">
        <f>IFERROR(__xludf.DUMMYFUNCTION("""COMPUTED_VALUE"""),"")</f>
        <v/>
      </c>
      <c r="P404" s="71" t="str">
        <f>IFERROR(__xludf.DUMMYFUNCTION("""COMPUTED_VALUE"""),"")</f>
        <v/>
      </c>
      <c r="Q404" s="78" t="str">
        <f>IFERROR(__xludf.DUMMYFUNCTION("""COMPUTED_VALUE"""),"")</f>
        <v/>
      </c>
      <c r="R404" s="78" t="str">
        <f>IFERROR(__xludf.DUMMYFUNCTION("""COMPUTED_VALUE"""),"")</f>
        <v/>
      </c>
      <c r="S404" s="80" t="str">
        <f>IFERROR(__xludf.DUMMYFUNCTION("""COMPUTED_VALUE"""),"")</f>
        <v/>
      </c>
      <c r="T404" s="80" t="str">
        <f>IFERROR(__xludf.DUMMYFUNCTION("""COMPUTED_VALUE"""),"")</f>
        <v/>
      </c>
      <c r="U404" s="71" t="str">
        <f>IFERROR(__xludf.DUMMYFUNCTION("""COMPUTED_VALUE"""),"")</f>
        <v/>
      </c>
      <c r="V404" s="78" t="str">
        <f>IFERROR(__xludf.DUMMYFUNCTION("""COMPUTED_VALUE"""),"")</f>
        <v/>
      </c>
      <c r="W404" s="62" t="str">
        <f>IFERROR(__xludf.DUMMYFUNCTION("""COMPUTED_VALUE"""),"")</f>
        <v/>
      </c>
      <c r="X404" s="80" t="str">
        <f>IFERROR(__xludf.DUMMYFUNCTION("""COMPUTED_VALUE"""),"")</f>
        <v/>
      </c>
      <c r="Y404" s="109" t="str">
        <f>IFERROR(__xludf.DUMMYFUNCTION("""COMPUTED_VALUE"""),"")</f>
        <v/>
      </c>
      <c r="Z404" s="71"/>
      <c r="AA404" s="71"/>
      <c r="AB404" s="71"/>
    </row>
    <row r="405">
      <c r="A405" s="71"/>
      <c r="B405" s="71"/>
      <c r="C405" s="71" t="str">
        <f>IFERROR(__xludf.DUMMYFUNCTION("""COMPUTED_VALUE"""),"")</f>
        <v/>
      </c>
      <c r="D405" s="71"/>
      <c r="E405" s="78">
        <f>IFERROR(__xludf.DUMMYFUNCTION("""COMPUTED_VALUE"""),0.0)</f>
        <v>0</v>
      </c>
      <c r="F405" s="71"/>
      <c r="G405" s="78" t="str">
        <f>IFERROR(__xludf.DUMMYFUNCTION("""COMPUTED_VALUE"""),"")</f>
        <v/>
      </c>
      <c r="H405" s="71">
        <f>IFERROR(__xludf.DUMMYFUNCTION("""COMPUTED_VALUE"""),0.0)</f>
        <v>0</v>
      </c>
      <c r="I405" s="80" t="str">
        <f>IFERROR(__xludf.DUMMYFUNCTION("""COMPUTED_VALUE"""),"")</f>
        <v/>
      </c>
      <c r="J405" s="71" t="str">
        <f>IFERROR(__xludf.DUMMYFUNCTION("""COMPUTED_VALUE"""),"")</f>
        <v/>
      </c>
      <c r="K405" s="71"/>
      <c r="L405" s="71" t="str">
        <f>IFERROR(__xludf.DUMMYFUNCTION("""COMPUTED_VALUE"""),"")</f>
        <v/>
      </c>
      <c r="M405" s="71" t="str">
        <f>IFERROR(__xludf.DUMMYFUNCTION("""COMPUTED_VALUE"""),"")</f>
        <v/>
      </c>
      <c r="N405" s="109" t="str">
        <f>IFERROR(__xludf.DUMMYFUNCTION("""COMPUTED_VALUE"""),"")</f>
        <v/>
      </c>
      <c r="O405" s="71" t="str">
        <f>IFERROR(__xludf.DUMMYFUNCTION("""COMPUTED_VALUE"""),"")</f>
        <v/>
      </c>
      <c r="P405" s="71" t="str">
        <f>IFERROR(__xludf.DUMMYFUNCTION("""COMPUTED_VALUE"""),"")</f>
        <v/>
      </c>
      <c r="Q405" s="78" t="str">
        <f>IFERROR(__xludf.DUMMYFUNCTION("""COMPUTED_VALUE"""),"")</f>
        <v/>
      </c>
      <c r="R405" s="78" t="str">
        <f>IFERROR(__xludf.DUMMYFUNCTION("""COMPUTED_VALUE"""),"")</f>
        <v/>
      </c>
      <c r="S405" s="80" t="str">
        <f>IFERROR(__xludf.DUMMYFUNCTION("""COMPUTED_VALUE"""),"")</f>
        <v/>
      </c>
      <c r="T405" s="80" t="str">
        <f>IFERROR(__xludf.DUMMYFUNCTION("""COMPUTED_VALUE"""),"")</f>
        <v/>
      </c>
      <c r="U405" s="71" t="str">
        <f>IFERROR(__xludf.DUMMYFUNCTION("""COMPUTED_VALUE"""),"")</f>
        <v/>
      </c>
      <c r="V405" s="78" t="str">
        <f>IFERROR(__xludf.DUMMYFUNCTION("""COMPUTED_VALUE"""),"")</f>
        <v/>
      </c>
      <c r="W405" s="62" t="str">
        <f>IFERROR(__xludf.DUMMYFUNCTION("""COMPUTED_VALUE"""),"")</f>
        <v/>
      </c>
      <c r="X405" s="80" t="str">
        <f>IFERROR(__xludf.DUMMYFUNCTION("""COMPUTED_VALUE"""),"")</f>
        <v/>
      </c>
      <c r="Y405" s="109" t="str">
        <f>IFERROR(__xludf.DUMMYFUNCTION("""COMPUTED_VALUE"""),"")</f>
        <v/>
      </c>
      <c r="Z405" s="71"/>
      <c r="AA405" s="71"/>
      <c r="AB405" s="71"/>
    </row>
    <row r="406">
      <c r="A406" s="71"/>
      <c r="B406" s="71"/>
      <c r="C406" s="71" t="str">
        <f>IFERROR(__xludf.DUMMYFUNCTION("""COMPUTED_VALUE"""),"")</f>
        <v/>
      </c>
      <c r="D406" s="71"/>
      <c r="E406" s="78">
        <f>IFERROR(__xludf.DUMMYFUNCTION("""COMPUTED_VALUE"""),0.0)</f>
        <v>0</v>
      </c>
      <c r="F406" s="71"/>
      <c r="G406" s="78" t="str">
        <f>IFERROR(__xludf.DUMMYFUNCTION("""COMPUTED_VALUE"""),"")</f>
        <v/>
      </c>
      <c r="H406" s="71">
        <f>IFERROR(__xludf.DUMMYFUNCTION("""COMPUTED_VALUE"""),0.0)</f>
        <v>0</v>
      </c>
      <c r="I406" s="80" t="str">
        <f>IFERROR(__xludf.DUMMYFUNCTION("""COMPUTED_VALUE"""),"")</f>
        <v/>
      </c>
      <c r="J406" s="71" t="str">
        <f>IFERROR(__xludf.DUMMYFUNCTION("""COMPUTED_VALUE"""),"")</f>
        <v/>
      </c>
      <c r="K406" s="71"/>
      <c r="L406" s="71" t="str">
        <f>IFERROR(__xludf.DUMMYFUNCTION("""COMPUTED_VALUE"""),"")</f>
        <v/>
      </c>
      <c r="M406" s="71" t="str">
        <f>IFERROR(__xludf.DUMMYFUNCTION("""COMPUTED_VALUE"""),"")</f>
        <v/>
      </c>
      <c r="N406" s="109" t="str">
        <f>IFERROR(__xludf.DUMMYFUNCTION("""COMPUTED_VALUE"""),"")</f>
        <v/>
      </c>
      <c r="O406" s="71" t="str">
        <f>IFERROR(__xludf.DUMMYFUNCTION("""COMPUTED_VALUE"""),"")</f>
        <v/>
      </c>
      <c r="P406" s="71" t="str">
        <f>IFERROR(__xludf.DUMMYFUNCTION("""COMPUTED_VALUE"""),"")</f>
        <v/>
      </c>
      <c r="Q406" s="78" t="str">
        <f>IFERROR(__xludf.DUMMYFUNCTION("""COMPUTED_VALUE"""),"")</f>
        <v/>
      </c>
      <c r="R406" s="78" t="str">
        <f>IFERROR(__xludf.DUMMYFUNCTION("""COMPUTED_VALUE"""),"")</f>
        <v/>
      </c>
      <c r="S406" s="80" t="str">
        <f>IFERROR(__xludf.DUMMYFUNCTION("""COMPUTED_VALUE"""),"")</f>
        <v/>
      </c>
      <c r="T406" s="80" t="str">
        <f>IFERROR(__xludf.DUMMYFUNCTION("""COMPUTED_VALUE"""),"")</f>
        <v/>
      </c>
      <c r="U406" s="71" t="str">
        <f>IFERROR(__xludf.DUMMYFUNCTION("""COMPUTED_VALUE"""),"")</f>
        <v/>
      </c>
      <c r="V406" s="78" t="str">
        <f>IFERROR(__xludf.DUMMYFUNCTION("""COMPUTED_VALUE"""),"")</f>
        <v/>
      </c>
      <c r="W406" s="62" t="str">
        <f>IFERROR(__xludf.DUMMYFUNCTION("""COMPUTED_VALUE"""),"")</f>
        <v/>
      </c>
      <c r="X406" s="80" t="str">
        <f>IFERROR(__xludf.DUMMYFUNCTION("""COMPUTED_VALUE"""),"")</f>
        <v/>
      </c>
      <c r="Y406" s="109" t="str">
        <f>IFERROR(__xludf.DUMMYFUNCTION("""COMPUTED_VALUE"""),"")</f>
        <v/>
      </c>
      <c r="Z406" s="71"/>
      <c r="AA406" s="71"/>
      <c r="AB406" s="71"/>
    </row>
    <row r="407">
      <c r="A407" s="71"/>
      <c r="B407" s="71"/>
      <c r="C407" s="71" t="str">
        <f>IFERROR(__xludf.DUMMYFUNCTION("""COMPUTED_VALUE"""),"")</f>
        <v/>
      </c>
      <c r="D407" s="71"/>
      <c r="E407" s="78">
        <f>IFERROR(__xludf.DUMMYFUNCTION("""COMPUTED_VALUE"""),0.0)</f>
        <v>0</v>
      </c>
      <c r="F407" s="71"/>
      <c r="G407" s="78" t="str">
        <f>IFERROR(__xludf.DUMMYFUNCTION("""COMPUTED_VALUE"""),"")</f>
        <v/>
      </c>
      <c r="H407" s="71">
        <f>IFERROR(__xludf.DUMMYFUNCTION("""COMPUTED_VALUE"""),0.0)</f>
        <v>0</v>
      </c>
      <c r="I407" s="80" t="str">
        <f>IFERROR(__xludf.DUMMYFUNCTION("""COMPUTED_VALUE"""),"")</f>
        <v/>
      </c>
      <c r="J407" s="71" t="str">
        <f>IFERROR(__xludf.DUMMYFUNCTION("""COMPUTED_VALUE"""),"")</f>
        <v/>
      </c>
      <c r="K407" s="71"/>
      <c r="L407" s="71" t="str">
        <f>IFERROR(__xludf.DUMMYFUNCTION("""COMPUTED_VALUE"""),"")</f>
        <v/>
      </c>
      <c r="M407" s="71" t="str">
        <f>IFERROR(__xludf.DUMMYFUNCTION("""COMPUTED_VALUE"""),"")</f>
        <v/>
      </c>
      <c r="N407" s="109" t="str">
        <f>IFERROR(__xludf.DUMMYFUNCTION("""COMPUTED_VALUE"""),"")</f>
        <v/>
      </c>
      <c r="O407" s="71" t="str">
        <f>IFERROR(__xludf.DUMMYFUNCTION("""COMPUTED_VALUE"""),"")</f>
        <v/>
      </c>
      <c r="P407" s="71" t="str">
        <f>IFERROR(__xludf.DUMMYFUNCTION("""COMPUTED_VALUE"""),"")</f>
        <v/>
      </c>
      <c r="Q407" s="78" t="str">
        <f>IFERROR(__xludf.DUMMYFUNCTION("""COMPUTED_VALUE"""),"")</f>
        <v/>
      </c>
      <c r="R407" s="78" t="str">
        <f>IFERROR(__xludf.DUMMYFUNCTION("""COMPUTED_VALUE"""),"")</f>
        <v/>
      </c>
      <c r="S407" s="80" t="str">
        <f>IFERROR(__xludf.DUMMYFUNCTION("""COMPUTED_VALUE"""),"")</f>
        <v/>
      </c>
      <c r="T407" s="80" t="str">
        <f>IFERROR(__xludf.DUMMYFUNCTION("""COMPUTED_VALUE"""),"")</f>
        <v/>
      </c>
      <c r="U407" s="71" t="str">
        <f>IFERROR(__xludf.DUMMYFUNCTION("""COMPUTED_VALUE"""),"")</f>
        <v/>
      </c>
      <c r="V407" s="78" t="str">
        <f>IFERROR(__xludf.DUMMYFUNCTION("""COMPUTED_VALUE"""),"")</f>
        <v/>
      </c>
      <c r="W407" s="62" t="str">
        <f>IFERROR(__xludf.DUMMYFUNCTION("""COMPUTED_VALUE"""),"")</f>
        <v/>
      </c>
      <c r="X407" s="80" t="str">
        <f>IFERROR(__xludf.DUMMYFUNCTION("""COMPUTED_VALUE"""),"")</f>
        <v/>
      </c>
      <c r="Y407" s="109" t="str">
        <f>IFERROR(__xludf.DUMMYFUNCTION("""COMPUTED_VALUE"""),"")</f>
        <v/>
      </c>
      <c r="Z407" s="71"/>
      <c r="AA407" s="71"/>
      <c r="AB407" s="71"/>
    </row>
    <row r="408">
      <c r="A408" s="71"/>
      <c r="B408" s="71"/>
      <c r="C408" s="71" t="str">
        <f>IFERROR(__xludf.DUMMYFUNCTION("""COMPUTED_VALUE"""),"")</f>
        <v/>
      </c>
      <c r="D408" s="71"/>
      <c r="E408" s="78">
        <f>IFERROR(__xludf.DUMMYFUNCTION("""COMPUTED_VALUE"""),0.0)</f>
        <v>0</v>
      </c>
      <c r="F408" s="71"/>
      <c r="G408" s="78" t="str">
        <f>IFERROR(__xludf.DUMMYFUNCTION("""COMPUTED_VALUE"""),"")</f>
        <v/>
      </c>
      <c r="H408" s="71">
        <f>IFERROR(__xludf.DUMMYFUNCTION("""COMPUTED_VALUE"""),0.0)</f>
        <v>0</v>
      </c>
      <c r="I408" s="80" t="str">
        <f>IFERROR(__xludf.DUMMYFUNCTION("""COMPUTED_VALUE"""),"")</f>
        <v/>
      </c>
      <c r="J408" s="71" t="str">
        <f>IFERROR(__xludf.DUMMYFUNCTION("""COMPUTED_VALUE"""),"")</f>
        <v/>
      </c>
      <c r="K408" s="71"/>
      <c r="L408" s="71" t="str">
        <f>IFERROR(__xludf.DUMMYFUNCTION("""COMPUTED_VALUE"""),"")</f>
        <v/>
      </c>
      <c r="M408" s="71" t="str">
        <f>IFERROR(__xludf.DUMMYFUNCTION("""COMPUTED_VALUE"""),"")</f>
        <v/>
      </c>
      <c r="N408" s="109" t="str">
        <f>IFERROR(__xludf.DUMMYFUNCTION("""COMPUTED_VALUE"""),"")</f>
        <v/>
      </c>
      <c r="O408" s="71" t="str">
        <f>IFERROR(__xludf.DUMMYFUNCTION("""COMPUTED_VALUE"""),"")</f>
        <v/>
      </c>
      <c r="P408" s="71" t="str">
        <f>IFERROR(__xludf.DUMMYFUNCTION("""COMPUTED_VALUE"""),"")</f>
        <v/>
      </c>
      <c r="Q408" s="78" t="str">
        <f>IFERROR(__xludf.DUMMYFUNCTION("""COMPUTED_VALUE"""),"")</f>
        <v/>
      </c>
      <c r="R408" s="78" t="str">
        <f>IFERROR(__xludf.DUMMYFUNCTION("""COMPUTED_VALUE"""),"")</f>
        <v/>
      </c>
      <c r="S408" s="80" t="str">
        <f>IFERROR(__xludf.DUMMYFUNCTION("""COMPUTED_VALUE"""),"")</f>
        <v/>
      </c>
      <c r="T408" s="80" t="str">
        <f>IFERROR(__xludf.DUMMYFUNCTION("""COMPUTED_VALUE"""),"")</f>
        <v/>
      </c>
      <c r="U408" s="71" t="str">
        <f>IFERROR(__xludf.DUMMYFUNCTION("""COMPUTED_VALUE"""),"")</f>
        <v/>
      </c>
      <c r="V408" s="78" t="str">
        <f>IFERROR(__xludf.DUMMYFUNCTION("""COMPUTED_VALUE"""),"")</f>
        <v/>
      </c>
      <c r="W408" s="62" t="str">
        <f>IFERROR(__xludf.DUMMYFUNCTION("""COMPUTED_VALUE"""),"")</f>
        <v/>
      </c>
      <c r="X408" s="80" t="str">
        <f>IFERROR(__xludf.DUMMYFUNCTION("""COMPUTED_VALUE"""),"")</f>
        <v/>
      </c>
      <c r="Y408" s="109" t="str">
        <f>IFERROR(__xludf.DUMMYFUNCTION("""COMPUTED_VALUE"""),"")</f>
        <v/>
      </c>
      <c r="Z408" s="71"/>
      <c r="AA408" s="71"/>
      <c r="AB408" s="71"/>
    </row>
    <row r="409">
      <c r="A409" s="71"/>
      <c r="B409" s="71"/>
      <c r="C409" s="71" t="str">
        <f>IFERROR(__xludf.DUMMYFUNCTION("""COMPUTED_VALUE"""),"")</f>
        <v/>
      </c>
      <c r="D409" s="71"/>
      <c r="E409" s="78">
        <f>IFERROR(__xludf.DUMMYFUNCTION("""COMPUTED_VALUE"""),0.0)</f>
        <v>0</v>
      </c>
      <c r="F409" s="71"/>
      <c r="G409" s="78" t="str">
        <f>IFERROR(__xludf.DUMMYFUNCTION("""COMPUTED_VALUE"""),"")</f>
        <v/>
      </c>
      <c r="H409" s="71">
        <f>IFERROR(__xludf.DUMMYFUNCTION("""COMPUTED_VALUE"""),0.0)</f>
        <v>0</v>
      </c>
      <c r="I409" s="80" t="str">
        <f>IFERROR(__xludf.DUMMYFUNCTION("""COMPUTED_VALUE"""),"")</f>
        <v/>
      </c>
      <c r="J409" s="71" t="str">
        <f>IFERROR(__xludf.DUMMYFUNCTION("""COMPUTED_VALUE"""),"")</f>
        <v/>
      </c>
      <c r="K409" s="71"/>
      <c r="L409" s="71" t="str">
        <f>IFERROR(__xludf.DUMMYFUNCTION("""COMPUTED_VALUE"""),"")</f>
        <v/>
      </c>
      <c r="M409" s="71" t="str">
        <f>IFERROR(__xludf.DUMMYFUNCTION("""COMPUTED_VALUE"""),"")</f>
        <v/>
      </c>
      <c r="N409" s="109" t="str">
        <f>IFERROR(__xludf.DUMMYFUNCTION("""COMPUTED_VALUE"""),"")</f>
        <v/>
      </c>
      <c r="O409" s="71" t="str">
        <f>IFERROR(__xludf.DUMMYFUNCTION("""COMPUTED_VALUE"""),"")</f>
        <v/>
      </c>
      <c r="P409" s="71" t="str">
        <f>IFERROR(__xludf.DUMMYFUNCTION("""COMPUTED_VALUE"""),"")</f>
        <v/>
      </c>
      <c r="Q409" s="78" t="str">
        <f>IFERROR(__xludf.DUMMYFUNCTION("""COMPUTED_VALUE"""),"")</f>
        <v/>
      </c>
      <c r="R409" s="78" t="str">
        <f>IFERROR(__xludf.DUMMYFUNCTION("""COMPUTED_VALUE"""),"")</f>
        <v/>
      </c>
      <c r="S409" s="80" t="str">
        <f>IFERROR(__xludf.DUMMYFUNCTION("""COMPUTED_VALUE"""),"")</f>
        <v/>
      </c>
      <c r="T409" s="80" t="str">
        <f>IFERROR(__xludf.DUMMYFUNCTION("""COMPUTED_VALUE"""),"")</f>
        <v/>
      </c>
      <c r="U409" s="71" t="str">
        <f>IFERROR(__xludf.DUMMYFUNCTION("""COMPUTED_VALUE"""),"")</f>
        <v/>
      </c>
      <c r="V409" s="78" t="str">
        <f>IFERROR(__xludf.DUMMYFUNCTION("""COMPUTED_VALUE"""),"")</f>
        <v/>
      </c>
      <c r="W409" s="62" t="str">
        <f>IFERROR(__xludf.DUMMYFUNCTION("""COMPUTED_VALUE"""),"")</f>
        <v/>
      </c>
      <c r="X409" s="80" t="str">
        <f>IFERROR(__xludf.DUMMYFUNCTION("""COMPUTED_VALUE"""),"")</f>
        <v/>
      </c>
      <c r="Y409" s="109" t="str">
        <f>IFERROR(__xludf.DUMMYFUNCTION("""COMPUTED_VALUE"""),"")</f>
        <v/>
      </c>
      <c r="Z409" s="71"/>
      <c r="AA409" s="71"/>
      <c r="AB409" s="71"/>
    </row>
    <row r="410">
      <c r="A410" s="71"/>
      <c r="B410" s="71"/>
      <c r="C410" s="71" t="str">
        <f>IFERROR(__xludf.DUMMYFUNCTION("""COMPUTED_VALUE"""),"")</f>
        <v/>
      </c>
      <c r="D410" s="71"/>
      <c r="E410" s="78">
        <f>IFERROR(__xludf.DUMMYFUNCTION("""COMPUTED_VALUE"""),0.0)</f>
        <v>0</v>
      </c>
      <c r="F410" s="71"/>
      <c r="G410" s="78" t="str">
        <f>IFERROR(__xludf.DUMMYFUNCTION("""COMPUTED_VALUE"""),"")</f>
        <v/>
      </c>
      <c r="H410" s="71">
        <f>IFERROR(__xludf.DUMMYFUNCTION("""COMPUTED_VALUE"""),0.0)</f>
        <v>0</v>
      </c>
      <c r="I410" s="80" t="str">
        <f>IFERROR(__xludf.DUMMYFUNCTION("""COMPUTED_VALUE"""),"")</f>
        <v/>
      </c>
      <c r="J410" s="71" t="str">
        <f>IFERROR(__xludf.DUMMYFUNCTION("""COMPUTED_VALUE"""),"")</f>
        <v/>
      </c>
      <c r="K410" s="71"/>
      <c r="L410" s="71" t="str">
        <f>IFERROR(__xludf.DUMMYFUNCTION("""COMPUTED_VALUE"""),"")</f>
        <v/>
      </c>
      <c r="M410" s="71" t="str">
        <f>IFERROR(__xludf.DUMMYFUNCTION("""COMPUTED_VALUE"""),"")</f>
        <v/>
      </c>
      <c r="N410" s="109" t="str">
        <f>IFERROR(__xludf.DUMMYFUNCTION("""COMPUTED_VALUE"""),"")</f>
        <v/>
      </c>
      <c r="O410" s="71" t="str">
        <f>IFERROR(__xludf.DUMMYFUNCTION("""COMPUTED_VALUE"""),"")</f>
        <v/>
      </c>
      <c r="P410" s="71" t="str">
        <f>IFERROR(__xludf.DUMMYFUNCTION("""COMPUTED_VALUE"""),"")</f>
        <v/>
      </c>
      <c r="Q410" s="78" t="str">
        <f>IFERROR(__xludf.DUMMYFUNCTION("""COMPUTED_VALUE"""),"")</f>
        <v/>
      </c>
      <c r="R410" s="78" t="str">
        <f>IFERROR(__xludf.DUMMYFUNCTION("""COMPUTED_VALUE"""),"")</f>
        <v/>
      </c>
      <c r="S410" s="80" t="str">
        <f>IFERROR(__xludf.DUMMYFUNCTION("""COMPUTED_VALUE"""),"")</f>
        <v/>
      </c>
      <c r="T410" s="80" t="str">
        <f>IFERROR(__xludf.DUMMYFUNCTION("""COMPUTED_VALUE"""),"")</f>
        <v/>
      </c>
      <c r="U410" s="71" t="str">
        <f>IFERROR(__xludf.DUMMYFUNCTION("""COMPUTED_VALUE"""),"")</f>
        <v/>
      </c>
      <c r="V410" s="78" t="str">
        <f>IFERROR(__xludf.DUMMYFUNCTION("""COMPUTED_VALUE"""),"")</f>
        <v/>
      </c>
      <c r="W410" s="62" t="str">
        <f>IFERROR(__xludf.DUMMYFUNCTION("""COMPUTED_VALUE"""),"")</f>
        <v/>
      </c>
      <c r="X410" s="80" t="str">
        <f>IFERROR(__xludf.DUMMYFUNCTION("""COMPUTED_VALUE"""),"")</f>
        <v/>
      </c>
      <c r="Y410" s="109" t="str">
        <f>IFERROR(__xludf.DUMMYFUNCTION("""COMPUTED_VALUE"""),"")</f>
        <v/>
      </c>
      <c r="Z410" s="71"/>
      <c r="AA410" s="71"/>
      <c r="AB410" s="71"/>
    </row>
    <row r="411">
      <c r="A411" s="71"/>
      <c r="B411" s="71"/>
      <c r="C411" s="71" t="str">
        <f>IFERROR(__xludf.DUMMYFUNCTION("""COMPUTED_VALUE"""),"")</f>
        <v/>
      </c>
      <c r="D411" s="71"/>
      <c r="E411" s="78">
        <f>IFERROR(__xludf.DUMMYFUNCTION("""COMPUTED_VALUE"""),0.0)</f>
        <v>0</v>
      </c>
      <c r="F411" s="71"/>
      <c r="G411" s="78" t="str">
        <f>IFERROR(__xludf.DUMMYFUNCTION("""COMPUTED_VALUE"""),"")</f>
        <v/>
      </c>
      <c r="H411" s="71">
        <f>IFERROR(__xludf.DUMMYFUNCTION("""COMPUTED_VALUE"""),0.0)</f>
        <v>0</v>
      </c>
      <c r="I411" s="80" t="str">
        <f>IFERROR(__xludf.DUMMYFUNCTION("""COMPUTED_VALUE"""),"")</f>
        <v/>
      </c>
      <c r="J411" s="71" t="str">
        <f>IFERROR(__xludf.DUMMYFUNCTION("""COMPUTED_VALUE"""),"")</f>
        <v/>
      </c>
      <c r="K411" s="71"/>
      <c r="L411" s="71" t="str">
        <f>IFERROR(__xludf.DUMMYFUNCTION("""COMPUTED_VALUE"""),"")</f>
        <v/>
      </c>
      <c r="M411" s="71" t="str">
        <f>IFERROR(__xludf.DUMMYFUNCTION("""COMPUTED_VALUE"""),"")</f>
        <v/>
      </c>
      <c r="N411" s="109" t="str">
        <f>IFERROR(__xludf.DUMMYFUNCTION("""COMPUTED_VALUE"""),"")</f>
        <v/>
      </c>
      <c r="O411" s="71" t="str">
        <f>IFERROR(__xludf.DUMMYFUNCTION("""COMPUTED_VALUE"""),"")</f>
        <v/>
      </c>
      <c r="P411" s="71" t="str">
        <f>IFERROR(__xludf.DUMMYFUNCTION("""COMPUTED_VALUE"""),"")</f>
        <v/>
      </c>
      <c r="Q411" s="78" t="str">
        <f>IFERROR(__xludf.DUMMYFUNCTION("""COMPUTED_VALUE"""),"")</f>
        <v/>
      </c>
      <c r="R411" s="78" t="str">
        <f>IFERROR(__xludf.DUMMYFUNCTION("""COMPUTED_VALUE"""),"")</f>
        <v/>
      </c>
      <c r="S411" s="80" t="str">
        <f>IFERROR(__xludf.DUMMYFUNCTION("""COMPUTED_VALUE"""),"")</f>
        <v/>
      </c>
      <c r="T411" s="80" t="str">
        <f>IFERROR(__xludf.DUMMYFUNCTION("""COMPUTED_VALUE"""),"")</f>
        <v/>
      </c>
      <c r="U411" s="71" t="str">
        <f>IFERROR(__xludf.DUMMYFUNCTION("""COMPUTED_VALUE"""),"")</f>
        <v/>
      </c>
      <c r="V411" s="78" t="str">
        <f>IFERROR(__xludf.DUMMYFUNCTION("""COMPUTED_VALUE"""),"")</f>
        <v/>
      </c>
      <c r="W411" s="62" t="str">
        <f>IFERROR(__xludf.DUMMYFUNCTION("""COMPUTED_VALUE"""),"")</f>
        <v/>
      </c>
      <c r="X411" s="80" t="str">
        <f>IFERROR(__xludf.DUMMYFUNCTION("""COMPUTED_VALUE"""),"")</f>
        <v/>
      </c>
      <c r="Y411" s="109" t="str">
        <f>IFERROR(__xludf.DUMMYFUNCTION("""COMPUTED_VALUE"""),"")</f>
        <v/>
      </c>
      <c r="Z411" s="71"/>
      <c r="AA411" s="71"/>
      <c r="AB411" s="71"/>
    </row>
    <row r="412">
      <c r="A412" s="71"/>
      <c r="B412" s="71"/>
      <c r="C412" s="71" t="str">
        <f>IFERROR(__xludf.DUMMYFUNCTION("""COMPUTED_VALUE"""),"")</f>
        <v/>
      </c>
      <c r="D412" s="71"/>
      <c r="E412" s="78">
        <f>IFERROR(__xludf.DUMMYFUNCTION("""COMPUTED_VALUE"""),0.0)</f>
        <v>0</v>
      </c>
      <c r="F412" s="71"/>
      <c r="G412" s="78" t="str">
        <f>IFERROR(__xludf.DUMMYFUNCTION("""COMPUTED_VALUE"""),"")</f>
        <v/>
      </c>
      <c r="H412" s="71">
        <f>IFERROR(__xludf.DUMMYFUNCTION("""COMPUTED_VALUE"""),0.0)</f>
        <v>0</v>
      </c>
      <c r="I412" s="80" t="str">
        <f>IFERROR(__xludf.DUMMYFUNCTION("""COMPUTED_VALUE"""),"")</f>
        <v/>
      </c>
      <c r="J412" s="71" t="str">
        <f>IFERROR(__xludf.DUMMYFUNCTION("""COMPUTED_VALUE"""),"")</f>
        <v/>
      </c>
      <c r="K412" s="71"/>
      <c r="L412" s="71" t="str">
        <f>IFERROR(__xludf.DUMMYFUNCTION("""COMPUTED_VALUE"""),"")</f>
        <v/>
      </c>
      <c r="M412" s="71" t="str">
        <f>IFERROR(__xludf.DUMMYFUNCTION("""COMPUTED_VALUE"""),"")</f>
        <v/>
      </c>
      <c r="N412" s="109" t="str">
        <f>IFERROR(__xludf.DUMMYFUNCTION("""COMPUTED_VALUE"""),"")</f>
        <v/>
      </c>
      <c r="O412" s="71" t="str">
        <f>IFERROR(__xludf.DUMMYFUNCTION("""COMPUTED_VALUE"""),"")</f>
        <v/>
      </c>
      <c r="P412" s="71" t="str">
        <f>IFERROR(__xludf.DUMMYFUNCTION("""COMPUTED_VALUE"""),"")</f>
        <v/>
      </c>
      <c r="Q412" s="78" t="str">
        <f>IFERROR(__xludf.DUMMYFUNCTION("""COMPUTED_VALUE"""),"")</f>
        <v/>
      </c>
      <c r="R412" s="78" t="str">
        <f>IFERROR(__xludf.DUMMYFUNCTION("""COMPUTED_VALUE"""),"")</f>
        <v/>
      </c>
      <c r="S412" s="80" t="str">
        <f>IFERROR(__xludf.DUMMYFUNCTION("""COMPUTED_VALUE"""),"")</f>
        <v/>
      </c>
      <c r="T412" s="80" t="str">
        <f>IFERROR(__xludf.DUMMYFUNCTION("""COMPUTED_VALUE"""),"")</f>
        <v/>
      </c>
      <c r="U412" s="71" t="str">
        <f>IFERROR(__xludf.DUMMYFUNCTION("""COMPUTED_VALUE"""),"")</f>
        <v/>
      </c>
      <c r="V412" s="78" t="str">
        <f>IFERROR(__xludf.DUMMYFUNCTION("""COMPUTED_VALUE"""),"")</f>
        <v/>
      </c>
      <c r="W412" s="62" t="str">
        <f>IFERROR(__xludf.DUMMYFUNCTION("""COMPUTED_VALUE"""),"")</f>
        <v/>
      </c>
      <c r="X412" s="80" t="str">
        <f>IFERROR(__xludf.DUMMYFUNCTION("""COMPUTED_VALUE"""),"")</f>
        <v/>
      </c>
      <c r="Y412" s="109" t="str">
        <f>IFERROR(__xludf.DUMMYFUNCTION("""COMPUTED_VALUE"""),"")</f>
        <v/>
      </c>
      <c r="Z412" s="71"/>
      <c r="AA412" s="71"/>
      <c r="AB412" s="71"/>
    </row>
    <row r="413">
      <c r="A413" s="71"/>
      <c r="B413" s="71"/>
      <c r="C413" s="71" t="str">
        <f>IFERROR(__xludf.DUMMYFUNCTION("""COMPUTED_VALUE"""),"")</f>
        <v/>
      </c>
      <c r="D413" s="71"/>
      <c r="E413" s="78">
        <f>IFERROR(__xludf.DUMMYFUNCTION("""COMPUTED_VALUE"""),0.0)</f>
        <v>0</v>
      </c>
      <c r="F413" s="71"/>
      <c r="G413" s="78" t="str">
        <f>IFERROR(__xludf.DUMMYFUNCTION("""COMPUTED_VALUE"""),"")</f>
        <v/>
      </c>
      <c r="H413" s="71">
        <f>IFERROR(__xludf.DUMMYFUNCTION("""COMPUTED_VALUE"""),0.0)</f>
        <v>0</v>
      </c>
      <c r="I413" s="80" t="str">
        <f>IFERROR(__xludf.DUMMYFUNCTION("""COMPUTED_VALUE"""),"")</f>
        <v/>
      </c>
      <c r="J413" s="71" t="str">
        <f>IFERROR(__xludf.DUMMYFUNCTION("""COMPUTED_VALUE"""),"")</f>
        <v/>
      </c>
      <c r="K413" s="71"/>
      <c r="L413" s="71" t="str">
        <f>IFERROR(__xludf.DUMMYFUNCTION("""COMPUTED_VALUE"""),"")</f>
        <v/>
      </c>
      <c r="M413" s="71" t="str">
        <f>IFERROR(__xludf.DUMMYFUNCTION("""COMPUTED_VALUE"""),"")</f>
        <v/>
      </c>
      <c r="N413" s="109" t="str">
        <f>IFERROR(__xludf.DUMMYFUNCTION("""COMPUTED_VALUE"""),"")</f>
        <v/>
      </c>
      <c r="O413" s="71" t="str">
        <f>IFERROR(__xludf.DUMMYFUNCTION("""COMPUTED_VALUE"""),"")</f>
        <v/>
      </c>
      <c r="P413" s="71" t="str">
        <f>IFERROR(__xludf.DUMMYFUNCTION("""COMPUTED_VALUE"""),"")</f>
        <v/>
      </c>
      <c r="Q413" s="78" t="str">
        <f>IFERROR(__xludf.DUMMYFUNCTION("""COMPUTED_VALUE"""),"")</f>
        <v/>
      </c>
      <c r="R413" s="78" t="str">
        <f>IFERROR(__xludf.DUMMYFUNCTION("""COMPUTED_VALUE"""),"")</f>
        <v/>
      </c>
      <c r="S413" s="80" t="str">
        <f>IFERROR(__xludf.DUMMYFUNCTION("""COMPUTED_VALUE"""),"")</f>
        <v/>
      </c>
      <c r="T413" s="80" t="str">
        <f>IFERROR(__xludf.DUMMYFUNCTION("""COMPUTED_VALUE"""),"")</f>
        <v/>
      </c>
      <c r="U413" s="71" t="str">
        <f>IFERROR(__xludf.DUMMYFUNCTION("""COMPUTED_VALUE"""),"")</f>
        <v/>
      </c>
      <c r="V413" s="78" t="str">
        <f>IFERROR(__xludf.DUMMYFUNCTION("""COMPUTED_VALUE"""),"")</f>
        <v/>
      </c>
      <c r="W413" s="62" t="str">
        <f>IFERROR(__xludf.DUMMYFUNCTION("""COMPUTED_VALUE"""),"")</f>
        <v/>
      </c>
      <c r="X413" s="80" t="str">
        <f>IFERROR(__xludf.DUMMYFUNCTION("""COMPUTED_VALUE"""),"")</f>
        <v/>
      </c>
      <c r="Y413" s="109" t="str">
        <f>IFERROR(__xludf.DUMMYFUNCTION("""COMPUTED_VALUE"""),"")</f>
        <v/>
      </c>
      <c r="Z413" s="71"/>
      <c r="AA413" s="71"/>
      <c r="AB413" s="71"/>
    </row>
    <row r="414">
      <c r="A414" s="71"/>
      <c r="B414" s="71"/>
      <c r="C414" s="71" t="str">
        <f>IFERROR(__xludf.DUMMYFUNCTION("""COMPUTED_VALUE"""),"")</f>
        <v/>
      </c>
      <c r="D414" s="71"/>
      <c r="E414" s="78">
        <f>IFERROR(__xludf.DUMMYFUNCTION("""COMPUTED_VALUE"""),0.0)</f>
        <v>0</v>
      </c>
      <c r="F414" s="71"/>
      <c r="G414" s="78" t="str">
        <f>IFERROR(__xludf.DUMMYFUNCTION("""COMPUTED_VALUE"""),"")</f>
        <v/>
      </c>
      <c r="H414" s="71">
        <f>IFERROR(__xludf.DUMMYFUNCTION("""COMPUTED_VALUE"""),0.0)</f>
        <v>0</v>
      </c>
      <c r="I414" s="80" t="str">
        <f>IFERROR(__xludf.DUMMYFUNCTION("""COMPUTED_VALUE"""),"")</f>
        <v/>
      </c>
      <c r="J414" s="71" t="str">
        <f>IFERROR(__xludf.DUMMYFUNCTION("""COMPUTED_VALUE"""),"")</f>
        <v/>
      </c>
      <c r="K414" s="71"/>
      <c r="L414" s="71" t="str">
        <f>IFERROR(__xludf.DUMMYFUNCTION("""COMPUTED_VALUE"""),"")</f>
        <v/>
      </c>
      <c r="M414" s="71" t="str">
        <f>IFERROR(__xludf.DUMMYFUNCTION("""COMPUTED_VALUE"""),"")</f>
        <v/>
      </c>
      <c r="N414" s="109" t="str">
        <f>IFERROR(__xludf.DUMMYFUNCTION("""COMPUTED_VALUE"""),"")</f>
        <v/>
      </c>
      <c r="O414" s="71" t="str">
        <f>IFERROR(__xludf.DUMMYFUNCTION("""COMPUTED_VALUE"""),"")</f>
        <v/>
      </c>
      <c r="P414" s="71" t="str">
        <f>IFERROR(__xludf.DUMMYFUNCTION("""COMPUTED_VALUE"""),"")</f>
        <v/>
      </c>
      <c r="Q414" s="78" t="str">
        <f>IFERROR(__xludf.DUMMYFUNCTION("""COMPUTED_VALUE"""),"")</f>
        <v/>
      </c>
      <c r="R414" s="78" t="str">
        <f>IFERROR(__xludf.DUMMYFUNCTION("""COMPUTED_VALUE"""),"")</f>
        <v/>
      </c>
      <c r="S414" s="80" t="str">
        <f>IFERROR(__xludf.DUMMYFUNCTION("""COMPUTED_VALUE"""),"")</f>
        <v/>
      </c>
      <c r="T414" s="80" t="str">
        <f>IFERROR(__xludf.DUMMYFUNCTION("""COMPUTED_VALUE"""),"")</f>
        <v/>
      </c>
      <c r="U414" s="71" t="str">
        <f>IFERROR(__xludf.DUMMYFUNCTION("""COMPUTED_VALUE"""),"")</f>
        <v/>
      </c>
      <c r="V414" s="78" t="str">
        <f>IFERROR(__xludf.DUMMYFUNCTION("""COMPUTED_VALUE"""),"")</f>
        <v/>
      </c>
      <c r="W414" s="62" t="str">
        <f>IFERROR(__xludf.DUMMYFUNCTION("""COMPUTED_VALUE"""),"")</f>
        <v/>
      </c>
      <c r="X414" s="80" t="str">
        <f>IFERROR(__xludf.DUMMYFUNCTION("""COMPUTED_VALUE"""),"")</f>
        <v/>
      </c>
      <c r="Y414" s="109" t="str">
        <f>IFERROR(__xludf.DUMMYFUNCTION("""COMPUTED_VALUE"""),"")</f>
        <v/>
      </c>
      <c r="Z414" s="71"/>
      <c r="AA414" s="71"/>
      <c r="AB414" s="71"/>
    </row>
    <row r="415">
      <c r="A415" s="71"/>
      <c r="B415" s="71"/>
      <c r="C415" s="71" t="str">
        <f>IFERROR(__xludf.DUMMYFUNCTION("""COMPUTED_VALUE"""),"")</f>
        <v/>
      </c>
      <c r="D415" s="71"/>
      <c r="E415" s="78">
        <f>IFERROR(__xludf.DUMMYFUNCTION("""COMPUTED_VALUE"""),0.0)</f>
        <v>0</v>
      </c>
      <c r="F415" s="71"/>
      <c r="G415" s="78" t="str">
        <f>IFERROR(__xludf.DUMMYFUNCTION("""COMPUTED_VALUE"""),"")</f>
        <v/>
      </c>
      <c r="H415" s="71">
        <f>IFERROR(__xludf.DUMMYFUNCTION("""COMPUTED_VALUE"""),0.0)</f>
        <v>0</v>
      </c>
      <c r="I415" s="80" t="str">
        <f>IFERROR(__xludf.DUMMYFUNCTION("""COMPUTED_VALUE"""),"")</f>
        <v/>
      </c>
      <c r="J415" s="71" t="str">
        <f>IFERROR(__xludf.DUMMYFUNCTION("""COMPUTED_VALUE"""),"")</f>
        <v/>
      </c>
      <c r="K415" s="71"/>
      <c r="L415" s="71" t="str">
        <f>IFERROR(__xludf.DUMMYFUNCTION("""COMPUTED_VALUE"""),"")</f>
        <v/>
      </c>
      <c r="M415" s="71" t="str">
        <f>IFERROR(__xludf.DUMMYFUNCTION("""COMPUTED_VALUE"""),"")</f>
        <v/>
      </c>
      <c r="N415" s="109" t="str">
        <f>IFERROR(__xludf.DUMMYFUNCTION("""COMPUTED_VALUE"""),"")</f>
        <v/>
      </c>
      <c r="O415" s="71" t="str">
        <f>IFERROR(__xludf.DUMMYFUNCTION("""COMPUTED_VALUE"""),"")</f>
        <v/>
      </c>
      <c r="P415" s="71" t="str">
        <f>IFERROR(__xludf.DUMMYFUNCTION("""COMPUTED_VALUE"""),"")</f>
        <v/>
      </c>
      <c r="Q415" s="78" t="str">
        <f>IFERROR(__xludf.DUMMYFUNCTION("""COMPUTED_VALUE"""),"")</f>
        <v/>
      </c>
      <c r="R415" s="78" t="str">
        <f>IFERROR(__xludf.DUMMYFUNCTION("""COMPUTED_VALUE"""),"")</f>
        <v/>
      </c>
      <c r="S415" s="80" t="str">
        <f>IFERROR(__xludf.DUMMYFUNCTION("""COMPUTED_VALUE"""),"")</f>
        <v/>
      </c>
      <c r="T415" s="80" t="str">
        <f>IFERROR(__xludf.DUMMYFUNCTION("""COMPUTED_VALUE"""),"")</f>
        <v/>
      </c>
      <c r="U415" s="71" t="str">
        <f>IFERROR(__xludf.DUMMYFUNCTION("""COMPUTED_VALUE"""),"")</f>
        <v/>
      </c>
      <c r="V415" s="78" t="str">
        <f>IFERROR(__xludf.DUMMYFUNCTION("""COMPUTED_VALUE"""),"")</f>
        <v/>
      </c>
      <c r="W415" s="62" t="str">
        <f>IFERROR(__xludf.DUMMYFUNCTION("""COMPUTED_VALUE"""),"")</f>
        <v/>
      </c>
      <c r="X415" s="80" t="str">
        <f>IFERROR(__xludf.DUMMYFUNCTION("""COMPUTED_VALUE"""),"")</f>
        <v/>
      </c>
      <c r="Y415" s="109" t="str">
        <f>IFERROR(__xludf.DUMMYFUNCTION("""COMPUTED_VALUE"""),"")</f>
        <v/>
      </c>
      <c r="Z415" s="71"/>
      <c r="AA415" s="71"/>
      <c r="AB415" s="71"/>
    </row>
    <row r="416">
      <c r="A416" s="71"/>
      <c r="B416" s="71"/>
      <c r="C416" s="71" t="str">
        <f>IFERROR(__xludf.DUMMYFUNCTION("""COMPUTED_VALUE"""),"")</f>
        <v/>
      </c>
      <c r="D416" s="71"/>
      <c r="E416" s="78">
        <f>IFERROR(__xludf.DUMMYFUNCTION("""COMPUTED_VALUE"""),0.0)</f>
        <v>0</v>
      </c>
      <c r="F416" s="71"/>
      <c r="G416" s="78" t="str">
        <f>IFERROR(__xludf.DUMMYFUNCTION("""COMPUTED_VALUE"""),"")</f>
        <v/>
      </c>
      <c r="H416" s="71">
        <f>IFERROR(__xludf.DUMMYFUNCTION("""COMPUTED_VALUE"""),0.0)</f>
        <v>0</v>
      </c>
      <c r="I416" s="80" t="str">
        <f>IFERROR(__xludf.DUMMYFUNCTION("""COMPUTED_VALUE"""),"")</f>
        <v/>
      </c>
      <c r="J416" s="71" t="str">
        <f>IFERROR(__xludf.DUMMYFUNCTION("""COMPUTED_VALUE"""),"")</f>
        <v/>
      </c>
      <c r="K416" s="71"/>
      <c r="L416" s="71" t="str">
        <f>IFERROR(__xludf.DUMMYFUNCTION("""COMPUTED_VALUE"""),"")</f>
        <v/>
      </c>
      <c r="M416" s="71" t="str">
        <f>IFERROR(__xludf.DUMMYFUNCTION("""COMPUTED_VALUE"""),"")</f>
        <v/>
      </c>
      <c r="N416" s="109" t="str">
        <f>IFERROR(__xludf.DUMMYFUNCTION("""COMPUTED_VALUE"""),"")</f>
        <v/>
      </c>
      <c r="O416" s="71" t="str">
        <f>IFERROR(__xludf.DUMMYFUNCTION("""COMPUTED_VALUE"""),"")</f>
        <v/>
      </c>
      <c r="P416" s="71" t="str">
        <f>IFERROR(__xludf.DUMMYFUNCTION("""COMPUTED_VALUE"""),"")</f>
        <v/>
      </c>
      <c r="Q416" s="78" t="str">
        <f>IFERROR(__xludf.DUMMYFUNCTION("""COMPUTED_VALUE"""),"")</f>
        <v/>
      </c>
      <c r="R416" s="78" t="str">
        <f>IFERROR(__xludf.DUMMYFUNCTION("""COMPUTED_VALUE"""),"")</f>
        <v/>
      </c>
      <c r="S416" s="80" t="str">
        <f>IFERROR(__xludf.DUMMYFUNCTION("""COMPUTED_VALUE"""),"")</f>
        <v/>
      </c>
      <c r="T416" s="80" t="str">
        <f>IFERROR(__xludf.DUMMYFUNCTION("""COMPUTED_VALUE"""),"")</f>
        <v/>
      </c>
      <c r="U416" s="71" t="str">
        <f>IFERROR(__xludf.DUMMYFUNCTION("""COMPUTED_VALUE"""),"")</f>
        <v/>
      </c>
      <c r="V416" s="78" t="str">
        <f>IFERROR(__xludf.DUMMYFUNCTION("""COMPUTED_VALUE"""),"")</f>
        <v/>
      </c>
      <c r="W416" s="62" t="str">
        <f>IFERROR(__xludf.DUMMYFUNCTION("""COMPUTED_VALUE"""),"")</f>
        <v/>
      </c>
      <c r="X416" s="80" t="str">
        <f>IFERROR(__xludf.DUMMYFUNCTION("""COMPUTED_VALUE"""),"")</f>
        <v/>
      </c>
      <c r="Y416" s="109" t="str">
        <f>IFERROR(__xludf.DUMMYFUNCTION("""COMPUTED_VALUE"""),"")</f>
        <v/>
      </c>
      <c r="Z416" s="71"/>
      <c r="AA416" s="71"/>
      <c r="AB416" s="71"/>
    </row>
    <row r="417">
      <c r="A417" s="71"/>
      <c r="B417" s="71"/>
      <c r="C417" s="71" t="str">
        <f>IFERROR(__xludf.DUMMYFUNCTION("""COMPUTED_VALUE"""),"")</f>
        <v/>
      </c>
      <c r="D417" s="71"/>
      <c r="E417" s="78">
        <f>IFERROR(__xludf.DUMMYFUNCTION("""COMPUTED_VALUE"""),0.0)</f>
        <v>0</v>
      </c>
      <c r="F417" s="71"/>
      <c r="G417" s="78" t="str">
        <f>IFERROR(__xludf.DUMMYFUNCTION("""COMPUTED_VALUE"""),"")</f>
        <v/>
      </c>
      <c r="H417" s="71">
        <f>IFERROR(__xludf.DUMMYFUNCTION("""COMPUTED_VALUE"""),0.0)</f>
        <v>0</v>
      </c>
      <c r="I417" s="80" t="str">
        <f>IFERROR(__xludf.DUMMYFUNCTION("""COMPUTED_VALUE"""),"")</f>
        <v/>
      </c>
      <c r="J417" s="71" t="str">
        <f>IFERROR(__xludf.DUMMYFUNCTION("""COMPUTED_VALUE"""),"")</f>
        <v/>
      </c>
      <c r="K417" s="71"/>
      <c r="L417" s="71" t="str">
        <f>IFERROR(__xludf.DUMMYFUNCTION("""COMPUTED_VALUE"""),"")</f>
        <v/>
      </c>
      <c r="M417" s="71" t="str">
        <f>IFERROR(__xludf.DUMMYFUNCTION("""COMPUTED_VALUE"""),"")</f>
        <v/>
      </c>
      <c r="N417" s="109" t="str">
        <f>IFERROR(__xludf.DUMMYFUNCTION("""COMPUTED_VALUE"""),"")</f>
        <v/>
      </c>
      <c r="O417" s="71" t="str">
        <f>IFERROR(__xludf.DUMMYFUNCTION("""COMPUTED_VALUE"""),"")</f>
        <v/>
      </c>
      <c r="P417" s="71" t="str">
        <f>IFERROR(__xludf.DUMMYFUNCTION("""COMPUTED_VALUE"""),"")</f>
        <v/>
      </c>
      <c r="Q417" s="78" t="str">
        <f>IFERROR(__xludf.DUMMYFUNCTION("""COMPUTED_VALUE"""),"")</f>
        <v/>
      </c>
      <c r="R417" s="78" t="str">
        <f>IFERROR(__xludf.DUMMYFUNCTION("""COMPUTED_VALUE"""),"")</f>
        <v/>
      </c>
      <c r="S417" s="80" t="str">
        <f>IFERROR(__xludf.DUMMYFUNCTION("""COMPUTED_VALUE"""),"")</f>
        <v/>
      </c>
      <c r="T417" s="80" t="str">
        <f>IFERROR(__xludf.DUMMYFUNCTION("""COMPUTED_VALUE"""),"")</f>
        <v/>
      </c>
      <c r="U417" s="71" t="str">
        <f>IFERROR(__xludf.DUMMYFUNCTION("""COMPUTED_VALUE"""),"")</f>
        <v/>
      </c>
      <c r="V417" s="78" t="str">
        <f>IFERROR(__xludf.DUMMYFUNCTION("""COMPUTED_VALUE"""),"")</f>
        <v/>
      </c>
      <c r="W417" s="62" t="str">
        <f>IFERROR(__xludf.DUMMYFUNCTION("""COMPUTED_VALUE"""),"")</f>
        <v/>
      </c>
      <c r="X417" s="80" t="str">
        <f>IFERROR(__xludf.DUMMYFUNCTION("""COMPUTED_VALUE"""),"")</f>
        <v/>
      </c>
      <c r="Y417" s="109" t="str">
        <f>IFERROR(__xludf.DUMMYFUNCTION("""COMPUTED_VALUE"""),"")</f>
        <v/>
      </c>
      <c r="Z417" s="71"/>
      <c r="AA417" s="71"/>
      <c r="AB417" s="71"/>
    </row>
    <row r="418">
      <c r="A418" s="71"/>
      <c r="B418" s="71"/>
      <c r="C418" s="71" t="str">
        <f>IFERROR(__xludf.DUMMYFUNCTION("""COMPUTED_VALUE"""),"")</f>
        <v/>
      </c>
      <c r="D418" s="71"/>
      <c r="E418" s="78">
        <f>IFERROR(__xludf.DUMMYFUNCTION("""COMPUTED_VALUE"""),0.0)</f>
        <v>0</v>
      </c>
      <c r="F418" s="71"/>
      <c r="G418" s="78" t="str">
        <f>IFERROR(__xludf.DUMMYFUNCTION("""COMPUTED_VALUE"""),"")</f>
        <v/>
      </c>
      <c r="H418" s="71">
        <f>IFERROR(__xludf.DUMMYFUNCTION("""COMPUTED_VALUE"""),0.0)</f>
        <v>0</v>
      </c>
      <c r="I418" s="80" t="str">
        <f>IFERROR(__xludf.DUMMYFUNCTION("""COMPUTED_VALUE"""),"")</f>
        <v/>
      </c>
      <c r="J418" s="71" t="str">
        <f>IFERROR(__xludf.DUMMYFUNCTION("""COMPUTED_VALUE"""),"")</f>
        <v/>
      </c>
      <c r="K418" s="71"/>
      <c r="L418" s="71" t="str">
        <f>IFERROR(__xludf.DUMMYFUNCTION("""COMPUTED_VALUE"""),"")</f>
        <v/>
      </c>
      <c r="M418" s="71" t="str">
        <f>IFERROR(__xludf.DUMMYFUNCTION("""COMPUTED_VALUE"""),"")</f>
        <v/>
      </c>
      <c r="N418" s="109" t="str">
        <f>IFERROR(__xludf.DUMMYFUNCTION("""COMPUTED_VALUE"""),"")</f>
        <v/>
      </c>
      <c r="O418" s="71" t="str">
        <f>IFERROR(__xludf.DUMMYFUNCTION("""COMPUTED_VALUE"""),"")</f>
        <v/>
      </c>
      <c r="P418" s="71" t="str">
        <f>IFERROR(__xludf.DUMMYFUNCTION("""COMPUTED_VALUE"""),"")</f>
        <v/>
      </c>
      <c r="Q418" s="78" t="str">
        <f>IFERROR(__xludf.DUMMYFUNCTION("""COMPUTED_VALUE"""),"")</f>
        <v/>
      </c>
      <c r="R418" s="78" t="str">
        <f>IFERROR(__xludf.DUMMYFUNCTION("""COMPUTED_VALUE"""),"")</f>
        <v/>
      </c>
      <c r="S418" s="80" t="str">
        <f>IFERROR(__xludf.DUMMYFUNCTION("""COMPUTED_VALUE"""),"")</f>
        <v/>
      </c>
      <c r="T418" s="80" t="str">
        <f>IFERROR(__xludf.DUMMYFUNCTION("""COMPUTED_VALUE"""),"")</f>
        <v/>
      </c>
      <c r="U418" s="71" t="str">
        <f>IFERROR(__xludf.DUMMYFUNCTION("""COMPUTED_VALUE"""),"")</f>
        <v/>
      </c>
      <c r="V418" s="78" t="str">
        <f>IFERROR(__xludf.DUMMYFUNCTION("""COMPUTED_VALUE"""),"")</f>
        <v/>
      </c>
      <c r="W418" s="62" t="str">
        <f>IFERROR(__xludf.DUMMYFUNCTION("""COMPUTED_VALUE"""),"")</f>
        <v/>
      </c>
      <c r="X418" s="80" t="str">
        <f>IFERROR(__xludf.DUMMYFUNCTION("""COMPUTED_VALUE"""),"")</f>
        <v/>
      </c>
      <c r="Y418" s="109" t="str">
        <f>IFERROR(__xludf.DUMMYFUNCTION("""COMPUTED_VALUE"""),"")</f>
        <v/>
      </c>
      <c r="Z418" s="71"/>
      <c r="AA418" s="71"/>
      <c r="AB418" s="71"/>
    </row>
    <row r="419">
      <c r="A419" s="71"/>
      <c r="B419" s="71"/>
      <c r="C419" s="71" t="str">
        <f>IFERROR(__xludf.DUMMYFUNCTION("""COMPUTED_VALUE"""),"")</f>
        <v/>
      </c>
      <c r="D419" s="71"/>
      <c r="E419" s="78">
        <f>IFERROR(__xludf.DUMMYFUNCTION("""COMPUTED_VALUE"""),0.0)</f>
        <v>0</v>
      </c>
      <c r="F419" s="71"/>
      <c r="G419" s="78" t="str">
        <f>IFERROR(__xludf.DUMMYFUNCTION("""COMPUTED_VALUE"""),"")</f>
        <v/>
      </c>
      <c r="H419" s="71">
        <f>IFERROR(__xludf.DUMMYFUNCTION("""COMPUTED_VALUE"""),0.0)</f>
        <v>0</v>
      </c>
      <c r="I419" s="80" t="str">
        <f>IFERROR(__xludf.DUMMYFUNCTION("""COMPUTED_VALUE"""),"")</f>
        <v/>
      </c>
      <c r="J419" s="71" t="str">
        <f>IFERROR(__xludf.DUMMYFUNCTION("""COMPUTED_VALUE"""),"")</f>
        <v/>
      </c>
      <c r="K419" s="71"/>
      <c r="L419" s="71" t="str">
        <f>IFERROR(__xludf.DUMMYFUNCTION("""COMPUTED_VALUE"""),"")</f>
        <v/>
      </c>
      <c r="M419" s="71" t="str">
        <f>IFERROR(__xludf.DUMMYFUNCTION("""COMPUTED_VALUE"""),"")</f>
        <v/>
      </c>
      <c r="N419" s="109" t="str">
        <f>IFERROR(__xludf.DUMMYFUNCTION("""COMPUTED_VALUE"""),"")</f>
        <v/>
      </c>
      <c r="O419" s="71" t="str">
        <f>IFERROR(__xludf.DUMMYFUNCTION("""COMPUTED_VALUE"""),"")</f>
        <v/>
      </c>
      <c r="P419" s="71" t="str">
        <f>IFERROR(__xludf.DUMMYFUNCTION("""COMPUTED_VALUE"""),"")</f>
        <v/>
      </c>
      <c r="Q419" s="78" t="str">
        <f>IFERROR(__xludf.DUMMYFUNCTION("""COMPUTED_VALUE"""),"")</f>
        <v/>
      </c>
      <c r="R419" s="78" t="str">
        <f>IFERROR(__xludf.DUMMYFUNCTION("""COMPUTED_VALUE"""),"")</f>
        <v/>
      </c>
      <c r="S419" s="80" t="str">
        <f>IFERROR(__xludf.DUMMYFUNCTION("""COMPUTED_VALUE"""),"")</f>
        <v/>
      </c>
      <c r="T419" s="80" t="str">
        <f>IFERROR(__xludf.DUMMYFUNCTION("""COMPUTED_VALUE"""),"")</f>
        <v/>
      </c>
      <c r="U419" s="71" t="str">
        <f>IFERROR(__xludf.DUMMYFUNCTION("""COMPUTED_VALUE"""),"")</f>
        <v/>
      </c>
      <c r="V419" s="78" t="str">
        <f>IFERROR(__xludf.DUMMYFUNCTION("""COMPUTED_VALUE"""),"")</f>
        <v/>
      </c>
      <c r="W419" s="62" t="str">
        <f>IFERROR(__xludf.DUMMYFUNCTION("""COMPUTED_VALUE"""),"")</f>
        <v/>
      </c>
      <c r="X419" s="80" t="str">
        <f>IFERROR(__xludf.DUMMYFUNCTION("""COMPUTED_VALUE"""),"")</f>
        <v/>
      </c>
      <c r="Y419" s="109" t="str">
        <f>IFERROR(__xludf.DUMMYFUNCTION("""COMPUTED_VALUE"""),"")</f>
        <v/>
      </c>
      <c r="Z419" s="71"/>
      <c r="AA419" s="71"/>
      <c r="AB419" s="71"/>
    </row>
    <row r="420">
      <c r="A420" s="71"/>
      <c r="B420" s="71"/>
      <c r="C420" s="71" t="str">
        <f>IFERROR(__xludf.DUMMYFUNCTION("""COMPUTED_VALUE"""),"")</f>
        <v/>
      </c>
      <c r="D420" s="71"/>
      <c r="E420" s="78">
        <f>IFERROR(__xludf.DUMMYFUNCTION("""COMPUTED_VALUE"""),0.0)</f>
        <v>0</v>
      </c>
      <c r="F420" s="71"/>
      <c r="G420" s="78" t="str">
        <f>IFERROR(__xludf.DUMMYFUNCTION("""COMPUTED_VALUE"""),"")</f>
        <v/>
      </c>
      <c r="H420" s="71">
        <f>IFERROR(__xludf.DUMMYFUNCTION("""COMPUTED_VALUE"""),0.0)</f>
        <v>0</v>
      </c>
      <c r="I420" s="80" t="str">
        <f>IFERROR(__xludf.DUMMYFUNCTION("""COMPUTED_VALUE"""),"")</f>
        <v/>
      </c>
      <c r="J420" s="71" t="str">
        <f>IFERROR(__xludf.DUMMYFUNCTION("""COMPUTED_VALUE"""),"")</f>
        <v/>
      </c>
      <c r="K420" s="71"/>
      <c r="L420" s="71" t="str">
        <f>IFERROR(__xludf.DUMMYFUNCTION("""COMPUTED_VALUE"""),"")</f>
        <v/>
      </c>
      <c r="M420" s="71" t="str">
        <f>IFERROR(__xludf.DUMMYFUNCTION("""COMPUTED_VALUE"""),"")</f>
        <v/>
      </c>
      <c r="N420" s="109" t="str">
        <f>IFERROR(__xludf.DUMMYFUNCTION("""COMPUTED_VALUE"""),"")</f>
        <v/>
      </c>
      <c r="O420" s="71" t="str">
        <f>IFERROR(__xludf.DUMMYFUNCTION("""COMPUTED_VALUE"""),"")</f>
        <v/>
      </c>
      <c r="P420" s="71" t="str">
        <f>IFERROR(__xludf.DUMMYFUNCTION("""COMPUTED_VALUE"""),"")</f>
        <v/>
      </c>
      <c r="Q420" s="78" t="str">
        <f>IFERROR(__xludf.DUMMYFUNCTION("""COMPUTED_VALUE"""),"")</f>
        <v/>
      </c>
      <c r="R420" s="78" t="str">
        <f>IFERROR(__xludf.DUMMYFUNCTION("""COMPUTED_VALUE"""),"")</f>
        <v/>
      </c>
      <c r="S420" s="80" t="str">
        <f>IFERROR(__xludf.DUMMYFUNCTION("""COMPUTED_VALUE"""),"")</f>
        <v/>
      </c>
      <c r="T420" s="80" t="str">
        <f>IFERROR(__xludf.DUMMYFUNCTION("""COMPUTED_VALUE"""),"")</f>
        <v/>
      </c>
      <c r="U420" s="71" t="str">
        <f>IFERROR(__xludf.DUMMYFUNCTION("""COMPUTED_VALUE"""),"")</f>
        <v/>
      </c>
      <c r="V420" s="78" t="str">
        <f>IFERROR(__xludf.DUMMYFUNCTION("""COMPUTED_VALUE"""),"")</f>
        <v/>
      </c>
      <c r="W420" s="62" t="str">
        <f>IFERROR(__xludf.DUMMYFUNCTION("""COMPUTED_VALUE"""),"")</f>
        <v/>
      </c>
      <c r="X420" s="80" t="str">
        <f>IFERROR(__xludf.DUMMYFUNCTION("""COMPUTED_VALUE"""),"")</f>
        <v/>
      </c>
      <c r="Y420" s="109" t="str">
        <f>IFERROR(__xludf.DUMMYFUNCTION("""COMPUTED_VALUE"""),"")</f>
        <v/>
      </c>
      <c r="Z420" s="71"/>
      <c r="AA420" s="71"/>
      <c r="AB420" s="71"/>
    </row>
    <row r="421">
      <c r="A421" s="71"/>
      <c r="B421" s="71"/>
      <c r="C421" s="71" t="str">
        <f>IFERROR(__xludf.DUMMYFUNCTION("""COMPUTED_VALUE"""),"")</f>
        <v/>
      </c>
      <c r="D421" s="71"/>
      <c r="E421" s="78">
        <f>IFERROR(__xludf.DUMMYFUNCTION("""COMPUTED_VALUE"""),0.0)</f>
        <v>0</v>
      </c>
      <c r="F421" s="71"/>
      <c r="G421" s="78" t="str">
        <f>IFERROR(__xludf.DUMMYFUNCTION("""COMPUTED_VALUE"""),"")</f>
        <v/>
      </c>
      <c r="H421" s="71">
        <f>IFERROR(__xludf.DUMMYFUNCTION("""COMPUTED_VALUE"""),0.0)</f>
        <v>0</v>
      </c>
      <c r="I421" s="80" t="str">
        <f>IFERROR(__xludf.DUMMYFUNCTION("""COMPUTED_VALUE"""),"")</f>
        <v/>
      </c>
      <c r="J421" s="71" t="str">
        <f>IFERROR(__xludf.DUMMYFUNCTION("""COMPUTED_VALUE"""),"")</f>
        <v/>
      </c>
      <c r="K421" s="71"/>
      <c r="L421" s="71" t="str">
        <f>IFERROR(__xludf.DUMMYFUNCTION("""COMPUTED_VALUE"""),"")</f>
        <v/>
      </c>
      <c r="M421" s="71" t="str">
        <f>IFERROR(__xludf.DUMMYFUNCTION("""COMPUTED_VALUE"""),"")</f>
        <v/>
      </c>
      <c r="N421" s="109" t="str">
        <f>IFERROR(__xludf.DUMMYFUNCTION("""COMPUTED_VALUE"""),"")</f>
        <v/>
      </c>
      <c r="O421" s="71" t="str">
        <f>IFERROR(__xludf.DUMMYFUNCTION("""COMPUTED_VALUE"""),"")</f>
        <v/>
      </c>
      <c r="P421" s="71" t="str">
        <f>IFERROR(__xludf.DUMMYFUNCTION("""COMPUTED_VALUE"""),"")</f>
        <v/>
      </c>
      <c r="Q421" s="78" t="str">
        <f>IFERROR(__xludf.DUMMYFUNCTION("""COMPUTED_VALUE"""),"")</f>
        <v/>
      </c>
      <c r="R421" s="78" t="str">
        <f>IFERROR(__xludf.DUMMYFUNCTION("""COMPUTED_VALUE"""),"")</f>
        <v/>
      </c>
      <c r="S421" s="80" t="str">
        <f>IFERROR(__xludf.DUMMYFUNCTION("""COMPUTED_VALUE"""),"")</f>
        <v/>
      </c>
      <c r="T421" s="80" t="str">
        <f>IFERROR(__xludf.DUMMYFUNCTION("""COMPUTED_VALUE"""),"")</f>
        <v/>
      </c>
      <c r="U421" s="71" t="str">
        <f>IFERROR(__xludf.DUMMYFUNCTION("""COMPUTED_VALUE"""),"")</f>
        <v/>
      </c>
      <c r="V421" s="78" t="str">
        <f>IFERROR(__xludf.DUMMYFUNCTION("""COMPUTED_VALUE"""),"")</f>
        <v/>
      </c>
      <c r="W421" s="62" t="str">
        <f>IFERROR(__xludf.DUMMYFUNCTION("""COMPUTED_VALUE"""),"")</f>
        <v/>
      </c>
      <c r="X421" s="80" t="str">
        <f>IFERROR(__xludf.DUMMYFUNCTION("""COMPUTED_VALUE"""),"")</f>
        <v/>
      </c>
      <c r="Y421" s="109" t="str">
        <f>IFERROR(__xludf.DUMMYFUNCTION("""COMPUTED_VALUE"""),"")</f>
        <v/>
      </c>
      <c r="Z421" s="71"/>
      <c r="AA421" s="71"/>
      <c r="AB421" s="71"/>
    </row>
    <row r="422">
      <c r="A422" s="71"/>
      <c r="B422" s="71"/>
      <c r="C422" s="71" t="str">
        <f>IFERROR(__xludf.DUMMYFUNCTION("""COMPUTED_VALUE"""),"")</f>
        <v/>
      </c>
      <c r="D422" s="71"/>
      <c r="E422" s="78">
        <f>IFERROR(__xludf.DUMMYFUNCTION("""COMPUTED_VALUE"""),0.0)</f>
        <v>0</v>
      </c>
      <c r="F422" s="71"/>
      <c r="G422" s="78" t="str">
        <f>IFERROR(__xludf.DUMMYFUNCTION("""COMPUTED_VALUE"""),"")</f>
        <v/>
      </c>
      <c r="H422" s="71">
        <f>IFERROR(__xludf.DUMMYFUNCTION("""COMPUTED_VALUE"""),0.0)</f>
        <v>0</v>
      </c>
      <c r="I422" s="80" t="str">
        <f>IFERROR(__xludf.DUMMYFUNCTION("""COMPUTED_VALUE"""),"")</f>
        <v/>
      </c>
      <c r="J422" s="71" t="str">
        <f>IFERROR(__xludf.DUMMYFUNCTION("""COMPUTED_VALUE"""),"")</f>
        <v/>
      </c>
      <c r="K422" s="71"/>
      <c r="L422" s="71" t="str">
        <f>IFERROR(__xludf.DUMMYFUNCTION("""COMPUTED_VALUE"""),"")</f>
        <v/>
      </c>
      <c r="M422" s="71" t="str">
        <f>IFERROR(__xludf.DUMMYFUNCTION("""COMPUTED_VALUE"""),"")</f>
        <v/>
      </c>
      <c r="N422" s="109" t="str">
        <f>IFERROR(__xludf.DUMMYFUNCTION("""COMPUTED_VALUE"""),"")</f>
        <v/>
      </c>
      <c r="O422" s="71" t="str">
        <f>IFERROR(__xludf.DUMMYFUNCTION("""COMPUTED_VALUE"""),"")</f>
        <v/>
      </c>
      <c r="P422" s="71" t="str">
        <f>IFERROR(__xludf.DUMMYFUNCTION("""COMPUTED_VALUE"""),"")</f>
        <v/>
      </c>
      <c r="Q422" s="78" t="str">
        <f>IFERROR(__xludf.DUMMYFUNCTION("""COMPUTED_VALUE"""),"")</f>
        <v/>
      </c>
      <c r="R422" s="78" t="str">
        <f>IFERROR(__xludf.DUMMYFUNCTION("""COMPUTED_VALUE"""),"")</f>
        <v/>
      </c>
      <c r="S422" s="80" t="str">
        <f>IFERROR(__xludf.DUMMYFUNCTION("""COMPUTED_VALUE"""),"")</f>
        <v/>
      </c>
      <c r="T422" s="80" t="str">
        <f>IFERROR(__xludf.DUMMYFUNCTION("""COMPUTED_VALUE"""),"")</f>
        <v/>
      </c>
      <c r="U422" s="71" t="str">
        <f>IFERROR(__xludf.DUMMYFUNCTION("""COMPUTED_VALUE"""),"")</f>
        <v/>
      </c>
      <c r="V422" s="78" t="str">
        <f>IFERROR(__xludf.DUMMYFUNCTION("""COMPUTED_VALUE"""),"")</f>
        <v/>
      </c>
      <c r="W422" s="62" t="str">
        <f>IFERROR(__xludf.DUMMYFUNCTION("""COMPUTED_VALUE"""),"")</f>
        <v/>
      </c>
      <c r="X422" s="80" t="str">
        <f>IFERROR(__xludf.DUMMYFUNCTION("""COMPUTED_VALUE"""),"")</f>
        <v/>
      </c>
      <c r="Y422" s="109" t="str">
        <f>IFERROR(__xludf.DUMMYFUNCTION("""COMPUTED_VALUE"""),"")</f>
        <v/>
      </c>
      <c r="Z422" s="71"/>
      <c r="AA422" s="71"/>
      <c r="AB422" s="71"/>
    </row>
    <row r="423">
      <c r="A423" s="71"/>
      <c r="B423" s="71"/>
      <c r="C423" s="71" t="str">
        <f>IFERROR(__xludf.DUMMYFUNCTION("""COMPUTED_VALUE"""),"")</f>
        <v/>
      </c>
      <c r="D423" s="71"/>
      <c r="E423" s="78">
        <f>IFERROR(__xludf.DUMMYFUNCTION("""COMPUTED_VALUE"""),0.0)</f>
        <v>0</v>
      </c>
      <c r="F423" s="71"/>
      <c r="G423" s="78" t="str">
        <f>IFERROR(__xludf.DUMMYFUNCTION("""COMPUTED_VALUE"""),"")</f>
        <v/>
      </c>
      <c r="H423" s="71">
        <f>IFERROR(__xludf.DUMMYFUNCTION("""COMPUTED_VALUE"""),0.0)</f>
        <v>0</v>
      </c>
      <c r="I423" s="80" t="str">
        <f>IFERROR(__xludf.DUMMYFUNCTION("""COMPUTED_VALUE"""),"")</f>
        <v/>
      </c>
      <c r="J423" s="71" t="str">
        <f>IFERROR(__xludf.DUMMYFUNCTION("""COMPUTED_VALUE"""),"")</f>
        <v/>
      </c>
      <c r="K423" s="71"/>
      <c r="L423" s="71" t="str">
        <f>IFERROR(__xludf.DUMMYFUNCTION("""COMPUTED_VALUE"""),"")</f>
        <v/>
      </c>
      <c r="M423" s="71" t="str">
        <f>IFERROR(__xludf.DUMMYFUNCTION("""COMPUTED_VALUE"""),"")</f>
        <v/>
      </c>
      <c r="N423" s="109" t="str">
        <f>IFERROR(__xludf.DUMMYFUNCTION("""COMPUTED_VALUE"""),"")</f>
        <v/>
      </c>
      <c r="O423" s="71" t="str">
        <f>IFERROR(__xludf.DUMMYFUNCTION("""COMPUTED_VALUE"""),"")</f>
        <v/>
      </c>
      <c r="P423" s="71" t="str">
        <f>IFERROR(__xludf.DUMMYFUNCTION("""COMPUTED_VALUE"""),"")</f>
        <v/>
      </c>
      <c r="Q423" s="78" t="str">
        <f>IFERROR(__xludf.DUMMYFUNCTION("""COMPUTED_VALUE"""),"")</f>
        <v/>
      </c>
      <c r="R423" s="78" t="str">
        <f>IFERROR(__xludf.DUMMYFUNCTION("""COMPUTED_VALUE"""),"")</f>
        <v/>
      </c>
      <c r="S423" s="80" t="str">
        <f>IFERROR(__xludf.DUMMYFUNCTION("""COMPUTED_VALUE"""),"")</f>
        <v/>
      </c>
      <c r="T423" s="80" t="str">
        <f>IFERROR(__xludf.DUMMYFUNCTION("""COMPUTED_VALUE"""),"")</f>
        <v/>
      </c>
      <c r="U423" s="71" t="str">
        <f>IFERROR(__xludf.DUMMYFUNCTION("""COMPUTED_VALUE"""),"")</f>
        <v/>
      </c>
      <c r="V423" s="78" t="str">
        <f>IFERROR(__xludf.DUMMYFUNCTION("""COMPUTED_VALUE"""),"")</f>
        <v/>
      </c>
      <c r="W423" s="62" t="str">
        <f>IFERROR(__xludf.DUMMYFUNCTION("""COMPUTED_VALUE"""),"")</f>
        <v/>
      </c>
      <c r="X423" s="80" t="str">
        <f>IFERROR(__xludf.DUMMYFUNCTION("""COMPUTED_VALUE"""),"")</f>
        <v/>
      </c>
      <c r="Y423" s="109" t="str">
        <f>IFERROR(__xludf.DUMMYFUNCTION("""COMPUTED_VALUE"""),"")</f>
        <v/>
      </c>
      <c r="Z423" s="71"/>
      <c r="AA423" s="71"/>
      <c r="AB423" s="71"/>
    </row>
    <row r="424">
      <c r="A424" s="71"/>
      <c r="B424" s="71"/>
      <c r="C424" s="71" t="str">
        <f>IFERROR(__xludf.DUMMYFUNCTION("""COMPUTED_VALUE"""),"")</f>
        <v/>
      </c>
      <c r="D424" s="71"/>
      <c r="E424" s="78">
        <f>IFERROR(__xludf.DUMMYFUNCTION("""COMPUTED_VALUE"""),0.0)</f>
        <v>0</v>
      </c>
      <c r="F424" s="71"/>
      <c r="G424" s="78" t="str">
        <f>IFERROR(__xludf.DUMMYFUNCTION("""COMPUTED_VALUE"""),"")</f>
        <v/>
      </c>
      <c r="H424" s="71">
        <f>IFERROR(__xludf.DUMMYFUNCTION("""COMPUTED_VALUE"""),0.0)</f>
        <v>0</v>
      </c>
      <c r="I424" s="80" t="str">
        <f>IFERROR(__xludf.DUMMYFUNCTION("""COMPUTED_VALUE"""),"")</f>
        <v/>
      </c>
      <c r="J424" s="71" t="str">
        <f>IFERROR(__xludf.DUMMYFUNCTION("""COMPUTED_VALUE"""),"")</f>
        <v/>
      </c>
      <c r="K424" s="71"/>
      <c r="L424" s="71" t="str">
        <f>IFERROR(__xludf.DUMMYFUNCTION("""COMPUTED_VALUE"""),"")</f>
        <v/>
      </c>
      <c r="M424" s="71" t="str">
        <f>IFERROR(__xludf.DUMMYFUNCTION("""COMPUTED_VALUE"""),"")</f>
        <v/>
      </c>
      <c r="N424" s="109" t="str">
        <f>IFERROR(__xludf.DUMMYFUNCTION("""COMPUTED_VALUE"""),"")</f>
        <v/>
      </c>
      <c r="O424" s="71" t="str">
        <f>IFERROR(__xludf.DUMMYFUNCTION("""COMPUTED_VALUE"""),"")</f>
        <v/>
      </c>
      <c r="P424" s="71" t="str">
        <f>IFERROR(__xludf.DUMMYFUNCTION("""COMPUTED_VALUE"""),"")</f>
        <v/>
      </c>
      <c r="Q424" s="78" t="str">
        <f>IFERROR(__xludf.DUMMYFUNCTION("""COMPUTED_VALUE"""),"")</f>
        <v/>
      </c>
      <c r="R424" s="78" t="str">
        <f>IFERROR(__xludf.DUMMYFUNCTION("""COMPUTED_VALUE"""),"")</f>
        <v/>
      </c>
      <c r="S424" s="80" t="str">
        <f>IFERROR(__xludf.DUMMYFUNCTION("""COMPUTED_VALUE"""),"")</f>
        <v/>
      </c>
      <c r="T424" s="80" t="str">
        <f>IFERROR(__xludf.DUMMYFUNCTION("""COMPUTED_VALUE"""),"")</f>
        <v/>
      </c>
      <c r="U424" s="71" t="str">
        <f>IFERROR(__xludf.DUMMYFUNCTION("""COMPUTED_VALUE"""),"")</f>
        <v/>
      </c>
      <c r="V424" s="78" t="str">
        <f>IFERROR(__xludf.DUMMYFUNCTION("""COMPUTED_VALUE"""),"")</f>
        <v/>
      </c>
      <c r="W424" s="62" t="str">
        <f>IFERROR(__xludf.DUMMYFUNCTION("""COMPUTED_VALUE"""),"")</f>
        <v/>
      </c>
      <c r="X424" s="80" t="str">
        <f>IFERROR(__xludf.DUMMYFUNCTION("""COMPUTED_VALUE"""),"")</f>
        <v/>
      </c>
      <c r="Y424" s="109" t="str">
        <f>IFERROR(__xludf.DUMMYFUNCTION("""COMPUTED_VALUE"""),"")</f>
        <v/>
      </c>
      <c r="Z424" s="71"/>
      <c r="AA424" s="71"/>
      <c r="AB424" s="71"/>
    </row>
    <row r="425">
      <c r="A425" s="71"/>
      <c r="B425" s="71"/>
      <c r="C425" s="71" t="str">
        <f>IFERROR(__xludf.DUMMYFUNCTION("""COMPUTED_VALUE"""),"")</f>
        <v/>
      </c>
      <c r="D425" s="71"/>
      <c r="E425" s="78">
        <f>IFERROR(__xludf.DUMMYFUNCTION("""COMPUTED_VALUE"""),0.0)</f>
        <v>0</v>
      </c>
      <c r="F425" s="71"/>
      <c r="G425" s="78" t="str">
        <f>IFERROR(__xludf.DUMMYFUNCTION("""COMPUTED_VALUE"""),"")</f>
        <v/>
      </c>
      <c r="H425" s="71">
        <f>IFERROR(__xludf.DUMMYFUNCTION("""COMPUTED_VALUE"""),0.0)</f>
        <v>0</v>
      </c>
      <c r="I425" s="80" t="str">
        <f>IFERROR(__xludf.DUMMYFUNCTION("""COMPUTED_VALUE"""),"")</f>
        <v/>
      </c>
      <c r="J425" s="71" t="str">
        <f>IFERROR(__xludf.DUMMYFUNCTION("""COMPUTED_VALUE"""),"")</f>
        <v/>
      </c>
      <c r="K425" s="71"/>
      <c r="L425" s="71" t="str">
        <f>IFERROR(__xludf.DUMMYFUNCTION("""COMPUTED_VALUE"""),"")</f>
        <v/>
      </c>
      <c r="M425" s="71" t="str">
        <f>IFERROR(__xludf.DUMMYFUNCTION("""COMPUTED_VALUE"""),"")</f>
        <v/>
      </c>
      <c r="N425" s="109" t="str">
        <f>IFERROR(__xludf.DUMMYFUNCTION("""COMPUTED_VALUE"""),"")</f>
        <v/>
      </c>
      <c r="O425" s="71" t="str">
        <f>IFERROR(__xludf.DUMMYFUNCTION("""COMPUTED_VALUE"""),"")</f>
        <v/>
      </c>
      <c r="P425" s="71" t="str">
        <f>IFERROR(__xludf.DUMMYFUNCTION("""COMPUTED_VALUE"""),"")</f>
        <v/>
      </c>
      <c r="Q425" s="78" t="str">
        <f>IFERROR(__xludf.DUMMYFUNCTION("""COMPUTED_VALUE"""),"")</f>
        <v/>
      </c>
      <c r="R425" s="78" t="str">
        <f>IFERROR(__xludf.DUMMYFUNCTION("""COMPUTED_VALUE"""),"")</f>
        <v/>
      </c>
      <c r="S425" s="80" t="str">
        <f>IFERROR(__xludf.DUMMYFUNCTION("""COMPUTED_VALUE"""),"")</f>
        <v/>
      </c>
      <c r="T425" s="80" t="str">
        <f>IFERROR(__xludf.DUMMYFUNCTION("""COMPUTED_VALUE"""),"")</f>
        <v/>
      </c>
      <c r="U425" s="71" t="str">
        <f>IFERROR(__xludf.DUMMYFUNCTION("""COMPUTED_VALUE"""),"")</f>
        <v/>
      </c>
      <c r="V425" s="78" t="str">
        <f>IFERROR(__xludf.DUMMYFUNCTION("""COMPUTED_VALUE"""),"")</f>
        <v/>
      </c>
      <c r="W425" s="62" t="str">
        <f>IFERROR(__xludf.DUMMYFUNCTION("""COMPUTED_VALUE"""),"")</f>
        <v/>
      </c>
      <c r="X425" s="80" t="str">
        <f>IFERROR(__xludf.DUMMYFUNCTION("""COMPUTED_VALUE"""),"")</f>
        <v/>
      </c>
      <c r="Y425" s="109" t="str">
        <f>IFERROR(__xludf.DUMMYFUNCTION("""COMPUTED_VALUE"""),"")</f>
        <v/>
      </c>
      <c r="Z425" s="71"/>
      <c r="AA425" s="71"/>
      <c r="AB425" s="71"/>
    </row>
    <row r="426">
      <c r="A426" s="71"/>
      <c r="B426" s="71"/>
      <c r="C426" s="71" t="str">
        <f>IFERROR(__xludf.DUMMYFUNCTION("""COMPUTED_VALUE"""),"")</f>
        <v/>
      </c>
      <c r="D426" s="71"/>
      <c r="E426" s="78">
        <f>IFERROR(__xludf.DUMMYFUNCTION("""COMPUTED_VALUE"""),0.0)</f>
        <v>0</v>
      </c>
      <c r="F426" s="71"/>
      <c r="G426" s="78" t="str">
        <f>IFERROR(__xludf.DUMMYFUNCTION("""COMPUTED_VALUE"""),"")</f>
        <v/>
      </c>
      <c r="H426" s="71">
        <f>IFERROR(__xludf.DUMMYFUNCTION("""COMPUTED_VALUE"""),0.0)</f>
        <v>0</v>
      </c>
      <c r="I426" s="80" t="str">
        <f>IFERROR(__xludf.DUMMYFUNCTION("""COMPUTED_VALUE"""),"")</f>
        <v/>
      </c>
      <c r="J426" s="71" t="str">
        <f>IFERROR(__xludf.DUMMYFUNCTION("""COMPUTED_VALUE"""),"")</f>
        <v/>
      </c>
      <c r="K426" s="71"/>
      <c r="L426" s="71" t="str">
        <f>IFERROR(__xludf.DUMMYFUNCTION("""COMPUTED_VALUE"""),"")</f>
        <v/>
      </c>
      <c r="M426" s="71" t="str">
        <f>IFERROR(__xludf.DUMMYFUNCTION("""COMPUTED_VALUE"""),"")</f>
        <v/>
      </c>
      <c r="N426" s="109" t="str">
        <f>IFERROR(__xludf.DUMMYFUNCTION("""COMPUTED_VALUE"""),"")</f>
        <v/>
      </c>
      <c r="O426" s="71" t="str">
        <f>IFERROR(__xludf.DUMMYFUNCTION("""COMPUTED_VALUE"""),"")</f>
        <v/>
      </c>
      <c r="P426" s="71" t="str">
        <f>IFERROR(__xludf.DUMMYFUNCTION("""COMPUTED_VALUE"""),"")</f>
        <v/>
      </c>
      <c r="Q426" s="78" t="str">
        <f>IFERROR(__xludf.DUMMYFUNCTION("""COMPUTED_VALUE"""),"")</f>
        <v/>
      </c>
      <c r="R426" s="78" t="str">
        <f>IFERROR(__xludf.DUMMYFUNCTION("""COMPUTED_VALUE"""),"")</f>
        <v/>
      </c>
      <c r="S426" s="80" t="str">
        <f>IFERROR(__xludf.DUMMYFUNCTION("""COMPUTED_VALUE"""),"")</f>
        <v/>
      </c>
      <c r="T426" s="80" t="str">
        <f>IFERROR(__xludf.DUMMYFUNCTION("""COMPUTED_VALUE"""),"")</f>
        <v/>
      </c>
      <c r="U426" s="71" t="str">
        <f>IFERROR(__xludf.DUMMYFUNCTION("""COMPUTED_VALUE"""),"")</f>
        <v/>
      </c>
      <c r="V426" s="78" t="str">
        <f>IFERROR(__xludf.DUMMYFUNCTION("""COMPUTED_VALUE"""),"")</f>
        <v/>
      </c>
      <c r="W426" s="62" t="str">
        <f>IFERROR(__xludf.DUMMYFUNCTION("""COMPUTED_VALUE"""),"")</f>
        <v/>
      </c>
      <c r="X426" s="80" t="str">
        <f>IFERROR(__xludf.DUMMYFUNCTION("""COMPUTED_VALUE"""),"")</f>
        <v/>
      </c>
      <c r="Y426" s="109" t="str">
        <f>IFERROR(__xludf.DUMMYFUNCTION("""COMPUTED_VALUE"""),"")</f>
        <v/>
      </c>
      <c r="Z426" s="71"/>
      <c r="AA426" s="71"/>
      <c r="AB426" s="71"/>
    </row>
    <row r="427">
      <c r="A427" s="71"/>
      <c r="B427" s="71"/>
      <c r="C427" s="71" t="str">
        <f>IFERROR(__xludf.DUMMYFUNCTION("""COMPUTED_VALUE"""),"")</f>
        <v/>
      </c>
      <c r="D427" s="71"/>
      <c r="E427" s="78">
        <f>IFERROR(__xludf.DUMMYFUNCTION("""COMPUTED_VALUE"""),0.0)</f>
        <v>0</v>
      </c>
      <c r="F427" s="71"/>
      <c r="G427" s="78" t="str">
        <f>IFERROR(__xludf.DUMMYFUNCTION("""COMPUTED_VALUE"""),"")</f>
        <v/>
      </c>
      <c r="H427" s="71">
        <f>IFERROR(__xludf.DUMMYFUNCTION("""COMPUTED_VALUE"""),0.0)</f>
        <v>0</v>
      </c>
      <c r="I427" s="80" t="str">
        <f>IFERROR(__xludf.DUMMYFUNCTION("""COMPUTED_VALUE"""),"")</f>
        <v/>
      </c>
      <c r="J427" s="71" t="str">
        <f>IFERROR(__xludf.DUMMYFUNCTION("""COMPUTED_VALUE"""),"")</f>
        <v/>
      </c>
      <c r="K427" s="71"/>
      <c r="L427" s="71" t="str">
        <f>IFERROR(__xludf.DUMMYFUNCTION("""COMPUTED_VALUE"""),"")</f>
        <v/>
      </c>
      <c r="M427" s="71" t="str">
        <f>IFERROR(__xludf.DUMMYFUNCTION("""COMPUTED_VALUE"""),"")</f>
        <v/>
      </c>
      <c r="N427" s="109" t="str">
        <f>IFERROR(__xludf.DUMMYFUNCTION("""COMPUTED_VALUE"""),"")</f>
        <v/>
      </c>
      <c r="O427" s="71" t="str">
        <f>IFERROR(__xludf.DUMMYFUNCTION("""COMPUTED_VALUE"""),"")</f>
        <v/>
      </c>
      <c r="P427" s="71" t="str">
        <f>IFERROR(__xludf.DUMMYFUNCTION("""COMPUTED_VALUE"""),"")</f>
        <v/>
      </c>
      <c r="Q427" s="78" t="str">
        <f>IFERROR(__xludf.DUMMYFUNCTION("""COMPUTED_VALUE"""),"")</f>
        <v/>
      </c>
      <c r="R427" s="78" t="str">
        <f>IFERROR(__xludf.DUMMYFUNCTION("""COMPUTED_VALUE"""),"")</f>
        <v/>
      </c>
      <c r="S427" s="80" t="str">
        <f>IFERROR(__xludf.DUMMYFUNCTION("""COMPUTED_VALUE"""),"")</f>
        <v/>
      </c>
      <c r="T427" s="80" t="str">
        <f>IFERROR(__xludf.DUMMYFUNCTION("""COMPUTED_VALUE"""),"")</f>
        <v/>
      </c>
      <c r="U427" s="71" t="str">
        <f>IFERROR(__xludf.DUMMYFUNCTION("""COMPUTED_VALUE"""),"")</f>
        <v/>
      </c>
      <c r="V427" s="78" t="str">
        <f>IFERROR(__xludf.DUMMYFUNCTION("""COMPUTED_VALUE"""),"")</f>
        <v/>
      </c>
      <c r="W427" s="62" t="str">
        <f>IFERROR(__xludf.DUMMYFUNCTION("""COMPUTED_VALUE"""),"")</f>
        <v/>
      </c>
      <c r="X427" s="80" t="str">
        <f>IFERROR(__xludf.DUMMYFUNCTION("""COMPUTED_VALUE"""),"")</f>
        <v/>
      </c>
      <c r="Y427" s="109" t="str">
        <f>IFERROR(__xludf.DUMMYFUNCTION("""COMPUTED_VALUE"""),"")</f>
        <v/>
      </c>
      <c r="Z427" s="71"/>
      <c r="AA427" s="71"/>
      <c r="AB427" s="71"/>
    </row>
    <row r="428">
      <c r="A428" s="71"/>
      <c r="B428" s="71"/>
      <c r="C428" s="71" t="str">
        <f>IFERROR(__xludf.DUMMYFUNCTION("""COMPUTED_VALUE"""),"")</f>
        <v/>
      </c>
      <c r="D428" s="71"/>
      <c r="E428" s="78">
        <f>IFERROR(__xludf.DUMMYFUNCTION("""COMPUTED_VALUE"""),0.0)</f>
        <v>0</v>
      </c>
      <c r="F428" s="71"/>
      <c r="G428" s="78" t="str">
        <f>IFERROR(__xludf.DUMMYFUNCTION("""COMPUTED_VALUE"""),"")</f>
        <v/>
      </c>
      <c r="H428" s="71">
        <f>IFERROR(__xludf.DUMMYFUNCTION("""COMPUTED_VALUE"""),0.0)</f>
        <v>0</v>
      </c>
      <c r="I428" s="80" t="str">
        <f>IFERROR(__xludf.DUMMYFUNCTION("""COMPUTED_VALUE"""),"")</f>
        <v/>
      </c>
      <c r="J428" s="71" t="str">
        <f>IFERROR(__xludf.DUMMYFUNCTION("""COMPUTED_VALUE"""),"")</f>
        <v/>
      </c>
      <c r="K428" s="71"/>
      <c r="L428" s="71" t="str">
        <f>IFERROR(__xludf.DUMMYFUNCTION("""COMPUTED_VALUE"""),"")</f>
        <v/>
      </c>
      <c r="M428" s="71" t="str">
        <f>IFERROR(__xludf.DUMMYFUNCTION("""COMPUTED_VALUE"""),"")</f>
        <v/>
      </c>
      <c r="N428" s="109" t="str">
        <f>IFERROR(__xludf.DUMMYFUNCTION("""COMPUTED_VALUE"""),"")</f>
        <v/>
      </c>
      <c r="O428" s="71" t="str">
        <f>IFERROR(__xludf.DUMMYFUNCTION("""COMPUTED_VALUE"""),"")</f>
        <v/>
      </c>
      <c r="P428" s="71" t="str">
        <f>IFERROR(__xludf.DUMMYFUNCTION("""COMPUTED_VALUE"""),"")</f>
        <v/>
      </c>
      <c r="Q428" s="78" t="str">
        <f>IFERROR(__xludf.DUMMYFUNCTION("""COMPUTED_VALUE"""),"")</f>
        <v/>
      </c>
      <c r="R428" s="78" t="str">
        <f>IFERROR(__xludf.DUMMYFUNCTION("""COMPUTED_VALUE"""),"")</f>
        <v/>
      </c>
      <c r="S428" s="80" t="str">
        <f>IFERROR(__xludf.DUMMYFUNCTION("""COMPUTED_VALUE"""),"")</f>
        <v/>
      </c>
      <c r="T428" s="80" t="str">
        <f>IFERROR(__xludf.DUMMYFUNCTION("""COMPUTED_VALUE"""),"")</f>
        <v/>
      </c>
      <c r="U428" s="71" t="str">
        <f>IFERROR(__xludf.DUMMYFUNCTION("""COMPUTED_VALUE"""),"")</f>
        <v/>
      </c>
      <c r="V428" s="78" t="str">
        <f>IFERROR(__xludf.DUMMYFUNCTION("""COMPUTED_VALUE"""),"")</f>
        <v/>
      </c>
      <c r="W428" s="62" t="str">
        <f>IFERROR(__xludf.DUMMYFUNCTION("""COMPUTED_VALUE"""),"")</f>
        <v/>
      </c>
      <c r="X428" s="80" t="str">
        <f>IFERROR(__xludf.DUMMYFUNCTION("""COMPUTED_VALUE"""),"")</f>
        <v/>
      </c>
      <c r="Y428" s="109" t="str">
        <f>IFERROR(__xludf.DUMMYFUNCTION("""COMPUTED_VALUE"""),"")</f>
        <v/>
      </c>
      <c r="Z428" s="71"/>
      <c r="AA428" s="71"/>
      <c r="AB428" s="71"/>
    </row>
    <row r="429">
      <c r="A429" s="71"/>
      <c r="B429" s="71"/>
      <c r="C429" s="71" t="str">
        <f>IFERROR(__xludf.DUMMYFUNCTION("""COMPUTED_VALUE"""),"")</f>
        <v/>
      </c>
      <c r="D429" s="71"/>
      <c r="E429" s="78"/>
      <c r="F429" s="71"/>
      <c r="G429" s="78" t="str">
        <f>IFERROR(__xludf.DUMMYFUNCTION("""COMPUTED_VALUE"""),"")</f>
        <v/>
      </c>
      <c r="H429" s="71"/>
      <c r="I429" s="80" t="str">
        <f>IFERROR(__xludf.DUMMYFUNCTION("""COMPUTED_VALUE"""),"")</f>
        <v/>
      </c>
      <c r="J429" s="71" t="str">
        <f>IFERROR(__xludf.DUMMYFUNCTION("""COMPUTED_VALUE"""),"")</f>
        <v/>
      </c>
      <c r="K429" s="71"/>
      <c r="L429" s="71" t="str">
        <f>IFERROR(__xludf.DUMMYFUNCTION("""COMPUTED_VALUE"""),"")</f>
        <v/>
      </c>
      <c r="M429" s="71"/>
      <c r="N429" s="109" t="str">
        <f>IFERROR(__xludf.DUMMYFUNCTION("""COMPUTED_VALUE"""),"")</f>
        <v/>
      </c>
      <c r="O429" s="71" t="str">
        <f>IFERROR(__xludf.DUMMYFUNCTION("""COMPUTED_VALUE"""),"")</f>
        <v/>
      </c>
      <c r="P429" s="71" t="str">
        <f>IFERROR(__xludf.DUMMYFUNCTION("""COMPUTED_VALUE"""),"")</f>
        <v/>
      </c>
      <c r="Q429" s="78" t="str">
        <f>IFERROR(__xludf.DUMMYFUNCTION("""COMPUTED_VALUE"""),"")</f>
        <v/>
      </c>
      <c r="R429" s="78" t="str">
        <f>IFERROR(__xludf.DUMMYFUNCTION("""COMPUTED_VALUE"""),"")</f>
        <v/>
      </c>
      <c r="S429" s="80" t="str">
        <f>IFERROR(__xludf.DUMMYFUNCTION("""COMPUTED_VALUE"""),"")</f>
        <v/>
      </c>
      <c r="T429" s="80" t="str">
        <f>IFERROR(__xludf.DUMMYFUNCTION("""COMPUTED_VALUE"""),"")</f>
        <v/>
      </c>
      <c r="U429" s="71" t="str">
        <f>IFERROR(__xludf.DUMMYFUNCTION("""COMPUTED_VALUE"""),"")</f>
        <v/>
      </c>
      <c r="V429" s="78" t="str">
        <f>IFERROR(__xludf.DUMMYFUNCTION("""COMPUTED_VALUE"""),"")</f>
        <v/>
      </c>
      <c r="W429" s="62" t="str">
        <f>IFERROR(__xludf.DUMMYFUNCTION("""COMPUTED_VALUE"""),"")</f>
        <v/>
      </c>
      <c r="X429" s="80" t="str">
        <f>IFERROR(__xludf.DUMMYFUNCTION("""COMPUTED_VALUE"""),"")</f>
        <v/>
      </c>
      <c r="Y429" s="109" t="str">
        <f>IFERROR(__xludf.DUMMYFUNCTION("""COMPUTED_VALUE"""),"")</f>
        <v/>
      </c>
      <c r="Z429" s="71"/>
      <c r="AA429" s="71"/>
      <c r="AB429" s="71"/>
    </row>
    <row r="430">
      <c r="A430" s="71"/>
      <c r="B430" s="71"/>
      <c r="C430" s="71" t="str">
        <f>IFERROR(__xludf.DUMMYFUNCTION("""COMPUTED_VALUE"""),"")</f>
        <v/>
      </c>
      <c r="D430" s="71"/>
      <c r="E430" s="78"/>
      <c r="F430" s="71"/>
      <c r="G430" s="78" t="str">
        <f>IFERROR(__xludf.DUMMYFUNCTION("""COMPUTED_VALUE"""),"")</f>
        <v/>
      </c>
      <c r="H430" s="71"/>
      <c r="I430" s="80" t="str">
        <f>IFERROR(__xludf.DUMMYFUNCTION("""COMPUTED_VALUE"""),"")</f>
        <v/>
      </c>
      <c r="J430" s="71" t="str">
        <f>IFERROR(__xludf.DUMMYFUNCTION("""COMPUTED_VALUE"""),"")</f>
        <v/>
      </c>
      <c r="K430" s="71"/>
      <c r="L430" s="71" t="str">
        <f>IFERROR(__xludf.DUMMYFUNCTION("""COMPUTED_VALUE"""),"")</f>
        <v/>
      </c>
      <c r="M430" s="71"/>
      <c r="N430" s="109" t="str">
        <f>IFERROR(__xludf.DUMMYFUNCTION("""COMPUTED_VALUE"""),"")</f>
        <v/>
      </c>
      <c r="O430" s="71" t="str">
        <f>IFERROR(__xludf.DUMMYFUNCTION("""COMPUTED_VALUE"""),"")</f>
        <v/>
      </c>
      <c r="P430" s="71" t="str">
        <f>IFERROR(__xludf.DUMMYFUNCTION("""COMPUTED_VALUE"""),"")</f>
        <v/>
      </c>
      <c r="Q430" s="78" t="str">
        <f>IFERROR(__xludf.DUMMYFUNCTION("""COMPUTED_VALUE"""),"")</f>
        <v/>
      </c>
      <c r="R430" s="78" t="str">
        <f>IFERROR(__xludf.DUMMYFUNCTION("""COMPUTED_VALUE"""),"")</f>
        <v/>
      </c>
      <c r="S430" s="80" t="str">
        <f>IFERROR(__xludf.DUMMYFUNCTION("""COMPUTED_VALUE"""),"")</f>
        <v/>
      </c>
      <c r="T430" s="80" t="str">
        <f>IFERROR(__xludf.DUMMYFUNCTION("""COMPUTED_VALUE"""),"")</f>
        <v/>
      </c>
      <c r="U430" s="71" t="str">
        <f>IFERROR(__xludf.DUMMYFUNCTION("""COMPUTED_VALUE"""),"")</f>
        <v/>
      </c>
      <c r="V430" s="78" t="str">
        <f>IFERROR(__xludf.DUMMYFUNCTION("""COMPUTED_VALUE"""),"")</f>
        <v/>
      </c>
      <c r="W430" s="62" t="str">
        <f>IFERROR(__xludf.DUMMYFUNCTION("""COMPUTED_VALUE"""),"")</f>
        <v/>
      </c>
      <c r="X430" s="80" t="str">
        <f>IFERROR(__xludf.DUMMYFUNCTION("""COMPUTED_VALUE"""),"")</f>
        <v/>
      </c>
      <c r="Y430" s="109" t="str">
        <f>IFERROR(__xludf.DUMMYFUNCTION("""COMPUTED_VALUE"""),"")</f>
        <v/>
      </c>
      <c r="Z430" s="71"/>
      <c r="AA430" s="71"/>
      <c r="AB430" s="71"/>
    </row>
    <row r="431">
      <c r="A431" s="71"/>
      <c r="B431" s="71"/>
      <c r="C431" s="71" t="str">
        <f>IFERROR(__xludf.DUMMYFUNCTION("""COMPUTED_VALUE"""),"")</f>
        <v/>
      </c>
      <c r="D431" s="71"/>
      <c r="E431" s="78"/>
      <c r="F431" s="71"/>
      <c r="G431" s="78" t="str">
        <f>IFERROR(__xludf.DUMMYFUNCTION("""COMPUTED_VALUE"""),"")</f>
        <v/>
      </c>
      <c r="H431" s="71"/>
      <c r="I431" s="80" t="str">
        <f>IFERROR(__xludf.DUMMYFUNCTION("""COMPUTED_VALUE"""),"")</f>
        <v/>
      </c>
      <c r="J431" s="71" t="str">
        <f>IFERROR(__xludf.DUMMYFUNCTION("""COMPUTED_VALUE"""),"")</f>
        <v/>
      </c>
      <c r="K431" s="71"/>
      <c r="L431" s="71" t="str">
        <f>IFERROR(__xludf.DUMMYFUNCTION("""COMPUTED_VALUE"""),"")</f>
        <v/>
      </c>
      <c r="M431" s="71"/>
      <c r="N431" s="109" t="str">
        <f>IFERROR(__xludf.DUMMYFUNCTION("""COMPUTED_VALUE"""),"")</f>
        <v/>
      </c>
      <c r="O431" s="71" t="str">
        <f>IFERROR(__xludf.DUMMYFUNCTION("""COMPUTED_VALUE"""),"")</f>
        <v/>
      </c>
      <c r="P431" s="71" t="str">
        <f>IFERROR(__xludf.DUMMYFUNCTION("""COMPUTED_VALUE"""),"")</f>
        <v/>
      </c>
      <c r="Q431" s="78" t="str">
        <f>IFERROR(__xludf.DUMMYFUNCTION("""COMPUTED_VALUE"""),"")</f>
        <v/>
      </c>
      <c r="R431" s="78" t="str">
        <f>IFERROR(__xludf.DUMMYFUNCTION("""COMPUTED_VALUE"""),"")</f>
        <v/>
      </c>
      <c r="S431" s="80" t="str">
        <f>IFERROR(__xludf.DUMMYFUNCTION("""COMPUTED_VALUE"""),"")</f>
        <v/>
      </c>
      <c r="T431" s="80" t="str">
        <f>IFERROR(__xludf.DUMMYFUNCTION("""COMPUTED_VALUE"""),"")</f>
        <v/>
      </c>
      <c r="U431" s="71" t="str">
        <f>IFERROR(__xludf.DUMMYFUNCTION("""COMPUTED_VALUE"""),"")</f>
        <v/>
      </c>
      <c r="V431" s="78" t="str">
        <f>IFERROR(__xludf.DUMMYFUNCTION("""COMPUTED_VALUE"""),"")</f>
        <v/>
      </c>
      <c r="W431" s="62" t="str">
        <f>IFERROR(__xludf.DUMMYFUNCTION("""COMPUTED_VALUE"""),"")</f>
        <v/>
      </c>
      <c r="X431" s="80" t="str">
        <f>IFERROR(__xludf.DUMMYFUNCTION("""COMPUTED_VALUE"""),"")</f>
        <v/>
      </c>
      <c r="Y431" s="109" t="str">
        <f>IFERROR(__xludf.DUMMYFUNCTION("""COMPUTED_VALUE"""),"")</f>
        <v/>
      </c>
      <c r="Z431" s="71"/>
      <c r="AA431" s="71"/>
      <c r="AB431" s="71"/>
    </row>
    <row r="432">
      <c r="A432" s="71"/>
      <c r="B432" s="71"/>
      <c r="C432" s="71" t="str">
        <f>IFERROR(__xludf.DUMMYFUNCTION("""COMPUTED_VALUE"""),"")</f>
        <v/>
      </c>
      <c r="D432" s="71"/>
      <c r="E432" s="78"/>
      <c r="F432" s="71"/>
      <c r="G432" s="78" t="str">
        <f>IFERROR(__xludf.DUMMYFUNCTION("""COMPUTED_VALUE"""),"")</f>
        <v/>
      </c>
      <c r="H432" s="71"/>
      <c r="I432" s="80" t="str">
        <f>IFERROR(__xludf.DUMMYFUNCTION("""COMPUTED_VALUE"""),"")</f>
        <v/>
      </c>
      <c r="J432" s="71" t="str">
        <f>IFERROR(__xludf.DUMMYFUNCTION("""COMPUTED_VALUE"""),"")</f>
        <v/>
      </c>
      <c r="K432" s="71"/>
      <c r="L432" s="71" t="str">
        <f>IFERROR(__xludf.DUMMYFUNCTION("""COMPUTED_VALUE"""),"")</f>
        <v/>
      </c>
      <c r="M432" s="71"/>
      <c r="N432" s="109" t="str">
        <f>IFERROR(__xludf.DUMMYFUNCTION("""COMPUTED_VALUE"""),"")</f>
        <v/>
      </c>
      <c r="O432" s="71" t="str">
        <f>IFERROR(__xludf.DUMMYFUNCTION("""COMPUTED_VALUE"""),"")</f>
        <v/>
      </c>
      <c r="P432" s="71" t="str">
        <f>IFERROR(__xludf.DUMMYFUNCTION("""COMPUTED_VALUE"""),"")</f>
        <v/>
      </c>
      <c r="Q432" s="78" t="str">
        <f>IFERROR(__xludf.DUMMYFUNCTION("""COMPUTED_VALUE"""),"")</f>
        <v/>
      </c>
      <c r="R432" s="78" t="str">
        <f>IFERROR(__xludf.DUMMYFUNCTION("""COMPUTED_VALUE"""),"")</f>
        <v/>
      </c>
      <c r="S432" s="80" t="str">
        <f>IFERROR(__xludf.DUMMYFUNCTION("""COMPUTED_VALUE"""),"")</f>
        <v/>
      </c>
      <c r="T432" s="80" t="str">
        <f>IFERROR(__xludf.DUMMYFUNCTION("""COMPUTED_VALUE"""),"")</f>
        <v/>
      </c>
      <c r="U432" s="71" t="str">
        <f>IFERROR(__xludf.DUMMYFUNCTION("""COMPUTED_VALUE"""),"")</f>
        <v/>
      </c>
      <c r="V432" s="78" t="str">
        <f>IFERROR(__xludf.DUMMYFUNCTION("""COMPUTED_VALUE"""),"")</f>
        <v/>
      </c>
      <c r="W432" s="62" t="str">
        <f>IFERROR(__xludf.DUMMYFUNCTION("""COMPUTED_VALUE"""),"")</f>
        <v/>
      </c>
      <c r="X432" s="80" t="str">
        <f>IFERROR(__xludf.DUMMYFUNCTION("""COMPUTED_VALUE"""),"")</f>
        <v/>
      </c>
      <c r="Y432" s="109" t="str">
        <f>IFERROR(__xludf.DUMMYFUNCTION("""COMPUTED_VALUE"""),"")</f>
        <v/>
      </c>
      <c r="Z432" s="71"/>
      <c r="AA432" s="71"/>
      <c r="AB432" s="71"/>
    </row>
    <row r="433">
      <c r="A433" s="71"/>
      <c r="B433" s="71"/>
      <c r="C433" s="71" t="str">
        <f>IFERROR(__xludf.DUMMYFUNCTION("""COMPUTED_VALUE"""),"")</f>
        <v/>
      </c>
      <c r="D433" s="71"/>
      <c r="E433" s="78"/>
      <c r="F433" s="71"/>
      <c r="G433" s="78" t="str">
        <f>IFERROR(__xludf.DUMMYFUNCTION("""COMPUTED_VALUE"""),"")</f>
        <v/>
      </c>
      <c r="H433" s="71"/>
      <c r="I433" s="80" t="str">
        <f>IFERROR(__xludf.DUMMYFUNCTION("""COMPUTED_VALUE"""),"")</f>
        <v/>
      </c>
      <c r="J433" s="71" t="str">
        <f>IFERROR(__xludf.DUMMYFUNCTION("""COMPUTED_VALUE"""),"")</f>
        <v/>
      </c>
      <c r="K433" s="71"/>
      <c r="L433" s="71" t="str">
        <f>IFERROR(__xludf.DUMMYFUNCTION("""COMPUTED_VALUE"""),"")</f>
        <v/>
      </c>
      <c r="M433" s="71"/>
      <c r="N433" s="109" t="str">
        <f>IFERROR(__xludf.DUMMYFUNCTION("""COMPUTED_VALUE"""),"")</f>
        <v/>
      </c>
      <c r="O433" s="71" t="str">
        <f>IFERROR(__xludf.DUMMYFUNCTION("""COMPUTED_VALUE"""),"")</f>
        <v/>
      </c>
      <c r="P433" s="71" t="str">
        <f>IFERROR(__xludf.DUMMYFUNCTION("""COMPUTED_VALUE"""),"")</f>
        <v/>
      </c>
      <c r="Q433" s="78" t="str">
        <f>IFERROR(__xludf.DUMMYFUNCTION("""COMPUTED_VALUE"""),"")</f>
        <v/>
      </c>
      <c r="R433" s="78" t="str">
        <f>IFERROR(__xludf.DUMMYFUNCTION("""COMPUTED_VALUE"""),"")</f>
        <v/>
      </c>
      <c r="S433" s="80" t="str">
        <f>IFERROR(__xludf.DUMMYFUNCTION("""COMPUTED_VALUE"""),"")</f>
        <v/>
      </c>
      <c r="T433" s="80" t="str">
        <f>IFERROR(__xludf.DUMMYFUNCTION("""COMPUTED_VALUE"""),"")</f>
        <v/>
      </c>
      <c r="U433" s="71" t="str">
        <f>IFERROR(__xludf.DUMMYFUNCTION("""COMPUTED_VALUE"""),"")</f>
        <v/>
      </c>
      <c r="V433" s="78" t="str">
        <f>IFERROR(__xludf.DUMMYFUNCTION("""COMPUTED_VALUE"""),"")</f>
        <v/>
      </c>
      <c r="W433" s="62" t="str">
        <f>IFERROR(__xludf.DUMMYFUNCTION("""COMPUTED_VALUE"""),"")</f>
        <v/>
      </c>
      <c r="X433" s="80" t="str">
        <f>IFERROR(__xludf.DUMMYFUNCTION("""COMPUTED_VALUE"""),"")</f>
        <v/>
      </c>
      <c r="Y433" s="109" t="str">
        <f>IFERROR(__xludf.DUMMYFUNCTION("""COMPUTED_VALUE"""),"")</f>
        <v/>
      </c>
      <c r="Z433" s="71"/>
      <c r="AA433" s="71"/>
      <c r="AB433" s="71"/>
    </row>
    <row r="434">
      <c r="A434" s="71"/>
      <c r="B434" s="71"/>
      <c r="C434" s="71" t="str">
        <f>IFERROR(__xludf.DUMMYFUNCTION("""COMPUTED_VALUE"""),"")</f>
        <v/>
      </c>
      <c r="D434" s="71"/>
      <c r="E434" s="78"/>
      <c r="F434" s="71"/>
      <c r="G434" s="78" t="str">
        <f>IFERROR(__xludf.DUMMYFUNCTION("""COMPUTED_VALUE"""),"")</f>
        <v/>
      </c>
      <c r="H434" s="71"/>
      <c r="I434" s="80" t="str">
        <f>IFERROR(__xludf.DUMMYFUNCTION("""COMPUTED_VALUE"""),"")</f>
        <v/>
      </c>
      <c r="J434" s="71" t="str">
        <f>IFERROR(__xludf.DUMMYFUNCTION("""COMPUTED_VALUE"""),"")</f>
        <v/>
      </c>
      <c r="K434" s="71"/>
      <c r="L434" s="71" t="str">
        <f>IFERROR(__xludf.DUMMYFUNCTION("""COMPUTED_VALUE"""),"")</f>
        <v/>
      </c>
      <c r="M434" s="71"/>
      <c r="N434" s="109" t="str">
        <f>IFERROR(__xludf.DUMMYFUNCTION("""COMPUTED_VALUE"""),"")</f>
        <v/>
      </c>
      <c r="O434" s="71" t="str">
        <f>IFERROR(__xludf.DUMMYFUNCTION("""COMPUTED_VALUE"""),"")</f>
        <v/>
      </c>
      <c r="P434" s="71" t="str">
        <f>IFERROR(__xludf.DUMMYFUNCTION("""COMPUTED_VALUE"""),"")</f>
        <v/>
      </c>
      <c r="Q434" s="78" t="str">
        <f>IFERROR(__xludf.DUMMYFUNCTION("""COMPUTED_VALUE"""),"")</f>
        <v/>
      </c>
      <c r="R434" s="78" t="str">
        <f>IFERROR(__xludf.DUMMYFUNCTION("""COMPUTED_VALUE"""),"")</f>
        <v/>
      </c>
      <c r="S434" s="80" t="str">
        <f>IFERROR(__xludf.DUMMYFUNCTION("""COMPUTED_VALUE"""),"")</f>
        <v/>
      </c>
      <c r="T434" s="80" t="str">
        <f>IFERROR(__xludf.DUMMYFUNCTION("""COMPUTED_VALUE"""),"")</f>
        <v/>
      </c>
      <c r="U434" s="71" t="str">
        <f>IFERROR(__xludf.DUMMYFUNCTION("""COMPUTED_VALUE"""),"")</f>
        <v/>
      </c>
      <c r="V434" s="78" t="str">
        <f>IFERROR(__xludf.DUMMYFUNCTION("""COMPUTED_VALUE"""),"")</f>
        <v/>
      </c>
      <c r="W434" s="62" t="str">
        <f>IFERROR(__xludf.DUMMYFUNCTION("""COMPUTED_VALUE"""),"")</f>
        <v/>
      </c>
      <c r="X434" s="80" t="str">
        <f>IFERROR(__xludf.DUMMYFUNCTION("""COMPUTED_VALUE"""),"")</f>
        <v/>
      </c>
      <c r="Y434" s="109" t="str">
        <f>IFERROR(__xludf.DUMMYFUNCTION("""COMPUTED_VALUE"""),"")</f>
        <v/>
      </c>
      <c r="Z434" s="71"/>
      <c r="AA434" s="71"/>
      <c r="AB434" s="71"/>
    </row>
    <row r="435">
      <c r="A435" s="71"/>
      <c r="B435" s="71"/>
      <c r="C435" s="71" t="str">
        <f>IFERROR(__xludf.DUMMYFUNCTION("""COMPUTED_VALUE"""),"")</f>
        <v/>
      </c>
      <c r="D435" s="71"/>
      <c r="E435" s="78"/>
      <c r="F435" s="71"/>
      <c r="G435" s="78" t="str">
        <f>IFERROR(__xludf.DUMMYFUNCTION("""COMPUTED_VALUE"""),"")</f>
        <v/>
      </c>
      <c r="H435" s="71"/>
      <c r="I435" s="80" t="str">
        <f>IFERROR(__xludf.DUMMYFUNCTION("""COMPUTED_VALUE"""),"")</f>
        <v/>
      </c>
      <c r="J435" s="71" t="str">
        <f>IFERROR(__xludf.DUMMYFUNCTION("""COMPUTED_VALUE"""),"")</f>
        <v/>
      </c>
      <c r="K435" s="71"/>
      <c r="L435" s="71" t="str">
        <f>IFERROR(__xludf.DUMMYFUNCTION("""COMPUTED_VALUE"""),"")</f>
        <v/>
      </c>
      <c r="M435" s="71"/>
      <c r="N435" s="109" t="str">
        <f>IFERROR(__xludf.DUMMYFUNCTION("""COMPUTED_VALUE"""),"")</f>
        <v/>
      </c>
      <c r="O435" s="71" t="str">
        <f>IFERROR(__xludf.DUMMYFUNCTION("""COMPUTED_VALUE"""),"")</f>
        <v/>
      </c>
      <c r="P435" s="71" t="str">
        <f>IFERROR(__xludf.DUMMYFUNCTION("""COMPUTED_VALUE"""),"")</f>
        <v/>
      </c>
      <c r="Q435" s="78" t="str">
        <f>IFERROR(__xludf.DUMMYFUNCTION("""COMPUTED_VALUE"""),"")</f>
        <v/>
      </c>
      <c r="R435" s="78" t="str">
        <f>IFERROR(__xludf.DUMMYFUNCTION("""COMPUTED_VALUE"""),"")</f>
        <v/>
      </c>
      <c r="S435" s="80" t="str">
        <f>IFERROR(__xludf.DUMMYFUNCTION("""COMPUTED_VALUE"""),"")</f>
        <v/>
      </c>
      <c r="T435" s="80" t="str">
        <f>IFERROR(__xludf.DUMMYFUNCTION("""COMPUTED_VALUE"""),"")</f>
        <v/>
      </c>
      <c r="U435" s="71" t="str">
        <f>IFERROR(__xludf.DUMMYFUNCTION("""COMPUTED_VALUE"""),"")</f>
        <v/>
      </c>
      <c r="V435" s="78" t="str">
        <f>IFERROR(__xludf.DUMMYFUNCTION("""COMPUTED_VALUE"""),"")</f>
        <v/>
      </c>
      <c r="W435" s="62" t="str">
        <f>IFERROR(__xludf.DUMMYFUNCTION("""COMPUTED_VALUE"""),"")</f>
        <v/>
      </c>
      <c r="X435" s="80" t="str">
        <f>IFERROR(__xludf.DUMMYFUNCTION("""COMPUTED_VALUE"""),"")</f>
        <v/>
      </c>
      <c r="Y435" s="109" t="str">
        <f>IFERROR(__xludf.DUMMYFUNCTION("""COMPUTED_VALUE"""),"")</f>
        <v/>
      </c>
      <c r="Z435" s="71"/>
      <c r="AA435" s="71"/>
      <c r="AB435" s="71"/>
    </row>
    <row r="436">
      <c r="A436" s="71"/>
      <c r="B436" s="71"/>
      <c r="C436" s="71" t="str">
        <f>IFERROR(__xludf.DUMMYFUNCTION("""COMPUTED_VALUE"""),"")</f>
        <v/>
      </c>
      <c r="D436" s="71"/>
      <c r="E436" s="78"/>
      <c r="F436" s="71"/>
      <c r="G436" s="78" t="str">
        <f>IFERROR(__xludf.DUMMYFUNCTION("""COMPUTED_VALUE"""),"")</f>
        <v/>
      </c>
      <c r="H436" s="71"/>
      <c r="I436" s="80" t="str">
        <f>IFERROR(__xludf.DUMMYFUNCTION("""COMPUTED_VALUE"""),"")</f>
        <v/>
      </c>
      <c r="J436" s="71" t="str">
        <f>IFERROR(__xludf.DUMMYFUNCTION("""COMPUTED_VALUE"""),"")</f>
        <v/>
      </c>
      <c r="K436" s="71"/>
      <c r="L436" s="71" t="str">
        <f>IFERROR(__xludf.DUMMYFUNCTION("""COMPUTED_VALUE"""),"")</f>
        <v/>
      </c>
      <c r="M436" s="71"/>
      <c r="N436" s="109" t="str">
        <f>IFERROR(__xludf.DUMMYFUNCTION("""COMPUTED_VALUE"""),"")</f>
        <v/>
      </c>
      <c r="O436" s="71" t="str">
        <f>IFERROR(__xludf.DUMMYFUNCTION("""COMPUTED_VALUE"""),"")</f>
        <v/>
      </c>
      <c r="P436" s="71" t="str">
        <f>IFERROR(__xludf.DUMMYFUNCTION("""COMPUTED_VALUE"""),"")</f>
        <v/>
      </c>
      <c r="Q436" s="78" t="str">
        <f>IFERROR(__xludf.DUMMYFUNCTION("""COMPUTED_VALUE"""),"")</f>
        <v/>
      </c>
      <c r="R436" s="78" t="str">
        <f>IFERROR(__xludf.DUMMYFUNCTION("""COMPUTED_VALUE"""),"")</f>
        <v/>
      </c>
      <c r="S436" s="80" t="str">
        <f>IFERROR(__xludf.DUMMYFUNCTION("""COMPUTED_VALUE"""),"")</f>
        <v/>
      </c>
      <c r="T436" s="80" t="str">
        <f>IFERROR(__xludf.DUMMYFUNCTION("""COMPUTED_VALUE"""),"")</f>
        <v/>
      </c>
      <c r="U436" s="71" t="str">
        <f>IFERROR(__xludf.DUMMYFUNCTION("""COMPUTED_VALUE"""),"")</f>
        <v/>
      </c>
      <c r="V436" s="78" t="str">
        <f>IFERROR(__xludf.DUMMYFUNCTION("""COMPUTED_VALUE"""),"")</f>
        <v/>
      </c>
      <c r="W436" s="62" t="str">
        <f>IFERROR(__xludf.DUMMYFUNCTION("""COMPUTED_VALUE"""),"")</f>
        <v/>
      </c>
      <c r="X436" s="80" t="str">
        <f>IFERROR(__xludf.DUMMYFUNCTION("""COMPUTED_VALUE"""),"")</f>
        <v/>
      </c>
      <c r="Y436" s="109" t="str">
        <f>IFERROR(__xludf.DUMMYFUNCTION("""COMPUTED_VALUE"""),"")</f>
        <v/>
      </c>
      <c r="Z436" s="71"/>
      <c r="AA436" s="71"/>
      <c r="AB436" s="71"/>
    </row>
    <row r="437">
      <c r="A437" s="71"/>
      <c r="B437" s="71"/>
      <c r="C437" s="71" t="str">
        <f>IFERROR(__xludf.DUMMYFUNCTION("""COMPUTED_VALUE"""),"")</f>
        <v/>
      </c>
      <c r="D437" s="71"/>
      <c r="E437" s="78"/>
      <c r="F437" s="71"/>
      <c r="G437" s="78" t="str">
        <f>IFERROR(__xludf.DUMMYFUNCTION("""COMPUTED_VALUE"""),"")</f>
        <v/>
      </c>
      <c r="H437" s="71"/>
      <c r="I437" s="80" t="str">
        <f>IFERROR(__xludf.DUMMYFUNCTION("""COMPUTED_VALUE"""),"")</f>
        <v/>
      </c>
      <c r="J437" s="71" t="str">
        <f>IFERROR(__xludf.DUMMYFUNCTION("""COMPUTED_VALUE"""),"")</f>
        <v/>
      </c>
      <c r="K437" s="71"/>
      <c r="L437" s="71" t="str">
        <f>IFERROR(__xludf.DUMMYFUNCTION("""COMPUTED_VALUE"""),"")</f>
        <v/>
      </c>
      <c r="M437" s="71"/>
      <c r="N437" s="109" t="str">
        <f>IFERROR(__xludf.DUMMYFUNCTION("""COMPUTED_VALUE"""),"")</f>
        <v/>
      </c>
      <c r="O437" s="71" t="str">
        <f>IFERROR(__xludf.DUMMYFUNCTION("""COMPUTED_VALUE"""),"")</f>
        <v/>
      </c>
      <c r="P437" s="71" t="str">
        <f>IFERROR(__xludf.DUMMYFUNCTION("""COMPUTED_VALUE"""),"")</f>
        <v/>
      </c>
      <c r="Q437" s="78" t="str">
        <f>IFERROR(__xludf.DUMMYFUNCTION("""COMPUTED_VALUE"""),"")</f>
        <v/>
      </c>
      <c r="R437" s="78" t="str">
        <f>IFERROR(__xludf.DUMMYFUNCTION("""COMPUTED_VALUE"""),"")</f>
        <v/>
      </c>
      <c r="S437" s="80" t="str">
        <f>IFERROR(__xludf.DUMMYFUNCTION("""COMPUTED_VALUE"""),"")</f>
        <v/>
      </c>
      <c r="T437" s="80" t="str">
        <f>IFERROR(__xludf.DUMMYFUNCTION("""COMPUTED_VALUE"""),"")</f>
        <v/>
      </c>
      <c r="U437" s="71" t="str">
        <f>IFERROR(__xludf.DUMMYFUNCTION("""COMPUTED_VALUE"""),"")</f>
        <v/>
      </c>
      <c r="V437" s="78" t="str">
        <f>IFERROR(__xludf.DUMMYFUNCTION("""COMPUTED_VALUE"""),"")</f>
        <v/>
      </c>
      <c r="W437" s="62" t="str">
        <f>IFERROR(__xludf.DUMMYFUNCTION("""COMPUTED_VALUE"""),"")</f>
        <v/>
      </c>
      <c r="X437" s="80" t="str">
        <f>IFERROR(__xludf.DUMMYFUNCTION("""COMPUTED_VALUE"""),"")</f>
        <v/>
      </c>
      <c r="Y437" s="109" t="str">
        <f>IFERROR(__xludf.DUMMYFUNCTION("""COMPUTED_VALUE"""),"")</f>
        <v/>
      </c>
      <c r="Z437" s="71"/>
      <c r="AA437" s="71"/>
      <c r="AB437" s="71"/>
    </row>
    <row r="438">
      <c r="A438" s="71"/>
      <c r="B438" s="71"/>
      <c r="C438" s="71" t="str">
        <f>IFERROR(__xludf.DUMMYFUNCTION("""COMPUTED_VALUE"""),"")</f>
        <v/>
      </c>
      <c r="D438" s="71"/>
      <c r="E438" s="78"/>
      <c r="F438" s="71"/>
      <c r="G438" s="78" t="str">
        <f>IFERROR(__xludf.DUMMYFUNCTION("""COMPUTED_VALUE"""),"")</f>
        <v/>
      </c>
      <c r="H438" s="71"/>
      <c r="I438" s="80" t="str">
        <f>IFERROR(__xludf.DUMMYFUNCTION("""COMPUTED_VALUE"""),"")</f>
        <v/>
      </c>
      <c r="J438" s="71" t="str">
        <f>IFERROR(__xludf.DUMMYFUNCTION("""COMPUTED_VALUE"""),"")</f>
        <v/>
      </c>
      <c r="K438" s="71"/>
      <c r="L438" s="71" t="str">
        <f>IFERROR(__xludf.DUMMYFUNCTION("""COMPUTED_VALUE"""),"")</f>
        <v/>
      </c>
      <c r="M438" s="71"/>
      <c r="N438" s="109" t="str">
        <f>IFERROR(__xludf.DUMMYFUNCTION("""COMPUTED_VALUE"""),"")</f>
        <v/>
      </c>
      <c r="O438" s="71" t="str">
        <f>IFERROR(__xludf.DUMMYFUNCTION("""COMPUTED_VALUE"""),"")</f>
        <v/>
      </c>
      <c r="P438" s="71" t="str">
        <f>IFERROR(__xludf.DUMMYFUNCTION("""COMPUTED_VALUE"""),"")</f>
        <v/>
      </c>
      <c r="Q438" s="78" t="str">
        <f>IFERROR(__xludf.DUMMYFUNCTION("""COMPUTED_VALUE"""),"")</f>
        <v/>
      </c>
      <c r="R438" s="78" t="str">
        <f>IFERROR(__xludf.DUMMYFUNCTION("""COMPUTED_VALUE"""),"")</f>
        <v/>
      </c>
      <c r="S438" s="80" t="str">
        <f>IFERROR(__xludf.DUMMYFUNCTION("""COMPUTED_VALUE"""),"")</f>
        <v/>
      </c>
      <c r="T438" s="80" t="str">
        <f>IFERROR(__xludf.DUMMYFUNCTION("""COMPUTED_VALUE"""),"")</f>
        <v/>
      </c>
      <c r="U438" s="71" t="str">
        <f>IFERROR(__xludf.DUMMYFUNCTION("""COMPUTED_VALUE"""),"")</f>
        <v/>
      </c>
      <c r="V438" s="78" t="str">
        <f>IFERROR(__xludf.DUMMYFUNCTION("""COMPUTED_VALUE"""),"")</f>
        <v/>
      </c>
      <c r="W438" s="62" t="str">
        <f>IFERROR(__xludf.DUMMYFUNCTION("""COMPUTED_VALUE"""),"")</f>
        <v/>
      </c>
      <c r="X438" s="80" t="str">
        <f>IFERROR(__xludf.DUMMYFUNCTION("""COMPUTED_VALUE"""),"")</f>
        <v/>
      </c>
      <c r="Y438" s="109" t="str">
        <f>IFERROR(__xludf.DUMMYFUNCTION("""COMPUTED_VALUE"""),"")</f>
        <v/>
      </c>
      <c r="Z438" s="71"/>
      <c r="AA438" s="71"/>
      <c r="AB438" s="71"/>
    </row>
    <row r="439">
      <c r="A439" s="71"/>
      <c r="B439" s="71"/>
      <c r="C439" s="71" t="str">
        <f>IFERROR(__xludf.DUMMYFUNCTION("""COMPUTED_VALUE"""),"")</f>
        <v/>
      </c>
      <c r="D439" s="71"/>
      <c r="E439" s="78"/>
      <c r="F439" s="71"/>
      <c r="G439" s="78" t="str">
        <f>IFERROR(__xludf.DUMMYFUNCTION("""COMPUTED_VALUE"""),"")</f>
        <v/>
      </c>
      <c r="H439" s="71"/>
      <c r="I439" s="80" t="str">
        <f>IFERROR(__xludf.DUMMYFUNCTION("""COMPUTED_VALUE"""),"")</f>
        <v/>
      </c>
      <c r="J439" s="71" t="str">
        <f>IFERROR(__xludf.DUMMYFUNCTION("""COMPUTED_VALUE"""),"")</f>
        <v/>
      </c>
      <c r="K439" s="71"/>
      <c r="L439" s="71" t="str">
        <f>IFERROR(__xludf.DUMMYFUNCTION("""COMPUTED_VALUE"""),"")</f>
        <v/>
      </c>
      <c r="M439" s="71"/>
      <c r="N439" s="109" t="str">
        <f>IFERROR(__xludf.DUMMYFUNCTION("""COMPUTED_VALUE"""),"")</f>
        <v/>
      </c>
      <c r="O439" s="71" t="str">
        <f>IFERROR(__xludf.DUMMYFUNCTION("""COMPUTED_VALUE"""),"")</f>
        <v/>
      </c>
      <c r="P439" s="71" t="str">
        <f>IFERROR(__xludf.DUMMYFUNCTION("""COMPUTED_VALUE"""),"")</f>
        <v/>
      </c>
      <c r="Q439" s="78" t="str">
        <f>IFERROR(__xludf.DUMMYFUNCTION("""COMPUTED_VALUE"""),"")</f>
        <v/>
      </c>
      <c r="R439" s="78" t="str">
        <f>IFERROR(__xludf.DUMMYFUNCTION("""COMPUTED_VALUE"""),"")</f>
        <v/>
      </c>
      <c r="S439" s="80" t="str">
        <f>IFERROR(__xludf.DUMMYFUNCTION("""COMPUTED_VALUE"""),"")</f>
        <v/>
      </c>
      <c r="T439" s="80" t="str">
        <f>IFERROR(__xludf.DUMMYFUNCTION("""COMPUTED_VALUE"""),"")</f>
        <v/>
      </c>
      <c r="U439" s="71" t="str">
        <f>IFERROR(__xludf.DUMMYFUNCTION("""COMPUTED_VALUE"""),"")</f>
        <v/>
      </c>
      <c r="V439" s="78" t="str">
        <f>IFERROR(__xludf.DUMMYFUNCTION("""COMPUTED_VALUE"""),"")</f>
        <v/>
      </c>
      <c r="W439" s="62" t="str">
        <f>IFERROR(__xludf.DUMMYFUNCTION("""COMPUTED_VALUE"""),"")</f>
        <v/>
      </c>
      <c r="X439" s="80" t="str">
        <f>IFERROR(__xludf.DUMMYFUNCTION("""COMPUTED_VALUE"""),"")</f>
        <v/>
      </c>
      <c r="Y439" s="109" t="str">
        <f>IFERROR(__xludf.DUMMYFUNCTION("""COMPUTED_VALUE"""),"")</f>
        <v/>
      </c>
      <c r="Z439" s="71"/>
      <c r="AA439" s="71"/>
      <c r="AB439" s="71"/>
    </row>
    <row r="440">
      <c r="A440" s="71"/>
      <c r="B440" s="71"/>
      <c r="C440" s="71" t="str">
        <f>IFERROR(__xludf.DUMMYFUNCTION("""COMPUTED_VALUE"""),"")</f>
        <v/>
      </c>
      <c r="D440" s="71"/>
      <c r="E440" s="78"/>
      <c r="F440" s="71"/>
      <c r="G440" s="78" t="str">
        <f>IFERROR(__xludf.DUMMYFUNCTION("""COMPUTED_VALUE"""),"")</f>
        <v/>
      </c>
      <c r="H440" s="71"/>
      <c r="I440" s="80" t="str">
        <f>IFERROR(__xludf.DUMMYFUNCTION("""COMPUTED_VALUE"""),"")</f>
        <v/>
      </c>
      <c r="J440" s="71" t="str">
        <f>IFERROR(__xludf.DUMMYFUNCTION("""COMPUTED_VALUE"""),"")</f>
        <v/>
      </c>
      <c r="K440" s="71"/>
      <c r="L440" s="71" t="str">
        <f>IFERROR(__xludf.DUMMYFUNCTION("""COMPUTED_VALUE"""),"")</f>
        <v/>
      </c>
      <c r="M440" s="71"/>
      <c r="N440" s="109" t="str">
        <f>IFERROR(__xludf.DUMMYFUNCTION("""COMPUTED_VALUE"""),"")</f>
        <v/>
      </c>
      <c r="O440" s="71" t="str">
        <f>IFERROR(__xludf.DUMMYFUNCTION("""COMPUTED_VALUE"""),"")</f>
        <v/>
      </c>
      <c r="P440" s="71" t="str">
        <f>IFERROR(__xludf.DUMMYFUNCTION("""COMPUTED_VALUE"""),"")</f>
        <v/>
      </c>
      <c r="Q440" s="78" t="str">
        <f>IFERROR(__xludf.DUMMYFUNCTION("""COMPUTED_VALUE"""),"")</f>
        <v/>
      </c>
      <c r="R440" s="78" t="str">
        <f>IFERROR(__xludf.DUMMYFUNCTION("""COMPUTED_VALUE"""),"")</f>
        <v/>
      </c>
      <c r="S440" s="80" t="str">
        <f>IFERROR(__xludf.DUMMYFUNCTION("""COMPUTED_VALUE"""),"")</f>
        <v/>
      </c>
      <c r="T440" s="80" t="str">
        <f>IFERROR(__xludf.DUMMYFUNCTION("""COMPUTED_VALUE"""),"")</f>
        <v/>
      </c>
      <c r="U440" s="71" t="str">
        <f>IFERROR(__xludf.DUMMYFUNCTION("""COMPUTED_VALUE"""),"")</f>
        <v/>
      </c>
      <c r="V440" s="78" t="str">
        <f>IFERROR(__xludf.DUMMYFUNCTION("""COMPUTED_VALUE"""),"")</f>
        <v/>
      </c>
      <c r="W440" s="62" t="str">
        <f>IFERROR(__xludf.DUMMYFUNCTION("""COMPUTED_VALUE"""),"")</f>
        <v/>
      </c>
      <c r="X440" s="80" t="str">
        <f>IFERROR(__xludf.DUMMYFUNCTION("""COMPUTED_VALUE"""),"")</f>
        <v/>
      </c>
      <c r="Y440" s="109" t="str">
        <f>IFERROR(__xludf.DUMMYFUNCTION("""COMPUTED_VALUE"""),"")</f>
        <v/>
      </c>
      <c r="Z440" s="71"/>
      <c r="AA440" s="71"/>
      <c r="AB440" s="71"/>
    </row>
    <row r="441">
      <c r="A441" s="71"/>
      <c r="B441" s="71"/>
      <c r="C441" s="71" t="str">
        <f>IFERROR(__xludf.DUMMYFUNCTION("""COMPUTED_VALUE"""),"")</f>
        <v/>
      </c>
      <c r="D441" s="71"/>
      <c r="E441" s="78"/>
      <c r="F441" s="71"/>
      <c r="G441" s="78" t="str">
        <f>IFERROR(__xludf.DUMMYFUNCTION("""COMPUTED_VALUE"""),"")</f>
        <v/>
      </c>
      <c r="H441" s="71"/>
      <c r="I441" s="80" t="str">
        <f>IFERROR(__xludf.DUMMYFUNCTION("""COMPUTED_VALUE"""),"")</f>
        <v/>
      </c>
      <c r="J441" s="71" t="str">
        <f>IFERROR(__xludf.DUMMYFUNCTION("""COMPUTED_VALUE"""),"")</f>
        <v/>
      </c>
      <c r="K441" s="71"/>
      <c r="L441" s="71" t="str">
        <f>IFERROR(__xludf.DUMMYFUNCTION("""COMPUTED_VALUE"""),"")</f>
        <v/>
      </c>
      <c r="M441" s="71"/>
      <c r="N441" s="109" t="str">
        <f>IFERROR(__xludf.DUMMYFUNCTION("""COMPUTED_VALUE"""),"")</f>
        <v/>
      </c>
      <c r="O441" s="71" t="str">
        <f>IFERROR(__xludf.DUMMYFUNCTION("""COMPUTED_VALUE"""),"")</f>
        <v/>
      </c>
      <c r="P441" s="71" t="str">
        <f>IFERROR(__xludf.DUMMYFUNCTION("""COMPUTED_VALUE"""),"")</f>
        <v/>
      </c>
      <c r="Q441" s="78" t="str">
        <f>IFERROR(__xludf.DUMMYFUNCTION("""COMPUTED_VALUE"""),"")</f>
        <v/>
      </c>
      <c r="R441" s="78" t="str">
        <f>IFERROR(__xludf.DUMMYFUNCTION("""COMPUTED_VALUE"""),"")</f>
        <v/>
      </c>
      <c r="S441" s="80" t="str">
        <f>IFERROR(__xludf.DUMMYFUNCTION("""COMPUTED_VALUE"""),"")</f>
        <v/>
      </c>
      <c r="T441" s="80" t="str">
        <f>IFERROR(__xludf.DUMMYFUNCTION("""COMPUTED_VALUE"""),"")</f>
        <v/>
      </c>
      <c r="U441" s="71" t="str">
        <f>IFERROR(__xludf.DUMMYFUNCTION("""COMPUTED_VALUE"""),"")</f>
        <v/>
      </c>
      <c r="V441" s="78" t="str">
        <f>IFERROR(__xludf.DUMMYFUNCTION("""COMPUTED_VALUE"""),"")</f>
        <v/>
      </c>
      <c r="W441" s="62" t="str">
        <f>IFERROR(__xludf.DUMMYFUNCTION("""COMPUTED_VALUE"""),"")</f>
        <v/>
      </c>
      <c r="X441" s="80" t="str">
        <f>IFERROR(__xludf.DUMMYFUNCTION("""COMPUTED_VALUE"""),"")</f>
        <v/>
      </c>
      <c r="Y441" s="109" t="str">
        <f>IFERROR(__xludf.DUMMYFUNCTION("""COMPUTED_VALUE"""),"")</f>
        <v/>
      </c>
      <c r="Z441" s="71"/>
      <c r="AA441" s="71"/>
      <c r="AB441" s="71"/>
    </row>
    <row r="442">
      <c r="A442" s="71"/>
      <c r="B442" s="71"/>
      <c r="C442" s="71" t="str">
        <f>IFERROR(__xludf.DUMMYFUNCTION("""COMPUTED_VALUE"""),"")</f>
        <v/>
      </c>
      <c r="D442" s="71"/>
      <c r="E442" s="78"/>
      <c r="F442" s="71"/>
      <c r="G442" s="78" t="str">
        <f>IFERROR(__xludf.DUMMYFUNCTION("""COMPUTED_VALUE"""),"")</f>
        <v/>
      </c>
      <c r="H442" s="71"/>
      <c r="I442" s="80" t="str">
        <f>IFERROR(__xludf.DUMMYFUNCTION("""COMPUTED_VALUE"""),"")</f>
        <v/>
      </c>
      <c r="J442" s="71" t="str">
        <f>IFERROR(__xludf.DUMMYFUNCTION("""COMPUTED_VALUE"""),"")</f>
        <v/>
      </c>
      <c r="K442" s="71"/>
      <c r="L442" s="71" t="str">
        <f>IFERROR(__xludf.DUMMYFUNCTION("""COMPUTED_VALUE"""),"")</f>
        <v/>
      </c>
      <c r="M442" s="71"/>
      <c r="N442" s="109" t="str">
        <f>IFERROR(__xludf.DUMMYFUNCTION("""COMPUTED_VALUE"""),"")</f>
        <v/>
      </c>
      <c r="O442" s="71" t="str">
        <f>IFERROR(__xludf.DUMMYFUNCTION("""COMPUTED_VALUE"""),"")</f>
        <v/>
      </c>
      <c r="P442" s="71" t="str">
        <f>IFERROR(__xludf.DUMMYFUNCTION("""COMPUTED_VALUE"""),"")</f>
        <v/>
      </c>
      <c r="Q442" s="78" t="str">
        <f>IFERROR(__xludf.DUMMYFUNCTION("""COMPUTED_VALUE"""),"")</f>
        <v/>
      </c>
      <c r="R442" s="78" t="str">
        <f>IFERROR(__xludf.DUMMYFUNCTION("""COMPUTED_VALUE"""),"")</f>
        <v/>
      </c>
      <c r="S442" s="80" t="str">
        <f>IFERROR(__xludf.DUMMYFUNCTION("""COMPUTED_VALUE"""),"")</f>
        <v/>
      </c>
      <c r="T442" s="80" t="str">
        <f>IFERROR(__xludf.DUMMYFUNCTION("""COMPUTED_VALUE"""),"")</f>
        <v/>
      </c>
      <c r="U442" s="71" t="str">
        <f>IFERROR(__xludf.DUMMYFUNCTION("""COMPUTED_VALUE"""),"")</f>
        <v/>
      </c>
      <c r="V442" s="78" t="str">
        <f>IFERROR(__xludf.DUMMYFUNCTION("""COMPUTED_VALUE"""),"")</f>
        <v/>
      </c>
      <c r="W442" s="62" t="str">
        <f>IFERROR(__xludf.DUMMYFUNCTION("""COMPUTED_VALUE"""),"")</f>
        <v/>
      </c>
      <c r="X442" s="80" t="str">
        <f>IFERROR(__xludf.DUMMYFUNCTION("""COMPUTED_VALUE"""),"")</f>
        <v/>
      </c>
      <c r="Y442" s="109" t="str">
        <f>IFERROR(__xludf.DUMMYFUNCTION("""COMPUTED_VALUE"""),"")</f>
        <v/>
      </c>
      <c r="Z442" s="71"/>
      <c r="AA442" s="71"/>
      <c r="AB442" s="71"/>
    </row>
    <row r="443">
      <c r="A443" s="71"/>
      <c r="B443" s="71"/>
      <c r="C443" s="71" t="str">
        <f>IFERROR(__xludf.DUMMYFUNCTION("""COMPUTED_VALUE"""),"")</f>
        <v/>
      </c>
      <c r="D443" s="71"/>
      <c r="E443" s="78"/>
      <c r="F443" s="71"/>
      <c r="G443" s="78" t="str">
        <f>IFERROR(__xludf.DUMMYFUNCTION("""COMPUTED_VALUE"""),"")</f>
        <v/>
      </c>
      <c r="H443" s="71"/>
      <c r="I443" s="80" t="str">
        <f>IFERROR(__xludf.DUMMYFUNCTION("""COMPUTED_VALUE"""),"")</f>
        <v/>
      </c>
      <c r="J443" s="71" t="str">
        <f>IFERROR(__xludf.DUMMYFUNCTION("""COMPUTED_VALUE"""),"")</f>
        <v/>
      </c>
      <c r="K443" s="71"/>
      <c r="L443" s="71" t="str">
        <f>IFERROR(__xludf.DUMMYFUNCTION("""COMPUTED_VALUE"""),"")</f>
        <v/>
      </c>
      <c r="M443" s="71"/>
      <c r="N443" s="109" t="str">
        <f>IFERROR(__xludf.DUMMYFUNCTION("""COMPUTED_VALUE"""),"")</f>
        <v/>
      </c>
      <c r="O443" s="71" t="str">
        <f>IFERROR(__xludf.DUMMYFUNCTION("""COMPUTED_VALUE"""),"")</f>
        <v/>
      </c>
      <c r="P443" s="71" t="str">
        <f>IFERROR(__xludf.DUMMYFUNCTION("""COMPUTED_VALUE"""),"")</f>
        <v/>
      </c>
      <c r="Q443" s="78" t="str">
        <f>IFERROR(__xludf.DUMMYFUNCTION("""COMPUTED_VALUE"""),"")</f>
        <v/>
      </c>
      <c r="R443" s="78" t="str">
        <f>IFERROR(__xludf.DUMMYFUNCTION("""COMPUTED_VALUE"""),"")</f>
        <v/>
      </c>
      <c r="S443" s="80" t="str">
        <f>IFERROR(__xludf.DUMMYFUNCTION("""COMPUTED_VALUE"""),"")</f>
        <v/>
      </c>
      <c r="T443" s="80" t="str">
        <f>IFERROR(__xludf.DUMMYFUNCTION("""COMPUTED_VALUE"""),"")</f>
        <v/>
      </c>
      <c r="U443" s="71" t="str">
        <f>IFERROR(__xludf.DUMMYFUNCTION("""COMPUTED_VALUE"""),"")</f>
        <v/>
      </c>
      <c r="V443" s="78" t="str">
        <f>IFERROR(__xludf.DUMMYFUNCTION("""COMPUTED_VALUE"""),"")</f>
        <v/>
      </c>
      <c r="W443" s="62" t="str">
        <f>IFERROR(__xludf.DUMMYFUNCTION("""COMPUTED_VALUE"""),"")</f>
        <v/>
      </c>
      <c r="X443" s="80" t="str">
        <f>IFERROR(__xludf.DUMMYFUNCTION("""COMPUTED_VALUE"""),"")</f>
        <v/>
      </c>
      <c r="Y443" s="109" t="str">
        <f>IFERROR(__xludf.DUMMYFUNCTION("""COMPUTED_VALUE"""),"")</f>
        <v/>
      </c>
      <c r="Z443" s="71"/>
      <c r="AA443" s="71"/>
      <c r="AB443" s="71"/>
    </row>
    <row r="444">
      <c r="A444" s="71"/>
      <c r="B444" s="71"/>
      <c r="C444" s="71" t="str">
        <f>IFERROR(__xludf.DUMMYFUNCTION("""COMPUTED_VALUE"""),"")</f>
        <v/>
      </c>
      <c r="D444" s="71"/>
      <c r="E444" s="78"/>
      <c r="F444" s="71"/>
      <c r="G444" s="78" t="str">
        <f>IFERROR(__xludf.DUMMYFUNCTION("""COMPUTED_VALUE"""),"")</f>
        <v/>
      </c>
      <c r="H444" s="71"/>
      <c r="I444" s="80" t="str">
        <f>IFERROR(__xludf.DUMMYFUNCTION("""COMPUTED_VALUE"""),"")</f>
        <v/>
      </c>
      <c r="J444" s="71" t="str">
        <f>IFERROR(__xludf.DUMMYFUNCTION("""COMPUTED_VALUE"""),"")</f>
        <v/>
      </c>
      <c r="K444" s="71"/>
      <c r="L444" s="71" t="str">
        <f>IFERROR(__xludf.DUMMYFUNCTION("""COMPUTED_VALUE"""),"")</f>
        <v/>
      </c>
      <c r="M444" s="71"/>
      <c r="N444" s="109" t="str">
        <f>IFERROR(__xludf.DUMMYFUNCTION("""COMPUTED_VALUE"""),"")</f>
        <v/>
      </c>
      <c r="O444" s="71" t="str">
        <f>IFERROR(__xludf.DUMMYFUNCTION("""COMPUTED_VALUE"""),"")</f>
        <v/>
      </c>
      <c r="P444" s="71" t="str">
        <f>IFERROR(__xludf.DUMMYFUNCTION("""COMPUTED_VALUE"""),"")</f>
        <v/>
      </c>
      <c r="Q444" s="78" t="str">
        <f>IFERROR(__xludf.DUMMYFUNCTION("""COMPUTED_VALUE"""),"")</f>
        <v/>
      </c>
      <c r="R444" s="78" t="str">
        <f>IFERROR(__xludf.DUMMYFUNCTION("""COMPUTED_VALUE"""),"")</f>
        <v/>
      </c>
      <c r="S444" s="80" t="str">
        <f>IFERROR(__xludf.DUMMYFUNCTION("""COMPUTED_VALUE"""),"")</f>
        <v/>
      </c>
      <c r="T444" s="80" t="str">
        <f>IFERROR(__xludf.DUMMYFUNCTION("""COMPUTED_VALUE"""),"")</f>
        <v/>
      </c>
      <c r="U444" s="71" t="str">
        <f>IFERROR(__xludf.DUMMYFUNCTION("""COMPUTED_VALUE"""),"")</f>
        <v/>
      </c>
      <c r="V444" s="78" t="str">
        <f>IFERROR(__xludf.DUMMYFUNCTION("""COMPUTED_VALUE"""),"")</f>
        <v/>
      </c>
      <c r="W444" s="62" t="str">
        <f>IFERROR(__xludf.DUMMYFUNCTION("""COMPUTED_VALUE"""),"")</f>
        <v/>
      </c>
      <c r="X444" s="80" t="str">
        <f>IFERROR(__xludf.DUMMYFUNCTION("""COMPUTED_VALUE"""),"")</f>
        <v/>
      </c>
      <c r="Y444" s="109" t="str">
        <f>IFERROR(__xludf.DUMMYFUNCTION("""COMPUTED_VALUE"""),"")</f>
        <v/>
      </c>
      <c r="Z444" s="71"/>
      <c r="AA444" s="71"/>
      <c r="AB444" s="71"/>
    </row>
    <row r="445">
      <c r="A445" s="71"/>
      <c r="B445" s="71"/>
      <c r="C445" s="71" t="str">
        <f>IFERROR(__xludf.DUMMYFUNCTION("""COMPUTED_VALUE"""),"")</f>
        <v/>
      </c>
      <c r="D445" s="71"/>
      <c r="E445" s="78"/>
      <c r="F445" s="71"/>
      <c r="G445" s="78" t="str">
        <f>IFERROR(__xludf.DUMMYFUNCTION("""COMPUTED_VALUE"""),"")</f>
        <v/>
      </c>
      <c r="H445" s="71"/>
      <c r="I445" s="80" t="str">
        <f>IFERROR(__xludf.DUMMYFUNCTION("""COMPUTED_VALUE"""),"")</f>
        <v/>
      </c>
      <c r="J445" s="71" t="str">
        <f>IFERROR(__xludf.DUMMYFUNCTION("""COMPUTED_VALUE"""),"")</f>
        <v/>
      </c>
      <c r="K445" s="71"/>
      <c r="L445" s="71" t="str">
        <f>IFERROR(__xludf.DUMMYFUNCTION("""COMPUTED_VALUE"""),"")</f>
        <v/>
      </c>
      <c r="M445" s="71"/>
      <c r="N445" s="109" t="str">
        <f>IFERROR(__xludf.DUMMYFUNCTION("""COMPUTED_VALUE"""),"")</f>
        <v/>
      </c>
      <c r="O445" s="71" t="str">
        <f>IFERROR(__xludf.DUMMYFUNCTION("""COMPUTED_VALUE"""),"")</f>
        <v/>
      </c>
      <c r="P445" s="71" t="str">
        <f>IFERROR(__xludf.DUMMYFUNCTION("""COMPUTED_VALUE"""),"")</f>
        <v/>
      </c>
      <c r="Q445" s="78" t="str">
        <f>IFERROR(__xludf.DUMMYFUNCTION("""COMPUTED_VALUE"""),"")</f>
        <v/>
      </c>
      <c r="R445" s="78" t="str">
        <f>IFERROR(__xludf.DUMMYFUNCTION("""COMPUTED_VALUE"""),"")</f>
        <v/>
      </c>
      <c r="S445" s="80" t="str">
        <f>IFERROR(__xludf.DUMMYFUNCTION("""COMPUTED_VALUE"""),"")</f>
        <v/>
      </c>
      <c r="T445" s="80" t="str">
        <f>IFERROR(__xludf.DUMMYFUNCTION("""COMPUTED_VALUE"""),"")</f>
        <v/>
      </c>
      <c r="U445" s="71" t="str">
        <f>IFERROR(__xludf.DUMMYFUNCTION("""COMPUTED_VALUE"""),"")</f>
        <v/>
      </c>
      <c r="V445" s="78" t="str">
        <f>IFERROR(__xludf.DUMMYFUNCTION("""COMPUTED_VALUE"""),"")</f>
        <v/>
      </c>
      <c r="W445" s="62" t="str">
        <f>IFERROR(__xludf.DUMMYFUNCTION("""COMPUTED_VALUE"""),"")</f>
        <v/>
      </c>
      <c r="X445" s="80" t="str">
        <f>IFERROR(__xludf.DUMMYFUNCTION("""COMPUTED_VALUE"""),"")</f>
        <v/>
      </c>
      <c r="Y445" s="109" t="str">
        <f>IFERROR(__xludf.DUMMYFUNCTION("""COMPUTED_VALUE"""),"")</f>
        <v/>
      </c>
      <c r="Z445" s="71"/>
      <c r="AA445" s="71"/>
      <c r="AB445" s="71"/>
    </row>
    <row r="446">
      <c r="A446" s="71"/>
      <c r="B446" s="71"/>
      <c r="C446" s="71" t="str">
        <f>IFERROR(__xludf.DUMMYFUNCTION("""COMPUTED_VALUE"""),"")</f>
        <v/>
      </c>
      <c r="D446" s="71"/>
      <c r="E446" s="78"/>
      <c r="F446" s="71"/>
      <c r="G446" s="78" t="str">
        <f>IFERROR(__xludf.DUMMYFUNCTION("""COMPUTED_VALUE"""),"")</f>
        <v/>
      </c>
      <c r="H446" s="71"/>
      <c r="I446" s="80" t="str">
        <f>IFERROR(__xludf.DUMMYFUNCTION("""COMPUTED_VALUE"""),"")</f>
        <v/>
      </c>
      <c r="J446" s="71" t="str">
        <f>IFERROR(__xludf.DUMMYFUNCTION("""COMPUTED_VALUE"""),"")</f>
        <v/>
      </c>
      <c r="K446" s="71"/>
      <c r="L446" s="71" t="str">
        <f>IFERROR(__xludf.DUMMYFUNCTION("""COMPUTED_VALUE"""),"")</f>
        <v/>
      </c>
      <c r="M446" s="71"/>
      <c r="N446" s="109" t="str">
        <f>IFERROR(__xludf.DUMMYFUNCTION("""COMPUTED_VALUE"""),"")</f>
        <v/>
      </c>
      <c r="O446" s="71" t="str">
        <f>IFERROR(__xludf.DUMMYFUNCTION("""COMPUTED_VALUE"""),"")</f>
        <v/>
      </c>
      <c r="P446" s="71" t="str">
        <f>IFERROR(__xludf.DUMMYFUNCTION("""COMPUTED_VALUE"""),"")</f>
        <v/>
      </c>
      <c r="Q446" s="78" t="str">
        <f>IFERROR(__xludf.DUMMYFUNCTION("""COMPUTED_VALUE"""),"")</f>
        <v/>
      </c>
      <c r="R446" s="78" t="str">
        <f>IFERROR(__xludf.DUMMYFUNCTION("""COMPUTED_VALUE"""),"")</f>
        <v/>
      </c>
      <c r="S446" s="80" t="str">
        <f>IFERROR(__xludf.DUMMYFUNCTION("""COMPUTED_VALUE"""),"")</f>
        <v/>
      </c>
      <c r="T446" s="80" t="str">
        <f>IFERROR(__xludf.DUMMYFUNCTION("""COMPUTED_VALUE"""),"")</f>
        <v/>
      </c>
      <c r="U446" s="71" t="str">
        <f>IFERROR(__xludf.DUMMYFUNCTION("""COMPUTED_VALUE"""),"")</f>
        <v/>
      </c>
      <c r="V446" s="78" t="str">
        <f>IFERROR(__xludf.DUMMYFUNCTION("""COMPUTED_VALUE"""),"")</f>
        <v/>
      </c>
      <c r="W446" s="62" t="str">
        <f>IFERROR(__xludf.DUMMYFUNCTION("""COMPUTED_VALUE"""),"")</f>
        <v/>
      </c>
      <c r="X446" s="80" t="str">
        <f>IFERROR(__xludf.DUMMYFUNCTION("""COMPUTED_VALUE"""),"")</f>
        <v/>
      </c>
      <c r="Y446" s="109" t="str">
        <f>IFERROR(__xludf.DUMMYFUNCTION("""COMPUTED_VALUE"""),"")</f>
        <v/>
      </c>
      <c r="Z446" s="71"/>
      <c r="AA446" s="71"/>
      <c r="AB446" s="71"/>
    </row>
    <row r="447">
      <c r="A447" s="71"/>
      <c r="B447" s="71"/>
      <c r="C447" s="71" t="str">
        <f>IFERROR(__xludf.DUMMYFUNCTION("""COMPUTED_VALUE"""),"")</f>
        <v/>
      </c>
      <c r="D447" s="71"/>
      <c r="E447" s="78"/>
      <c r="F447" s="71"/>
      <c r="G447" s="78" t="str">
        <f>IFERROR(__xludf.DUMMYFUNCTION("""COMPUTED_VALUE"""),"")</f>
        <v/>
      </c>
      <c r="H447" s="71"/>
      <c r="I447" s="80" t="str">
        <f>IFERROR(__xludf.DUMMYFUNCTION("""COMPUTED_VALUE"""),"")</f>
        <v/>
      </c>
      <c r="J447" s="71" t="str">
        <f>IFERROR(__xludf.DUMMYFUNCTION("""COMPUTED_VALUE"""),"")</f>
        <v/>
      </c>
      <c r="K447" s="71"/>
      <c r="L447" s="71" t="str">
        <f>IFERROR(__xludf.DUMMYFUNCTION("""COMPUTED_VALUE"""),"")</f>
        <v/>
      </c>
      <c r="M447" s="71"/>
      <c r="N447" s="109" t="str">
        <f>IFERROR(__xludf.DUMMYFUNCTION("""COMPUTED_VALUE"""),"")</f>
        <v/>
      </c>
      <c r="O447" s="71" t="str">
        <f>IFERROR(__xludf.DUMMYFUNCTION("""COMPUTED_VALUE"""),"")</f>
        <v/>
      </c>
      <c r="P447" s="71" t="str">
        <f>IFERROR(__xludf.DUMMYFUNCTION("""COMPUTED_VALUE"""),"")</f>
        <v/>
      </c>
      <c r="Q447" s="78" t="str">
        <f>IFERROR(__xludf.DUMMYFUNCTION("""COMPUTED_VALUE"""),"")</f>
        <v/>
      </c>
      <c r="R447" s="78" t="str">
        <f>IFERROR(__xludf.DUMMYFUNCTION("""COMPUTED_VALUE"""),"")</f>
        <v/>
      </c>
      <c r="S447" s="80" t="str">
        <f>IFERROR(__xludf.DUMMYFUNCTION("""COMPUTED_VALUE"""),"")</f>
        <v/>
      </c>
      <c r="T447" s="80" t="str">
        <f>IFERROR(__xludf.DUMMYFUNCTION("""COMPUTED_VALUE"""),"")</f>
        <v/>
      </c>
      <c r="U447" s="71" t="str">
        <f>IFERROR(__xludf.DUMMYFUNCTION("""COMPUTED_VALUE"""),"")</f>
        <v/>
      </c>
      <c r="V447" s="78" t="str">
        <f>IFERROR(__xludf.DUMMYFUNCTION("""COMPUTED_VALUE"""),"")</f>
        <v/>
      </c>
      <c r="W447" s="62" t="str">
        <f>IFERROR(__xludf.DUMMYFUNCTION("""COMPUTED_VALUE"""),"")</f>
        <v/>
      </c>
      <c r="X447" s="80" t="str">
        <f>IFERROR(__xludf.DUMMYFUNCTION("""COMPUTED_VALUE"""),"")</f>
        <v/>
      </c>
      <c r="Y447" s="109" t="str">
        <f>IFERROR(__xludf.DUMMYFUNCTION("""COMPUTED_VALUE"""),"")</f>
        <v/>
      </c>
      <c r="Z447" s="71"/>
      <c r="AA447" s="71"/>
      <c r="AB447" s="71"/>
    </row>
    <row r="448">
      <c r="A448" s="71"/>
      <c r="B448" s="71"/>
      <c r="C448" s="71" t="str">
        <f>IFERROR(__xludf.DUMMYFUNCTION("""COMPUTED_VALUE"""),"")</f>
        <v/>
      </c>
      <c r="D448" s="71"/>
      <c r="E448" s="78"/>
      <c r="F448" s="71"/>
      <c r="G448" s="78" t="str">
        <f>IFERROR(__xludf.DUMMYFUNCTION("""COMPUTED_VALUE"""),"")</f>
        <v/>
      </c>
      <c r="H448" s="71"/>
      <c r="I448" s="80" t="str">
        <f>IFERROR(__xludf.DUMMYFUNCTION("""COMPUTED_VALUE"""),"")</f>
        <v/>
      </c>
      <c r="J448" s="71" t="str">
        <f>IFERROR(__xludf.DUMMYFUNCTION("""COMPUTED_VALUE"""),"")</f>
        <v/>
      </c>
      <c r="K448" s="71"/>
      <c r="L448" s="71" t="str">
        <f>IFERROR(__xludf.DUMMYFUNCTION("""COMPUTED_VALUE"""),"")</f>
        <v/>
      </c>
      <c r="M448" s="71"/>
      <c r="N448" s="109" t="str">
        <f>IFERROR(__xludf.DUMMYFUNCTION("""COMPUTED_VALUE"""),"")</f>
        <v/>
      </c>
      <c r="O448" s="71" t="str">
        <f>IFERROR(__xludf.DUMMYFUNCTION("""COMPUTED_VALUE"""),"")</f>
        <v/>
      </c>
      <c r="P448" s="71" t="str">
        <f>IFERROR(__xludf.DUMMYFUNCTION("""COMPUTED_VALUE"""),"")</f>
        <v/>
      </c>
      <c r="Q448" s="78" t="str">
        <f>IFERROR(__xludf.DUMMYFUNCTION("""COMPUTED_VALUE"""),"")</f>
        <v/>
      </c>
      <c r="R448" s="78" t="str">
        <f>IFERROR(__xludf.DUMMYFUNCTION("""COMPUTED_VALUE"""),"")</f>
        <v/>
      </c>
      <c r="S448" s="80" t="str">
        <f>IFERROR(__xludf.DUMMYFUNCTION("""COMPUTED_VALUE"""),"")</f>
        <v/>
      </c>
      <c r="T448" s="80" t="str">
        <f>IFERROR(__xludf.DUMMYFUNCTION("""COMPUTED_VALUE"""),"")</f>
        <v/>
      </c>
      <c r="U448" s="71" t="str">
        <f>IFERROR(__xludf.DUMMYFUNCTION("""COMPUTED_VALUE"""),"")</f>
        <v/>
      </c>
      <c r="V448" s="78" t="str">
        <f>IFERROR(__xludf.DUMMYFUNCTION("""COMPUTED_VALUE"""),"")</f>
        <v/>
      </c>
      <c r="W448" s="62" t="str">
        <f>IFERROR(__xludf.DUMMYFUNCTION("""COMPUTED_VALUE"""),"")</f>
        <v/>
      </c>
      <c r="X448" s="80" t="str">
        <f>IFERROR(__xludf.DUMMYFUNCTION("""COMPUTED_VALUE"""),"")</f>
        <v/>
      </c>
      <c r="Y448" s="109" t="str">
        <f>IFERROR(__xludf.DUMMYFUNCTION("""COMPUTED_VALUE"""),"")</f>
        <v/>
      </c>
      <c r="Z448" s="71"/>
      <c r="AA448" s="71"/>
      <c r="AB448" s="71"/>
    </row>
    <row r="449">
      <c r="A449" s="71"/>
      <c r="B449" s="71"/>
      <c r="C449" s="71" t="str">
        <f>IFERROR(__xludf.DUMMYFUNCTION("""COMPUTED_VALUE"""),"")</f>
        <v/>
      </c>
      <c r="D449" s="71"/>
      <c r="E449" s="78"/>
      <c r="F449" s="71"/>
      <c r="G449" s="78" t="str">
        <f>IFERROR(__xludf.DUMMYFUNCTION("""COMPUTED_VALUE"""),"")</f>
        <v/>
      </c>
      <c r="H449" s="71"/>
      <c r="I449" s="80" t="str">
        <f>IFERROR(__xludf.DUMMYFUNCTION("""COMPUTED_VALUE"""),"")</f>
        <v/>
      </c>
      <c r="J449" s="71" t="str">
        <f>IFERROR(__xludf.DUMMYFUNCTION("""COMPUTED_VALUE"""),"")</f>
        <v/>
      </c>
      <c r="K449" s="71"/>
      <c r="L449" s="71" t="str">
        <f>IFERROR(__xludf.DUMMYFUNCTION("""COMPUTED_VALUE"""),"")</f>
        <v/>
      </c>
      <c r="M449" s="71"/>
      <c r="N449" s="109" t="str">
        <f>IFERROR(__xludf.DUMMYFUNCTION("""COMPUTED_VALUE"""),"")</f>
        <v/>
      </c>
      <c r="O449" s="71" t="str">
        <f>IFERROR(__xludf.DUMMYFUNCTION("""COMPUTED_VALUE"""),"")</f>
        <v/>
      </c>
      <c r="P449" s="71" t="str">
        <f>IFERROR(__xludf.DUMMYFUNCTION("""COMPUTED_VALUE"""),"")</f>
        <v/>
      </c>
      <c r="Q449" s="78" t="str">
        <f>IFERROR(__xludf.DUMMYFUNCTION("""COMPUTED_VALUE"""),"")</f>
        <v/>
      </c>
      <c r="R449" s="78" t="str">
        <f>IFERROR(__xludf.DUMMYFUNCTION("""COMPUTED_VALUE"""),"")</f>
        <v/>
      </c>
      <c r="S449" s="80" t="str">
        <f>IFERROR(__xludf.DUMMYFUNCTION("""COMPUTED_VALUE"""),"")</f>
        <v/>
      </c>
      <c r="T449" s="80" t="str">
        <f>IFERROR(__xludf.DUMMYFUNCTION("""COMPUTED_VALUE"""),"")</f>
        <v/>
      </c>
      <c r="U449" s="71" t="str">
        <f>IFERROR(__xludf.DUMMYFUNCTION("""COMPUTED_VALUE"""),"")</f>
        <v/>
      </c>
      <c r="V449" s="78" t="str">
        <f>IFERROR(__xludf.DUMMYFUNCTION("""COMPUTED_VALUE"""),"")</f>
        <v/>
      </c>
      <c r="W449" s="62" t="str">
        <f>IFERROR(__xludf.DUMMYFUNCTION("""COMPUTED_VALUE"""),"")</f>
        <v/>
      </c>
      <c r="X449" s="80" t="str">
        <f>IFERROR(__xludf.DUMMYFUNCTION("""COMPUTED_VALUE"""),"")</f>
        <v/>
      </c>
      <c r="Y449" s="109" t="str">
        <f>IFERROR(__xludf.DUMMYFUNCTION("""COMPUTED_VALUE"""),"")</f>
        <v/>
      </c>
      <c r="Z449" s="71"/>
      <c r="AA449" s="71"/>
      <c r="AB449" s="71"/>
    </row>
    <row r="450">
      <c r="A450" s="71"/>
      <c r="B450" s="71"/>
      <c r="C450" s="71" t="str">
        <f>IFERROR(__xludf.DUMMYFUNCTION("""COMPUTED_VALUE"""),"")</f>
        <v/>
      </c>
      <c r="D450" s="71"/>
      <c r="E450" s="78"/>
      <c r="F450" s="71"/>
      <c r="G450" s="78" t="str">
        <f>IFERROR(__xludf.DUMMYFUNCTION("""COMPUTED_VALUE"""),"")</f>
        <v/>
      </c>
      <c r="H450" s="71"/>
      <c r="I450" s="80" t="str">
        <f>IFERROR(__xludf.DUMMYFUNCTION("""COMPUTED_VALUE"""),"")</f>
        <v/>
      </c>
      <c r="J450" s="71" t="str">
        <f>IFERROR(__xludf.DUMMYFUNCTION("""COMPUTED_VALUE"""),"")</f>
        <v/>
      </c>
      <c r="K450" s="71"/>
      <c r="L450" s="71" t="str">
        <f>IFERROR(__xludf.DUMMYFUNCTION("""COMPUTED_VALUE"""),"")</f>
        <v/>
      </c>
      <c r="M450" s="71"/>
      <c r="N450" s="109" t="str">
        <f>IFERROR(__xludf.DUMMYFUNCTION("""COMPUTED_VALUE"""),"")</f>
        <v/>
      </c>
      <c r="O450" s="71" t="str">
        <f>IFERROR(__xludf.DUMMYFUNCTION("""COMPUTED_VALUE"""),"")</f>
        <v/>
      </c>
      <c r="P450" s="71" t="str">
        <f>IFERROR(__xludf.DUMMYFUNCTION("""COMPUTED_VALUE"""),"")</f>
        <v/>
      </c>
      <c r="Q450" s="78" t="str">
        <f>IFERROR(__xludf.DUMMYFUNCTION("""COMPUTED_VALUE"""),"")</f>
        <v/>
      </c>
      <c r="R450" s="78" t="str">
        <f>IFERROR(__xludf.DUMMYFUNCTION("""COMPUTED_VALUE"""),"")</f>
        <v/>
      </c>
      <c r="S450" s="80" t="str">
        <f>IFERROR(__xludf.DUMMYFUNCTION("""COMPUTED_VALUE"""),"")</f>
        <v/>
      </c>
      <c r="T450" s="80" t="str">
        <f>IFERROR(__xludf.DUMMYFUNCTION("""COMPUTED_VALUE"""),"")</f>
        <v/>
      </c>
      <c r="U450" s="71" t="str">
        <f>IFERROR(__xludf.DUMMYFUNCTION("""COMPUTED_VALUE"""),"")</f>
        <v/>
      </c>
      <c r="V450" s="78" t="str">
        <f>IFERROR(__xludf.DUMMYFUNCTION("""COMPUTED_VALUE"""),"")</f>
        <v/>
      </c>
      <c r="W450" s="62" t="str">
        <f>IFERROR(__xludf.DUMMYFUNCTION("""COMPUTED_VALUE"""),"")</f>
        <v/>
      </c>
      <c r="X450" s="80" t="str">
        <f>IFERROR(__xludf.DUMMYFUNCTION("""COMPUTED_VALUE"""),"")</f>
        <v/>
      </c>
      <c r="Y450" s="109" t="str">
        <f>IFERROR(__xludf.DUMMYFUNCTION("""COMPUTED_VALUE"""),"")</f>
        <v/>
      </c>
      <c r="Z450" s="71"/>
      <c r="AA450" s="71"/>
      <c r="AB450" s="71"/>
    </row>
    <row r="451">
      <c r="A451" s="71"/>
      <c r="B451" s="71"/>
      <c r="C451" s="71" t="str">
        <f>IFERROR(__xludf.DUMMYFUNCTION("""COMPUTED_VALUE"""),"")</f>
        <v/>
      </c>
      <c r="D451" s="71"/>
      <c r="E451" s="78"/>
      <c r="F451" s="71"/>
      <c r="G451" s="78" t="str">
        <f>IFERROR(__xludf.DUMMYFUNCTION("""COMPUTED_VALUE"""),"")</f>
        <v/>
      </c>
      <c r="H451" s="71"/>
      <c r="I451" s="80" t="str">
        <f>IFERROR(__xludf.DUMMYFUNCTION("""COMPUTED_VALUE"""),"")</f>
        <v/>
      </c>
      <c r="J451" s="71" t="str">
        <f>IFERROR(__xludf.DUMMYFUNCTION("""COMPUTED_VALUE"""),"")</f>
        <v/>
      </c>
      <c r="K451" s="71"/>
      <c r="L451" s="71" t="str">
        <f>IFERROR(__xludf.DUMMYFUNCTION("""COMPUTED_VALUE"""),"")</f>
        <v/>
      </c>
      <c r="M451" s="71"/>
      <c r="N451" s="109" t="str">
        <f>IFERROR(__xludf.DUMMYFUNCTION("""COMPUTED_VALUE"""),"")</f>
        <v/>
      </c>
      <c r="O451" s="71" t="str">
        <f>IFERROR(__xludf.DUMMYFUNCTION("""COMPUTED_VALUE"""),"")</f>
        <v/>
      </c>
      <c r="P451" s="71" t="str">
        <f>IFERROR(__xludf.DUMMYFUNCTION("""COMPUTED_VALUE"""),"")</f>
        <v/>
      </c>
      <c r="Q451" s="78" t="str">
        <f>IFERROR(__xludf.DUMMYFUNCTION("""COMPUTED_VALUE"""),"")</f>
        <v/>
      </c>
      <c r="R451" s="78" t="str">
        <f>IFERROR(__xludf.DUMMYFUNCTION("""COMPUTED_VALUE"""),"")</f>
        <v/>
      </c>
      <c r="S451" s="80" t="str">
        <f>IFERROR(__xludf.DUMMYFUNCTION("""COMPUTED_VALUE"""),"")</f>
        <v/>
      </c>
      <c r="T451" s="80" t="str">
        <f>IFERROR(__xludf.DUMMYFUNCTION("""COMPUTED_VALUE"""),"")</f>
        <v/>
      </c>
      <c r="U451" s="71" t="str">
        <f>IFERROR(__xludf.DUMMYFUNCTION("""COMPUTED_VALUE"""),"")</f>
        <v/>
      </c>
      <c r="V451" s="78" t="str">
        <f>IFERROR(__xludf.DUMMYFUNCTION("""COMPUTED_VALUE"""),"")</f>
        <v/>
      </c>
      <c r="W451" s="62" t="str">
        <f>IFERROR(__xludf.DUMMYFUNCTION("""COMPUTED_VALUE"""),"")</f>
        <v/>
      </c>
      <c r="X451" s="80" t="str">
        <f>IFERROR(__xludf.DUMMYFUNCTION("""COMPUTED_VALUE"""),"")</f>
        <v/>
      </c>
      <c r="Y451" s="109" t="str">
        <f>IFERROR(__xludf.DUMMYFUNCTION("""COMPUTED_VALUE"""),"")</f>
        <v/>
      </c>
      <c r="Z451" s="71"/>
      <c r="AA451" s="71"/>
      <c r="AB451" s="71"/>
    </row>
    <row r="452">
      <c r="A452" s="71"/>
      <c r="B452" s="71"/>
      <c r="C452" s="71" t="str">
        <f>IFERROR(__xludf.DUMMYFUNCTION("""COMPUTED_VALUE"""),"")</f>
        <v/>
      </c>
      <c r="D452" s="71"/>
      <c r="E452" s="78"/>
      <c r="F452" s="71"/>
      <c r="G452" s="78" t="str">
        <f>IFERROR(__xludf.DUMMYFUNCTION("""COMPUTED_VALUE"""),"")</f>
        <v/>
      </c>
      <c r="H452" s="71"/>
      <c r="I452" s="80" t="str">
        <f>IFERROR(__xludf.DUMMYFUNCTION("""COMPUTED_VALUE"""),"")</f>
        <v/>
      </c>
      <c r="J452" s="71" t="str">
        <f>IFERROR(__xludf.DUMMYFUNCTION("""COMPUTED_VALUE"""),"")</f>
        <v/>
      </c>
      <c r="K452" s="71"/>
      <c r="L452" s="71" t="str">
        <f>IFERROR(__xludf.DUMMYFUNCTION("""COMPUTED_VALUE"""),"")</f>
        <v/>
      </c>
      <c r="M452" s="71"/>
      <c r="N452" s="109" t="str">
        <f>IFERROR(__xludf.DUMMYFUNCTION("""COMPUTED_VALUE"""),"")</f>
        <v/>
      </c>
      <c r="O452" s="71" t="str">
        <f>IFERROR(__xludf.DUMMYFUNCTION("""COMPUTED_VALUE"""),"")</f>
        <v/>
      </c>
      <c r="P452" s="71" t="str">
        <f>IFERROR(__xludf.DUMMYFUNCTION("""COMPUTED_VALUE"""),"")</f>
        <v/>
      </c>
      <c r="Q452" s="78" t="str">
        <f>IFERROR(__xludf.DUMMYFUNCTION("""COMPUTED_VALUE"""),"")</f>
        <v/>
      </c>
      <c r="R452" s="78" t="str">
        <f>IFERROR(__xludf.DUMMYFUNCTION("""COMPUTED_VALUE"""),"")</f>
        <v/>
      </c>
      <c r="S452" s="80" t="str">
        <f>IFERROR(__xludf.DUMMYFUNCTION("""COMPUTED_VALUE"""),"")</f>
        <v/>
      </c>
      <c r="T452" s="80" t="str">
        <f>IFERROR(__xludf.DUMMYFUNCTION("""COMPUTED_VALUE"""),"")</f>
        <v/>
      </c>
      <c r="U452" s="71" t="str">
        <f>IFERROR(__xludf.DUMMYFUNCTION("""COMPUTED_VALUE"""),"")</f>
        <v/>
      </c>
      <c r="V452" s="78" t="str">
        <f>IFERROR(__xludf.DUMMYFUNCTION("""COMPUTED_VALUE"""),"")</f>
        <v/>
      </c>
      <c r="W452" s="62" t="str">
        <f>IFERROR(__xludf.DUMMYFUNCTION("""COMPUTED_VALUE"""),"")</f>
        <v/>
      </c>
      <c r="X452" s="80" t="str">
        <f>IFERROR(__xludf.DUMMYFUNCTION("""COMPUTED_VALUE"""),"")</f>
        <v/>
      </c>
      <c r="Y452" s="109" t="str">
        <f>IFERROR(__xludf.DUMMYFUNCTION("""COMPUTED_VALUE"""),"")</f>
        <v/>
      </c>
      <c r="Z452" s="71"/>
      <c r="AA452" s="71"/>
      <c r="AB452" s="71"/>
    </row>
    <row r="453">
      <c r="A453" s="71"/>
      <c r="B453" s="71"/>
      <c r="C453" s="71" t="str">
        <f>IFERROR(__xludf.DUMMYFUNCTION("""COMPUTED_VALUE"""),"")</f>
        <v/>
      </c>
      <c r="D453" s="71"/>
      <c r="E453" s="78"/>
      <c r="F453" s="71"/>
      <c r="G453" s="78" t="str">
        <f>IFERROR(__xludf.DUMMYFUNCTION("""COMPUTED_VALUE"""),"")</f>
        <v/>
      </c>
      <c r="H453" s="71"/>
      <c r="I453" s="80" t="str">
        <f>IFERROR(__xludf.DUMMYFUNCTION("""COMPUTED_VALUE"""),"")</f>
        <v/>
      </c>
      <c r="J453" s="71" t="str">
        <f>IFERROR(__xludf.DUMMYFUNCTION("""COMPUTED_VALUE"""),"")</f>
        <v/>
      </c>
      <c r="K453" s="71"/>
      <c r="L453" s="71" t="str">
        <f>IFERROR(__xludf.DUMMYFUNCTION("""COMPUTED_VALUE"""),"")</f>
        <v/>
      </c>
      <c r="M453" s="71"/>
      <c r="N453" s="109" t="str">
        <f>IFERROR(__xludf.DUMMYFUNCTION("""COMPUTED_VALUE"""),"")</f>
        <v/>
      </c>
      <c r="O453" s="71" t="str">
        <f>IFERROR(__xludf.DUMMYFUNCTION("""COMPUTED_VALUE"""),"")</f>
        <v/>
      </c>
      <c r="P453" s="71" t="str">
        <f>IFERROR(__xludf.DUMMYFUNCTION("""COMPUTED_VALUE"""),"")</f>
        <v/>
      </c>
      <c r="Q453" s="78" t="str">
        <f>IFERROR(__xludf.DUMMYFUNCTION("""COMPUTED_VALUE"""),"")</f>
        <v/>
      </c>
      <c r="R453" s="78" t="str">
        <f>IFERROR(__xludf.DUMMYFUNCTION("""COMPUTED_VALUE"""),"")</f>
        <v/>
      </c>
      <c r="S453" s="80" t="str">
        <f>IFERROR(__xludf.DUMMYFUNCTION("""COMPUTED_VALUE"""),"")</f>
        <v/>
      </c>
      <c r="T453" s="80" t="str">
        <f>IFERROR(__xludf.DUMMYFUNCTION("""COMPUTED_VALUE"""),"")</f>
        <v/>
      </c>
      <c r="U453" s="71" t="str">
        <f>IFERROR(__xludf.DUMMYFUNCTION("""COMPUTED_VALUE"""),"")</f>
        <v/>
      </c>
      <c r="V453" s="78" t="str">
        <f>IFERROR(__xludf.DUMMYFUNCTION("""COMPUTED_VALUE"""),"")</f>
        <v/>
      </c>
      <c r="W453" s="62" t="str">
        <f>IFERROR(__xludf.DUMMYFUNCTION("""COMPUTED_VALUE"""),"")</f>
        <v/>
      </c>
      <c r="X453" s="80" t="str">
        <f>IFERROR(__xludf.DUMMYFUNCTION("""COMPUTED_VALUE"""),"")</f>
        <v/>
      </c>
      <c r="Y453" s="109" t="str">
        <f>IFERROR(__xludf.DUMMYFUNCTION("""COMPUTED_VALUE"""),"")</f>
        <v/>
      </c>
      <c r="Z453" s="71"/>
      <c r="AA453" s="71"/>
      <c r="AB453" s="71"/>
    </row>
    <row r="454">
      <c r="A454" s="71"/>
      <c r="B454" s="71"/>
      <c r="C454" s="71" t="str">
        <f>IFERROR(__xludf.DUMMYFUNCTION("""COMPUTED_VALUE"""),"")</f>
        <v/>
      </c>
      <c r="D454" s="71"/>
      <c r="E454" s="78"/>
      <c r="F454" s="71"/>
      <c r="G454" s="78" t="str">
        <f>IFERROR(__xludf.DUMMYFUNCTION("""COMPUTED_VALUE"""),"")</f>
        <v/>
      </c>
      <c r="H454" s="71"/>
      <c r="I454" s="80" t="str">
        <f>IFERROR(__xludf.DUMMYFUNCTION("""COMPUTED_VALUE"""),"")</f>
        <v/>
      </c>
      <c r="J454" s="71" t="str">
        <f>IFERROR(__xludf.DUMMYFUNCTION("""COMPUTED_VALUE"""),"")</f>
        <v/>
      </c>
      <c r="K454" s="71"/>
      <c r="L454" s="71" t="str">
        <f>IFERROR(__xludf.DUMMYFUNCTION("""COMPUTED_VALUE"""),"")</f>
        <v/>
      </c>
      <c r="M454" s="71"/>
      <c r="N454" s="109" t="str">
        <f>IFERROR(__xludf.DUMMYFUNCTION("""COMPUTED_VALUE"""),"")</f>
        <v/>
      </c>
      <c r="O454" s="71" t="str">
        <f>IFERROR(__xludf.DUMMYFUNCTION("""COMPUTED_VALUE"""),"")</f>
        <v/>
      </c>
      <c r="P454" s="71" t="str">
        <f>IFERROR(__xludf.DUMMYFUNCTION("""COMPUTED_VALUE"""),"")</f>
        <v/>
      </c>
      <c r="Q454" s="78" t="str">
        <f>IFERROR(__xludf.DUMMYFUNCTION("""COMPUTED_VALUE"""),"")</f>
        <v/>
      </c>
      <c r="R454" s="78" t="str">
        <f>IFERROR(__xludf.DUMMYFUNCTION("""COMPUTED_VALUE"""),"")</f>
        <v/>
      </c>
      <c r="S454" s="80" t="str">
        <f>IFERROR(__xludf.DUMMYFUNCTION("""COMPUTED_VALUE"""),"")</f>
        <v/>
      </c>
      <c r="T454" s="80" t="str">
        <f>IFERROR(__xludf.DUMMYFUNCTION("""COMPUTED_VALUE"""),"")</f>
        <v/>
      </c>
      <c r="U454" s="71" t="str">
        <f>IFERROR(__xludf.DUMMYFUNCTION("""COMPUTED_VALUE"""),"")</f>
        <v/>
      </c>
      <c r="V454" s="78" t="str">
        <f>IFERROR(__xludf.DUMMYFUNCTION("""COMPUTED_VALUE"""),"")</f>
        <v/>
      </c>
      <c r="W454" s="62" t="str">
        <f>IFERROR(__xludf.DUMMYFUNCTION("""COMPUTED_VALUE"""),"")</f>
        <v/>
      </c>
      <c r="X454" s="80" t="str">
        <f>IFERROR(__xludf.DUMMYFUNCTION("""COMPUTED_VALUE"""),"")</f>
        <v/>
      </c>
      <c r="Y454" s="109" t="str">
        <f>IFERROR(__xludf.DUMMYFUNCTION("""COMPUTED_VALUE"""),"")</f>
        <v/>
      </c>
      <c r="Z454" s="71"/>
      <c r="AA454" s="71"/>
      <c r="AB454" s="71"/>
    </row>
    <row r="455">
      <c r="A455" s="71"/>
      <c r="B455" s="71"/>
      <c r="C455" s="71" t="str">
        <f>IFERROR(__xludf.DUMMYFUNCTION("""COMPUTED_VALUE"""),"")</f>
        <v/>
      </c>
      <c r="D455" s="71"/>
      <c r="E455" s="78"/>
      <c r="F455" s="71"/>
      <c r="G455" s="78" t="str">
        <f>IFERROR(__xludf.DUMMYFUNCTION("""COMPUTED_VALUE"""),"")</f>
        <v/>
      </c>
      <c r="H455" s="71"/>
      <c r="I455" s="80" t="str">
        <f>IFERROR(__xludf.DUMMYFUNCTION("""COMPUTED_VALUE"""),"")</f>
        <v/>
      </c>
      <c r="J455" s="71" t="str">
        <f>IFERROR(__xludf.DUMMYFUNCTION("""COMPUTED_VALUE"""),"")</f>
        <v/>
      </c>
      <c r="K455" s="71"/>
      <c r="L455" s="71" t="str">
        <f>IFERROR(__xludf.DUMMYFUNCTION("""COMPUTED_VALUE"""),"")</f>
        <v/>
      </c>
      <c r="M455" s="71"/>
      <c r="N455" s="109" t="str">
        <f>IFERROR(__xludf.DUMMYFUNCTION("""COMPUTED_VALUE"""),"")</f>
        <v/>
      </c>
      <c r="O455" s="71" t="str">
        <f>IFERROR(__xludf.DUMMYFUNCTION("""COMPUTED_VALUE"""),"")</f>
        <v/>
      </c>
      <c r="P455" s="71" t="str">
        <f>IFERROR(__xludf.DUMMYFUNCTION("""COMPUTED_VALUE"""),"")</f>
        <v/>
      </c>
      <c r="Q455" s="78" t="str">
        <f>IFERROR(__xludf.DUMMYFUNCTION("""COMPUTED_VALUE"""),"")</f>
        <v/>
      </c>
      <c r="R455" s="78" t="str">
        <f>IFERROR(__xludf.DUMMYFUNCTION("""COMPUTED_VALUE"""),"")</f>
        <v/>
      </c>
      <c r="S455" s="80" t="str">
        <f>IFERROR(__xludf.DUMMYFUNCTION("""COMPUTED_VALUE"""),"")</f>
        <v/>
      </c>
      <c r="T455" s="80" t="str">
        <f>IFERROR(__xludf.DUMMYFUNCTION("""COMPUTED_VALUE"""),"")</f>
        <v/>
      </c>
      <c r="U455" s="71" t="str">
        <f>IFERROR(__xludf.DUMMYFUNCTION("""COMPUTED_VALUE"""),"")</f>
        <v/>
      </c>
      <c r="V455" s="78" t="str">
        <f>IFERROR(__xludf.DUMMYFUNCTION("""COMPUTED_VALUE"""),"")</f>
        <v/>
      </c>
      <c r="W455" s="62" t="str">
        <f>IFERROR(__xludf.DUMMYFUNCTION("""COMPUTED_VALUE"""),"")</f>
        <v/>
      </c>
      <c r="X455" s="80" t="str">
        <f>IFERROR(__xludf.DUMMYFUNCTION("""COMPUTED_VALUE"""),"")</f>
        <v/>
      </c>
      <c r="Y455" s="109" t="str">
        <f>IFERROR(__xludf.DUMMYFUNCTION("""COMPUTED_VALUE"""),"")</f>
        <v/>
      </c>
      <c r="Z455" s="71"/>
      <c r="AA455" s="71"/>
      <c r="AB455" s="71"/>
    </row>
    <row r="456">
      <c r="A456" s="71"/>
      <c r="B456" s="71"/>
      <c r="C456" s="71" t="str">
        <f>IFERROR(__xludf.DUMMYFUNCTION("""COMPUTED_VALUE"""),"")</f>
        <v/>
      </c>
      <c r="D456" s="71"/>
      <c r="E456" s="78"/>
      <c r="F456" s="71"/>
      <c r="G456" s="78" t="str">
        <f>IFERROR(__xludf.DUMMYFUNCTION("""COMPUTED_VALUE"""),"")</f>
        <v/>
      </c>
      <c r="H456" s="71"/>
      <c r="I456" s="80" t="str">
        <f>IFERROR(__xludf.DUMMYFUNCTION("""COMPUTED_VALUE"""),"")</f>
        <v/>
      </c>
      <c r="J456" s="71" t="str">
        <f>IFERROR(__xludf.DUMMYFUNCTION("""COMPUTED_VALUE"""),"")</f>
        <v/>
      </c>
      <c r="K456" s="71"/>
      <c r="L456" s="71" t="str">
        <f>IFERROR(__xludf.DUMMYFUNCTION("""COMPUTED_VALUE"""),"")</f>
        <v/>
      </c>
      <c r="M456" s="71"/>
      <c r="N456" s="109" t="str">
        <f>IFERROR(__xludf.DUMMYFUNCTION("""COMPUTED_VALUE"""),"")</f>
        <v/>
      </c>
      <c r="O456" s="71" t="str">
        <f>IFERROR(__xludf.DUMMYFUNCTION("""COMPUTED_VALUE"""),"")</f>
        <v/>
      </c>
      <c r="P456" s="71" t="str">
        <f>IFERROR(__xludf.DUMMYFUNCTION("""COMPUTED_VALUE"""),"")</f>
        <v/>
      </c>
      <c r="Q456" s="78" t="str">
        <f>IFERROR(__xludf.DUMMYFUNCTION("""COMPUTED_VALUE"""),"")</f>
        <v/>
      </c>
      <c r="R456" s="78" t="str">
        <f>IFERROR(__xludf.DUMMYFUNCTION("""COMPUTED_VALUE"""),"")</f>
        <v/>
      </c>
      <c r="S456" s="80" t="str">
        <f>IFERROR(__xludf.DUMMYFUNCTION("""COMPUTED_VALUE"""),"")</f>
        <v/>
      </c>
      <c r="T456" s="80" t="str">
        <f>IFERROR(__xludf.DUMMYFUNCTION("""COMPUTED_VALUE"""),"")</f>
        <v/>
      </c>
      <c r="U456" s="71" t="str">
        <f>IFERROR(__xludf.DUMMYFUNCTION("""COMPUTED_VALUE"""),"")</f>
        <v/>
      </c>
      <c r="V456" s="78" t="str">
        <f>IFERROR(__xludf.DUMMYFUNCTION("""COMPUTED_VALUE"""),"")</f>
        <v/>
      </c>
      <c r="W456" s="62" t="str">
        <f>IFERROR(__xludf.DUMMYFUNCTION("""COMPUTED_VALUE"""),"")</f>
        <v/>
      </c>
      <c r="X456" s="80" t="str">
        <f>IFERROR(__xludf.DUMMYFUNCTION("""COMPUTED_VALUE"""),"")</f>
        <v/>
      </c>
      <c r="Y456" s="109" t="str">
        <f>IFERROR(__xludf.DUMMYFUNCTION("""COMPUTED_VALUE"""),"")</f>
        <v/>
      </c>
      <c r="Z456" s="71"/>
      <c r="AA456" s="71"/>
      <c r="AB456" s="71"/>
    </row>
    <row r="457">
      <c r="A457" s="71"/>
      <c r="B457" s="71"/>
      <c r="C457" s="71" t="str">
        <f>IFERROR(__xludf.DUMMYFUNCTION("""COMPUTED_VALUE"""),"")</f>
        <v/>
      </c>
      <c r="D457" s="71"/>
      <c r="E457" s="78"/>
      <c r="F457" s="71"/>
      <c r="G457" s="78" t="str">
        <f>IFERROR(__xludf.DUMMYFUNCTION("""COMPUTED_VALUE"""),"")</f>
        <v/>
      </c>
      <c r="H457" s="71"/>
      <c r="I457" s="80" t="str">
        <f>IFERROR(__xludf.DUMMYFUNCTION("""COMPUTED_VALUE"""),"")</f>
        <v/>
      </c>
      <c r="J457" s="71" t="str">
        <f>IFERROR(__xludf.DUMMYFUNCTION("""COMPUTED_VALUE"""),"")</f>
        <v/>
      </c>
      <c r="K457" s="71"/>
      <c r="L457" s="71" t="str">
        <f>IFERROR(__xludf.DUMMYFUNCTION("""COMPUTED_VALUE"""),"")</f>
        <v/>
      </c>
      <c r="M457" s="71"/>
      <c r="N457" s="109" t="str">
        <f>IFERROR(__xludf.DUMMYFUNCTION("""COMPUTED_VALUE"""),"")</f>
        <v/>
      </c>
      <c r="O457" s="71" t="str">
        <f>IFERROR(__xludf.DUMMYFUNCTION("""COMPUTED_VALUE"""),"")</f>
        <v/>
      </c>
      <c r="P457" s="71" t="str">
        <f>IFERROR(__xludf.DUMMYFUNCTION("""COMPUTED_VALUE"""),"")</f>
        <v/>
      </c>
      <c r="Q457" s="78" t="str">
        <f>IFERROR(__xludf.DUMMYFUNCTION("""COMPUTED_VALUE"""),"")</f>
        <v/>
      </c>
      <c r="R457" s="78" t="str">
        <f>IFERROR(__xludf.DUMMYFUNCTION("""COMPUTED_VALUE"""),"")</f>
        <v/>
      </c>
      <c r="S457" s="80" t="str">
        <f>IFERROR(__xludf.DUMMYFUNCTION("""COMPUTED_VALUE"""),"")</f>
        <v/>
      </c>
      <c r="T457" s="80" t="str">
        <f>IFERROR(__xludf.DUMMYFUNCTION("""COMPUTED_VALUE"""),"")</f>
        <v/>
      </c>
      <c r="U457" s="71" t="str">
        <f>IFERROR(__xludf.DUMMYFUNCTION("""COMPUTED_VALUE"""),"")</f>
        <v/>
      </c>
      <c r="V457" s="78" t="str">
        <f>IFERROR(__xludf.DUMMYFUNCTION("""COMPUTED_VALUE"""),"")</f>
        <v/>
      </c>
      <c r="W457" s="62" t="str">
        <f>IFERROR(__xludf.DUMMYFUNCTION("""COMPUTED_VALUE"""),"")</f>
        <v/>
      </c>
      <c r="X457" s="80" t="str">
        <f>IFERROR(__xludf.DUMMYFUNCTION("""COMPUTED_VALUE"""),"")</f>
        <v/>
      </c>
      <c r="Y457" s="109" t="str">
        <f>IFERROR(__xludf.DUMMYFUNCTION("""COMPUTED_VALUE"""),"")</f>
        <v/>
      </c>
      <c r="Z457" s="71"/>
      <c r="AA457" s="71"/>
      <c r="AB457" s="71"/>
    </row>
    <row r="458">
      <c r="A458" s="71"/>
      <c r="B458" s="71"/>
      <c r="C458" s="71" t="str">
        <f>IFERROR(__xludf.DUMMYFUNCTION("""COMPUTED_VALUE"""),"")</f>
        <v/>
      </c>
      <c r="D458" s="71"/>
      <c r="E458" s="78"/>
      <c r="F458" s="71"/>
      <c r="G458" s="78" t="str">
        <f>IFERROR(__xludf.DUMMYFUNCTION("""COMPUTED_VALUE"""),"")</f>
        <v/>
      </c>
      <c r="H458" s="71"/>
      <c r="I458" s="80" t="str">
        <f>IFERROR(__xludf.DUMMYFUNCTION("""COMPUTED_VALUE"""),"")</f>
        <v/>
      </c>
      <c r="J458" s="71" t="str">
        <f>IFERROR(__xludf.DUMMYFUNCTION("""COMPUTED_VALUE"""),"")</f>
        <v/>
      </c>
      <c r="K458" s="71"/>
      <c r="L458" s="71" t="str">
        <f>IFERROR(__xludf.DUMMYFUNCTION("""COMPUTED_VALUE"""),"")</f>
        <v/>
      </c>
      <c r="M458" s="71"/>
      <c r="N458" s="109" t="str">
        <f>IFERROR(__xludf.DUMMYFUNCTION("""COMPUTED_VALUE"""),"")</f>
        <v/>
      </c>
      <c r="O458" s="71" t="str">
        <f>IFERROR(__xludf.DUMMYFUNCTION("""COMPUTED_VALUE"""),"")</f>
        <v/>
      </c>
      <c r="P458" s="71" t="str">
        <f>IFERROR(__xludf.DUMMYFUNCTION("""COMPUTED_VALUE"""),"")</f>
        <v/>
      </c>
      <c r="Q458" s="78" t="str">
        <f>IFERROR(__xludf.DUMMYFUNCTION("""COMPUTED_VALUE"""),"")</f>
        <v/>
      </c>
      <c r="R458" s="78" t="str">
        <f>IFERROR(__xludf.DUMMYFUNCTION("""COMPUTED_VALUE"""),"")</f>
        <v/>
      </c>
      <c r="S458" s="80" t="str">
        <f>IFERROR(__xludf.DUMMYFUNCTION("""COMPUTED_VALUE"""),"")</f>
        <v/>
      </c>
      <c r="T458" s="80" t="str">
        <f>IFERROR(__xludf.DUMMYFUNCTION("""COMPUTED_VALUE"""),"")</f>
        <v/>
      </c>
      <c r="U458" s="71" t="str">
        <f>IFERROR(__xludf.DUMMYFUNCTION("""COMPUTED_VALUE"""),"")</f>
        <v/>
      </c>
      <c r="V458" s="78" t="str">
        <f>IFERROR(__xludf.DUMMYFUNCTION("""COMPUTED_VALUE"""),"")</f>
        <v/>
      </c>
      <c r="W458" s="62" t="str">
        <f>IFERROR(__xludf.DUMMYFUNCTION("""COMPUTED_VALUE"""),"")</f>
        <v/>
      </c>
      <c r="X458" s="80" t="str">
        <f>IFERROR(__xludf.DUMMYFUNCTION("""COMPUTED_VALUE"""),"")</f>
        <v/>
      </c>
      <c r="Y458" s="109" t="str">
        <f>IFERROR(__xludf.DUMMYFUNCTION("""COMPUTED_VALUE"""),"")</f>
        <v/>
      </c>
      <c r="Z458" s="71"/>
      <c r="AA458" s="71"/>
      <c r="AB458" s="71"/>
    </row>
    <row r="459">
      <c r="A459" s="71"/>
      <c r="B459" s="71"/>
      <c r="C459" s="71" t="str">
        <f>IFERROR(__xludf.DUMMYFUNCTION("""COMPUTED_VALUE"""),"")</f>
        <v/>
      </c>
      <c r="D459" s="71"/>
      <c r="E459" s="78"/>
      <c r="F459" s="71"/>
      <c r="G459" s="78" t="str">
        <f>IFERROR(__xludf.DUMMYFUNCTION("""COMPUTED_VALUE"""),"")</f>
        <v/>
      </c>
      <c r="H459" s="71"/>
      <c r="I459" s="80" t="str">
        <f>IFERROR(__xludf.DUMMYFUNCTION("""COMPUTED_VALUE"""),"")</f>
        <v/>
      </c>
      <c r="J459" s="71" t="str">
        <f>IFERROR(__xludf.DUMMYFUNCTION("""COMPUTED_VALUE"""),"")</f>
        <v/>
      </c>
      <c r="K459" s="71"/>
      <c r="L459" s="71" t="str">
        <f>IFERROR(__xludf.DUMMYFUNCTION("""COMPUTED_VALUE"""),"")</f>
        <v/>
      </c>
      <c r="M459" s="71"/>
      <c r="N459" s="109" t="str">
        <f>IFERROR(__xludf.DUMMYFUNCTION("""COMPUTED_VALUE"""),"")</f>
        <v/>
      </c>
      <c r="O459" s="71" t="str">
        <f>IFERROR(__xludf.DUMMYFUNCTION("""COMPUTED_VALUE"""),"")</f>
        <v/>
      </c>
      <c r="P459" s="71" t="str">
        <f>IFERROR(__xludf.DUMMYFUNCTION("""COMPUTED_VALUE"""),"")</f>
        <v/>
      </c>
      <c r="Q459" s="78" t="str">
        <f>IFERROR(__xludf.DUMMYFUNCTION("""COMPUTED_VALUE"""),"")</f>
        <v/>
      </c>
      <c r="R459" s="78" t="str">
        <f>IFERROR(__xludf.DUMMYFUNCTION("""COMPUTED_VALUE"""),"")</f>
        <v/>
      </c>
      <c r="S459" s="80" t="str">
        <f>IFERROR(__xludf.DUMMYFUNCTION("""COMPUTED_VALUE"""),"")</f>
        <v/>
      </c>
      <c r="T459" s="80" t="str">
        <f>IFERROR(__xludf.DUMMYFUNCTION("""COMPUTED_VALUE"""),"")</f>
        <v/>
      </c>
      <c r="U459" s="71" t="str">
        <f>IFERROR(__xludf.DUMMYFUNCTION("""COMPUTED_VALUE"""),"")</f>
        <v/>
      </c>
      <c r="V459" s="78" t="str">
        <f>IFERROR(__xludf.DUMMYFUNCTION("""COMPUTED_VALUE"""),"")</f>
        <v/>
      </c>
      <c r="W459" s="62" t="str">
        <f>IFERROR(__xludf.DUMMYFUNCTION("""COMPUTED_VALUE"""),"")</f>
        <v/>
      </c>
      <c r="X459" s="80" t="str">
        <f>IFERROR(__xludf.DUMMYFUNCTION("""COMPUTED_VALUE"""),"")</f>
        <v/>
      </c>
      <c r="Y459" s="109" t="str">
        <f>IFERROR(__xludf.DUMMYFUNCTION("""COMPUTED_VALUE"""),"")</f>
        <v/>
      </c>
      <c r="Z459" s="71"/>
      <c r="AA459" s="71"/>
      <c r="AB459" s="71"/>
    </row>
    <row r="460">
      <c r="A460" s="71"/>
      <c r="B460" s="71"/>
      <c r="C460" s="71" t="str">
        <f>IFERROR(__xludf.DUMMYFUNCTION("""COMPUTED_VALUE"""),"")</f>
        <v/>
      </c>
      <c r="D460" s="71"/>
      <c r="E460" s="78"/>
      <c r="F460" s="71"/>
      <c r="G460" s="78" t="str">
        <f>IFERROR(__xludf.DUMMYFUNCTION("""COMPUTED_VALUE"""),"")</f>
        <v/>
      </c>
      <c r="H460" s="71"/>
      <c r="I460" s="80" t="str">
        <f>IFERROR(__xludf.DUMMYFUNCTION("""COMPUTED_VALUE"""),"")</f>
        <v/>
      </c>
      <c r="J460" s="71" t="str">
        <f>IFERROR(__xludf.DUMMYFUNCTION("""COMPUTED_VALUE"""),"")</f>
        <v/>
      </c>
      <c r="K460" s="71"/>
      <c r="L460" s="71" t="str">
        <f>IFERROR(__xludf.DUMMYFUNCTION("""COMPUTED_VALUE"""),"")</f>
        <v/>
      </c>
      <c r="M460" s="71"/>
      <c r="N460" s="109" t="str">
        <f>IFERROR(__xludf.DUMMYFUNCTION("""COMPUTED_VALUE"""),"")</f>
        <v/>
      </c>
      <c r="O460" s="71" t="str">
        <f>IFERROR(__xludf.DUMMYFUNCTION("""COMPUTED_VALUE"""),"")</f>
        <v/>
      </c>
      <c r="P460" s="71" t="str">
        <f>IFERROR(__xludf.DUMMYFUNCTION("""COMPUTED_VALUE"""),"")</f>
        <v/>
      </c>
      <c r="Q460" s="78" t="str">
        <f>IFERROR(__xludf.DUMMYFUNCTION("""COMPUTED_VALUE"""),"")</f>
        <v/>
      </c>
      <c r="R460" s="78" t="str">
        <f>IFERROR(__xludf.DUMMYFUNCTION("""COMPUTED_VALUE"""),"")</f>
        <v/>
      </c>
      <c r="S460" s="80" t="str">
        <f>IFERROR(__xludf.DUMMYFUNCTION("""COMPUTED_VALUE"""),"")</f>
        <v/>
      </c>
      <c r="T460" s="80" t="str">
        <f>IFERROR(__xludf.DUMMYFUNCTION("""COMPUTED_VALUE"""),"")</f>
        <v/>
      </c>
      <c r="U460" s="71" t="str">
        <f>IFERROR(__xludf.DUMMYFUNCTION("""COMPUTED_VALUE"""),"")</f>
        <v/>
      </c>
      <c r="V460" s="78" t="str">
        <f>IFERROR(__xludf.DUMMYFUNCTION("""COMPUTED_VALUE"""),"")</f>
        <v/>
      </c>
      <c r="W460" s="62" t="str">
        <f>IFERROR(__xludf.DUMMYFUNCTION("""COMPUTED_VALUE"""),"")</f>
        <v/>
      </c>
      <c r="X460" s="80" t="str">
        <f>IFERROR(__xludf.DUMMYFUNCTION("""COMPUTED_VALUE"""),"")</f>
        <v/>
      </c>
      <c r="Y460" s="109" t="str">
        <f>IFERROR(__xludf.DUMMYFUNCTION("""COMPUTED_VALUE"""),"")</f>
        <v/>
      </c>
      <c r="Z460" s="71"/>
      <c r="AA460" s="71"/>
      <c r="AB460" s="71"/>
    </row>
    <row r="461">
      <c r="A461" s="71"/>
      <c r="B461" s="71"/>
      <c r="C461" s="71" t="str">
        <f>IFERROR(__xludf.DUMMYFUNCTION("""COMPUTED_VALUE"""),"")</f>
        <v/>
      </c>
      <c r="D461" s="71"/>
      <c r="E461" s="78"/>
      <c r="F461" s="71"/>
      <c r="G461" s="78" t="str">
        <f>IFERROR(__xludf.DUMMYFUNCTION("""COMPUTED_VALUE"""),"")</f>
        <v/>
      </c>
      <c r="H461" s="71"/>
      <c r="I461" s="80" t="str">
        <f>IFERROR(__xludf.DUMMYFUNCTION("""COMPUTED_VALUE"""),"")</f>
        <v/>
      </c>
      <c r="J461" s="71" t="str">
        <f>IFERROR(__xludf.DUMMYFUNCTION("""COMPUTED_VALUE"""),"")</f>
        <v/>
      </c>
      <c r="K461" s="71"/>
      <c r="L461" s="71" t="str">
        <f>IFERROR(__xludf.DUMMYFUNCTION("""COMPUTED_VALUE"""),"")</f>
        <v/>
      </c>
      <c r="M461" s="71"/>
      <c r="N461" s="109" t="str">
        <f>IFERROR(__xludf.DUMMYFUNCTION("""COMPUTED_VALUE"""),"")</f>
        <v/>
      </c>
      <c r="O461" s="71" t="str">
        <f>IFERROR(__xludf.DUMMYFUNCTION("""COMPUTED_VALUE"""),"")</f>
        <v/>
      </c>
      <c r="P461" s="71" t="str">
        <f>IFERROR(__xludf.DUMMYFUNCTION("""COMPUTED_VALUE"""),"")</f>
        <v/>
      </c>
      <c r="Q461" s="78" t="str">
        <f>IFERROR(__xludf.DUMMYFUNCTION("""COMPUTED_VALUE"""),"")</f>
        <v/>
      </c>
      <c r="R461" s="78" t="str">
        <f>IFERROR(__xludf.DUMMYFUNCTION("""COMPUTED_VALUE"""),"")</f>
        <v/>
      </c>
      <c r="S461" s="80" t="str">
        <f>IFERROR(__xludf.DUMMYFUNCTION("""COMPUTED_VALUE"""),"")</f>
        <v/>
      </c>
      <c r="T461" s="80" t="str">
        <f>IFERROR(__xludf.DUMMYFUNCTION("""COMPUTED_VALUE"""),"")</f>
        <v/>
      </c>
      <c r="U461" s="71" t="str">
        <f>IFERROR(__xludf.DUMMYFUNCTION("""COMPUTED_VALUE"""),"")</f>
        <v/>
      </c>
      <c r="V461" s="78" t="str">
        <f>IFERROR(__xludf.DUMMYFUNCTION("""COMPUTED_VALUE"""),"")</f>
        <v/>
      </c>
      <c r="W461" s="62" t="str">
        <f>IFERROR(__xludf.DUMMYFUNCTION("""COMPUTED_VALUE"""),"")</f>
        <v/>
      </c>
      <c r="X461" s="80" t="str">
        <f>IFERROR(__xludf.DUMMYFUNCTION("""COMPUTED_VALUE"""),"")</f>
        <v/>
      </c>
      <c r="Y461" s="109" t="str">
        <f>IFERROR(__xludf.DUMMYFUNCTION("""COMPUTED_VALUE"""),"")</f>
        <v/>
      </c>
      <c r="Z461" s="71"/>
      <c r="AA461" s="71"/>
      <c r="AB461" s="71"/>
    </row>
    <row r="462">
      <c r="A462" s="71"/>
      <c r="B462" s="71"/>
      <c r="C462" s="71" t="str">
        <f>IFERROR(__xludf.DUMMYFUNCTION("""COMPUTED_VALUE"""),"")</f>
        <v/>
      </c>
      <c r="D462" s="71"/>
      <c r="E462" s="78"/>
      <c r="F462" s="71"/>
      <c r="G462" s="78" t="str">
        <f>IFERROR(__xludf.DUMMYFUNCTION("""COMPUTED_VALUE"""),"")</f>
        <v/>
      </c>
      <c r="H462" s="71"/>
      <c r="I462" s="80" t="str">
        <f>IFERROR(__xludf.DUMMYFUNCTION("""COMPUTED_VALUE"""),"")</f>
        <v/>
      </c>
      <c r="J462" s="71" t="str">
        <f>IFERROR(__xludf.DUMMYFUNCTION("""COMPUTED_VALUE"""),"")</f>
        <v/>
      </c>
      <c r="K462" s="71"/>
      <c r="L462" s="71" t="str">
        <f>IFERROR(__xludf.DUMMYFUNCTION("""COMPUTED_VALUE"""),"")</f>
        <v/>
      </c>
      <c r="M462" s="71"/>
      <c r="N462" s="109" t="str">
        <f>IFERROR(__xludf.DUMMYFUNCTION("""COMPUTED_VALUE"""),"")</f>
        <v/>
      </c>
      <c r="O462" s="71" t="str">
        <f>IFERROR(__xludf.DUMMYFUNCTION("""COMPUTED_VALUE"""),"")</f>
        <v/>
      </c>
      <c r="P462" s="71" t="str">
        <f>IFERROR(__xludf.DUMMYFUNCTION("""COMPUTED_VALUE"""),"")</f>
        <v/>
      </c>
      <c r="Q462" s="78" t="str">
        <f>IFERROR(__xludf.DUMMYFUNCTION("""COMPUTED_VALUE"""),"")</f>
        <v/>
      </c>
      <c r="R462" s="78" t="str">
        <f>IFERROR(__xludf.DUMMYFUNCTION("""COMPUTED_VALUE"""),"")</f>
        <v/>
      </c>
      <c r="S462" s="80" t="str">
        <f>IFERROR(__xludf.DUMMYFUNCTION("""COMPUTED_VALUE"""),"")</f>
        <v/>
      </c>
      <c r="T462" s="80" t="str">
        <f>IFERROR(__xludf.DUMMYFUNCTION("""COMPUTED_VALUE"""),"")</f>
        <v/>
      </c>
      <c r="U462" s="71" t="str">
        <f>IFERROR(__xludf.DUMMYFUNCTION("""COMPUTED_VALUE"""),"")</f>
        <v/>
      </c>
      <c r="V462" s="78" t="str">
        <f>IFERROR(__xludf.DUMMYFUNCTION("""COMPUTED_VALUE"""),"")</f>
        <v/>
      </c>
      <c r="W462" s="62" t="str">
        <f>IFERROR(__xludf.DUMMYFUNCTION("""COMPUTED_VALUE"""),"")</f>
        <v/>
      </c>
      <c r="X462" s="80" t="str">
        <f>IFERROR(__xludf.DUMMYFUNCTION("""COMPUTED_VALUE"""),"")</f>
        <v/>
      </c>
      <c r="Y462" s="109" t="str">
        <f>IFERROR(__xludf.DUMMYFUNCTION("""COMPUTED_VALUE"""),"")</f>
        <v/>
      </c>
      <c r="Z462" s="71"/>
      <c r="AA462" s="71"/>
      <c r="AB462" s="71"/>
    </row>
    <row r="463">
      <c r="A463" s="71"/>
      <c r="B463" s="71"/>
      <c r="C463" s="71" t="str">
        <f>IFERROR(__xludf.DUMMYFUNCTION("""COMPUTED_VALUE"""),"")</f>
        <v/>
      </c>
      <c r="D463" s="71"/>
      <c r="E463" s="78"/>
      <c r="F463" s="71"/>
      <c r="G463" s="78" t="str">
        <f>IFERROR(__xludf.DUMMYFUNCTION("""COMPUTED_VALUE"""),"")</f>
        <v/>
      </c>
      <c r="H463" s="71"/>
      <c r="I463" s="80" t="str">
        <f>IFERROR(__xludf.DUMMYFUNCTION("""COMPUTED_VALUE"""),"")</f>
        <v/>
      </c>
      <c r="J463" s="71" t="str">
        <f>IFERROR(__xludf.DUMMYFUNCTION("""COMPUTED_VALUE"""),"")</f>
        <v/>
      </c>
      <c r="K463" s="71"/>
      <c r="L463" s="71" t="str">
        <f>IFERROR(__xludf.DUMMYFUNCTION("""COMPUTED_VALUE"""),"")</f>
        <v/>
      </c>
      <c r="M463" s="71"/>
      <c r="N463" s="109" t="str">
        <f>IFERROR(__xludf.DUMMYFUNCTION("""COMPUTED_VALUE"""),"")</f>
        <v/>
      </c>
      <c r="O463" s="71" t="str">
        <f>IFERROR(__xludf.DUMMYFUNCTION("""COMPUTED_VALUE"""),"")</f>
        <v/>
      </c>
      <c r="P463" s="71" t="str">
        <f>IFERROR(__xludf.DUMMYFUNCTION("""COMPUTED_VALUE"""),"")</f>
        <v/>
      </c>
      <c r="Q463" s="78" t="str">
        <f>IFERROR(__xludf.DUMMYFUNCTION("""COMPUTED_VALUE"""),"")</f>
        <v/>
      </c>
      <c r="R463" s="78" t="str">
        <f>IFERROR(__xludf.DUMMYFUNCTION("""COMPUTED_VALUE"""),"")</f>
        <v/>
      </c>
      <c r="S463" s="80" t="str">
        <f>IFERROR(__xludf.DUMMYFUNCTION("""COMPUTED_VALUE"""),"")</f>
        <v/>
      </c>
      <c r="T463" s="80" t="str">
        <f>IFERROR(__xludf.DUMMYFUNCTION("""COMPUTED_VALUE"""),"")</f>
        <v/>
      </c>
      <c r="U463" s="71" t="str">
        <f>IFERROR(__xludf.DUMMYFUNCTION("""COMPUTED_VALUE"""),"")</f>
        <v/>
      </c>
      <c r="V463" s="78" t="str">
        <f>IFERROR(__xludf.DUMMYFUNCTION("""COMPUTED_VALUE"""),"")</f>
        <v/>
      </c>
      <c r="W463" s="62" t="str">
        <f>IFERROR(__xludf.DUMMYFUNCTION("""COMPUTED_VALUE"""),"")</f>
        <v/>
      </c>
      <c r="X463" s="80" t="str">
        <f>IFERROR(__xludf.DUMMYFUNCTION("""COMPUTED_VALUE"""),"")</f>
        <v/>
      </c>
      <c r="Y463" s="109" t="str">
        <f>IFERROR(__xludf.DUMMYFUNCTION("""COMPUTED_VALUE"""),"")</f>
        <v/>
      </c>
      <c r="Z463" s="71"/>
      <c r="AA463" s="71"/>
      <c r="AB463" s="71"/>
    </row>
    <row r="464">
      <c r="A464" s="71"/>
      <c r="B464" s="71"/>
      <c r="C464" s="71" t="str">
        <f>IFERROR(__xludf.DUMMYFUNCTION("""COMPUTED_VALUE"""),"")</f>
        <v/>
      </c>
      <c r="D464" s="71"/>
      <c r="E464" s="78"/>
      <c r="F464" s="71"/>
      <c r="G464" s="78" t="str">
        <f>IFERROR(__xludf.DUMMYFUNCTION("""COMPUTED_VALUE"""),"")</f>
        <v/>
      </c>
      <c r="H464" s="71"/>
      <c r="I464" s="80" t="str">
        <f>IFERROR(__xludf.DUMMYFUNCTION("""COMPUTED_VALUE"""),"")</f>
        <v/>
      </c>
      <c r="J464" s="71" t="str">
        <f>IFERROR(__xludf.DUMMYFUNCTION("""COMPUTED_VALUE"""),"")</f>
        <v/>
      </c>
      <c r="K464" s="71"/>
      <c r="L464" s="71" t="str">
        <f>IFERROR(__xludf.DUMMYFUNCTION("""COMPUTED_VALUE"""),"")</f>
        <v/>
      </c>
      <c r="M464" s="71"/>
      <c r="N464" s="109" t="str">
        <f>IFERROR(__xludf.DUMMYFUNCTION("""COMPUTED_VALUE"""),"")</f>
        <v/>
      </c>
      <c r="O464" s="71" t="str">
        <f>IFERROR(__xludf.DUMMYFUNCTION("""COMPUTED_VALUE"""),"")</f>
        <v/>
      </c>
      <c r="P464" s="71" t="str">
        <f>IFERROR(__xludf.DUMMYFUNCTION("""COMPUTED_VALUE"""),"")</f>
        <v/>
      </c>
      <c r="Q464" s="78" t="str">
        <f>IFERROR(__xludf.DUMMYFUNCTION("""COMPUTED_VALUE"""),"")</f>
        <v/>
      </c>
      <c r="R464" s="78" t="str">
        <f>IFERROR(__xludf.DUMMYFUNCTION("""COMPUTED_VALUE"""),"")</f>
        <v/>
      </c>
      <c r="S464" s="80" t="str">
        <f>IFERROR(__xludf.DUMMYFUNCTION("""COMPUTED_VALUE"""),"")</f>
        <v/>
      </c>
      <c r="T464" s="80" t="str">
        <f>IFERROR(__xludf.DUMMYFUNCTION("""COMPUTED_VALUE"""),"")</f>
        <v/>
      </c>
      <c r="U464" s="71" t="str">
        <f>IFERROR(__xludf.DUMMYFUNCTION("""COMPUTED_VALUE"""),"")</f>
        <v/>
      </c>
      <c r="V464" s="78" t="str">
        <f>IFERROR(__xludf.DUMMYFUNCTION("""COMPUTED_VALUE"""),"")</f>
        <v/>
      </c>
      <c r="W464" s="62" t="str">
        <f>IFERROR(__xludf.DUMMYFUNCTION("""COMPUTED_VALUE"""),"")</f>
        <v/>
      </c>
      <c r="X464" s="80" t="str">
        <f>IFERROR(__xludf.DUMMYFUNCTION("""COMPUTED_VALUE"""),"")</f>
        <v/>
      </c>
      <c r="Y464" s="109" t="str">
        <f>IFERROR(__xludf.DUMMYFUNCTION("""COMPUTED_VALUE"""),"")</f>
        <v/>
      </c>
      <c r="Z464" s="71"/>
      <c r="AA464" s="71"/>
      <c r="AB464" s="71"/>
    </row>
    <row r="465">
      <c r="A465" s="71"/>
      <c r="B465" s="71"/>
      <c r="C465" s="71" t="str">
        <f>IFERROR(__xludf.DUMMYFUNCTION("""COMPUTED_VALUE"""),"")</f>
        <v/>
      </c>
      <c r="D465" s="71"/>
      <c r="E465" s="78"/>
      <c r="F465" s="71"/>
      <c r="G465" s="78" t="str">
        <f>IFERROR(__xludf.DUMMYFUNCTION("""COMPUTED_VALUE"""),"")</f>
        <v/>
      </c>
      <c r="H465" s="71"/>
      <c r="I465" s="80" t="str">
        <f>IFERROR(__xludf.DUMMYFUNCTION("""COMPUTED_VALUE"""),"")</f>
        <v/>
      </c>
      <c r="J465" s="71" t="str">
        <f>IFERROR(__xludf.DUMMYFUNCTION("""COMPUTED_VALUE"""),"")</f>
        <v/>
      </c>
      <c r="K465" s="71"/>
      <c r="L465" s="71" t="str">
        <f>IFERROR(__xludf.DUMMYFUNCTION("""COMPUTED_VALUE"""),"")</f>
        <v/>
      </c>
      <c r="M465" s="71"/>
      <c r="N465" s="109" t="str">
        <f>IFERROR(__xludf.DUMMYFUNCTION("""COMPUTED_VALUE"""),"")</f>
        <v/>
      </c>
      <c r="O465" s="71" t="str">
        <f>IFERROR(__xludf.DUMMYFUNCTION("""COMPUTED_VALUE"""),"")</f>
        <v/>
      </c>
      <c r="P465" s="71" t="str">
        <f>IFERROR(__xludf.DUMMYFUNCTION("""COMPUTED_VALUE"""),"")</f>
        <v/>
      </c>
      <c r="Q465" s="78" t="str">
        <f>IFERROR(__xludf.DUMMYFUNCTION("""COMPUTED_VALUE"""),"")</f>
        <v/>
      </c>
      <c r="R465" s="78" t="str">
        <f>IFERROR(__xludf.DUMMYFUNCTION("""COMPUTED_VALUE"""),"")</f>
        <v/>
      </c>
      <c r="S465" s="80" t="str">
        <f>IFERROR(__xludf.DUMMYFUNCTION("""COMPUTED_VALUE"""),"")</f>
        <v/>
      </c>
      <c r="T465" s="80" t="str">
        <f>IFERROR(__xludf.DUMMYFUNCTION("""COMPUTED_VALUE"""),"")</f>
        <v/>
      </c>
      <c r="U465" s="71" t="str">
        <f>IFERROR(__xludf.DUMMYFUNCTION("""COMPUTED_VALUE"""),"")</f>
        <v/>
      </c>
      <c r="V465" s="78" t="str">
        <f>IFERROR(__xludf.DUMMYFUNCTION("""COMPUTED_VALUE"""),"")</f>
        <v/>
      </c>
      <c r="W465" s="62" t="str">
        <f>IFERROR(__xludf.DUMMYFUNCTION("""COMPUTED_VALUE"""),"")</f>
        <v/>
      </c>
      <c r="X465" s="80" t="str">
        <f>IFERROR(__xludf.DUMMYFUNCTION("""COMPUTED_VALUE"""),"")</f>
        <v/>
      </c>
      <c r="Y465" s="109" t="str">
        <f>IFERROR(__xludf.DUMMYFUNCTION("""COMPUTED_VALUE"""),"")</f>
        <v/>
      </c>
      <c r="Z465" s="71"/>
      <c r="AA465" s="71"/>
      <c r="AB465" s="71"/>
    </row>
    <row r="466">
      <c r="A466" s="71"/>
      <c r="B466" s="71"/>
      <c r="C466" s="71" t="str">
        <f>IFERROR(__xludf.DUMMYFUNCTION("""COMPUTED_VALUE"""),"")</f>
        <v/>
      </c>
      <c r="D466" s="71"/>
      <c r="E466" s="78"/>
      <c r="F466" s="71"/>
      <c r="G466" s="78" t="str">
        <f>IFERROR(__xludf.DUMMYFUNCTION("""COMPUTED_VALUE"""),"")</f>
        <v/>
      </c>
      <c r="H466" s="71"/>
      <c r="I466" s="80" t="str">
        <f>IFERROR(__xludf.DUMMYFUNCTION("""COMPUTED_VALUE"""),"")</f>
        <v/>
      </c>
      <c r="J466" s="71" t="str">
        <f>IFERROR(__xludf.DUMMYFUNCTION("""COMPUTED_VALUE"""),"")</f>
        <v/>
      </c>
      <c r="K466" s="71"/>
      <c r="L466" s="71" t="str">
        <f>IFERROR(__xludf.DUMMYFUNCTION("""COMPUTED_VALUE"""),"")</f>
        <v/>
      </c>
      <c r="M466" s="71"/>
      <c r="N466" s="109" t="str">
        <f>IFERROR(__xludf.DUMMYFUNCTION("""COMPUTED_VALUE"""),"")</f>
        <v/>
      </c>
      <c r="O466" s="71" t="str">
        <f>IFERROR(__xludf.DUMMYFUNCTION("""COMPUTED_VALUE"""),"")</f>
        <v/>
      </c>
      <c r="P466" s="71" t="str">
        <f>IFERROR(__xludf.DUMMYFUNCTION("""COMPUTED_VALUE"""),"")</f>
        <v/>
      </c>
      <c r="Q466" s="78" t="str">
        <f>IFERROR(__xludf.DUMMYFUNCTION("""COMPUTED_VALUE"""),"")</f>
        <v/>
      </c>
      <c r="R466" s="78" t="str">
        <f>IFERROR(__xludf.DUMMYFUNCTION("""COMPUTED_VALUE"""),"")</f>
        <v/>
      </c>
      <c r="S466" s="80" t="str">
        <f>IFERROR(__xludf.DUMMYFUNCTION("""COMPUTED_VALUE"""),"")</f>
        <v/>
      </c>
      <c r="T466" s="80" t="str">
        <f>IFERROR(__xludf.DUMMYFUNCTION("""COMPUTED_VALUE"""),"")</f>
        <v/>
      </c>
      <c r="U466" s="71" t="str">
        <f>IFERROR(__xludf.DUMMYFUNCTION("""COMPUTED_VALUE"""),"")</f>
        <v/>
      </c>
      <c r="V466" s="78" t="str">
        <f>IFERROR(__xludf.DUMMYFUNCTION("""COMPUTED_VALUE"""),"")</f>
        <v/>
      </c>
      <c r="W466" s="62" t="str">
        <f>IFERROR(__xludf.DUMMYFUNCTION("""COMPUTED_VALUE"""),"")</f>
        <v/>
      </c>
      <c r="X466" s="80" t="str">
        <f>IFERROR(__xludf.DUMMYFUNCTION("""COMPUTED_VALUE"""),"")</f>
        <v/>
      </c>
      <c r="Y466" s="109" t="str">
        <f>IFERROR(__xludf.DUMMYFUNCTION("""COMPUTED_VALUE"""),"")</f>
        <v/>
      </c>
      <c r="Z466" s="71"/>
      <c r="AA466" s="71"/>
      <c r="AB466" s="71"/>
    </row>
    <row r="467">
      <c r="A467" s="71"/>
      <c r="B467" s="71"/>
      <c r="C467" s="71" t="str">
        <f>IFERROR(__xludf.DUMMYFUNCTION("""COMPUTED_VALUE"""),"")</f>
        <v/>
      </c>
      <c r="D467" s="71"/>
      <c r="E467" s="78"/>
      <c r="F467" s="71"/>
      <c r="G467" s="78" t="str">
        <f>IFERROR(__xludf.DUMMYFUNCTION("""COMPUTED_VALUE"""),"")</f>
        <v/>
      </c>
      <c r="H467" s="71"/>
      <c r="I467" s="80" t="str">
        <f>IFERROR(__xludf.DUMMYFUNCTION("""COMPUTED_VALUE"""),"")</f>
        <v/>
      </c>
      <c r="J467" s="71" t="str">
        <f>IFERROR(__xludf.DUMMYFUNCTION("""COMPUTED_VALUE"""),"")</f>
        <v/>
      </c>
      <c r="K467" s="71"/>
      <c r="L467" s="71" t="str">
        <f>IFERROR(__xludf.DUMMYFUNCTION("""COMPUTED_VALUE"""),"")</f>
        <v/>
      </c>
      <c r="M467" s="71"/>
      <c r="N467" s="109" t="str">
        <f>IFERROR(__xludf.DUMMYFUNCTION("""COMPUTED_VALUE"""),"")</f>
        <v/>
      </c>
      <c r="O467" s="71" t="str">
        <f>IFERROR(__xludf.DUMMYFUNCTION("""COMPUTED_VALUE"""),"")</f>
        <v/>
      </c>
      <c r="P467" s="71" t="str">
        <f>IFERROR(__xludf.DUMMYFUNCTION("""COMPUTED_VALUE"""),"")</f>
        <v/>
      </c>
      <c r="Q467" s="78" t="str">
        <f>IFERROR(__xludf.DUMMYFUNCTION("""COMPUTED_VALUE"""),"")</f>
        <v/>
      </c>
      <c r="R467" s="78" t="str">
        <f>IFERROR(__xludf.DUMMYFUNCTION("""COMPUTED_VALUE"""),"")</f>
        <v/>
      </c>
      <c r="S467" s="80" t="str">
        <f>IFERROR(__xludf.DUMMYFUNCTION("""COMPUTED_VALUE"""),"")</f>
        <v/>
      </c>
      <c r="T467" s="80" t="str">
        <f>IFERROR(__xludf.DUMMYFUNCTION("""COMPUTED_VALUE"""),"")</f>
        <v/>
      </c>
      <c r="U467" s="71" t="str">
        <f>IFERROR(__xludf.DUMMYFUNCTION("""COMPUTED_VALUE"""),"")</f>
        <v/>
      </c>
      <c r="V467" s="78" t="str">
        <f>IFERROR(__xludf.DUMMYFUNCTION("""COMPUTED_VALUE"""),"")</f>
        <v/>
      </c>
      <c r="W467" s="62" t="str">
        <f>IFERROR(__xludf.DUMMYFUNCTION("""COMPUTED_VALUE"""),"")</f>
        <v/>
      </c>
      <c r="X467" s="80" t="str">
        <f>IFERROR(__xludf.DUMMYFUNCTION("""COMPUTED_VALUE"""),"")</f>
        <v/>
      </c>
      <c r="Y467" s="109" t="str">
        <f>IFERROR(__xludf.DUMMYFUNCTION("""COMPUTED_VALUE"""),"")</f>
        <v/>
      </c>
      <c r="Z467" s="71"/>
      <c r="AA467" s="71"/>
      <c r="AB467" s="71"/>
    </row>
    <row r="468">
      <c r="A468" s="71"/>
      <c r="B468" s="71"/>
      <c r="C468" s="71" t="str">
        <f>IFERROR(__xludf.DUMMYFUNCTION("""COMPUTED_VALUE"""),"")</f>
        <v/>
      </c>
      <c r="D468" s="71"/>
      <c r="E468" s="78"/>
      <c r="F468" s="71"/>
      <c r="G468" s="78" t="str">
        <f>IFERROR(__xludf.DUMMYFUNCTION("""COMPUTED_VALUE"""),"")</f>
        <v/>
      </c>
      <c r="H468" s="71"/>
      <c r="I468" s="80" t="str">
        <f>IFERROR(__xludf.DUMMYFUNCTION("""COMPUTED_VALUE"""),"")</f>
        <v/>
      </c>
      <c r="J468" s="71" t="str">
        <f>IFERROR(__xludf.DUMMYFUNCTION("""COMPUTED_VALUE"""),"")</f>
        <v/>
      </c>
      <c r="K468" s="71"/>
      <c r="L468" s="71" t="str">
        <f>IFERROR(__xludf.DUMMYFUNCTION("""COMPUTED_VALUE"""),"")</f>
        <v/>
      </c>
      <c r="M468" s="71"/>
      <c r="N468" s="109" t="str">
        <f>IFERROR(__xludf.DUMMYFUNCTION("""COMPUTED_VALUE"""),"")</f>
        <v/>
      </c>
      <c r="O468" s="71" t="str">
        <f>IFERROR(__xludf.DUMMYFUNCTION("""COMPUTED_VALUE"""),"")</f>
        <v/>
      </c>
      <c r="P468" s="71" t="str">
        <f>IFERROR(__xludf.DUMMYFUNCTION("""COMPUTED_VALUE"""),"")</f>
        <v/>
      </c>
      <c r="Q468" s="78" t="str">
        <f>IFERROR(__xludf.DUMMYFUNCTION("""COMPUTED_VALUE"""),"")</f>
        <v/>
      </c>
      <c r="R468" s="78" t="str">
        <f>IFERROR(__xludf.DUMMYFUNCTION("""COMPUTED_VALUE"""),"")</f>
        <v/>
      </c>
      <c r="S468" s="80" t="str">
        <f>IFERROR(__xludf.DUMMYFUNCTION("""COMPUTED_VALUE"""),"")</f>
        <v/>
      </c>
      <c r="T468" s="80" t="str">
        <f>IFERROR(__xludf.DUMMYFUNCTION("""COMPUTED_VALUE"""),"")</f>
        <v/>
      </c>
      <c r="U468" s="71" t="str">
        <f>IFERROR(__xludf.DUMMYFUNCTION("""COMPUTED_VALUE"""),"")</f>
        <v/>
      </c>
      <c r="V468" s="78" t="str">
        <f>IFERROR(__xludf.DUMMYFUNCTION("""COMPUTED_VALUE"""),"")</f>
        <v/>
      </c>
      <c r="W468" s="62" t="str">
        <f>IFERROR(__xludf.DUMMYFUNCTION("""COMPUTED_VALUE"""),"")</f>
        <v/>
      </c>
      <c r="X468" s="80" t="str">
        <f>IFERROR(__xludf.DUMMYFUNCTION("""COMPUTED_VALUE"""),"")</f>
        <v/>
      </c>
      <c r="Y468" s="109" t="str">
        <f>IFERROR(__xludf.DUMMYFUNCTION("""COMPUTED_VALUE"""),"")</f>
        <v/>
      </c>
      <c r="Z468" s="71"/>
      <c r="AA468" s="71"/>
      <c r="AB468" s="71"/>
    </row>
    <row r="469">
      <c r="A469" s="71"/>
      <c r="B469" s="71"/>
      <c r="C469" s="71" t="str">
        <f>IFERROR(__xludf.DUMMYFUNCTION("""COMPUTED_VALUE"""),"")</f>
        <v/>
      </c>
      <c r="D469" s="71"/>
      <c r="E469" s="78"/>
      <c r="F469" s="71"/>
      <c r="G469" s="78" t="str">
        <f>IFERROR(__xludf.DUMMYFUNCTION("""COMPUTED_VALUE"""),"")</f>
        <v/>
      </c>
      <c r="H469" s="71"/>
      <c r="I469" s="80" t="str">
        <f>IFERROR(__xludf.DUMMYFUNCTION("""COMPUTED_VALUE"""),"")</f>
        <v/>
      </c>
      <c r="J469" s="71" t="str">
        <f>IFERROR(__xludf.DUMMYFUNCTION("""COMPUTED_VALUE"""),"")</f>
        <v/>
      </c>
      <c r="K469" s="71"/>
      <c r="L469" s="71" t="str">
        <f>IFERROR(__xludf.DUMMYFUNCTION("""COMPUTED_VALUE"""),"")</f>
        <v/>
      </c>
      <c r="M469" s="71"/>
      <c r="N469" s="109" t="str">
        <f>IFERROR(__xludf.DUMMYFUNCTION("""COMPUTED_VALUE"""),"")</f>
        <v/>
      </c>
      <c r="O469" s="71" t="str">
        <f>IFERROR(__xludf.DUMMYFUNCTION("""COMPUTED_VALUE"""),"")</f>
        <v/>
      </c>
      <c r="P469" s="71" t="str">
        <f>IFERROR(__xludf.DUMMYFUNCTION("""COMPUTED_VALUE"""),"")</f>
        <v/>
      </c>
      <c r="Q469" s="78" t="str">
        <f>IFERROR(__xludf.DUMMYFUNCTION("""COMPUTED_VALUE"""),"")</f>
        <v/>
      </c>
      <c r="R469" s="78" t="str">
        <f>IFERROR(__xludf.DUMMYFUNCTION("""COMPUTED_VALUE"""),"")</f>
        <v/>
      </c>
      <c r="S469" s="80" t="str">
        <f>IFERROR(__xludf.DUMMYFUNCTION("""COMPUTED_VALUE"""),"")</f>
        <v/>
      </c>
      <c r="T469" s="80" t="str">
        <f>IFERROR(__xludf.DUMMYFUNCTION("""COMPUTED_VALUE"""),"")</f>
        <v/>
      </c>
      <c r="U469" s="71" t="str">
        <f>IFERROR(__xludf.DUMMYFUNCTION("""COMPUTED_VALUE"""),"")</f>
        <v/>
      </c>
      <c r="V469" s="78" t="str">
        <f>IFERROR(__xludf.DUMMYFUNCTION("""COMPUTED_VALUE"""),"")</f>
        <v/>
      </c>
      <c r="W469" s="62" t="str">
        <f>IFERROR(__xludf.DUMMYFUNCTION("""COMPUTED_VALUE"""),"")</f>
        <v/>
      </c>
      <c r="X469" s="80" t="str">
        <f>IFERROR(__xludf.DUMMYFUNCTION("""COMPUTED_VALUE"""),"")</f>
        <v/>
      </c>
      <c r="Y469" s="109" t="str">
        <f>IFERROR(__xludf.DUMMYFUNCTION("""COMPUTED_VALUE"""),"")</f>
        <v/>
      </c>
      <c r="Z469" s="71"/>
      <c r="AA469" s="71"/>
      <c r="AB469" s="71"/>
    </row>
    <row r="470">
      <c r="A470" s="71"/>
      <c r="B470" s="71"/>
      <c r="C470" s="71" t="str">
        <f>IFERROR(__xludf.DUMMYFUNCTION("""COMPUTED_VALUE"""),"")</f>
        <v/>
      </c>
      <c r="D470" s="71"/>
      <c r="E470" s="78"/>
      <c r="F470" s="71"/>
      <c r="G470" s="78" t="str">
        <f>IFERROR(__xludf.DUMMYFUNCTION("""COMPUTED_VALUE"""),"")</f>
        <v/>
      </c>
      <c r="H470" s="71"/>
      <c r="I470" s="80" t="str">
        <f>IFERROR(__xludf.DUMMYFUNCTION("""COMPUTED_VALUE"""),"")</f>
        <v/>
      </c>
      <c r="J470" s="71" t="str">
        <f>IFERROR(__xludf.DUMMYFUNCTION("""COMPUTED_VALUE"""),"")</f>
        <v/>
      </c>
      <c r="K470" s="71"/>
      <c r="L470" s="71" t="str">
        <f>IFERROR(__xludf.DUMMYFUNCTION("""COMPUTED_VALUE"""),"")</f>
        <v/>
      </c>
      <c r="M470" s="71"/>
      <c r="N470" s="109" t="str">
        <f>IFERROR(__xludf.DUMMYFUNCTION("""COMPUTED_VALUE"""),"")</f>
        <v/>
      </c>
      <c r="O470" s="71" t="str">
        <f>IFERROR(__xludf.DUMMYFUNCTION("""COMPUTED_VALUE"""),"")</f>
        <v/>
      </c>
      <c r="P470" s="71" t="str">
        <f>IFERROR(__xludf.DUMMYFUNCTION("""COMPUTED_VALUE"""),"")</f>
        <v/>
      </c>
      <c r="Q470" s="78" t="str">
        <f>IFERROR(__xludf.DUMMYFUNCTION("""COMPUTED_VALUE"""),"")</f>
        <v/>
      </c>
      <c r="R470" s="78" t="str">
        <f>IFERROR(__xludf.DUMMYFUNCTION("""COMPUTED_VALUE"""),"")</f>
        <v/>
      </c>
      <c r="S470" s="80" t="str">
        <f>IFERROR(__xludf.DUMMYFUNCTION("""COMPUTED_VALUE"""),"")</f>
        <v/>
      </c>
      <c r="T470" s="80" t="str">
        <f>IFERROR(__xludf.DUMMYFUNCTION("""COMPUTED_VALUE"""),"")</f>
        <v/>
      </c>
      <c r="U470" s="71" t="str">
        <f>IFERROR(__xludf.DUMMYFUNCTION("""COMPUTED_VALUE"""),"")</f>
        <v/>
      </c>
      <c r="V470" s="78" t="str">
        <f>IFERROR(__xludf.DUMMYFUNCTION("""COMPUTED_VALUE"""),"")</f>
        <v/>
      </c>
      <c r="W470" s="62" t="str">
        <f>IFERROR(__xludf.DUMMYFUNCTION("""COMPUTED_VALUE"""),"")</f>
        <v/>
      </c>
      <c r="X470" s="80" t="str">
        <f>IFERROR(__xludf.DUMMYFUNCTION("""COMPUTED_VALUE"""),"")</f>
        <v/>
      </c>
      <c r="Y470" s="109" t="str">
        <f>IFERROR(__xludf.DUMMYFUNCTION("""COMPUTED_VALUE"""),"")</f>
        <v/>
      </c>
      <c r="Z470" s="71"/>
      <c r="AA470" s="71"/>
      <c r="AB470" s="71"/>
    </row>
    <row r="471">
      <c r="A471" s="71"/>
      <c r="B471" s="71"/>
      <c r="C471" s="71" t="str">
        <f>IFERROR(__xludf.DUMMYFUNCTION("""COMPUTED_VALUE"""),"")</f>
        <v/>
      </c>
      <c r="D471" s="71"/>
      <c r="E471" s="78"/>
      <c r="F471" s="71"/>
      <c r="G471" s="78" t="str">
        <f>IFERROR(__xludf.DUMMYFUNCTION("""COMPUTED_VALUE"""),"")</f>
        <v/>
      </c>
      <c r="H471" s="71"/>
      <c r="I471" s="80" t="str">
        <f>IFERROR(__xludf.DUMMYFUNCTION("""COMPUTED_VALUE"""),"")</f>
        <v/>
      </c>
      <c r="J471" s="71" t="str">
        <f>IFERROR(__xludf.DUMMYFUNCTION("""COMPUTED_VALUE"""),"")</f>
        <v/>
      </c>
      <c r="K471" s="71"/>
      <c r="L471" s="71" t="str">
        <f>IFERROR(__xludf.DUMMYFUNCTION("""COMPUTED_VALUE"""),"")</f>
        <v/>
      </c>
      <c r="M471" s="71"/>
      <c r="N471" s="109" t="str">
        <f>IFERROR(__xludf.DUMMYFUNCTION("""COMPUTED_VALUE"""),"")</f>
        <v/>
      </c>
      <c r="O471" s="71" t="str">
        <f>IFERROR(__xludf.DUMMYFUNCTION("""COMPUTED_VALUE"""),"")</f>
        <v/>
      </c>
      <c r="P471" s="71" t="str">
        <f>IFERROR(__xludf.DUMMYFUNCTION("""COMPUTED_VALUE"""),"")</f>
        <v/>
      </c>
      <c r="Q471" s="78" t="str">
        <f>IFERROR(__xludf.DUMMYFUNCTION("""COMPUTED_VALUE"""),"")</f>
        <v/>
      </c>
      <c r="R471" s="78" t="str">
        <f>IFERROR(__xludf.DUMMYFUNCTION("""COMPUTED_VALUE"""),"")</f>
        <v/>
      </c>
      <c r="S471" s="80" t="str">
        <f>IFERROR(__xludf.DUMMYFUNCTION("""COMPUTED_VALUE"""),"")</f>
        <v/>
      </c>
      <c r="T471" s="80" t="str">
        <f>IFERROR(__xludf.DUMMYFUNCTION("""COMPUTED_VALUE"""),"")</f>
        <v/>
      </c>
      <c r="U471" s="71" t="str">
        <f>IFERROR(__xludf.DUMMYFUNCTION("""COMPUTED_VALUE"""),"")</f>
        <v/>
      </c>
      <c r="V471" s="78" t="str">
        <f>IFERROR(__xludf.DUMMYFUNCTION("""COMPUTED_VALUE"""),"")</f>
        <v/>
      </c>
      <c r="W471" s="62" t="str">
        <f>IFERROR(__xludf.DUMMYFUNCTION("""COMPUTED_VALUE"""),"")</f>
        <v/>
      </c>
      <c r="X471" s="80" t="str">
        <f>IFERROR(__xludf.DUMMYFUNCTION("""COMPUTED_VALUE"""),"")</f>
        <v/>
      </c>
      <c r="Y471" s="109" t="str">
        <f>IFERROR(__xludf.DUMMYFUNCTION("""COMPUTED_VALUE"""),"")</f>
        <v/>
      </c>
      <c r="Z471" s="71"/>
      <c r="AA471" s="71"/>
      <c r="AB471" s="71"/>
    </row>
    <row r="472">
      <c r="A472" s="71"/>
      <c r="B472" s="71"/>
      <c r="C472" s="71" t="str">
        <f>IFERROR(__xludf.DUMMYFUNCTION("""COMPUTED_VALUE"""),"")</f>
        <v/>
      </c>
      <c r="D472" s="71"/>
      <c r="E472" s="78"/>
      <c r="F472" s="71"/>
      <c r="G472" s="78" t="str">
        <f>IFERROR(__xludf.DUMMYFUNCTION("""COMPUTED_VALUE"""),"")</f>
        <v/>
      </c>
      <c r="H472" s="71"/>
      <c r="I472" s="80" t="str">
        <f>IFERROR(__xludf.DUMMYFUNCTION("""COMPUTED_VALUE"""),"")</f>
        <v/>
      </c>
      <c r="J472" s="71" t="str">
        <f>IFERROR(__xludf.DUMMYFUNCTION("""COMPUTED_VALUE"""),"")</f>
        <v/>
      </c>
      <c r="K472" s="71"/>
      <c r="L472" s="71" t="str">
        <f>IFERROR(__xludf.DUMMYFUNCTION("""COMPUTED_VALUE"""),"")</f>
        <v/>
      </c>
      <c r="M472" s="71"/>
      <c r="N472" s="109" t="str">
        <f>IFERROR(__xludf.DUMMYFUNCTION("""COMPUTED_VALUE"""),"")</f>
        <v/>
      </c>
      <c r="O472" s="71" t="str">
        <f>IFERROR(__xludf.DUMMYFUNCTION("""COMPUTED_VALUE"""),"")</f>
        <v/>
      </c>
      <c r="P472" s="71" t="str">
        <f>IFERROR(__xludf.DUMMYFUNCTION("""COMPUTED_VALUE"""),"")</f>
        <v/>
      </c>
      <c r="Q472" s="78" t="str">
        <f>IFERROR(__xludf.DUMMYFUNCTION("""COMPUTED_VALUE"""),"")</f>
        <v/>
      </c>
      <c r="R472" s="78" t="str">
        <f>IFERROR(__xludf.DUMMYFUNCTION("""COMPUTED_VALUE"""),"")</f>
        <v/>
      </c>
      <c r="S472" s="80" t="str">
        <f>IFERROR(__xludf.DUMMYFUNCTION("""COMPUTED_VALUE"""),"")</f>
        <v/>
      </c>
      <c r="T472" s="80" t="str">
        <f>IFERROR(__xludf.DUMMYFUNCTION("""COMPUTED_VALUE"""),"")</f>
        <v/>
      </c>
      <c r="U472" s="71" t="str">
        <f>IFERROR(__xludf.DUMMYFUNCTION("""COMPUTED_VALUE"""),"")</f>
        <v/>
      </c>
      <c r="V472" s="78" t="str">
        <f>IFERROR(__xludf.DUMMYFUNCTION("""COMPUTED_VALUE"""),"")</f>
        <v/>
      </c>
      <c r="W472" s="62" t="str">
        <f>IFERROR(__xludf.DUMMYFUNCTION("""COMPUTED_VALUE"""),"")</f>
        <v/>
      </c>
      <c r="X472" s="80" t="str">
        <f>IFERROR(__xludf.DUMMYFUNCTION("""COMPUTED_VALUE"""),"")</f>
        <v/>
      </c>
      <c r="Y472" s="109" t="str">
        <f>IFERROR(__xludf.DUMMYFUNCTION("""COMPUTED_VALUE"""),"")</f>
        <v/>
      </c>
      <c r="Z472" s="71"/>
      <c r="AA472" s="71"/>
      <c r="AB472" s="71"/>
    </row>
    <row r="473">
      <c r="A473" s="71"/>
      <c r="B473" s="71"/>
      <c r="C473" s="71" t="str">
        <f>IFERROR(__xludf.DUMMYFUNCTION("""COMPUTED_VALUE"""),"")</f>
        <v/>
      </c>
      <c r="D473" s="71"/>
      <c r="E473" s="78"/>
      <c r="F473" s="71"/>
      <c r="G473" s="78" t="str">
        <f>IFERROR(__xludf.DUMMYFUNCTION("""COMPUTED_VALUE"""),"")</f>
        <v/>
      </c>
      <c r="H473" s="71"/>
      <c r="I473" s="80" t="str">
        <f>IFERROR(__xludf.DUMMYFUNCTION("""COMPUTED_VALUE"""),"")</f>
        <v/>
      </c>
      <c r="J473" s="71" t="str">
        <f>IFERROR(__xludf.DUMMYFUNCTION("""COMPUTED_VALUE"""),"")</f>
        <v/>
      </c>
      <c r="K473" s="71"/>
      <c r="L473" s="71" t="str">
        <f>IFERROR(__xludf.DUMMYFUNCTION("""COMPUTED_VALUE"""),"")</f>
        <v/>
      </c>
      <c r="M473" s="71"/>
      <c r="N473" s="109" t="str">
        <f>IFERROR(__xludf.DUMMYFUNCTION("""COMPUTED_VALUE"""),"")</f>
        <v/>
      </c>
      <c r="O473" s="71" t="str">
        <f>IFERROR(__xludf.DUMMYFUNCTION("""COMPUTED_VALUE"""),"")</f>
        <v/>
      </c>
      <c r="P473" s="71" t="str">
        <f>IFERROR(__xludf.DUMMYFUNCTION("""COMPUTED_VALUE"""),"")</f>
        <v/>
      </c>
      <c r="Q473" s="78" t="str">
        <f>IFERROR(__xludf.DUMMYFUNCTION("""COMPUTED_VALUE"""),"")</f>
        <v/>
      </c>
      <c r="R473" s="78" t="str">
        <f>IFERROR(__xludf.DUMMYFUNCTION("""COMPUTED_VALUE"""),"")</f>
        <v/>
      </c>
      <c r="S473" s="80" t="str">
        <f>IFERROR(__xludf.DUMMYFUNCTION("""COMPUTED_VALUE"""),"")</f>
        <v/>
      </c>
      <c r="T473" s="80" t="str">
        <f>IFERROR(__xludf.DUMMYFUNCTION("""COMPUTED_VALUE"""),"")</f>
        <v/>
      </c>
      <c r="U473" s="71" t="str">
        <f>IFERROR(__xludf.DUMMYFUNCTION("""COMPUTED_VALUE"""),"")</f>
        <v/>
      </c>
      <c r="V473" s="78" t="str">
        <f>IFERROR(__xludf.DUMMYFUNCTION("""COMPUTED_VALUE"""),"")</f>
        <v/>
      </c>
      <c r="W473" s="62" t="str">
        <f>IFERROR(__xludf.DUMMYFUNCTION("""COMPUTED_VALUE"""),"")</f>
        <v/>
      </c>
      <c r="X473" s="80" t="str">
        <f>IFERROR(__xludf.DUMMYFUNCTION("""COMPUTED_VALUE"""),"")</f>
        <v/>
      </c>
      <c r="Y473" s="109" t="str">
        <f>IFERROR(__xludf.DUMMYFUNCTION("""COMPUTED_VALUE"""),"")</f>
        <v/>
      </c>
      <c r="Z473" s="71"/>
      <c r="AA473" s="71"/>
      <c r="AB473" s="71"/>
    </row>
    <row r="474">
      <c r="A474" s="71"/>
      <c r="B474" s="71"/>
      <c r="C474" s="71" t="str">
        <f>IFERROR(__xludf.DUMMYFUNCTION("""COMPUTED_VALUE"""),"")</f>
        <v/>
      </c>
      <c r="D474" s="71"/>
      <c r="E474" s="78"/>
      <c r="F474" s="71"/>
      <c r="G474" s="78" t="str">
        <f>IFERROR(__xludf.DUMMYFUNCTION("""COMPUTED_VALUE"""),"")</f>
        <v/>
      </c>
      <c r="H474" s="71"/>
      <c r="I474" s="80" t="str">
        <f>IFERROR(__xludf.DUMMYFUNCTION("""COMPUTED_VALUE"""),"")</f>
        <v/>
      </c>
      <c r="J474" s="71" t="str">
        <f>IFERROR(__xludf.DUMMYFUNCTION("""COMPUTED_VALUE"""),"")</f>
        <v/>
      </c>
      <c r="K474" s="71"/>
      <c r="L474" s="71" t="str">
        <f>IFERROR(__xludf.DUMMYFUNCTION("""COMPUTED_VALUE"""),"")</f>
        <v/>
      </c>
      <c r="M474" s="71"/>
      <c r="N474" s="109" t="str">
        <f>IFERROR(__xludf.DUMMYFUNCTION("""COMPUTED_VALUE"""),"")</f>
        <v/>
      </c>
      <c r="O474" s="71" t="str">
        <f>IFERROR(__xludf.DUMMYFUNCTION("""COMPUTED_VALUE"""),"")</f>
        <v/>
      </c>
      <c r="P474" s="71" t="str">
        <f>IFERROR(__xludf.DUMMYFUNCTION("""COMPUTED_VALUE"""),"")</f>
        <v/>
      </c>
      <c r="Q474" s="78" t="str">
        <f>IFERROR(__xludf.DUMMYFUNCTION("""COMPUTED_VALUE"""),"")</f>
        <v/>
      </c>
      <c r="R474" s="78" t="str">
        <f>IFERROR(__xludf.DUMMYFUNCTION("""COMPUTED_VALUE"""),"")</f>
        <v/>
      </c>
      <c r="S474" s="80" t="str">
        <f>IFERROR(__xludf.DUMMYFUNCTION("""COMPUTED_VALUE"""),"")</f>
        <v/>
      </c>
      <c r="T474" s="80" t="str">
        <f>IFERROR(__xludf.DUMMYFUNCTION("""COMPUTED_VALUE"""),"")</f>
        <v/>
      </c>
      <c r="U474" s="71" t="str">
        <f>IFERROR(__xludf.DUMMYFUNCTION("""COMPUTED_VALUE"""),"")</f>
        <v/>
      </c>
      <c r="V474" s="78" t="str">
        <f>IFERROR(__xludf.DUMMYFUNCTION("""COMPUTED_VALUE"""),"")</f>
        <v/>
      </c>
      <c r="W474" s="62" t="str">
        <f>IFERROR(__xludf.DUMMYFUNCTION("""COMPUTED_VALUE"""),"")</f>
        <v/>
      </c>
      <c r="X474" s="80" t="str">
        <f>IFERROR(__xludf.DUMMYFUNCTION("""COMPUTED_VALUE"""),"")</f>
        <v/>
      </c>
      <c r="Y474" s="109" t="str">
        <f>IFERROR(__xludf.DUMMYFUNCTION("""COMPUTED_VALUE"""),"")</f>
        <v/>
      </c>
      <c r="Z474" s="71"/>
      <c r="AA474" s="71"/>
      <c r="AB474" s="71"/>
    </row>
    <row r="475">
      <c r="A475" s="71"/>
      <c r="B475" s="71"/>
      <c r="C475" s="71" t="str">
        <f>IFERROR(__xludf.DUMMYFUNCTION("""COMPUTED_VALUE"""),"")</f>
        <v/>
      </c>
      <c r="D475" s="71"/>
      <c r="E475" s="78"/>
      <c r="F475" s="71"/>
      <c r="G475" s="78" t="str">
        <f>IFERROR(__xludf.DUMMYFUNCTION("""COMPUTED_VALUE"""),"")</f>
        <v/>
      </c>
      <c r="H475" s="71"/>
      <c r="I475" s="80" t="str">
        <f>IFERROR(__xludf.DUMMYFUNCTION("""COMPUTED_VALUE"""),"")</f>
        <v/>
      </c>
      <c r="J475" s="71" t="str">
        <f>IFERROR(__xludf.DUMMYFUNCTION("""COMPUTED_VALUE"""),"")</f>
        <v/>
      </c>
      <c r="K475" s="71"/>
      <c r="L475" s="71" t="str">
        <f>IFERROR(__xludf.DUMMYFUNCTION("""COMPUTED_VALUE"""),"")</f>
        <v/>
      </c>
      <c r="M475" s="71"/>
      <c r="N475" s="109" t="str">
        <f>IFERROR(__xludf.DUMMYFUNCTION("""COMPUTED_VALUE"""),"")</f>
        <v/>
      </c>
      <c r="O475" s="71" t="str">
        <f>IFERROR(__xludf.DUMMYFUNCTION("""COMPUTED_VALUE"""),"")</f>
        <v/>
      </c>
      <c r="P475" s="71" t="str">
        <f>IFERROR(__xludf.DUMMYFUNCTION("""COMPUTED_VALUE"""),"")</f>
        <v/>
      </c>
      <c r="Q475" s="78" t="str">
        <f>IFERROR(__xludf.DUMMYFUNCTION("""COMPUTED_VALUE"""),"")</f>
        <v/>
      </c>
      <c r="R475" s="78" t="str">
        <f>IFERROR(__xludf.DUMMYFUNCTION("""COMPUTED_VALUE"""),"")</f>
        <v/>
      </c>
      <c r="S475" s="80" t="str">
        <f>IFERROR(__xludf.DUMMYFUNCTION("""COMPUTED_VALUE"""),"")</f>
        <v/>
      </c>
      <c r="T475" s="80" t="str">
        <f>IFERROR(__xludf.DUMMYFUNCTION("""COMPUTED_VALUE"""),"")</f>
        <v/>
      </c>
      <c r="U475" s="71" t="str">
        <f>IFERROR(__xludf.DUMMYFUNCTION("""COMPUTED_VALUE"""),"")</f>
        <v/>
      </c>
      <c r="V475" s="78" t="str">
        <f>IFERROR(__xludf.DUMMYFUNCTION("""COMPUTED_VALUE"""),"")</f>
        <v/>
      </c>
      <c r="W475" s="62" t="str">
        <f>IFERROR(__xludf.DUMMYFUNCTION("""COMPUTED_VALUE"""),"")</f>
        <v/>
      </c>
      <c r="X475" s="80" t="str">
        <f>IFERROR(__xludf.DUMMYFUNCTION("""COMPUTED_VALUE"""),"")</f>
        <v/>
      </c>
      <c r="Y475" s="109" t="str">
        <f>IFERROR(__xludf.DUMMYFUNCTION("""COMPUTED_VALUE"""),"")</f>
        <v/>
      </c>
      <c r="Z475" s="71"/>
      <c r="AA475" s="71"/>
      <c r="AB475" s="71"/>
    </row>
    <row r="476">
      <c r="A476" s="71"/>
      <c r="B476" s="71"/>
      <c r="C476" s="71" t="str">
        <f>IFERROR(__xludf.DUMMYFUNCTION("""COMPUTED_VALUE"""),"")</f>
        <v/>
      </c>
      <c r="D476" s="71"/>
      <c r="E476" s="78"/>
      <c r="F476" s="71"/>
      <c r="G476" s="78" t="str">
        <f>IFERROR(__xludf.DUMMYFUNCTION("""COMPUTED_VALUE"""),"")</f>
        <v/>
      </c>
      <c r="H476" s="71"/>
      <c r="I476" s="80" t="str">
        <f>IFERROR(__xludf.DUMMYFUNCTION("""COMPUTED_VALUE"""),"")</f>
        <v/>
      </c>
      <c r="J476" s="71" t="str">
        <f>IFERROR(__xludf.DUMMYFUNCTION("""COMPUTED_VALUE"""),"")</f>
        <v/>
      </c>
      <c r="K476" s="71"/>
      <c r="L476" s="71" t="str">
        <f>IFERROR(__xludf.DUMMYFUNCTION("""COMPUTED_VALUE"""),"")</f>
        <v/>
      </c>
      <c r="M476" s="71"/>
      <c r="N476" s="109" t="str">
        <f>IFERROR(__xludf.DUMMYFUNCTION("""COMPUTED_VALUE"""),"")</f>
        <v/>
      </c>
      <c r="O476" s="71" t="str">
        <f>IFERROR(__xludf.DUMMYFUNCTION("""COMPUTED_VALUE"""),"")</f>
        <v/>
      </c>
      <c r="P476" s="71" t="str">
        <f>IFERROR(__xludf.DUMMYFUNCTION("""COMPUTED_VALUE"""),"")</f>
        <v/>
      </c>
      <c r="Q476" s="78" t="str">
        <f>IFERROR(__xludf.DUMMYFUNCTION("""COMPUTED_VALUE"""),"")</f>
        <v/>
      </c>
      <c r="R476" s="78" t="str">
        <f>IFERROR(__xludf.DUMMYFUNCTION("""COMPUTED_VALUE"""),"")</f>
        <v/>
      </c>
      <c r="S476" s="80" t="str">
        <f>IFERROR(__xludf.DUMMYFUNCTION("""COMPUTED_VALUE"""),"")</f>
        <v/>
      </c>
      <c r="T476" s="80" t="str">
        <f>IFERROR(__xludf.DUMMYFUNCTION("""COMPUTED_VALUE"""),"")</f>
        <v/>
      </c>
      <c r="U476" s="71" t="str">
        <f>IFERROR(__xludf.DUMMYFUNCTION("""COMPUTED_VALUE"""),"")</f>
        <v/>
      </c>
      <c r="V476" s="78" t="str">
        <f>IFERROR(__xludf.DUMMYFUNCTION("""COMPUTED_VALUE"""),"")</f>
        <v/>
      </c>
      <c r="W476" s="62" t="str">
        <f>IFERROR(__xludf.DUMMYFUNCTION("""COMPUTED_VALUE"""),"")</f>
        <v/>
      </c>
      <c r="X476" s="80" t="str">
        <f>IFERROR(__xludf.DUMMYFUNCTION("""COMPUTED_VALUE"""),"")</f>
        <v/>
      </c>
      <c r="Y476" s="109" t="str">
        <f>IFERROR(__xludf.DUMMYFUNCTION("""COMPUTED_VALUE"""),"")</f>
        <v/>
      </c>
      <c r="Z476" s="71"/>
      <c r="AA476" s="71"/>
      <c r="AB476" s="71"/>
    </row>
    <row r="477">
      <c r="A477" s="71"/>
      <c r="B477" s="71"/>
      <c r="C477" s="71" t="str">
        <f>IFERROR(__xludf.DUMMYFUNCTION("""COMPUTED_VALUE"""),"")</f>
        <v/>
      </c>
      <c r="D477" s="71"/>
      <c r="E477" s="78"/>
      <c r="F477" s="71"/>
      <c r="G477" s="78" t="str">
        <f>IFERROR(__xludf.DUMMYFUNCTION("""COMPUTED_VALUE"""),"")</f>
        <v/>
      </c>
      <c r="H477" s="71"/>
      <c r="I477" s="80" t="str">
        <f>IFERROR(__xludf.DUMMYFUNCTION("""COMPUTED_VALUE"""),"")</f>
        <v/>
      </c>
      <c r="J477" s="71" t="str">
        <f>IFERROR(__xludf.DUMMYFUNCTION("""COMPUTED_VALUE"""),"")</f>
        <v/>
      </c>
      <c r="K477" s="71"/>
      <c r="L477" s="71" t="str">
        <f>IFERROR(__xludf.DUMMYFUNCTION("""COMPUTED_VALUE"""),"")</f>
        <v/>
      </c>
      <c r="M477" s="71"/>
      <c r="N477" s="109" t="str">
        <f>IFERROR(__xludf.DUMMYFUNCTION("""COMPUTED_VALUE"""),"")</f>
        <v/>
      </c>
      <c r="O477" s="71" t="str">
        <f>IFERROR(__xludf.DUMMYFUNCTION("""COMPUTED_VALUE"""),"")</f>
        <v/>
      </c>
      <c r="P477" s="71" t="str">
        <f>IFERROR(__xludf.DUMMYFUNCTION("""COMPUTED_VALUE"""),"")</f>
        <v/>
      </c>
      <c r="Q477" s="78" t="str">
        <f>IFERROR(__xludf.DUMMYFUNCTION("""COMPUTED_VALUE"""),"")</f>
        <v/>
      </c>
      <c r="R477" s="78" t="str">
        <f>IFERROR(__xludf.DUMMYFUNCTION("""COMPUTED_VALUE"""),"")</f>
        <v/>
      </c>
      <c r="S477" s="80" t="str">
        <f>IFERROR(__xludf.DUMMYFUNCTION("""COMPUTED_VALUE"""),"")</f>
        <v/>
      </c>
      <c r="T477" s="80" t="str">
        <f>IFERROR(__xludf.DUMMYFUNCTION("""COMPUTED_VALUE"""),"")</f>
        <v/>
      </c>
      <c r="U477" s="71" t="str">
        <f>IFERROR(__xludf.DUMMYFUNCTION("""COMPUTED_VALUE"""),"")</f>
        <v/>
      </c>
      <c r="V477" s="78" t="str">
        <f>IFERROR(__xludf.DUMMYFUNCTION("""COMPUTED_VALUE"""),"")</f>
        <v/>
      </c>
      <c r="W477" s="62" t="str">
        <f>IFERROR(__xludf.DUMMYFUNCTION("""COMPUTED_VALUE"""),"")</f>
        <v/>
      </c>
      <c r="X477" s="80" t="str">
        <f>IFERROR(__xludf.DUMMYFUNCTION("""COMPUTED_VALUE"""),"")</f>
        <v/>
      </c>
      <c r="Y477" s="109" t="str">
        <f>IFERROR(__xludf.DUMMYFUNCTION("""COMPUTED_VALUE"""),"")</f>
        <v/>
      </c>
      <c r="Z477" s="71"/>
      <c r="AA477" s="71"/>
      <c r="AB477" s="71"/>
    </row>
    <row r="478">
      <c r="A478" s="71"/>
      <c r="B478" s="71"/>
      <c r="C478" s="71" t="str">
        <f>IFERROR(__xludf.DUMMYFUNCTION("""COMPUTED_VALUE"""),"")</f>
        <v/>
      </c>
      <c r="D478" s="71"/>
      <c r="E478" s="78"/>
      <c r="F478" s="71"/>
      <c r="G478" s="78" t="str">
        <f>IFERROR(__xludf.DUMMYFUNCTION("""COMPUTED_VALUE"""),"")</f>
        <v/>
      </c>
      <c r="H478" s="71"/>
      <c r="I478" s="80" t="str">
        <f>IFERROR(__xludf.DUMMYFUNCTION("""COMPUTED_VALUE"""),"")</f>
        <v/>
      </c>
      <c r="J478" s="71" t="str">
        <f>IFERROR(__xludf.DUMMYFUNCTION("""COMPUTED_VALUE"""),"")</f>
        <v/>
      </c>
      <c r="K478" s="71"/>
      <c r="L478" s="71" t="str">
        <f>IFERROR(__xludf.DUMMYFUNCTION("""COMPUTED_VALUE"""),"")</f>
        <v/>
      </c>
      <c r="M478" s="71"/>
      <c r="N478" s="109" t="str">
        <f>IFERROR(__xludf.DUMMYFUNCTION("""COMPUTED_VALUE"""),"")</f>
        <v/>
      </c>
      <c r="O478" s="71" t="str">
        <f>IFERROR(__xludf.DUMMYFUNCTION("""COMPUTED_VALUE"""),"")</f>
        <v/>
      </c>
      <c r="P478" s="71" t="str">
        <f>IFERROR(__xludf.DUMMYFUNCTION("""COMPUTED_VALUE"""),"")</f>
        <v/>
      </c>
      <c r="Q478" s="78" t="str">
        <f>IFERROR(__xludf.DUMMYFUNCTION("""COMPUTED_VALUE"""),"")</f>
        <v/>
      </c>
      <c r="R478" s="78" t="str">
        <f>IFERROR(__xludf.DUMMYFUNCTION("""COMPUTED_VALUE"""),"")</f>
        <v/>
      </c>
      <c r="S478" s="80" t="str">
        <f>IFERROR(__xludf.DUMMYFUNCTION("""COMPUTED_VALUE"""),"")</f>
        <v/>
      </c>
      <c r="T478" s="80" t="str">
        <f>IFERROR(__xludf.DUMMYFUNCTION("""COMPUTED_VALUE"""),"")</f>
        <v/>
      </c>
      <c r="U478" s="71" t="str">
        <f>IFERROR(__xludf.DUMMYFUNCTION("""COMPUTED_VALUE"""),"")</f>
        <v/>
      </c>
      <c r="V478" s="78" t="str">
        <f>IFERROR(__xludf.DUMMYFUNCTION("""COMPUTED_VALUE"""),"")</f>
        <v/>
      </c>
      <c r="W478" s="62" t="str">
        <f>IFERROR(__xludf.DUMMYFUNCTION("""COMPUTED_VALUE"""),"")</f>
        <v/>
      </c>
      <c r="X478" s="80" t="str">
        <f>IFERROR(__xludf.DUMMYFUNCTION("""COMPUTED_VALUE"""),"")</f>
        <v/>
      </c>
      <c r="Y478" s="109" t="str">
        <f>IFERROR(__xludf.DUMMYFUNCTION("""COMPUTED_VALUE"""),"")</f>
        <v/>
      </c>
      <c r="Z478" s="71"/>
      <c r="AA478" s="71"/>
      <c r="AB478" s="71"/>
    </row>
    <row r="479">
      <c r="A479" s="71"/>
      <c r="B479" s="71"/>
      <c r="C479" s="71" t="str">
        <f>IFERROR(__xludf.DUMMYFUNCTION("""COMPUTED_VALUE"""),"")</f>
        <v/>
      </c>
      <c r="D479" s="71"/>
      <c r="E479" s="78"/>
      <c r="F479" s="71"/>
      <c r="G479" s="78" t="str">
        <f>IFERROR(__xludf.DUMMYFUNCTION("""COMPUTED_VALUE"""),"")</f>
        <v/>
      </c>
      <c r="H479" s="71"/>
      <c r="I479" s="80" t="str">
        <f>IFERROR(__xludf.DUMMYFUNCTION("""COMPUTED_VALUE"""),"")</f>
        <v/>
      </c>
      <c r="J479" s="71" t="str">
        <f>IFERROR(__xludf.DUMMYFUNCTION("""COMPUTED_VALUE"""),"")</f>
        <v/>
      </c>
      <c r="K479" s="71"/>
      <c r="L479" s="71" t="str">
        <f>IFERROR(__xludf.DUMMYFUNCTION("""COMPUTED_VALUE"""),"")</f>
        <v/>
      </c>
      <c r="M479" s="71"/>
      <c r="N479" s="109" t="str">
        <f>IFERROR(__xludf.DUMMYFUNCTION("""COMPUTED_VALUE"""),"")</f>
        <v/>
      </c>
      <c r="O479" s="71" t="str">
        <f>IFERROR(__xludf.DUMMYFUNCTION("""COMPUTED_VALUE"""),"")</f>
        <v/>
      </c>
      <c r="P479" s="71" t="str">
        <f>IFERROR(__xludf.DUMMYFUNCTION("""COMPUTED_VALUE"""),"")</f>
        <v/>
      </c>
      <c r="Q479" s="78" t="str">
        <f>IFERROR(__xludf.DUMMYFUNCTION("""COMPUTED_VALUE"""),"")</f>
        <v/>
      </c>
      <c r="R479" s="78" t="str">
        <f>IFERROR(__xludf.DUMMYFUNCTION("""COMPUTED_VALUE"""),"")</f>
        <v/>
      </c>
      <c r="S479" s="80" t="str">
        <f>IFERROR(__xludf.DUMMYFUNCTION("""COMPUTED_VALUE"""),"")</f>
        <v/>
      </c>
      <c r="T479" s="80" t="str">
        <f>IFERROR(__xludf.DUMMYFUNCTION("""COMPUTED_VALUE"""),"")</f>
        <v/>
      </c>
      <c r="U479" s="71" t="str">
        <f>IFERROR(__xludf.DUMMYFUNCTION("""COMPUTED_VALUE"""),"")</f>
        <v/>
      </c>
      <c r="V479" s="78" t="str">
        <f>IFERROR(__xludf.DUMMYFUNCTION("""COMPUTED_VALUE"""),"")</f>
        <v/>
      </c>
      <c r="W479" s="62" t="str">
        <f>IFERROR(__xludf.DUMMYFUNCTION("""COMPUTED_VALUE"""),"")</f>
        <v/>
      </c>
      <c r="X479" s="80" t="str">
        <f>IFERROR(__xludf.DUMMYFUNCTION("""COMPUTED_VALUE"""),"")</f>
        <v/>
      </c>
      <c r="Y479" s="109" t="str">
        <f>IFERROR(__xludf.DUMMYFUNCTION("""COMPUTED_VALUE"""),"")</f>
        <v/>
      </c>
      <c r="Z479" s="71"/>
      <c r="AA479" s="71"/>
      <c r="AB479" s="71"/>
    </row>
    <row r="480">
      <c r="A480" s="71"/>
      <c r="B480" s="71"/>
      <c r="C480" s="71" t="str">
        <f>IFERROR(__xludf.DUMMYFUNCTION("""COMPUTED_VALUE"""),"")</f>
        <v/>
      </c>
      <c r="D480" s="71"/>
      <c r="E480" s="78"/>
      <c r="F480" s="71"/>
      <c r="G480" s="78" t="str">
        <f>IFERROR(__xludf.DUMMYFUNCTION("""COMPUTED_VALUE"""),"")</f>
        <v/>
      </c>
      <c r="H480" s="71"/>
      <c r="I480" s="80" t="str">
        <f>IFERROR(__xludf.DUMMYFUNCTION("""COMPUTED_VALUE"""),"")</f>
        <v/>
      </c>
      <c r="J480" s="71" t="str">
        <f>IFERROR(__xludf.DUMMYFUNCTION("""COMPUTED_VALUE"""),"")</f>
        <v/>
      </c>
      <c r="K480" s="71"/>
      <c r="L480" s="71" t="str">
        <f>IFERROR(__xludf.DUMMYFUNCTION("""COMPUTED_VALUE"""),"")</f>
        <v/>
      </c>
      <c r="M480" s="71"/>
      <c r="N480" s="109" t="str">
        <f>IFERROR(__xludf.DUMMYFUNCTION("""COMPUTED_VALUE"""),"")</f>
        <v/>
      </c>
      <c r="O480" s="71" t="str">
        <f>IFERROR(__xludf.DUMMYFUNCTION("""COMPUTED_VALUE"""),"")</f>
        <v/>
      </c>
      <c r="P480" s="71" t="str">
        <f>IFERROR(__xludf.DUMMYFUNCTION("""COMPUTED_VALUE"""),"")</f>
        <v/>
      </c>
      <c r="Q480" s="78" t="str">
        <f>IFERROR(__xludf.DUMMYFUNCTION("""COMPUTED_VALUE"""),"")</f>
        <v/>
      </c>
      <c r="R480" s="78" t="str">
        <f>IFERROR(__xludf.DUMMYFUNCTION("""COMPUTED_VALUE"""),"")</f>
        <v/>
      </c>
      <c r="S480" s="80" t="str">
        <f>IFERROR(__xludf.DUMMYFUNCTION("""COMPUTED_VALUE"""),"")</f>
        <v/>
      </c>
      <c r="T480" s="80" t="str">
        <f>IFERROR(__xludf.DUMMYFUNCTION("""COMPUTED_VALUE"""),"")</f>
        <v/>
      </c>
      <c r="U480" s="71" t="str">
        <f>IFERROR(__xludf.DUMMYFUNCTION("""COMPUTED_VALUE"""),"")</f>
        <v/>
      </c>
      <c r="V480" s="78" t="str">
        <f>IFERROR(__xludf.DUMMYFUNCTION("""COMPUTED_VALUE"""),"")</f>
        <v/>
      </c>
      <c r="W480" s="62" t="str">
        <f>IFERROR(__xludf.DUMMYFUNCTION("""COMPUTED_VALUE"""),"")</f>
        <v/>
      </c>
      <c r="X480" s="80" t="str">
        <f>IFERROR(__xludf.DUMMYFUNCTION("""COMPUTED_VALUE"""),"")</f>
        <v/>
      </c>
      <c r="Y480" s="109" t="str">
        <f>IFERROR(__xludf.DUMMYFUNCTION("""COMPUTED_VALUE"""),"")</f>
        <v/>
      </c>
      <c r="Z480" s="71"/>
      <c r="AA480" s="71"/>
      <c r="AB480" s="71"/>
    </row>
    <row r="481">
      <c r="A481" s="71"/>
      <c r="B481" s="71"/>
      <c r="C481" s="71" t="str">
        <f>IFERROR(__xludf.DUMMYFUNCTION("""COMPUTED_VALUE"""),"")</f>
        <v/>
      </c>
      <c r="D481" s="71"/>
      <c r="E481" s="78"/>
      <c r="F481" s="71"/>
      <c r="G481" s="78" t="str">
        <f>IFERROR(__xludf.DUMMYFUNCTION("""COMPUTED_VALUE"""),"")</f>
        <v/>
      </c>
      <c r="H481" s="71"/>
      <c r="I481" s="80" t="str">
        <f>IFERROR(__xludf.DUMMYFUNCTION("""COMPUTED_VALUE"""),"")</f>
        <v/>
      </c>
      <c r="J481" s="71" t="str">
        <f>IFERROR(__xludf.DUMMYFUNCTION("""COMPUTED_VALUE"""),"")</f>
        <v/>
      </c>
      <c r="K481" s="71"/>
      <c r="L481" s="71" t="str">
        <f>IFERROR(__xludf.DUMMYFUNCTION("""COMPUTED_VALUE"""),"")</f>
        <v/>
      </c>
      <c r="M481" s="71"/>
      <c r="N481" s="109" t="str">
        <f>IFERROR(__xludf.DUMMYFUNCTION("""COMPUTED_VALUE"""),"")</f>
        <v/>
      </c>
      <c r="O481" s="71" t="str">
        <f>IFERROR(__xludf.DUMMYFUNCTION("""COMPUTED_VALUE"""),"")</f>
        <v/>
      </c>
      <c r="P481" s="71" t="str">
        <f>IFERROR(__xludf.DUMMYFUNCTION("""COMPUTED_VALUE"""),"")</f>
        <v/>
      </c>
      <c r="Q481" s="78" t="str">
        <f>IFERROR(__xludf.DUMMYFUNCTION("""COMPUTED_VALUE"""),"")</f>
        <v/>
      </c>
      <c r="R481" s="78" t="str">
        <f>IFERROR(__xludf.DUMMYFUNCTION("""COMPUTED_VALUE"""),"")</f>
        <v/>
      </c>
      <c r="S481" s="80" t="str">
        <f>IFERROR(__xludf.DUMMYFUNCTION("""COMPUTED_VALUE"""),"")</f>
        <v/>
      </c>
      <c r="T481" s="80" t="str">
        <f>IFERROR(__xludf.DUMMYFUNCTION("""COMPUTED_VALUE"""),"")</f>
        <v/>
      </c>
      <c r="U481" s="71" t="str">
        <f>IFERROR(__xludf.DUMMYFUNCTION("""COMPUTED_VALUE"""),"")</f>
        <v/>
      </c>
      <c r="V481" s="78" t="str">
        <f>IFERROR(__xludf.DUMMYFUNCTION("""COMPUTED_VALUE"""),"")</f>
        <v/>
      </c>
      <c r="W481" s="62" t="str">
        <f>IFERROR(__xludf.DUMMYFUNCTION("""COMPUTED_VALUE"""),"")</f>
        <v/>
      </c>
      <c r="X481" s="80" t="str">
        <f>IFERROR(__xludf.DUMMYFUNCTION("""COMPUTED_VALUE"""),"")</f>
        <v/>
      </c>
      <c r="Y481" s="109" t="str">
        <f>IFERROR(__xludf.DUMMYFUNCTION("""COMPUTED_VALUE"""),"")</f>
        <v/>
      </c>
      <c r="Z481" s="71"/>
      <c r="AA481" s="71"/>
      <c r="AB481" s="71"/>
    </row>
    <row r="482">
      <c r="A482" s="71"/>
      <c r="B482" s="71"/>
      <c r="C482" s="71" t="str">
        <f>IFERROR(__xludf.DUMMYFUNCTION("""COMPUTED_VALUE"""),"")</f>
        <v/>
      </c>
      <c r="D482" s="71"/>
      <c r="E482" s="78"/>
      <c r="F482" s="71"/>
      <c r="G482" s="78" t="str">
        <f>IFERROR(__xludf.DUMMYFUNCTION("""COMPUTED_VALUE"""),"")</f>
        <v/>
      </c>
      <c r="H482" s="71"/>
      <c r="I482" s="80" t="str">
        <f>IFERROR(__xludf.DUMMYFUNCTION("""COMPUTED_VALUE"""),"")</f>
        <v/>
      </c>
      <c r="J482" s="71" t="str">
        <f>IFERROR(__xludf.DUMMYFUNCTION("""COMPUTED_VALUE"""),"")</f>
        <v/>
      </c>
      <c r="K482" s="71"/>
      <c r="L482" s="71" t="str">
        <f>IFERROR(__xludf.DUMMYFUNCTION("""COMPUTED_VALUE"""),"")</f>
        <v/>
      </c>
      <c r="M482" s="71"/>
      <c r="N482" s="109" t="str">
        <f>IFERROR(__xludf.DUMMYFUNCTION("""COMPUTED_VALUE"""),"")</f>
        <v/>
      </c>
      <c r="O482" s="71" t="str">
        <f>IFERROR(__xludf.DUMMYFUNCTION("""COMPUTED_VALUE"""),"")</f>
        <v/>
      </c>
      <c r="P482" s="71" t="str">
        <f>IFERROR(__xludf.DUMMYFUNCTION("""COMPUTED_VALUE"""),"")</f>
        <v/>
      </c>
      <c r="Q482" s="78" t="str">
        <f>IFERROR(__xludf.DUMMYFUNCTION("""COMPUTED_VALUE"""),"")</f>
        <v/>
      </c>
      <c r="R482" s="78" t="str">
        <f>IFERROR(__xludf.DUMMYFUNCTION("""COMPUTED_VALUE"""),"")</f>
        <v/>
      </c>
      <c r="S482" s="80" t="str">
        <f>IFERROR(__xludf.DUMMYFUNCTION("""COMPUTED_VALUE"""),"")</f>
        <v/>
      </c>
      <c r="T482" s="80" t="str">
        <f>IFERROR(__xludf.DUMMYFUNCTION("""COMPUTED_VALUE"""),"")</f>
        <v/>
      </c>
      <c r="U482" s="71" t="str">
        <f>IFERROR(__xludf.DUMMYFUNCTION("""COMPUTED_VALUE"""),"")</f>
        <v/>
      </c>
      <c r="V482" s="78" t="str">
        <f>IFERROR(__xludf.DUMMYFUNCTION("""COMPUTED_VALUE"""),"")</f>
        <v/>
      </c>
      <c r="W482" s="62" t="str">
        <f>IFERROR(__xludf.DUMMYFUNCTION("""COMPUTED_VALUE"""),"")</f>
        <v/>
      </c>
      <c r="X482" s="80" t="str">
        <f>IFERROR(__xludf.DUMMYFUNCTION("""COMPUTED_VALUE"""),"")</f>
        <v/>
      </c>
      <c r="Y482" s="109" t="str">
        <f>IFERROR(__xludf.DUMMYFUNCTION("""COMPUTED_VALUE"""),"")</f>
        <v/>
      </c>
      <c r="Z482" s="71"/>
      <c r="AA482" s="71"/>
      <c r="AB482" s="71"/>
    </row>
    <row r="483">
      <c r="A483" s="71"/>
      <c r="B483" s="71"/>
      <c r="C483" s="71" t="str">
        <f>IFERROR(__xludf.DUMMYFUNCTION("""COMPUTED_VALUE"""),"")</f>
        <v/>
      </c>
      <c r="D483" s="71"/>
      <c r="E483" s="78"/>
      <c r="F483" s="71"/>
      <c r="G483" s="78" t="str">
        <f>IFERROR(__xludf.DUMMYFUNCTION("""COMPUTED_VALUE"""),"")</f>
        <v/>
      </c>
      <c r="H483" s="71"/>
      <c r="I483" s="80" t="str">
        <f>IFERROR(__xludf.DUMMYFUNCTION("""COMPUTED_VALUE"""),"")</f>
        <v/>
      </c>
      <c r="J483" s="71" t="str">
        <f>IFERROR(__xludf.DUMMYFUNCTION("""COMPUTED_VALUE"""),"")</f>
        <v/>
      </c>
      <c r="K483" s="71"/>
      <c r="L483" s="71" t="str">
        <f>IFERROR(__xludf.DUMMYFUNCTION("""COMPUTED_VALUE"""),"")</f>
        <v/>
      </c>
      <c r="M483" s="71"/>
      <c r="N483" s="109" t="str">
        <f>IFERROR(__xludf.DUMMYFUNCTION("""COMPUTED_VALUE"""),"")</f>
        <v/>
      </c>
      <c r="O483" s="71" t="str">
        <f>IFERROR(__xludf.DUMMYFUNCTION("""COMPUTED_VALUE"""),"")</f>
        <v/>
      </c>
      <c r="P483" s="71" t="str">
        <f>IFERROR(__xludf.DUMMYFUNCTION("""COMPUTED_VALUE"""),"")</f>
        <v/>
      </c>
      <c r="Q483" s="78" t="str">
        <f>IFERROR(__xludf.DUMMYFUNCTION("""COMPUTED_VALUE"""),"")</f>
        <v/>
      </c>
      <c r="R483" s="78" t="str">
        <f>IFERROR(__xludf.DUMMYFUNCTION("""COMPUTED_VALUE"""),"")</f>
        <v/>
      </c>
      <c r="S483" s="80" t="str">
        <f>IFERROR(__xludf.DUMMYFUNCTION("""COMPUTED_VALUE"""),"")</f>
        <v/>
      </c>
      <c r="T483" s="80" t="str">
        <f>IFERROR(__xludf.DUMMYFUNCTION("""COMPUTED_VALUE"""),"")</f>
        <v/>
      </c>
      <c r="U483" s="71" t="str">
        <f>IFERROR(__xludf.DUMMYFUNCTION("""COMPUTED_VALUE"""),"")</f>
        <v/>
      </c>
      <c r="V483" s="78" t="str">
        <f>IFERROR(__xludf.DUMMYFUNCTION("""COMPUTED_VALUE"""),"")</f>
        <v/>
      </c>
      <c r="W483" s="62" t="str">
        <f>IFERROR(__xludf.DUMMYFUNCTION("""COMPUTED_VALUE"""),"")</f>
        <v/>
      </c>
      <c r="X483" s="80" t="str">
        <f>IFERROR(__xludf.DUMMYFUNCTION("""COMPUTED_VALUE"""),"")</f>
        <v/>
      </c>
      <c r="Y483" s="109" t="str">
        <f>IFERROR(__xludf.DUMMYFUNCTION("""COMPUTED_VALUE"""),"")</f>
        <v/>
      </c>
      <c r="Z483" s="71"/>
      <c r="AA483" s="71"/>
      <c r="AB483" s="71"/>
    </row>
    <row r="484">
      <c r="A484" s="71"/>
      <c r="B484" s="71"/>
      <c r="C484" s="71" t="str">
        <f>IFERROR(__xludf.DUMMYFUNCTION("""COMPUTED_VALUE"""),"")</f>
        <v/>
      </c>
      <c r="D484" s="71"/>
      <c r="E484" s="78"/>
      <c r="F484" s="71"/>
      <c r="G484" s="78" t="str">
        <f>IFERROR(__xludf.DUMMYFUNCTION("""COMPUTED_VALUE"""),"")</f>
        <v/>
      </c>
      <c r="H484" s="71"/>
      <c r="I484" s="80" t="str">
        <f>IFERROR(__xludf.DUMMYFUNCTION("""COMPUTED_VALUE"""),"")</f>
        <v/>
      </c>
      <c r="J484" s="71" t="str">
        <f>IFERROR(__xludf.DUMMYFUNCTION("""COMPUTED_VALUE"""),"")</f>
        <v/>
      </c>
      <c r="K484" s="71"/>
      <c r="L484" s="71" t="str">
        <f>IFERROR(__xludf.DUMMYFUNCTION("""COMPUTED_VALUE"""),"")</f>
        <v/>
      </c>
      <c r="M484" s="71"/>
      <c r="N484" s="109" t="str">
        <f>IFERROR(__xludf.DUMMYFUNCTION("""COMPUTED_VALUE"""),"")</f>
        <v/>
      </c>
      <c r="O484" s="71" t="str">
        <f>IFERROR(__xludf.DUMMYFUNCTION("""COMPUTED_VALUE"""),"")</f>
        <v/>
      </c>
      <c r="P484" s="71" t="str">
        <f>IFERROR(__xludf.DUMMYFUNCTION("""COMPUTED_VALUE"""),"")</f>
        <v/>
      </c>
      <c r="Q484" s="78" t="str">
        <f>IFERROR(__xludf.DUMMYFUNCTION("""COMPUTED_VALUE"""),"")</f>
        <v/>
      </c>
      <c r="R484" s="78" t="str">
        <f>IFERROR(__xludf.DUMMYFUNCTION("""COMPUTED_VALUE"""),"")</f>
        <v/>
      </c>
      <c r="S484" s="80" t="str">
        <f>IFERROR(__xludf.DUMMYFUNCTION("""COMPUTED_VALUE"""),"")</f>
        <v/>
      </c>
      <c r="T484" s="80" t="str">
        <f>IFERROR(__xludf.DUMMYFUNCTION("""COMPUTED_VALUE"""),"")</f>
        <v/>
      </c>
      <c r="U484" s="71" t="str">
        <f>IFERROR(__xludf.DUMMYFUNCTION("""COMPUTED_VALUE"""),"")</f>
        <v/>
      </c>
      <c r="V484" s="78" t="str">
        <f>IFERROR(__xludf.DUMMYFUNCTION("""COMPUTED_VALUE"""),"")</f>
        <v/>
      </c>
      <c r="W484" s="62" t="str">
        <f>IFERROR(__xludf.DUMMYFUNCTION("""COMPUTED_VALUE"""),"")</f>
        <v/>
      </c>
      <c r="X484" s="80" t="str">
        <f>IFERROR(__xludf.DUMMYFUNCTION("""COMPUTED_VALUE"""),"")</f>
        <v/>
      </c>
      <c r="Y484" s="109" t="str">
        <f>IFERROR(__xludf.DUMMYFUNCTION("""COMPUTED_VALUE"""),"")</f>
        <v/>
      </c>
      <c r="Z484" s="71"/>
      <c r="AA484" s="71"/>
      <c r="AB484" s="71"/>
    </row>
    <row r="485">
      <c r="A485" s="71"/>
      <c r="B485" s="71"/>
      <c r="C485" s="71" t="str">
        <f>IFERROR(__xludf.DUMMYFUNCTION("""COMPUTED_VALUE"""),"")</f>
        <v/>
      </c>
      <c r="D485" s="71"/>
      <c r="E485" s="78"/>
      <c r="F485" s="71"/>
      <c r="G485" s="78" t="str">
        <f>IFERROR(__xludf.DUMMYFUNCTION("""COMPUTED_VALUE"""),"")</f>
        <v/>
      </c>
      <c r="H485" s="71"/>
      <c r="I485" s="80" t="str">
        <f>IFERROR(__xludf.DUMMYFUNCTION("""COMPUTED_VALUE"""),"")</f>
        <v/>
      </c>
      <c r="J485" s="71" t="str">
        <f>IFERROR(__xludf.DUMMYFUNCTION("""COMPUTED_VALUE"""),"")</f>
        <v/>
      </c>
      <c r="K485" s="71"/>
      <c r="L485" s="71" t="str">
        <f>IFERROR(__xludf.DUMMYFUNCTION("""COMPUTED_VALUE"""),"")</f>
        <v/>
      </c>
      <c r="M485" s="71"/>
      <c r="N485" s="109" t="str">
        <f>IFERROR(__xludf.DUMMYFUNCTION("""COMPUTED_VALUE"""),"")</f>
        <v/>
      </c>
      <c r="O485" s="71" t="str">
        <f>IFERROR(__xludf.DUMMYFUNCTION("""COMPUTED_VALUE"""),"")</f>
        <v/>
      </c>
      <c r="P485" s="71" t="str">
        <f>IFERROR(__xludf.DUMMYFUNCTION("""COMPUTED_VALUE"""),"")</f>
        <v/>
      </c>
      <c r="Q485" s="78" t="str">
        <f>IFERROR(__xludf.DUMMYFUNCTION("""COMPUTED_VALUE"""),"")</f>
        <v/>
      </c>
      <c r="R485" s="78" t="str">
        <f>IFERROR(__xludf.DUMMYFUNCTION("""COMPUTED_VALUE"""),"")</f>
        <v/>
      </c>
      <c r="S485" s="80" t="str">
        <f>IFERROR(__xludf.DUMMYFUNCTION("""COMPUTED_VALUE"""),"")</f>
        <v/>
      </c>
      <c r="T485" s="80" t="str">
        <f>IFERROR(__xludf.DUMMYFUNCTION("""COMPUTED_VALUE"""),"")</f>
        <v/>
      </c>
      <c r="U485" s="71" t="str">
        <f>IFERROR(__xludf.DUMMYFUNCTION("""COMPUTED_VALUE"""),"")</f>
        <v/>
      </c>
      <c r="V485" s="78" t="str">
        <f>IFERROR(__xludf.DUMMYFUNCTION("""COMPUTED_VALUE"""),"")</f>
        <v/>
      </c>
      <c r="W485" s="62" t="str">
        <f>IFERROR(__xludf.DUMMYFUNCTION("""COMPUTED_VALUE"""),"")</f>
        <v/>
      </c>
      <c r="X485" s="80" t="str">
        <f>IFERROR(__xludf.DUMMYFUNCTION("""COMPUTED_VALUE"""),"")</f>
        <v/>
      </c>
      <c r="Y485" s="109" t="str">
        <f>IFERROR(__xludf.DUMMYFUNCTION("""COMPUTED_VALUE"""),"")</f>
        <v/>
      </c>
      <c r="Z485" s="71"/>
      <c r="AA485" s="71"/>
      <c r="AB485" s="71"/>
    </row>
    <row r="486">
      <c r="A486" s="71"/>
      <c r="B486" s="71"/>
      <c r="C486" s="71" t="str">
        <f>IFERROR(__xludf.DUMMYFUNCTION("""COMPUTED_VALUE"""),"")</f>
        <v/>
      </c>
      <c r="D486" s="71"/>
      <c r="E486" s="78"/>
      <c r="F486" s="71"/>
      <c r="G486" s="78" t="str">
        <f>IFERROR(__xludf.DUMMYFUNCTION("""COMPUTED_VALUE"""),"")</f>
        <v/>
      </c>
      <c r="H486" s="71"/>
      <c r="I486" s="80" t="str">
        <f>IFERROR(__xludf.DUMMYFUNCTION("""COMPUTED_VALUE"""),"")</f>
        <v/>
      </c>
      <c r="J486" s="71" t="str">
        <f>IFERROR(__xludf.DUMMYFUNCTION("""COMPUTED_VALUE"""),"")</f>
        <v/>
      </c>
      <c r="K486" s="71"/>
      <c r="L486" s="71" t="str">
        <f>IFERROR(__xludf.DUMMYFUNCTION("""COMPUTED_VALUE"""),"")</f>
        <v/>
      </c>
      <c r="M486" s="71"/>
      <c r="N486" s="109" t="str">
        <f>IFERROR(__xludf.DUMMYFUNCTION("""COMPUTED_VALUE"""),"")</f>
        <v/>
      </c>
      <c r="O486" s="71" t="str">
        <f>IFERROR(__xludf.DUMMYFUNCTION("""COMPUTED_VALUE"""),"")</f>
        <v/>
      </c>
      <c r="P486" s="71" t="str">
        <f>IFERROR(__xludf.DUMMYFUNCTION("""COMPUTED_VALUE"""),"")</f>
        <v/>
      </c>
      <c r="Q486" s="78" t="str">
        <f>IFERROR(__xludf.DUMMYFUNCTION("""COMPUTED_VALUE"""),"")</f>
        <v/>
      </c>
      <c r="R486" s="78" t="str">
        <f>IFERROR(__xludf.DUMMYFUNCTION("""COMPUTED_VALUE"""),"")</f>
        <v/>
      </c>
      <c r="S486" s="80" t="str">
        <f>IFERROR(__xludf.DUMMYFUNCTION("""COMPUTED_VALUE"""),"")</f>
        <v/>
      </c>
      <c r="T486" s="80" t="str">
        <f>IFERROR(__xludf.DUMMYFUNCTION("""COMPUTED_VALUE"""),"")</f>
        <v/>
      </c>
      <c r="U486" s="71" t="str">
        <f>IFERROR(__xludf.DUMMYFUNCTION("""COMPUTED_VALUE"""),"")</f>
        <v/>
      </c>
      <c r="V486" s="78" t="str">
        <f>IFERROR(__xludf.DUMMYFUNCTION("""COMPUTED_VALUE"""),"")</f>
        <v/>
      </c>
      <c r="W486" s="62" t="str">
        <f>IFERROR(__xludf.DUMMYFUNCTION("""COMPUTED_VALUE"""),"")</f>
        <v/>
      </c>
      <c r="X486" s="80" t="str">
        <f>IFERROR(__xludf.DUMMYFUNCTION("""COMPUTED_VALUE"""),"")</f>
        <v/>
      </c>
      <c r="Y486" s="109" t="str">
        <f>IFERROR(__xludf.DUMMYFUNCTION("""COMPUTED_VALUE"""),"")</f>
        <v/>
      </c>
      <c r="Z486" s="71"/>
      <c r="AA486" s="71"/>
      <c r="AB486" s="71"/>
    </row>
    <row r="487">
      <c r="A487" s="71"/>
      <c r="B487" s="71"/>
      <c r="C487" s="71" t="str">
        <f>IFERROR(__xludf.DUMMYFUNCTION("""COMPUTED_VALUE"""),"")</f>
        <v/>
      </c>
      <c r="D487" s="71"/>
      <c r="E487" s="78"/>
      <c r="F487" s="71"/>
      <c r="G487" s="78" t="str">
        <f>IFERROR(__xludf.DUMMYFUNCTION("""COMPUTED_VALUE"""),"")</f>
        <v/>
      </c>
      <c r="H487" s="71"/>
      <c r="I487" s="80" t="str">
        <f>IFERROR(__xludf.DUMMYFUNCTION("""COMPUTED_VALUE"""),"")</f>
        <v/>
      </c>
      <c r="J487" s="71" t="str">
        <f>IFERROR(__xludf.DUMMYFUNCTION("""COMPUTED_VALUE"""),"")</f>
        <v/>
      </c>
      <c r="K487" s="71"/>
      <c r="L487" s="71" t="str">
        <f>IFERROR(__xludf.DUMMYFUNCTION("""COMPUTED_VALUE"""),"")</f>
        <v/>
      </c>
      <c r="M487" s="71"/>
      <c r="N487" s="109" t="str">
        <f>IFERROR(__xludf.DUMMYFUNCTION("""COMPUTED_VALUE"""),"")</f>
        <v/>
      </c>
      <c r="O487" s="71" t="str">
        <f>IFERROR(__xludf.DUMMYFUNCTION("""COMPUTED_VALUE"""),"")</f>
        <v/>
      </c>
      <c r="P487" s="71" t="str">
        <f>IFERROR(__xludf.DUMMYFUNCTION("""COMPUTED_VALUE"""),"")</f>
        <v/>
      </c>
      <c r="Q487" s="78" t="str">
        <f>IFERROR(__xludf.DUMMYFUNCTION("""COMPUTED_VALUE"""),"")</f>
        <v/>
      </c>
      <c r="R487" s="78" t="str">
        <f>IFERROR(__xludf.DUMMYFUNCTION("""COMPUTED_VALUE"""),"")</f>
        <v/>
      </c>
      <c r="S487" s="80" t="str">
        <f>IFERROR(__xludf.DUMMYFUNCTION("""COMPUTED_VALUE"""),"")</f>
        <v/>
      </c>
      <c r="T487" s="80" t="str">
        <f>IFERROR(__xludf.DUMMYFUNCTION("""COMPUTED_VALUE"""),"")</f>
        <v/>
      </c>
      <c r="U487" s="71" t="str">
        <f>IFERROR(__xludf.DUMMYFUNCTION("""COMPUTED_VALUE"""),"")</f>
        <v/>
      </c>
      <c r="V487" s="78" t="str">
        <f>IFERROR(__xludf.DUMMYFUNCTION("""COMPUTED_VALUE"""),"")</f>
        <v/>
      </c>
      <c r="W487" s="62" t="str">
        <f>IFERROR(__xludf.DUMMYFUNCTION("""COMPUTED_VALUE"""),"")</f>
        <v/>
      </c>
      <c r="X487" s="80" t="str">
        <f>IFERROR(__xludf.DUMMYFUNCTION("""COMPUTED_VALUE"""),"")</f>
        <v/>
      </c>
      <c r="Y487" s="109" t="str">
        <f>IFERROR(__xludf.DUMMYFUNCTION("""COMPUTED_VALUE"""),"")</f>
        <v/>
      </c>
      <c r="Z487" s="71"/>
      <c r="AA487" s="71"/>
      <c r="AB487" s="71"/>
    </row>
    <row r="488">
      <c r="A488" s="71"/>
      <c r="B488" s="71"/>
      <c r="C488" s="71" t="str">
        <f>IFERROR(__xludf.DUMMYFUNCTION("""COMPUTED_VALUE"""),"")</f>
        <v/>
      </c>
      <c r="D488" s="71"/>
      <c r="E488" s="78"/>
      <c r="F488" s="71"/>
      <c r="G488" s="78" t="str">
        <f>IFERROR(__xludf.DUMMYFUNCTION("""COMPUTED_VALUE"""),"")</f>
        <v/>
      </c>
      <c r="H488" s="71"/>
      <c r="I488" s="80" t="str">
        <f>IFERROR(__xludf.DUMMYFUNCTION("""COMPUTED_VALUE"""),"")</f>
        <v/>
      </c>
      <c r="J488" s="71" t="str">
        <f>IFERROR(__xludf.DUMMYFUNCTION("""COMPUTED_VALUE"""),"")</f>
        <v/>
      </c>
      <c r="K488" s="71"/>
      <c r="L488" s="71" t="str">
        <f>IFERROR(__xludf.DUMMYFUNCTION("""COMPUTED_VALUE"""),"")</f>
        <v/>
      </c>
      <c r="M488" s="71"/>
      <c r="N488" s="109" t="str">
        <f>IFERROR(__xludf.DUMMYFUNCTION("""COMPUTED_VALUE"""),"")</f>
        <v/>
      </c>
      <c r="O488" s="71" t="str">
        <f>IFERROR(__xludf.DUMMYFUNCTION("""COMPUTED_VALUE"""),"")</f>
        <v/>
      </c>
      <c r="P488" s="71" t="str">
        <f>IFERROR(__xludf.DUMMYFUNCTION("""COMPUTED_VALUE"""),"")</f>
        <v/>
      </c>
      <c r="Q488" s="78" t="str">
        <f>IFERROR(__xludf.DUMMYFUNCTION("""COMPUTED_VALUE"""),"")</f>
        <v/>
      </c>
      <c r="R488" s="78" t="str">
        <f>IFERROR(__xludf.DUMMYFUNCTION("""COMPUTED_VALUE"""),"")</f>
        <v/>
      </c>
      <c r="S488" s="80" t="str">
        <f>IFERROR(__xludf.DUMMYFUNCTION("""COMPUTED_VALUE"""),"")</f>
        <v/>
      </c>
      <c r="T488" s="80" t="str">
        <f>IFERROR(__xludf.DUMMYFUNCTION("""COMPUTED_VALUE"""),"")</f>
        <v/>
      </c>
      <c r="U488" s="71" t="str">
        <f>IFERROR(__xludf.DUMMYFUNCTION("""COMPUTED_VALUE"""),"")</f>
        <v/>
      </c>
      <c r="V488" s="78" t="str">
        <f>IFERROR(__xludf.DUMMYFUNCTION("""COMPUTED_VALUE"""),"")</f>
        <v/>
      </c>
      <c r="W488" s="62" t="str">
        <f>IFERROR(__xludf.DUMMYFUNCTION("""COMPUTED_VALUE"""),"")</f>
        <v/>
      </c>
      <c r="X488" s="80" t="str">
        <f>IFERROR(__xludf.DUMMYFUNCTION("""COMPUTED_VALUE"""),"")</f>
        <v/>
      </c>
      <c r="Y488" s="109" t="str">
        <f>IFERROR(__xludf.DUMMYFUNCTION("""COMPUTED_VALUE"""),"")</f>
        <v/>
      </c>
      <c r="Z488" s="71"/>
      <c r="AA488" s="71"/>
      <c r="AB488" s="71"/>
    </row>
    <row r="489">
      <c r="A489" s="71"/>
      <c r="B489" s="71"/>
      <c r="C489" s="71" t="str">
        <f>IFERROR(__xludf.DUMMYFUNCTION("""COMPUTED_VALUE"""),"")</f>
        <v/>
      </c>
      <c r="D489" s="71"/>
      <c r="E489" s="78"/>
      <c r="F489" s="71"/>
      <c r="G489" s="78" t="str">
        <f>IFERROR(__xludf.DUMMYFUNCTION("""COMPUTED_VALUE"""),"")</f>
        <v/>
      </c>
      <c r="H489" s="71"/>
      <c r="I489" s="80" t="str">
        <f>IFERROR(__xludf.DUMMYFUNCTION("""COMPUTED_VALUE"""),"")</f>
        <v/>
      </c>
      <c r="J489" s="71" t="str">
        <f>IFERROR(__xludf.DUMMYFUNCTION("""COMPUTED_VALUE"""),"")</f>
        <v/>
      </c>
      <c r="K489" s="71"/>
      <c r="L489" s="71" t="str">
        <f>IFERROR(__xludf.DUMMYFUNCTION("""COMPUTED_VALUE"""),"")</f>
        <v/>
      </c>
      <c r="M489" s="71"/>
      <c r="N489" s="109" t="str">
        <f>IFERROR(__xludf.DUMMYFUNCTION("""COMPUTED_VALUE"""),"")</f>
        <v/>
      </c>
      <c r="O489" s="71" t="str">
        <f>IFERROR(__xludf.DUMMYFUNCTION("""COMPUTED_VALUE"""),"")</f>
        <v/>
      </c>
      <c r="P489" s="71" t="str">
        <f>IFERROR(__xludf.DUMMYFUNCTION("""COMPUTED_VALUE"""),"")</f>
        <v/>
      </c>
      <c r="Q489" s="78" t="str">
        <f>IFERROR(__xludf.DUMMYFUNCTION("""COMPUTED_VALUE"""),"")</f>
        <v/>
      </c>
      <c r="R489" s="78" t="str">
        <f>IFERROR(__xludf.DUMMYFUNCTION("""COMPUTED_VALUE"""),"")</f>
        <v/>
      </c>
      <c r="S489" s="80" t="str">
        <f>IFERROR(__xludf.DUMMYFUNCTION("""COMPUTED_VALUE"""),"")</f>
        <v/>
      </c>
      <c r="T489" s="80" t="str">
        <f>IFERROR(__xludf.DUMMYFUNCTION("""COMPUTED_VALUE"""),"")</f>
        <v/>
      </c>
      <c r="U489" s="71" t="str">
        <f>IFERROR(__xludf.DUMMYFUNCTION("""COMPUTED_VALUE"""),"")</f>
        <v/>
      </c>
      <c r="V489" s="78" t="str">
        <f>IFERROR(__xludf.DUMMYFUNCTION("""COMPUTED_VALUE"""),"")</f>
        <v/>
      </c>
      <c r="W489" s="62" t="str">
        <f>IFERROR(__xludf.DUMMYFUNCTION("""COMPUTED_VALUE"""),"")</f>
        <v/>
      </c>
      <c r="X489" s="80" t="str">
        <f>IFERROR(__xludf.DUMMYFUNCTION("""COMPUTED_VALUE"""),"")</f>
        <v/>
      </c>
      <c r="Y489" s="109" t="str">
        <f>IFERROR(__xludf.DUMMYFUNCTION("""COMPUTED_VALUE"""),"")</f>
        <v/>
      </c>
      <c r="Z489" s="71"/>
      <c r="AA489" s="71"/>
      <c r="AB489" s="71"/>
    </row>
    <row r="490">
      <c r="A490" s="71"/>
      <c r="B490" s="71"/>
      <c r="C490" s="71" t="str">
        <f>IFERROR(__xludf.DUMMYFUNCTION("""COMPUTED_VALUE"""),"")</f>
        <v/>
      </c>
      <c r="D490" s="71"/>
      <c r="E490" s="78"/>
      <c r="F490" s="71"/>
      <c r="G490" s="78" t="str">
        <f>IFERROR(__xludf.DUMMYFUNCTION("""COMPUTED_VALUE"""),"")</f>
        <v/>
      </c>
      <c r="H490" s="71"/>
      <c r="I490" s="80" t="str">
        <f>IFERROR(__xludf.DUMMYFUNCTION("""COMPUTED_VALUE"""),"")</f>
        <v/>
      </c>
      <c r="J490" s="71" t="str">
        <f>IFERROR(__xludf.DUMMYFUNCTION("""COMPUTED_VALUE"""),"")</f>
        <v/>
      </c>
      <c r="K490" s="71"/>
      <c r="L490" s="71" t="str">
        <f>IFERROR(__xludf.DUMMYFUNCTION("""COMPUTED_VALUE"""),"")</f>
        <v/>
      </c>
      <c r="M490" s="71"/>
      <c r="N490" s="109" t="str">
        <f>IFERROR(__xludf.DUMMYFUNCTION("""COMPUTED_VALUE"""),"")</f>
        <v/>
      </c>
      <c r="O490" s="71" t="str">
        <f>IFERROR(__xludf.DUMMYFUNCTION("""COMPUTED_VALUE"""),"")</f>
        <v/>
      </c>
      <c r="P490" s="71" t="str">
        <f>IFERROR(__xludf.DUMMYFUNCTION("""COMPUTED_VALUE"""),"")</f>
        <v/>
      </c>
      <c r="Q490" s="78" t="str">
        <f>IFERROR(__xludf.DUMMYFUNCTION("""COMPUTED_VALUE"""),"")</f>
        <v/>
      </c>
      <c r="R490" s="78" t="str">
        <f>IFERROR(__xludf.DUMMYFUNCTION("""COMPUTED_VALUE"""),"")</f>
        <v/>
      </c>
      <c r="S490" s="80" t="str">
        <f>IFERROR(__xludf.DUMMYFUNCTION("""COMPUTED_VALUE"""),"")</f>
        <v/>
      </c>
      <c r="T490" s="80" t="str">
        <f>IFERROR(__xludf.DUMMYFUNCTION("""COMPUTED_VALUE"""),"")</f>
        <v/>
      </c>
      <c r="U490" s="71" t="str">
        <f>IFERROR(__xludf.DUMMYFUNCTION("""COMPUTED_VALUE"""),"")</f>
        <v/>
      </c>
      <c r="V490" s="78" t="str">
        <f>IFERROR(__xludf.DUMMYFUNCTION("""COMPUTED_VALUE"""),"")</f>
        <v/>
      </c>
      <c r="W490" s="62" t="str">
        <f>IFERROR(__xludf.DUMMYFUNCTION("""COMPUTED_VALUE"""),"")</f>
        <v/>
      </c>
      <c r="X490" s="80" t="str">
        <f>IFERROR(__xludf.DUMMYFUNCTION("""COMPUTED_VALUE"""),"")</f>
        <v/>
      </c>
      <c r="Y490" s="109" t="str">
        <f>IFERROR(__xludf.DUMMYFUNCTION("""COMPUTED_VALUE"""),"")</f>
        <v/>
      </c>
      <c r="Z490" s="71"/>
      <c r="AA490" s="71"/>
      <c r="AB490" s="71"/>
    </row>
    <row r="491">
      <c r="A491" s="71"/>
      <c r="B491" s="71"/>
      <c r="C491" s="71" t="str">
        <f>IFERROR(__xludf.DUMMYFUNCTION("""COMPUTED_VALUE"""),"")</f>
        <v/>
      </c>
      <c r="D491" s="71"/>
      <c r="E491" s="78"/>
      <c r="F491" s="71"/>
      <c r="G491" s="78" t="str">
        <f>IFERROR(__xludf.DUMMYFUNCTION("""COMPUTED_VALUE"""),"")</f>
        <v/>
      </c>
      <c r="H491" s="71"/>
      <c r="I491" s="80" t="str">
        <f>IFERROR(__xludf.DUMMYFUNCTION("""COMPUTED_VALUE"""),"")</f>
        <v/>
      </c>
      <c r="J491" s="71" t="str">
        <f>IFERROR(__xludf.DUMMYFUNCTION("""COMPUTED_VALUE"""),"")</f>
        <v/>
      </c>
      <c r="K491" s="71"/>
      <c r="L491" s="71" t="str">
        <f>IFERROR(__xludf.DUMMYFUNCTION("""COMPUTED_VALUE"""),"")</f>
        <v/>
      </c>
      <c r="M491" s="71"/>
      <c r="N491" s="109" t="str">
        <f>IFERROR(__xludf.DUMMYFUNCTION("""COMPUTED_VALUE"""),"")</f>
        <v/>
      </c>
      <c r="O491" s="71" t="str">
        <f>IFERROR(__xludf.DUMMYFUNCTION("""COMPUTED_VALUE"""),"")</f>
        <v/>
      </c>
      <c r="P491" s="71" t="str">
        <f>IFERROR(__xludf.DUMMYFUNCTION("""COMPUTED_VALUE"""),"")</f>
        <v/>
      </c>
      <c r="Q491" s="78" t="str">
        <f>IFERROR(__xludf.DUMMYFUNCTION("""COMPUTED_VALUE"""),"")</f>
        <v/>
      </c>
      <c r="R491" s="78" t="str">
        <f>IFERROR(__xludf.DUMMYFUNCTION("""COMPUTED_VALUE"""),"")</f>
        <v/>
      </c>
      <c r="S491" s="80" t="str">
        <f>IFERROR(__xludf.DUMMYFUNCTION("""COMPUTED_VALUE"""),"")</f>
        <v/>
      </c>
      <c r="T491" s="80" t="str">
        <f>IFERROR(__xludf.DUMMYFUNCTION("""COMPUTED_VALUE"""),"")</f>
        <v/>
      </c>
      <c r="U491" s="71" t="str">
        <f>IFERROR(__xludf.DUMMYFUNCTION("""COMPUTED_VALUE"""),"")</f>
        <v/>
      </c>
      <c r="V491" s="78" t="str">
        <f>IFERROR(__xludf.DUMMYFUNCTION("""COMPUTED_VALUE"""),"")</f>
        <v/>
      </c>
      <c r="W491" s="62" t="str">
        <f>IFERROR(__xludf.DUMMYFUNCTION("""COMPUTED_VALUE"""),"")</f>
        <v/>
      </c>
      <c r="X491" s="80" t="str">
        <f>IFERROR(__xludf.DUMMYFUNCTION("""COMPUTED_VALUE"""),"")</f>
        <v/>
      </c>
      <c r="Y491" s="109" t="str">
        <f>IFERROR(__xludf.DUMMYFUNCTION("""COMPUTED_VALUE"""),"")</f>
        <v/>
      </c>
      <c r="Z491" s="71"/>
      <c r="AA491" s="71"/>
      <c r="AB491" s="71"/>
    </row>
    <row r="492">
      <c r="A492" s="71"/>
      <c r="B492" s="71"/>
      <c r="C492" s="71" t="str">
        <f>IFERROR(__xludf.DUMMYFUNCTION("""COMPUTED_VALUE"""),"")</f>
        <v/>
      </c>
      <c r="D492" s="71"/>
      <c r="E492" s="78"/>
      <c r="F492" s="71"/>
      <c r="G492" s="78" t="str">
        <f>IFERROR(__xludf.DUMMYFUNCTION("""COMPUTED_VALUE"""),"")</f>
        <v/>
      </c>
      <c r="H492" s="71"/>
      <c r="I492" s="80" t="str">
        <f>IFERROR(__xludf.DUMMYFUNCTION("""COMPUTED_VALUE"""),"")</f>
        <v/>
      </c>
      <c r="J492" s="71" t="str">
        <f>IFERROR(__xludf.DUMMYFUNCTION("""COMPUTED_VALUE"""),"")</f>
        <v/>
      </c>
      <c r="K492" s="71"/>
      <c r="L492" s="71" t="str">
        <f>IFERROR(__xludf.DUMMYFUNCTION("""COMPUTED_VALUE"""),"")</f>
        <v/>
      </c>
      <c r="M492" s="71"/>
      <c r="N492" s="109" t="str">
        <f>IFERROR(__xludf.DUMMYFUNCTION("""COMPUTED_VALUE"""),"")</f>
        <v/>
      </c>
      <c r="O492" s="71" t="str">
        <f>IFERROR(__xludf.DUMMYFUNCTION("""COMPUTED_VALUE"""),"")</f>
        <v/>
      </c>
      <c r="P492" s="71" t="str">
        <f>IFERROR(__xludf.DUMMYFUNCTION("""COMPUTED_VALUE"""),"")</f>
        <v/>
      </c>
      <c r="Q492" s="78" t="str">
        <f>IFERROR(__xludf.DUMMYFUNCTION("""COMPUTED_VALUE"""),"")</f>
        <v/>
      </c>
      <c r="R492" s="78" t="str">
        <f>IFERROR(__xludf.DUMMYFUNCTION("""COMPUTED_VALUE"""),"")</f>
        <v/>
      </c>
      <c r="S492" s="80" t="str">
        <f>IFERROR(__xludf.DUMMYFUNCTION("""COMPUTED_VALUE"""),"")</f>
        <v/>
      </c>
      <c r="T492" s="80" t="str">
        <f>IFERROR(__xludf.DUMMYFUNCTION("""COMPUTED_VALUE"""),"")</f>
        <v/>
      </c>
      <c r="U492" s="71" t="str">
        <f>IFERROR(__xludf.DUMMYFUNCTION("""COMPUTED_VALUE"""),"")</f>
        <v/>
      </c>
      <c r="V492" s="78" t="str">
        <f>IFERROR(__xludf.DUMMYFUNCTION("""COMPUTED_VALUE"""),"")</f>
        <v/>
      </c>
      <c r="W492" s="62" t="str">
        <f>IFERROR(__xludf.DUMMYFUNCTION("""COMPUTED_VALUE"""),"")</f>
        <v/>
      </c>
      <c r="X492" s="80" t="str">
        <f>IFERROR(__xludf.DUMMYFUNCTION("""COMPUTED_VALUE"""),"")</f>
        <v/>
      </c>
      <c r="Y492" s="109" t="str">
        <f>IFERROR(__xludf.DUMMYFUNCTION("""COMPUTED_VALUE"""),"")</f>
        <v/>
      </c>
      <c r="Z492" s="71"/>
      <c r="AA492" s="71"/>
      <c r="AB492" s="71"/>
    </row>
    <row r="493">
      <c r="A493" s="71"/>
      <c r="B493" s="71"/>
      <c r="C493" s="71" t="str">
        <f>IFERROR(__xludf.DUMMYFUNCTION("""COMPUTED_VALUE"""),"")</f>
        <v/>
      </c>
      <c r="D493" s="71"/>
      <c r="E493" s="78"/>
      <c r="F493" s="71"/>
      <c r="G493" s="78" t="str">
        <f>IFERROR(__xludf.DUMMYFUNCTION("""COMPUTED_VALUE"""),"")</f>
        <v/>
      </c>
      <c r="H493" s="71"/>
      <c r="I493" s="80" t="str">
        <f>IFERROR(__xludf.DUMMYFUNCTION("""COMPUTED_VALUE"""),"")</f>
        <v/>
      </c>
      <c r="J493" s="71" t="str">
        <f>IFERROR(__xludf.DUMMYFUNCTION("""COMPUTED_VALUE"""),"")</f>
        <v/>
      </c>
      <c r="K493" s="71"/>
      <c r="L493" s="71" t="str">
        <f>IFERROR(__xludf.DUMMYFUNCTION("""COMPUTED_VALUE"""),"")</f>
        <v/>
      </c>
      <c r="M493" s="71"/>
      <c r="N493" s="109" t="str">
        <f>IFERROR(__xludf.DUMMYFUNCTION("""COMPUTED_VALUE"""),"")</f>
        <v/>
      </c>
      <c r="O493" s="71" t="str">
        <f>IFERROR(__xludf.DUMMYFUNCTION("""COMPUTED_VALUE"""),"")</f>
        <v/>
      </c>
      <c r="P493" s="71" t="str">
        <f>IFERROR(__xludf.DUMMYFUNCTION("""COMPUTED_VALUE"""),"")</f>
        <v/>
      </c>
      <c r="Q493" s="78" t="str">
        <f>IFERROR(__xludf.DUMMYFUNCTION("""COMPUTED_VALUE"""),"")</f>
        <v/>
      </c>
      <c r="R493" s="78" t="str">
        <f>IFERROR(__xludf.DUMMYFUNCTION("""COMPUTED_VALUE"""),"")</f>
        <v/>
      </c>
      <c r="S493" s="80" t="str">
        <f>IFERROR(__xludf.DUMMYFUNCTION("""COMPUTED_VALUE"""),"")</f>
        <v/>
      </c>
      <c r="T493" s="80" t="str">
        <f>IFERROR(__xludf.DUMMYFUNCTION("""COMPUTED_VALUE"""),"")</f>
        <v/>
      </c>
      <c r="U493" s="71" t="str">
        <f>IFERROR(__xludf.DUMMYFUNCTION("""COMPUTED_VALUE"""),"")</f>
        <v/>
      </c>
      <c r="V493" s="78" t="str">
        <f>IFERROR(__xludf.DUMMYFUNCTION("""COMPUTED_VALUE"""),"")</f>
        <v/>
      </c>
      <c r="W493" s="62" t="str">
        <f>IFERROR(__xludf.DUMMYFUNCTION("""COMPUTED_VALUE"""),"")</f>
        <v/>
      </c>
      <c r="X493" s="80" t="str">
        <f>IFERROR(__xludf.DUMMYFUNCTION("""COMPUTED_VALUE"""),"")</f>
        <v/>
      </c>
      <c r="Y493" s="109" t="str">
        <f>IFERROR(__xludf.DUMMYFUNCTION("""COMPUTED_VALUE"""),"")</f>
        <v/>
      </c>
      <c r="Z493" s="71"/>
      <c r="AA493" s="71"/>
      <c r="AB493" s="71"/>
    </row>
    <row r="494">
      <c r="A494" s="71"/>
      <c r="B494" s="71"/>
      <c r="C494" s="71" t="str">
        <f>IFERROR(__xludf.DUMMYFUNCTION("""COMPUTED_VALUE"""),"")</f>
        <v/>
      </c>
      <c r="D494" s="71"/>
      <c r="E494" s="78"/>
      <c r="F494" s="71"/>
      <c r="G494" s="78" t="str">
        <f>IFERROR(__xludf.DUMMYFUNCTION("""COMPUTED_VALUE"""),"")</f>
        <v/>
      </c>
      <c r="H494" s="71"/>
      <c r="I494" s="80" t="str">
        <f>IFERROR(__xludf.DUMMYFUNCTION("""COMPUTED_VALUE"""),"")</f>
        <v/>
      </c>
      <c r="J494" s="71" t="str">
        <f>IFERROR(__xludf.DUMMYFUNCTION("""COMPUTED_VALUE"""),"")</f>
        <v/>
      </c>
      <c r="K494" s="71"/>
      <c r="L494" s="71" t="str">
        <f>IFERROR(__xludf.DUMMYFUNCTION("""COMPUTED_VALUE"""),"")</f>
        <v/>
      </c>
      <c r="M494" s="71"/>
      <c r="N494" s="109" t="str">
        <f>IFERROR(__xludf.DUMMYFUNCTION("""COMPUTED_VALUE"""),"")</f>
        <v/>
      </c>
      <c r="O494" s="71" t="str">
        <f>IFERROR(__xludf.DUMMYFUNCTION("""COMPUTED_VALUE"""),"")</f>
        <v/>
      </c>
      <c r="P494" s="71" t="str">
        <f>IFERROR(__xludf.DUMMYFUNCTION("""COMPUTED_VALUE"""),"")</f>
        <v/>
      </c>
      <c r="Q494" s="78" t="str">
        <f>IFERROR(__xludf.DUMMYFUNCTION("""COMPUTED_VALUE"""),"")</f>
        <v/>
      </c>
      <c r="R494" s="78" t="str">
        <f>IFERROR(__xludf.DUMMYFUNCTION("""COMPUTED_VALUE"""),"")</f>
        <v/>
      </c>
      <c r="S494" s="80" t="str">
        <f>IFERROR(__xludf.DUMMYFUNCTION("""COMPUTED_VALUE"""),"")</f>
        <v/>
      </c>
      <c r="T494" s="80" t="str">
        <f>IFERROR(__xludf.DUMMYFUNCTION("""COMPUTED_VALUE"""),"")</f>
        <v/>
      </c>
      <c r="U494" s="71" t="str">
        <f>IFERROR(__xludf.DUMMYFUNCTION("""COMPUTED_VALUE"""),"")</f>
        <v/>
      </c>
      <c r="V494" s="78" t="str">
        <f>IFERROR(__xludf.DUMMYFUNCTION("""COMPUTED_VALUE"""),"")</f>
        <v/>
      </c>
      <c r="W494" s="62" t="str">
        <f>IFERROR(__xludf.DUMMYFUNCTION("""COMPUTED_VALUE"""),"")</f>
        <v/>
      </c>
      <c r="X494" s="80" t="str">
        <f>IFERROR(__xludf.DUMMYFUNCTION("""COMPUTED_VALUE"""),"")</f>
        <v/>
      </c>
      <c r="Y494" s="109" t="str">
        <f>IFERROR(__xludf.DUMMYFUNCTION("""COMPUTED_VALUE"""),"")</f>
        <v/>
      </c>
      <c r="Z494" s="71"/>
      <c r="AA494" s="71"/>
      <c r="AB494" s="71"/>
    </row>
    <row r="495">
      <c r="A495" s="71"/>
      <c r="B495" s="71"/>
      <c r="C495" s="71" t="str">
        <f>IFERROR(__xludf.DUMMYFUNCTION("""COMPUTED_VALUE"""),"")</f>
        <v/>
      </c>
      <c r="D495" s="71"/>
      <c r="E495" s="78"/>
      <c r="F495" s="71"/>
      <c r="G495" s="78" t="str">
        <f>IFERROR(__xludf.DUMMYFUNCTION("""COMPUTED_VALUE"""),"")</f>
        <v/>
      </c>
      <c r="H495" s="71"/>
      <c r="I495" s="80" t="str">
        <f>IFERROR(__xludf.DUMMYFUNCTION("""COMPUTED_VALUE"""),"")</f>
        <v/>
      </c>
      <c r="J495" s="71" t="str">
        <f>IFERROR(__xludf.DUMMYFUNCTION("""COMPUTED_VALUE"""),"")</f>
        <v/>
      </c>
      <c r="K495" s="71"/>
      <c r="L495" s="71" t="str">
        <f>IFERROR(__xludf.DUMMYFUNCTION("""COMPUTED_VALUE"""),"")</f>
        <v/>
      </c>
      <c r="M495" s="71"/>
      <c r="N495" s="109" t="str">
        <f>IFERROR(__xludf.DUMMYFUNCTION("""COMPUTED_VALUE"""),"")</f>
        <v/>
      </c>
      <c r="O495" s="71" t="str">
        <f>IFERROR(__xludf.DUMMYFUNCTION("""COMPUTED_VALUE"""),"")</f>
        <v/>
      </c>
      <c r="P495" s="71" t="str">
        <f>IFERROR(__xludf.DUMMYFUNCTION("""COMPUTED_VALUE"""),"")</f>
        <v/>
      </c>
      <c r="Q495" s="78" t="str">
        <f>IFERROR(__xludf.DUMMYFUNCTION("""COMPUTED_VALUE"""),"")</f>
        <v/>
      </c>
      <c r="R495" s="78" t="str">
        <f>IFERROR(__xludf.DUMMYFUNCTION("""COMPUTED_VALUE"""),"")</f>
        <v/>
      </c>
      <c r="S495" s="80" t="str">
        <f>IFERROR(__xludf.DUMMYFUNCTION("""COMPUTED_VALUE"""),"")</f>
        <v/>
      </c>
      <c r="T495" s="80" t="str">
        <f>IFERROR(__xludf.DUMMYFUNCTION("""COMPUTED_VALUE"""),"")</f>
        <v/>
      </c>
      <c r="U495" s="71" t="str">
        <f>IFERROR(__xludf.DUMMYFUNCTION("""COMPUTED_VALUE"""),"")</f>
        <v/>
      </c>
      <c r="V495" s="78" t="str">
        <f>IFERROR(__xludf.DUMMYFUNCTION("""COMPUTED_VALUE"""),"")</f>
        <v/>
      </c>
      <c r="W495" s="62" t="str">
        <f>IFERROR(__xludf.DUMMYFUNCTION("""COMPUTED_VALUE"""),"")</f>
        <v/>
      </c>
      <c r="X495" s="80" t="str">
        <f>IFERROR(__xludf.DUMMYFUNCTION("""COMPUTED_VALUE"""),"")</f>
        <v/>
      </c>
      <c r="Y495" s="109" t="str">
        <f>IFERROR(__xludf.DUMMYFUNCTION("""COMPUTED_VALUE"""),"")</f>
        <v/>
      </c>
      <c r="Z495" s="71"/>
      <c r="AA495" s="71"/>
      <c r="AB495" s="71"/>
    </row>
    <row r="496">
      <c r="A496" s="71"/>
      <c r="B496" s="71"/>
      <c r="C496" s="71" t="str">
        <f>IFERROR(__xludf.DUMMYFUNCTION("""COMPUTED_VALUE"""),"")</f>
        <v/>
      </c>
      <c r="D496" s="71"/>
      <c r="E496" s="78"/>
      <c r="F496" s="71"/>
      <c r="G496" s="78" t="str">
        <f>IFERROR(__xludf.DUMMYFUNCTION("""COMPUTED_VALUE"""),"")</f>
        <v/>
      </c>
      <c r="H496" s="71"/>
      <c r="I496" s="80" t="str">
        <f>IFERROR(__xludf.DUMMYFUNCTION("""COMPUTED_VALUE"""),"")</f>
        <v/>
      </c>
      <c r="J496" s="71" t="str">
        <f>IFERROR(__xludf.DUMMYFUNCTION("""COMPUTED_VALUE"""),"")</f>
        <v/>
      </c>
      <c r="K496" s="71"/>
      <c r="L496" s="71" t="str">
        <f>IFERROR(__xludf.DUMMYFUNCTION("""COMPUTED_VALUE"""),"")</f>
        <v/>
      </c>
      <c r="M496" s="71"/>
      <c r="N496" s="109" t="str">
        <f>IFERROR(__xludf.DUMMYFUNCTION("""COMPUTED_VALUE"""),"")</f>
        <v/>
      </c>
      <c r="O496" s="71" t="str">
        <f>IFERROR(__xludf.DUMMYFUNCTION("""COMPUTED_VALUE"""),"")</f>
        <v/>
      </c>
      <c r="P496" s="71" t="str">
        <f>IFERROR(__xludf.DUMMYFUNCTION("""COMPUTED_VALUE"""),"")</f>
        <v/>
      </c>
      <c r="Q496" s="78" t="str">
        <f>IFERROR(__xludf.DUMMYFUNCTION("""COMPUTED_VALUE"""),"")</f>
        <v/>
      </c>
      <c r="R496" s="78" t="str">
        <f>IFERROR(__xludf.DUMMYFUNCTION("""COMPUTED_VALUE"""),"")</f>
        <v/>
      </c>
      <c r="S496" s="80" t="str">
        <f>IFERROR(__xludf.DUMMYFUNCTION("""COMPUTED_VALUE"""),"")</f>
        <v/>
      </c>
      <c r="T496" s="80" t="str">
        <f>IFERROR(__xludf.DUMMYFUNCTION("""COMPUTED_VALUE"""),"")</f>
        <v/>
      </c>
      <c r="U496" s="71" t="str">
        <f>IFERROR(__xludf.DUMMYFUNCTION("""COMPUTED_VALUE"""),"")</f>
        <v/>
      </c>
      <c r="V496" s="78" t="str">
        <f>IFERROR(__xludf.DUMMYFUNCTION("""COMPUTED_VALUE"""),"")</f>
        <v/>
      </c>
      <c r="W496" s="62" t="str">
        <f>IFERROR(__xludf.DUMMYFUNCTION("""COMPUTED_VALUE"""),"")</f>
        <v/>
      </c>
      <c r="X496" s="80" t="str">
        <f>IFERROR(__xludf.DUMMYFUNCTION("""COMPUTED_VALUE"""),"")</f>
        <v/>
      </c>
      <c r="Y496" s="109" t="str">
        <f>IFERROR(__xludf.DUMMYFUNCTION("""COMPUTED_VALUE"""),"")</f>
        <v/>
      </c>
      <c r="Z496" s="71"/>
      <c r="AA496" s="71"/>
      <c r="AB496" s="71"/>
    </row>
    <row r="497">
      <c r="A497" s="71"/>
      <c r="B497" s="71"/>
      <c r="C497" s="71" t="str">
        <f>IFERROR(__xludf.DUMMYFUNCTION("""COMPUTED_VALUE"""),"")</f>
        <v/>
      </c>
      <c r="D497" s="71"/>
      <c r="E497" s="78"/>
      <c r="F497" s="71"/>
      <c r="G497" s="78" t="str">
        <f>IFERROR(__xludf.DUMMYFUNCTION("""COMPUTED_VALUE"""),"")</f>
        <v/>
      </c>
      <c r="H497" s="71"/>
      <c r="I497" s="80" t="str">
        <f>IFERROR(__xludf.DUMMYFUNCTION("""COMPUTED_VALUE"""),"")</f>
        <v/>
      </c>
      <c r="J497" s="71" t="str">
        <f>IFERROR(__xludf.DUMMYFUNCTION("""COMPUTED_VALUE"""),"")</f>
        <v/>
      </c>
      <c r="K497" s="71"/>
      <c r="L497" s="71" t="str">
        <f>IFERROR(__xludf.DUMMYFUNCTION("""COMPUTED_VALUE"""),"")</f>
        <v/>
      </c>
      <c r="M497" s="71"/>
      <c r="N497" s="109" t="str">
        <f>IFERROR(__xludf.DUMMYFUNCTION("""COMPUTED_VALUE"""),"")</f>
        <v/>
      </c>
      <c r="O497" s="71" t="str">
        <f>IFERROR(__xludf.DUMMYFUNCTION("""COMPUTED_VALUE"""),"")</f>
        <v/>
      </c>
      <c r="P497" s="71" t="str">
        <f>IFERROR(__xludf.DUMMYFUNCTION("""COMPUTED_VALUE"""),"")</f>
        <v/>
      </c>
      <c r="Q497" s="78" t="str">
        <f>IFERROR(__xludf.DUMMYFUNCTION("""COMPUTED_VALUE"""),"")</f>
        <v/>
      </c>
      <c r="R497" s="78" t="str">
        <f>IFERROR(__xludf.DUMMYFUNCTION("""COMPUTED_VALUE"""),"")</f>
        <v/>
      </c>
      <c r="S497" s="80" t="str">
        <f>IFERROR(__xludf.DUMMYFUNCTION("""COMPUTED_VALUE"""),"")</f>
        <v/>
      </c>
      <c r="T497" s="80" t="str">
        <f>IFERROR(__xludf.DUMMYFUNCTION("""COMPUTED_VALUE"""),"")</f>
        <v/>
      </c>
      <c r="U497" s="71" t="str">
        <f>IFERROR(__xludf.DUMMYFUNCTION("""COMPUTED_VALUE"""),"")</f>
        <v/>
      </c>
      <c r="V497" s="78" t="str">
        <f>IFERROR(__xludf.DUMMYFUNCTION("""COMPUTED_VALUE"""),"")</f>
        <v/>
      </c>
      <c r="W497" s="62" t="str">
        <f>IFERROR(__xludf.DUMMYFUNCTION("""COMPUTED_VALUE"""),"")</f>
        <v/>
      </c>
      <c r="X497" s="80" t="str">
        <f>IFERROR(__xludf.DUMMYFUNCTION("""COMPUTED_VALUE"""),"")</f>
        <v/>
      </c>
      <c r="Y497" s="109" t="str">
        <f>IFERROR(__xludf.DUMMYFUNCTION("""COMPUTED_VALUE"""),"")</f>
        <v/>
      </c>
      <c r="Z497" s="71"/>
      <c r="AA497" s="71"/>
      <c r="AB497" s="71"/>
    </row>
    <row r="498">
      <c r="A498" s="71"/>
      <c r="B498" s="71"/>
      <c r="C498" s="71" t="str">
        <f>IFERROR(__xludf.DUMMYFUNCTION("""COMPUTED_VALUE"""),"")</f>
        <v/>
      </c>
      <c r="D498" s="71"/>
      <c r="E498" s="78"/>
      <c r="F498" s="71"/>
      <c r="G498" s="78" t="str">
        <f>IFERROR(__xludf.DUMMYFUNCTION("""COMPUTED_VALUE"""),"")</f>
        <v/>
      </c>
      <c r="H498" s="71"/>
      <c r="I498" s="80" t="str">
        <f>IFERROR(__xludf.DUMMYFUNCTION("""COMPUTED_VALUE"""),"")</f>
        <v/>
      </c>
      <c r="J498" s="71" t="str">
        <f>IFERROR(__xludf.DUMMYFUNCTION("""COMPUTED_VALUE"""),"")</f>
        <v/>
      </c>
      <c r="K498" s="71"/>
      <c r="L498" s="71" t="str">
        <f>IFERROR(__xludf.DUMMYFUNCTION("""COMPUTED_VALUE"""),"")</f>
        <v/>
      </c>
      <c r="M498" s="71"/>
      <c r="N498" s="109" t="str">
        <f>IFERROR(__xludf.DUMMYFUNCTION("""COMPUTED_VALUE"""),"")</f>
        <v/>
      </c>
      <c r="O498" s="71" t="str">
        <f>IFERROR(__xludf.DUMMYFUNCTION("""COMPUTED_VALUE"""),"")</f>
        <v/>
      </c>
      <c r="P498" s="71" t="str">
        <f>IFERROR(__xludf.DUMMYFUNCTION("""COMPUTED_VALUE"""),"")</f>
        <v/>
      </c>
      <c r="Q498" s="78" t="str">
        <f>IFERROR(__xludf.DUMMYFUNCTION("""COMPUTED_VALUE"""),"")</f>
        <v/>
      </c>
      <c r="R498" s="78" t="str">
        <f>IFERROR(__xludf.DUMMYFUNCTION("""COMPUTED_VALUE"""),"")</f>
        <v/>
      </c>
      <c r="S498" s="80" t="str">
        <f>IFERROR(__xludf.DUMMYFUNCTION("""COMPUTED_VALUE"""),"")</f>
        <v/>
      </c>
      <c r="T498" s="80" t="str">
        <f>IFERROR(__xludf.DUMMYFUNCTION("""COMPUTED_VALUE"""),"")</f>
        <v/>
      </c>
      <c r="U498" s="71" t="str">
        <f>IFERROR(__xludf.DUMMYFUNCTION("""COMPUTED_VALUE"""),"")</f>
        <v/>
      </c>
      <c r="V498" s="78" t="str">
        <f>IFERROR(__xludf.DUMMYFUNCTION("""COMPUTED_VALUE"""),"")</f>
        <v/>
      </c>
      <c r="W498" s="62" t="str">
        <f>IFERROR(__xludf.DUMMYFUNCTION("""COMPUTED_VALUE"""),"")</f>
        <v/>
      </c>
      <c r="X498" s="80" t="str">
        <f>IFERROR(__xludf.DUMMYFUNCTION("""COMPUTED_VALUE"""),"")</f>
        <v/>
      </c>
      <c r="Y498" s="109" t="str">
        <f>IFERROR(__xludf.DUMMYFUNCTION("""COMPUTED_VALUE"""),"")</f>
        <v/>
      </c>
      <c r="Z498" s="71"/>
      <c r="AA498" s="71"/>
      <c r="AB498" s="71"/>
    </row>
    <row r="499">
      <c r="A499" s="71"/>
      <c r="B499" s="71"/>
      <c r="C499" s="71" t="str">
        <f>IFERROR(__xludf.DUMMYFUNCTION("""COMPUTED_VALUE"""),"")</f>
        <v/>
      </c>
      <c r="D499" s="71"/>
      <c r="E499" s="78"/>
      <c r="F499" s="71"/>
      <c r="G499" s="78" t="str">
        <f>IFERROR(__xludf.DUMMYFUNCTION("""COMPUTED_VALUE"""),"")</f>
        <v/>
      </c>
      <c r="H499" s="71"/>
      <c r="I499" s="80" t="str">
        <f>IFERROR(__xludf.DUMMYFUNCTION("""COMPUTED_VALUE"""),"")</f>
        <v/>
      </c>
      <c r="J499" s="71" t="str">
        <f>IFERROR(__xludf.DUMMYFUNCTION("""COMPUTED_VALUE"""),"")</f>
        <v/>
      </c>
      <c r="K499" s="71"/>
      <c r="L499" s="71" t="str">
        <f>IFERROR(__xludf.DUMMYFUNCTION("""COMPUTED_VALUE"""),"")</f>
        <v/>
      </c>
      <c r="M499" s="71"/>
      <c r="N499" s="109" t="str">
        <f>IFERROR(__xludf.DUMMYFUNCTION("""COMPUTED_VALUE"""),"")</f>
        <v/>
      </c>
      <c r="O499" s="71" t="str">
        <f>IFERROR(__xludf.DUMMYFUNCTION("""COMPUTED_VALUE"""),"")</f>
        <v/>
      </c>
      <c r="P499" s="71" t="str">
        <f>IFERROR(__xludf.DUMMYFUNCTION("""COMPUTED_VALUE"""),"")</f>
        <v/>
      </c>
      <c r="Q499" s="78" t="str">
        <f>IFERROR(__xludf.DUMMYFUNCTION("""COMPUTED_VALUE"""),"")</f>
        <v/>
      </c>
      <c r="R499" s="78" t="str">
        <f>IFERROR(__xludf.DUMMYFUNCTION("""COMPUTED_VALUE"""),"")</f>
        <v/>
      </c>
      <c r="S499" s="80" t="str">
        <f>IFERROR(__xludf.DUMMYFUNCTION("""COMPUTED_VALUE"""),"")</f>
        <v/>
      </c>
      <c r="T499" s="80" t="str">
        <f>IFERROR(__xludf.DUMMYFUNCTION("""COMPUTED_VALUE"""),"")</f>
        <v/>
      </c>
      <c r="U499" s="71" t="str">
        <f>IFERROR(__xludf.DUMMYFUNCTION("""COMPUTED_VALUE"""),"")</f>
        <v/>
      </c>
      <c r="V499" s="78" t="str">
        <f>IFERROR(__xludf.DUMMYFUNCTION("""COMPUTED_VALUE"""),"")</f>
        <v/>
      </c>
      <c r="W499" s="62" t="str">
        <f>IFERROR(__xludf.DUMMYFUNCTION("""COMPUTED_VALUE"""),"")</f>
        <v/>
      </c>
      <c r="X499" s="80" t="str">
        <f>IFERROR(__xludf.DUMMYFUNCTION("""COMPUTED_VALUE"""),"")</f>
        <v/>
      </c>
      <c r="Y499" s="109" t="str">
        <f>IFERROR(__xludf.DUMMYFUNCTION("""COMPUTED_VALUE"""),"")</f>
        <v/>
      </c>
      <c r="Z499" s="71"/>
      <c r="AA499" s="71"/>
      <c r="AB499" s="71"/>
    </row>
    <row r="500">
      <c r="A500" s="71"/>
      <c r="B500" s="71"/>
      <c r="C500" s="71" t="str">
        <f>IFERROR(__xludf.DUMMYFUNCTION("""COMPUTED_VALUE"""),"")</f>
        <v/>
      </c>
      <c r="D500" s="71"/>
      <c r="E500" s="78"/>
      <c r="F500" s="71"/>
      <c r="G500" s="78" t="str">
        <f>IFERROR(__xludf.DUMMYFUNCTION("""COMPUTED_VALUE"""),"")</f>
        <v/>
      </c>
      <c r="H500" s="71"/>
      <c r="I500" s="80" t="str">
        <f>IFERROR(__xludf.DUMMYFUNCTION("""COMPUTED_VALUE"""),"")</f>
        <v/>
      </c>
      <c r="J500" s="71" t="str">
        <f>IFERROR(__xludf.DUMMYFUNCTION("""COMPUTED_VALUE"""),"")</f>
        <v/>
      </c>
      <c r="K500" s="71"/>
      <c r="L500" s="71" t="str">
        <f>IFERROR(__xludf.DUMMYFUNCTION("""COMPUTED_VALUE"""),"")</f>
        <v/>
      </c>
      <c r="M500" s="71"/>
      <c r="N500" s="109" t="str">
        <f>IFERROR(__xludf.DUMMYFUNCTION("""COMPUTED_VALUE"""),"")</f>
        <v/>
      </c>
      <c r="O500" s="71" t="str">
        <f>IFERROR(__xludf.DUMMYFUNCTION("""COMPUTED_VALUE"""),"")</f>
        <v/>
      </c>
      <c r="P500" s="71" t="str">
        <f>IFERROR(__xludf.DUMMYFUNCTION("""COMPUTED_VALUE"""),"")</f>
        <v/>
      </c>
      <c r="Q500" s="78" t="str">
        <f>IFERROR(__xludf.DUMMYFUNCTION("""COMPUTED_VALUE"""),"")</f>
        <v/>
      </c>
      <c r="R500" s="78" t="str">
        <f>IFERROR(__xludf.DUMMYFUNCTION("""COMPUTED_VALUE"""),"")</f>
        <v/>
      </c>
      <c r="S500" s="80" t="str">
        <f>IFERROR(__xludf.DUMMYFUNCTION("""COMPUTED_VALUE"""),"")</f>
        <v/>
      </c>
      <c r="T500" s="80" t="str">
        <f>IFERROR(__xludf.DUMMYFUNCTION("""COMPUTED_VALUE"""),"")</f>
        <v/>
      </c>
      <c r="U500" s="71" t="str">
        <f>IFERROR(__xludf.DUMMYFUNCTION("""COMPUTED_VALUE"""),"")</f>
        <v/>
      </c>
      <c r="V500" s="78" t="str">
        <f>IFERROR(__xludf.DUMMYFUNCTION("""COMPUTED_VALUE"""),"")</f>
        <v/>
      </c>
      <c r="W500" s="62" t="str">
        <f>IFERROR(__xludf.DUMMYFUNCTION("""COMPUTED_VALUE"""),"")</f>
        <v/>
      </c>
      <c r="X500" s="80" t="str">
        <f>IFERROR(__xludf.DUMMYFUNCTION("""COMPUTED_VALUE"""),"")</f>
        <v/>
      </c>
      <c r="Y500" s="109" t="str">
        <f>IFERROR(__xludf.DUMMYFUNCTION("""COMPUTED_VALUE"""),"")</f>
        <v/>
      </c>
      <c r="Z500" s="71"/>
      <c r="AA500" s="71"/>
      <c r="AB500" s="71"/>
    </row>
    <row r="501">
      <c r="A501" s="71"/>
      <c r="B501" s="71"/>
      <c r="C501" s="71" t="str">
        <f>IFERROR(__xludf.DUMMYFUNCTION("""COMPUTED_VALUE"""),"")</f>
        <v/>
      </c>
      <c r="D501" s="71"/>
      <c r="E501" s="78"/>
      <c r="F501" s="71"/>
      <c r="G501" s="78" t="str">
        <f>IFERROR(__xludf.DUMMYFUNCTION("""COMPUTED_VALUE"""),"")</f>
        <v/>
      </c>
      <c r="H501" s="71"/>
      <c r="I501" s="80" t="str">
        <f>IFERROR(__xludf.DUMMYFUNCTION("""COMPUTED_VALUE"""),"")</f>
        <v/>
      </c>
      <c r="J501" s="71" t="str">
        <f>IFERROR(__xludf.DUMMYFUNCTION("""COMPUTED_VALUE"""),"")</f>
        <v/>
      </c>
      <c r="K501" s="71"/>
      <c r="L501" s="71" t="str">
        <f>IFERROR(__xludf.DUMMYFUNCTION("""COMPUTED_VALUE"""),"")</f>
        <v/>
      </c>
      <c r="M501" s="71"/>
      <c r="N501" s="109" t="str">
        <f>IFERROR(__xludf.DUMMYFUNCTION("""COMPUTED_VALUE"""),"")</f>
        <v/>
      </c>
      <c r="O501" s="71" t="str">
        <f>IFERROR(__xludf.DUMMYFUNCTION("""COMPUTED_VALUE"""),"")</f>
        <v/>
      </c>
      <c r="P501" s="71" t="str">
        <f>IFERROR(__xludf.DUMMYFUNCTION("""COMPUTED_VALUE"""),"")</f>
        <v/>
      </c>
      <c r="Q501" s="78" t="str">
        <f>IFERROR(__xludf.DUMMYFUNCTION("""COMPUTED_VALUE"""),"")</f>
        <v/>
      </c>
      <c r="R501" s="78" t="str">
        <f>IFERROR(__xludf.DUMMYFUNCTION("""COMPUTED_VALUE"""),"")</f>
        <v/>
      </c>
      <c r="S501" s="80" t="str">
        <f>IFERROR(__xludf.DUMMYFUNCTION("""COMPUTED_VALUE"""),"")</f>
        <v/>
      </c>
      <c r="T501" s="80" t="str">
        <f>IFERROR(__xludf.DUMMYFUNCTION("""COMPUTED_VALUE"""),"")</f>
        <v/>
      </c>
      <c r="U501" s="71" t="str">
        <f>IFERROR(__xludf.DUMMYFUNCTION("""COMPUTED_VALUE"""),"")</f>
        <v/>
      </c>
      <c r="V501" s="78" t="str">
        <f>IFERROR(__xludf.DUMMYFUNCTION("""COMPUTED_VALUE"""),"")</f>
        <v/>
      </c>
      <c r="W501" s="62" t="str">
        <f>IFERROR(__xludf.DUMMYFUNCTION("""COMPUTED_VALUE"""),"")</f>
        <v/>
      </c>
      <c r="X501" s="80" t="str">
        <f>IFERROR(__xludf.DUMMYFUNCTION("""COMPUTED_VALUE"""),"")</f>
        <v/>
      </c>
      <c r="Y501" s="109" t="str">
        <f>IFERROR(__xludf.DUMMYFUNCTION("""COMPUTED_VALUE"""),"")</f>
        <v/>
      </c>
      <c r="Z501" s="71"/>
      <c r="AA501" s="71"/>
      <c r="AB501" s="71"/>
    </row>
    <row r="502">
      <c r="A502" s="71"/>
      <c r="B502" s="71"/>
      <c r="C502" s="71" t="str">
        <f>IFERROR(__xludf.DUMMYFUNCTION("""COMPUTED_VALUE"""),"")</f>
        <v/>
      </c>
      <c r="D502" s="71"/>
      <c r="E502" s="78"/>
      <c r="F502" s="71"/>
      <c r="G502" s="78" t="str">
        <f>IFERROR(__xludf.DUMMYFUNCTION("""COMPUTED_VALUE"""),"")</f>
        <v/>
      </c>
      <c r="H502" s="71"/>
      <c r="I502" s="80" t="str">
        <f>IFERROR(__xludf.DUMMYFUNCTION("""COMPUTED_VALUE"""),"")</f>
        <v/>
      </c>
      <c r="J502" s="71" t="str">
        <f>IFERROR(__xludf.DUMMYFUNCTION("""COMPUTED_VALUE"""),"")</f>
        <v/>
      </c>
      <c r="K502" s="71"/>
      <c r="L502" s="71" t="str">
        <f>IFERROR(__xludf.DUMMYFUNCTION("""COMPUTED_VALUE"""),"")</f>
        <v/>
      </c>
      <c r="M502" s="71"/>
      <c r="N502" s="109" t="str">
        <f>IFERROR(__xludf.DUMMYFUNCTION("""COMPUTED_VALUE"""),"")</f>
        <v/>
      </c>
      <c r="O502" s="71" t="str">
        <f>IFERROR(__xludf.DUMMYFUNCTION("""COMPUTED_VALUE"""),"")</f>
        <v/>
      </c>
      <c r="P502" s="71" t="str">
        <f>IFERROR(__xludf.DUMMYFUNCTION("""COMPUTED_VALUE"""),"")</f>
        <v/>
      </c>
      <c r="Q502" s="78" t="str">
        <f>IFERROR(__xludf.DUMMYFUNCTION("""COMPUTED_VALUE"""),"")</f>
        <v/>
      </c>
      <c r="R502" s="78" t="str">
        <f>IFERROR(__xludf.DUMMYFUNCTION("""COMPUTED_VALUE"""),"")</f>
        <v/>
      </c>
      <c r="S502" s="80" t="str">
        <f>IFERROR(__xludf.DUMMYFUNCTION("""COMPUTED_VALUE"""),"")</f>
        <v/>
      </c>
      <c r="T502" s="80" t="str">
        <f>IFERROR(__xludf.DUMMYFUNCTION("""COMPUTED_VALUE"""),"")</f>
        <v/>
      </c>
      <c r="U502" s="71" t="str">
        <f>IFERROR(__xludf.DUMMYFUNCTION("""COMPUTED_VALUE"""),"")</f>
        <v/>
      </c>
      <c r="V502" s="78" t="str">
        <f>IFERROR(__xludf.DUMMYFUNCTION("""COMPUTED_VALUE"""),"")</f>
        <v/>
      </c>
      <c r="W502" s="62" t="str">
        <f>IFERROR(__xludf.DUMMYFUNCTION("""COMPUTED_VALUE"""),"")</f>
        <v/>
      </c>
      <c r="X502" s="80" t="str">
        <f>IFERROR(__xludf.DUMMYFUNCTION("""COMPUTED_VALUE"""),"")</f>
        <v/>
      </c>
      <c r="Y502" s="109" t="str">
        <f>IFERROR(__xludf.DUMMYFUNCTION("""COMPUTED_VALUE"""),"")</f>
        <v/>
      </c>
      <c r="Z502" s="71"/>
      <c r="AA502" s="71"/>
      <c r="AB502" s="71"/>
    </row>
    <row r="503">
      <c r="A503" s="71"/>
      <c r="B503" s="71"/>
      <c r="C503" s="71" t="str">
        <f>IFERROR(__xludf.DUMMYFUNCTION("""COMPUTED_VALUE"""),"")</f>
        <v/>
      </c>
      <c r="D503" s="71"/>
      <c r="E503" s="78"/>
      <c r="F503" s="71"/>
      <c r="G503" s="78" t="str">
        <f>IFERROR(__xludf.DUMMYFUNCTION("""COMPUTED_VALUE"""),"")</f>
        <v/>
      </c>
      <c r="H503" s="71"/>
      <c r="I503" s="80" t="str">
        <f>IFERROR(__xludf.DUMMYFUNCTION("""COMPUTED_VALUE"""),"")</f>
        <v/>
      </c>
      <c r="J503" s="71" t="str">
        <f>IFERROR(__xludf.DUMMYFUNCTION("""COMPUTED_VALUE"""),"")</f>
        <v/>
      </c>
      <c r="K503" s="71"/>
      <c r="L503" s="71" t="str">
        <f>IFERROR(__xludf.DUMMYFUNCTION("""COMPUTED_VALUE"""),"")</f>
        <v/>
      </c>
      <c r="M503" s="71"/>
      <c r="N503" s="109" t="str">
        <f>IFERROR(__xludf.DUMMYFUNCTION("""COMPUTED_VALUE"""),"")</f>
        <v/>
      </c>
      <c r="O503" s="71" t="str">
        <f>IFERROR(__xludf.DUMMYFUNCTION("""COMPUTED_VALUE"""),"")</f>
        <v/>
      </c>
      <c r="P503" s="71" t="str">
        <f>IFERROR(__xludf.DUMMYFUNCTION("""COMPUTED_VALUE"""),"")</f>
        <v/>
      </c>
      <c r="Q503" s="78" t="str">
        <f>IFERROR(__xludf.DUMMYFUNCTION("""COMPUTED_VALUE"""),"")</f>
        <v/>
      </c>
      <c r="R503" s="78" t="str">
        <f>IFERROR(__xludf.DUMMYFUNCTION("""COMPUTED_VALUE"""),"")</f>
        <v/>
      </c>
      <c r="S503" s="80" t="str">
        <f>IFERROR(__xludf.DUMMYFUNCTION("""COMPUTED_VALUE"""),"")</f>
        <v/>
      </c>
      <c r="T503" s="80" t="str">
        <f>IFERROR(__xludf.DUMMYFUNCTION("""COMPUTED_VALUE"""),"")</f>
        <v/>
      </c>
      <c r="U503" s="71" t="str">
        <f>IFERROR(__xludf.DUMMYFUNCTION("""COMPUTED_VALUE"""),"")</f>
        <v/>
      </c>
      <c r="V503" s="78" t="str">
        <f>IFERROR(__xludf.DUMMYFUNCTION("""COMPUTED_VALUE"""),"")</f>
        <v/>
      </c>
      <c r="W503" s="62" t="str">
        <f>IFERROR(__xludf.DUMMYFUNCTION("""COMPUTED_VALUE"""),"")</f>
        <v/>
      </c>
      <c r="X503" s="80" t="str">
        <f>IFERROR(__xludf.DUMMYFUNCTION("""COMPUTED_VALUE"""),"")</f>
        <v/>
      </c>
      <c r="Y503" s="109" t="str">
        <f>IFERROR(__xludf.DUMMYFUNCTION("""COMPUTED_VALUE"""),"")</f>
        <v/>
      </c>
      <c r="Z503" s="71"/>
      <c r="AA503" s="71"/>
      <c r="AB503" s="71"/>
    </row>
    <row r="504">
      <c r="A504" s="71"/>
      <c r="B504" s="71"/>
      <c r="C504" s="71" t="str">
        <f>IFERROR(__xludf.DUMMYFUNCTION("""COMPUTED_VALUE"""),"")</f>
        <v/>
      </c>
      <c r="D504" s="71"/>
      <c r="E504" s="78"/>
      <c r="F504" s="71"/>
      <c r="G504" s="78" t="str">
        <f>IFERROR(__xludf.DUMMYFUNCTION("""COMPUTED_VALUE"""),"")</f>
        <v/>
      </c>
      <c r="H504" s="71"/>
      <c r="I504" s="80" t="str">
        <f>IFERROR(__xludf.DUMMYFUNCTION("""COMPUTED_VALUE"""),"")</f>
        <v/>
      </c>
      <c r="J504" s="71" t="str">
        <f>IFERROR(__xludf.DUMMYFUNCTION("""COMPUTED_VALUE"""),"")</f>
        <v/>
      </c>
      <c r="K504" s="71"/>
      <c r="L504" s="71" t="str">
        <f>IFERROR(__xludf.DUMMYFUNCTION("""COMPUTED_VALUE"""),"")</f>
        <v/>
      </c>
      <c r="M504" s="71"/>
      <c r="N504" s="109" t="str">
        <f>IFERROR(__xludf.DUMMYFUNCTION("""COMPUTED_VALUE"""),"")</f>
        <v/>
      </c>
      <c r="O504" s="71" t="str">
        <f>IFERROR(__xludf.DUMMYFUNCTION("""COMPUTED_VALUE"""),"")</f>
        <v/>
      </c>
      <c r="P504" s="71" t="str">
        <f>IFERROR(__xludf.DUMMYFUNCTION("""COMPUTED_VALUE"""),"")</f>
        <v/>
      </c>
      <c r="Q504" s="78" t="str">
        <f>IFERROR(__xludf.DUMMYFUNCTION("""COMPUTED_VALUE"""),"")</f>
        <v/>
      </c>
      <c r="R504" s="78" t="str">
        <f>IFERROR(__xludf.DUMMYFUNCTION("""COMPUTED_VALUE"""),"")</f>
        <v/>
      </c>
      <c r="S504" s="80" t="str">
        <f>IFERROR(__xludf.DUMMYFUNCTION("""COMPUTED_VALUE"""),"")</f>
        <v/>
      </c>
      <c r="T504" s="80" t="str">
        <f>IFERROR(__xludf.DUMMYFUNCTION("""COMPUTED_VALUE"""),"")</f>
        <v/>
      </c>
      <c r="U504" s="71" t="str">
        <f>IFERROR(__xludf.DUMMYFUNCTION("""COMPUTED_VALUE"""),"")</f>
        <v/>
      </c>
      <c r="V504" s="78" t="str">
        <f>IFERROR(__xludf.DUMMYFUNCTION("""COMPUTED_VALUE"""),"")</f>
        <v/>
      </c>
      <c r="W504" s="62" t="str">
        <f>IFERROR(__xludf.DUMMYFUNCTION("""COMPUTED_VALUE"""),"")</f>
        <v/>
      </c>
      <c r="X504" s="80" t="str">
        <f>IFERROR(__xludf.DUMMYFUNCTION("""COMPUTED_VALUE"""),"")</f>
        <v/>
      </c>
      <c r="Y504" s="109" t="str">
        <f>IFERROR(__xludf.DUMMYFUNCTION("""COMPUTED_VALUE"""),"")</f>
        <v/>
      </c>
      <c r="Z504" s="71"/>
      <c r="AA504" s="71"/>
      <c r="AB504" s="71"/>
    </row>
    <row r="505">
      <c r="A505" s="71"/>
      <c r="B505" s="71"/>
      <c r="C505" s="71" t="str">
        <f>IFERROR(__xludf.DUMMYFUNCTION("""COMPUTED_VALUE"""),"")</f>
        <v/>
      </c>
      <c r="D505" s="71"/>
      <c r="E505" s="78"/>
      <c r="F505" s="71"/>
      <c r="G505" s="78" t="str">
        <f>IFERROR(__xludf.DUMMYFUNCTION("""COMPUTED_VALUE"""),"")</f>
        <v/>
      </c>
      <c r="H505" s="71"/>
      <c r="I505" s="80" t="str">
        <f>IFERROR(__xludf.DUMMYFUNCTION("""COMPUTED_VALUE"""),"")</f>
        <v/>
      </c>
      <c r="J505" s="71" t="str">
        <f>IFERROR(__xludf.DUMMYFUNCTION("""COMPUTED_VALUE"""),"")</f>
        <v/>
      </c>
      <c r="K505" s="71"/>
      <c r="L505" s="71" t="str">
        <f>IFERROR(__xludf.DUMMYFUNCTION("""COMPUTED_VALUE"""),"")</f>
        <v/>
      </c>
      <c r="M505" s="71"/>
      <c r="N505" s="109" t="str">
        <f>IFERROR(__xludf.DUMMYFUNCTION("""COMPUTED_VALUE"""),"")</f>
        <v/>
      </c>
      <c r="O505" s="71" t="str">
        <f>IFERROR(__xludf.DUMMYFUNCTION("""COMPUTED_VALUE"""),"")</f>
        <v/>
      </c>
      <c r="P505" s="71" t="str">
        <f>IFERROR(__xludf.DUMMYFUNCTION("""COMPUTED_VALUE"""),"")</f>
        <v/>
      </c>
      <c r="Q505" s="78" t="str">
        <f>IFERROR(__xludf.DUMMYFUNCTION("""COMPUTED_VALUE"""),"")</f>
        <v/>
      </c>
      <c r="R505" s="78" t="str">
        <f>IFERROR(__xludf.DUMMYFUNCTION("""COMPUTED_VALUE"""),"")</f>
        <v/>
      </c>
      <c r="S505" s="80" t="str">
        <f>IFERROR(__xludf.DUMMYFUNCTION("""COMPUTED_VALUE"""),"")</f>
        <v/>
      </c>
      <c r="T505" s="80" t="str">
        <f>IFERROR(__xludf.DUMMYFUNCTION("""COMPUTED_VALUE"""),"")</f>
        <v/>
      </c>
      <c r="U505" s="71" t="str">
        <f>IFERROR(__xludf.DUMMYFUNCTION("""COMPUTED_VALUE"""),"")</f>
        <v/>
      </c>
      <c r="V505" s="78" t="str">
        <f>IFERROR(__xludf.DUMMYFUNCTION("""COMPUTED_VALUE"""),"")</f>
        <v/>
      </c>
      <c r="W505" s="62" t="str">
        <f>IFERROR(__xludf.DUMMYFUNCTION("""COMPUTED_VALUE"""),"")</f>
        <v/>
      </c>
      <c r="X505" s="80" t="str">
        <f>IFERROR(__xludf.DUMMYFUNCTION("""COMPUTED_VALUE"""),"")</f>
        <v/>
      </c>
      <c r="Y505" s="109" t="str">
        <f>IFERROR(__xludf.DUMMYFUNCTION("""COMPUTED_VALUE"""),"")</f>
        <v/>
      </c>
      <c r="Z505" s="71"/>
      <c r="AA505" s="71"/>
      <c r="AB505" s="71"/>
    </row>
    <row r="506">
      <c r="A506" s="71"/>
      <c r="B506" s="71"/>
      <c r="C506" s="71" t="str">
        <f>IFERROR(__xludf.DUMMYFUNCTION("""COMPUTED_VALUE"""),"")</f>
        <v/>
      </c>
      <c r="D506" s="71"/>
      <c r="E506" s="78"/>
      <c r="F506" s="71"/>
      <c r="G506" s="78" t="str">
        <f>IFERROR(__xludf.DUMMYFUNCTION("""COMPUTED_VALUE"""),"")</f>
        <v/>
      </c>
      <c r="H506" s="71"/>
      <c r="I506" s="80" t="str">
        <f>IFERROR(__xludf.DUMMYFUNCTION("""COMPUTED_VALUE"""),"")</f>
        <v/>
      </c>
      <c r="J506" s="71" t="str">
        <f>IFERROR(__xludf.DUMMYFUNCTION("""COMPUTED_VALUE"""),"")</f>
        <v/>
      </c>
      <c r="K506" s="71"/>
      <c r="L506" s="71" t="str">
        <f>IFERROR(__xludf.DUMMYFUNCTION("""COMPUTED_VALUE"""),"")</f>
        <v/>
      </c>
      <c r="M506" s="71"/>
      <c r="N506" s="109" t="str">
        <f>IFERROR(__xludf.DUMMYFUNCTION("""COMPUTED_VALUE"""),"")</f>
        <v/>
      </c>
      <c r="O506" s="71" t="str">
        <f>IFERROR(__xludf.DUMMYFUNCTION("""COMPUTED_VALUE"""),"")</f>
        <v/>
      </c>
      <c r="P506" s="71" t="str">
        <f>IFERROR(__xludf.DUMMYFUNCTION("""COMPUTED_VALUE"""),"")</f>
        <v/>
      </c>
      <c r="Q506" s="78" t="str">
        <f>IFERROR(__xludf.DUMMYFUNCTION("""COMPUTED_VALUE"""),"")</f>
        <v/>
      </c>
      <c r="R506" s="78" t="str">
        <f>IFERROR(__xludf.DUMMYFUNCTION("""COMPUTED_VALUE"""),"")</f>
        <v/>
      </c>
      <c r="S506" s="80" t="str">
        <f>IFERROR(__xludf.DUMMYFUNCTION("""COMPUTED_VALUE"""),"")</f>
        <v/>
      </c>
      <c r="T506" s="80" t="str">
        <f>IFERROR(__xludf.DUMMYFUNCTION("""COMPUTED_VALUE"""),"")</f>
        <v/>
      </c>
      <c r="U506" s="71" t="str">
        <f>IFERROR(__xludf.DUMMYFUNCTION("""COMPUTED_VALUE"""),"")</f>
        <v/>
      </c>
      <c r="V506" s="78" t="str">
        <f>IFERROR(__xludf.DUMMYFUNCTION("""COMPUTED_VALUE"""),"")</f>
        <v/>
      </c>
      <c r="W506" s="62" t="str">
        <f>IFERROR(__xludf.DUMMYFUNCTION("""COMPUTED_VALUE"""),"")</f>
        <v/>
      </c>
      <c r="X506" s="80" t="str">
        <f>IFERROR(__xludf.DUMMYFUNCTION("""COMPUTED_VALUE"""),"")</f>
        <v/>
      </c>
      <c r="Y506" s="109" t="str">
        <f>IFERROR(__xludf.DUMMYFUNCTION("""COMPUTED_VALUE"""),"")</f>
        <v/>
      </c>
      <c r="Z506" s="71"/>
      <c r="AA506" s="71"/>
      <c r="AB506" s="71"/>
    </row>
    <row r="507">
      <c r="A507" s="71"/>
      <c r="B507" s="71"/>
      <c r="C507" s="71" t="str">
        <f>IFERROR(__xludf.DUMMYFUNCTION("""COMPUTED_VALUE"""),"")</f>
        <v/>
      </c>
      <c r="D507" s="71"/>
      <c r="E507" s="78"/>
      <c r="F507" s="71"/>
      <c r="G507" s="78" t="str">
        <f>IFERROR(__xludf.DUMMYFUNCTION("""COMPUTED_VALUE"""),"")</f>
        <v/>
      </c>
      <c r="H507" s="71"/>
      <c r="I507" s="80" t="str">
        <f>IFERROR(__xludf.DUMMYFUNCTION("""COMPUTED_VALUE"""),"")</f>
        <v/>
      </c>
      <c r="J507" s="71" t="str">
        <f>IFERROR(__xludf.DUMMYFUNCTION("""COMPUTED_VALUE"""),"")</f>
        <v/>
      </c>
      <c r="K507" s="71"/>
      <c r="L507" s="71" t="str">
        <f>IFERROR(__xludf.DUMMYFUNCTION("""COMPUTED_VALUE"""),"")</f>
        <v/>
      </c>
      <c r="M507" s="71"/>
      <c r="N507" s="109" t="str">
        <f>IFERROR(__xludf.DUMMYFUNCTION("""COMPUTED_VALUE"""),"")</f>
        <v/>
      </c>
      <c r="O507" s="71" t="str">
        <f>IFERROR(__xludf.DUMMYFUNCTION("""COMPUTED_VALUE"""),"")</f>
        <v/>
      </c>
      <c r="P507" s="71" t="str">
        <f>IFERROR(__xludf.DUMMYFUNCTION("""COMPUTED_VALUE"""),"")</f>
        <v/>
      </c>
      <c r="Q507" s="78" t="str">
        <f>IFERROR(__xludf.DUMMYFUNCTION("""COMPUTED_VALUE"""),"")</f>
        <v/>
      </c>
      <c r="R507" s="78" t="str">
        <f>IFERROR(__xludf.DUMMYFUNCTION("""COMPUTED_VALUE"""),"")</f>
        <v/>
      </c>
      <c r="S507" s="80" t="str">
        <f>IFERROR(__xludf.DUMMYFUNCTION("""COMPUTED_VALUE"""),"")</f>
        <v/>
      </c>
      <c r="T507" s="80" t="str">
        <f>IFERROR(__xludf.DUMMYFUNCTION("""COMPUTED_VALUE"""),"")</f>
        <v/>
      </c>
      <c r="U507" s="71" t="str">
        <f>IFERROR(__xludf.DUMMYFUNCTION("""COMPUTED_VALUE"""),"")</f>
        <v/>
      </c>
      <c r="V507" s="78" t="str">
        <f>IFERROR(__xludf.DUMMYFUNCTION("""COMPUTED_VALUE"""),"")</f>
        <v/>
      </c>
      <c r="W507" s="62" t="str">
        <f>IFERROR(__xludf.DUMMYFUNCTION("""COMPUTED_VALUE"""),"")</f>
        <v/>
      </c>
      <c r="X507" s="80" t="str">
        <f>IFERROR(__xludf.DUMMYFUNCTION("""COMPUTED_VALUE"""),"")</f>
        <v/>
      </c>
      <c r="Y507" s="109" t="str">
        <f>IFERROR(__xludf.DUMMYFUNCTION("""COMPUTED_VALUE"""),"")</f>
        <v/>
      </c>
      <c r="Z507" s="71"/>
      <c r="AA507" s="71"/>
      <c r="AB507" s="71"/>
    </row>
    <row r="508">
      <c r="A508" s="71"/>
      <c r="B508" s="71"/>
      <c r="C508" s="71" t="str">
        <f>IFERROR(__xludf.DUMMYFUNCTION("""COMPUTED_VALUE"""),"")</f>
        <v/>
      </c>
      <c r="D508" s="71"/>
      <c r="E508" s="78"/>
      <c r="F508" s="71"/>
      <c r="G508" s="78" t="str">
        <f>IFERROR(__xludf.DUMMYFUNCTION("""COMPUTED_VALUE"""),"")</f>
        <v/>
      </c>
      <c r="H508" s="71"/>
      <c r="I508" s="80" t="str">
        <f>IFERROR(__xludf.DUMMYFUNCTION("""COMPUTED_VALUE"""),"")</f>
        <v/>
      </c>
      <c r="J508" s="71" t="str">
        <f>IFERROR(__xludf.DUMMYFUNCTION("""COMPUTED_VALUE"""),"")</f>
        <v/>
      </c>
      <c r="K508" s="71"/>
      <c r="L508" s="71" t="str">
        <f>IFERROR(__xludf.DUMMYFUNCTION("""COMPUTED_VALUE"""),"")</f>
        <v/>
      </c>
      <c r="M508" s="71"/>
      <c r="N508" s="109" t="str">
        <f>IFERROR(__xludf.DUMMYFUNCTION("""COMPUTED_VALUE"""),"")</f>
        <v/>
      </c>
      <c r="O508" s="71" t="str">
        <f>IFERROR(__xludf.DUMMYFUNCTION("""COMPUTED_VALUE"""),"")</f>
        <v/>
      </c>
      <c r="P508" s="71" t="str">
        <f>IFERROR(__xludf.DUMMYFUNCTION("""COMPUTED_VALUE"""),"")</f>
        <v/>
      </c>
      <c r="Q508" s="78" t="str">
        <f>IFERROR(__xludf.DUMMYFUNCTION("""COMPUTED_VALUE"""),"")</f>
        <v/>
      </c>
      <c r="R508" s="78" t="str">
        <f>IFERROR(__xludf.DUMMYFUNCTION("""COMPUTED_VALUE"""),"")</f>
        <v/>
      </c>
      <c r="S508" s="80" t="str">
        <f>IFERROR(__xludf.DUMMYFUNCTION("""COMPUTED_VALUE"""),"")</f>
        <v/>
      </c>
      <c r="T508" s="80" t="str">
        <f>IFERROR(__xludf.DUMMYFUNCTION("""COMPUTED_VALUE"""),"")</f>
        <v/>
      </c>
      <c r="U508" s="71" t="str">
        <f>IFERROR(__xludf.DUMMYFUNCTION("""COMPUTED_VALUE"""),"")</f>
        <v/>
      </c>
      <c r="V508" s="78" t="str">
        <f>IFERROR(__xludf.DUMMYFUNCTION("""COMPUTED_VALUE"""),"")</f>
        <v/>
      </c>
      <c r="W508" s="62" t="str">
        <f>IFERROR(__xludf.DUMMYFUNCTION("""COMPUTED_VALUE"""),"")</f>
        <v/>
      </c>
      <c r="X508" s="80" t="str">
        <f>IFERROR(__xludf.DUMMYFUNCTION("""COMPUTED_VALUE"""),"")</f>
        <v/>
      </c>
      <c r="Y508" s="109" t="str">
        <f>IFERROR(__xludf.DUMMYFUNCTION("""COMPUTED_VALUE"""),"")</f>
        <v/>
      </c>
      <c r="Z508" s="71"/>
      <c r="AA508" s="71"/>
      <c r="AB508" s="71"/>
    </row>
    <row r="509">
      <c r="A509" s="71"/>
      <c r="B509" s="71"/>
      <c r="C509" s="71" t="str">
        <f>IFERROR(__xludf.DUMMYFUNCTION("""COMPUTED_VALUE"""),"")</f>
        <v/>
      </c>
      <c r="D509" s="71"/>
      <c r="E509" s="78"/>
      <c r="F509" s="71"/>
      <c r="G509" s="78" t="str">
        <f>IFERROR(__xludf.DUMMYFUNCTION("""COMPUTED_VALUE"""),"")</f>
        <v/>
      </c>
      <c r="H509" s="71"/>
      <c r="I509" s="80" t="str">
        <f>IFERROR(__xludf.DUMMYFUNCTION("""COMPUTED_VALUE"""),"")</f>
        <v/>
      </c>
      <c r="J509" s="71" t="str">
        <f>IFERROR(__xludf.DUMMYFUNCTION("""COMPUTED_VALUE"""),"")</f>
        <v/>
      </c>
      <c r="K509" s="71"/>
      <c r="L509" s="71" t="str">
        <f>IFERROR(__xludf.DUMMYFUNCTION("""COMPUTED_VALUE"""),"")</f>
        <v/>
      </c>
      <c r="M509" s="71"/>
      <c r="N509" s="109" t="str">
        <f>IFERROR(__xludf.DUMMYFUNCTION("""COMPUTED_VALUE"""),"")</f>
        <v/>
      </c>
      <c r="O509" s="71" t="str">
        <f>IFERROR(__xludf.DUMMYFUNCTION("""COMPUTED_VALUE"""),"")</f>
        <v/>
      </c>
      <c r="P509" s="71" t="str">
        <f>IFERROR(__xludf.DUMMYFUNCTION("""COMPUTED_VALUE"""),"")</f>
        <v/>
      </c>
      <c r="Q509" s="78" t="str">
        <f>IFERROR(__xludf.DUMMYFUNCTION("""COMPUTED_VALUE"""),"")</f>
        <v/>
      </c>
      <c r="R509" s="78" t="str">
        <f>IFERROR(__xludf.DUMMYFUNCTION("""COMPUTED_VALUE"""),"")</f>
        <v/>
      </c>
      <c r="S509" s="80" t="str">
        <f>IFERROR(__xludf.DUMMYFUNCTION("""COMPUTED_VALUE"""),"")</f>
        <v/>
      </c>
      <c r="T509" s="80" t="str">
        <f>IFERROR(__xludf.DUMMYFUNCTION("""COMPUTED_VALUE"""),"")</f>
        <v/>
      </c>
      <c r="U509" s="71" t="str">
        <f>IFERROR(__xludf.DUMMYFUNCTION("""COMPUTED_VALUE"""),"")</f>
        <v/>
      </c>
      <c r="V509" s="78" t="str">
        <f>IFERROR(__xludf.DUMMYFUNCTION("""COMPUTED_VALUE"""),"")</f>
        <v/>
      </c>
      <c r="W509" s="62" t="str">
        <f>IFERROR(__xludf.DUMMYFUNCTION("""COMPUTED_VALUE"""),"")</f>
        <v/>
      </c>
      <c r="X509" s="80" t="str">
        <f>IFERROR(__xludf.DUMMYFUNCTION("""COMPUTED_VALUE"""),"")</f>
        <v/>
      </c>
      <c r="Y509" s="109" t="str">
        <f>IFERROR(__xludf.DUMMYFUNCTION("""COMPUTED_VALUE"""),"")</f>
        <v/>
      </c>
      <c r="Z509" s="71"/>
      <c r="AA509" s="71"/>
      <c r="AB509" s="71"/>
    </row>
    <row r="510">
      <c r="A510" s="71"/>
      <c r="B510" s="71"/>
      <c r="C510" s="71" t="str">
        <f>IFERROR(__xludf.DUMMYFUNCTION("""COMPUTED_VALUE"""),"")</f>
        <v/>
      </c>
      <c r="D510" s="71"/>
      <c r="E510" s="78"/>
      <c r="F510" s="71"/>
      <c r="G510" s="78" t="str">
        <f>IFERROR(__xludf.DUMMYFUNCTION("""COMPUTED_VALUE"""),"")</f>
        <v/>
      </c>
      <c r="H510" s="71"/>
      <c r="I510" s="80" t="str">
        <f>IFERROR(__xludf.DUMMYFUNCTION("""COMPUTED_VALUE"""),"")</f>
        <v/>
      </c>
      <c r="J510" s="71" t="str">
        <f>IFERROR(__xludf.DUMMYFUNCTION("""COMPUTED_VALUE"""),"")</f>
        <v/>
      </c>
      <c r="K510" s="71"/>
      <c r="L510" s="71" t="str">
        <f>IFERROR(__xludf.DUMMYFUNCTION("""COMPUTED_VALUE"""),"")</f>
        <v/>
      </c>
      <c r="M510" s="71"/>
      <c r="N510" s="109" t="str">
        <f>IFERROR(__xludf.DUMMYFUNCTION("""COMPUTED_VALUE"""),"")</f>
        <v/>
      </c>
      <c r="O510" s="71" t="str">
        <f>IFERROR(__xludf.DUMMYFUNCTION("""COMPUTED_VALUE"""),"")</f>
        <v/>
      </c>
      <c r="P510" s="71" t="str">
        <f>IFERROR(__xludf.DUMMYFUNCTION("""COMPUTED_VALUE"""),"")</f>
        <v/>
      </c>
      <c r="Q510" s="78" t="str">
        <f>IFERROR(__xludf.DUMMYFUNCTION("""COMPUTED_VALUE"""),"")</f>
        <v/>
      </c>
      <c r="R510" s="78" t="str">
        <f>IFERROR(__xludf.DUMMYFUNCTION("""COMPUTED_VALUE"""),"")</f>
        <v/>
      </c>
      <c r="S510" s="80" t="str">
        <f>IFERROR(__xludf.DUMMYFUNCTION("""COMPUTED_VALUE"""),"")</f>
        <v/>
      </c>
      <c r="T510" s="80" t="str">
        <f>IFERROR(__xludf.DUMMYFUNCTION("""COMPUTED_VALUE"""),"")</f>
        <v/>
      </c>
      <c r="U510" s="71" t="str">
        <f>IFERROR(__xludf.DUMMYFUNCTION("""COMPUTED_VALUE"""),"")</f>
        <v/>
      </c>
      <c r="V510" s="78" t="str">
        <f>IFERROR(__xludf.DUMMYFUNCTION("""COMPUTED_VALUE"""),"")</f>
        <v/>
      </c>
      <c r="W510" s="62" t="str">
        <f>IFERROR(__xludf.DUMMYFUNCTION("""COMPUTED_VALUE"""),"")</f>
        <v/>
      </c>
      <c r="X510" s="80" t="str">
        <f>IFERROR(__xludf.DUMMYFUNCTION("""COMPUTED_VALUE"""),"")</f>
        <v/>
      </c>
      <c r="Y510" s="109" t="str">
        <f>IFERROR(__xludf.DUMMYFUNCTION("""COMPUTED_VALUE"""),"")</f>
        <v/>
      </c>
      <c r="Z510" s="71"/>
      <c r="AA510" s="71"/>
      <c r="AB510" s="71"/>
    </row>
    <row r="511">
      <c r="A511" s="71"/>
      <c r="B511" s="71"/>
      <c r="C511" s="71" t="str">
        <f>IFERROR(__xludf.DUMMYFUNCTION("""COMPUTED_VALUE"""),"")</f>
        <v/>
      </c>
      <c r="D511" s="71"/>
      <c r="E511" s="78"/>
      <c r="F511" s="71"/>
      <c r="G511" s="78" t="str">
        <f>IFERROR(__xludf.DUMMYFUNCTION("""COMPUTED_VALUE"""),"")</f>
        <v/>
      </c>
      <c r="H511" s="71"/>
      <c r="I511" s="80" t="str">
        <f>IFERROR(__xludf.DUMMYFUNCTION("""COMPUTED_VALUE"""),"")</f>
        <v/>
      </c>
      <c r="J511" s="71" t="str">
        <f>IFERROR(__xludf.DUMMYFUNCTION("""COMPUTED_VALUE"""),"")</f>
        <v/>
      </c>
      <c r="K511" s="71"/>
      <c r="L511" s="71" t="str">
        <f>IFERROR(__xludf.DUMMYFUNCTION("""COMPUTED_VALUE"""),"")</f>
        <v/>
      </c>
      <c r="M511" s="71"/>
      <c r="N511" s="109" t="str">
        <f>IFERROR(__xludf.DUMMYFUNCTION("""COMPUTED_VALUE"""),"")</f>
        <v/>
      </c>
      <c r="O511" s="71" t="str">
        <f>IFERROR(__xludf.DUMMYFUNCTION("""COMPUTED_VALUE"""),"")</f>
        <v/>
      </c>
      <c r="P511" s="71" t="str">
        <f>IFERROR(__xludf.DUMMYFUNCTION("""COMPUTED_VALUE"""),"")</f>
        <v/>
      </c>
      <c r="Q511" s="78" t="str">
        <f>IFERROR(__xludf.DUMMYFUNCTION("""COMPUTED_VALUE"""),"")</f>
        <v/>
      </c>
      <c r="R511" s="78" t="str">
        <f>IFERROR(__xludf.DUMMYFUNCTION("""COMPUTED_VALUE"""),"")</f>
        <v/>
      </c>
      <c r="S511" s="80" t="str">
        <f>IFERROR(__xludf.DUMMYFUNCTION("""COMPUTED_VALUE"""),"")</f>
        <v/>
      </c>
      <c r="T511" s="80" t="str">
        <f>IFERROR(__xludf.DUMMYFUNCTION("""COMPUTED_VALUE"""),"")</f>
        <v/>
      </c>
      <c r="U511" s="71" t="str">
        <f>IFERROR(__xludf.DUMMYFUNCTION("""COMPUTED_VALUE"""),"")</f>
        <v/>
      </c>
      <c r="V511" s="78" t="str">
        <f>IFERROR(__xludf.DUMMYFUNCTION("""COMPUTED_VALUE"""),"")</f>
        <v/>
      </c>
      <c r="W511" s="62" t="str">
        <f>IFERROR(__xludf.DUMMYFUNCTION("""COMPUTED_VALUE"""),"")</f>
        <v/>
      </c>
      <c r="X511" s="80" t="str">
        <f>IFERROR(__xludf.DUMMYFUNCTION("""COMPUTED_VALUE"""),"")</f>
        <v/>
      </c>
      <c r="Y511" s="109" t="str">
        <f>IFERROR(__xludf.DUMMYFUNCTION("""COMPUTED_VALUE"""),"")</f>
        <v/>
      </c>
      <c r="Z511" s="71"/>
      <c r="AA511" s="71"/>
      <c r="AB511" s="71"/>
    </row>
    <row r="512">
      <c r="A512" s="71"/>
      <c r="B512" s="71"/>
      <c r="C512" s="71" t="str">
        <f>IFERROR(__xludf.DUMMYFUNCTION("""COMPUTED_VALUE"""),"")</f>
        <v/>
      </c>
      <c r="D512" s="71"/>
      <c r="E512" s="78"/>
      <c r="F512" s="71"/>
      <c r="G512" s="78" t="str">
        <f>IFERROR(__xludf.DUMMYFUNCTION("""COMPUTED_VALUE"""),"")</f>
        <v/>
      </c>
      <c r="H512" s="71"/>
      <c r="I512" s="80" t="str">
        <f>IFERROR(__xludf.DUMMYFUNCTION("""COMPUTED_VALUE"""),"")</f>
        <v/>
      </c>
      <c r="J512" s="71" t="str">
        <f>IFERROR(__xludf.DUMMYFUNCTION("""COMPUTED_VALUE"""),"")</f>
        <v/>
      </c>
      <c r="K512" s="71"/>
      <c r="L512" s="71" t="str">
        <f>IFERROR(__xludf.DUMMYFUNCTION("""COMPUTED_VALUE"""),"")</f>
        <v/>
      </c>
      <c r="M512" s="71"/>
      <c r="N512" s="109" t="str">
        <f>IFERROR(__xludf.DUMMYFUNCTION("""COMPUTED_VALUE"""),"")</f>
        <v/>
      </c>
      <c r="O512" s="71" t="str">
        <f>IFERROR(__xludf.DUMMYFUNCTION("""COMPUTED_VALUE"""),"")</f>
        <v/>
      </c>
      <c r="P512" s="71" t="str">
        <f>IFERROR(__xludf.DUMMYFUNCTION("""COMPUTED_VALUE"""),"")</f>
        <v/>
      </c>
      <c r="Q512" s="78" t="str">
        <f>IFERROR(__xludf.DUMMYFUNCTION("""COMPUTED_VALUE"""),"")</f>
        <v/>
      </c>
      <c r="R512" s="78" t="str">
        <f>IFERROR(__xludf.DUMMYFUNCTION("""COMPUTED_VALUE"""),"")</f>
        <v/>
      </c>
      <c r="S512" s="80" t="str">
        <f>IFERROR(__xludf.DUMMYFUNCTION("""COMPUTED_VALUE"""),"")</f>
        <v/>
      </c>
      <c r="T512" s="80" t="str">
        <f>IFERROR(__xludf.DUMMYFUNCTION("""COMPUTED_VALUE"""),"")</f>
        <v/>
      </c>
      <c r="U512" s="71" t="str">
        <f>IFERROR(__xludf.DUMMYFUNCTION("""COMPUTED_VALUE"""),"")</f>
        <v/>
      </c>
      <c r="V512" s="78" t="str">
        <f>IFERROR(__xludf.DUMMYFUNCTION("""COMPUTED_VALUE"""),"")</f>
        <v/>
      </c>
      <c r="W512" s="62" t="str">
        <f>IFERROR(__xludf.DUMMYFUNCTION("""COMPUTED_VALUE"""),"")</f>
        <v/>
      </c>
      <c r="X512" s="80" t="str">
        <f>IFERROR(__xludf.DUMMYFUNCTION("""COMPUTED_VALUE"""),"")</f>
        <v/>
      </c>
      <c r="Y512" s="109" t="str">
        <f>IFERROR(__xludf.DUMMYFUNCTION("""COMPUTED_VALUE"""),"")</f>
        <v/>
      </c>
      <c r="Z512" s="71"/>
      <c r="AA512" s="71"/>
      <c r="AB512" s="71"/>
    </row>
    <row r="513">
      <c r="A513" s="71"/>
      <c r="B513" s="71"/>
      <c r="C513" s="71" t="str">
        <f>IFERROR(__xludf.DUMMYFUNCTION("""COMPUTED_VALUE"""),"")</f>
        <v/>
      </c>
      <c r="D513" s="71"/>
      <c r="E513" s="78"/>
      <c r="F513" s="71"/>
      <c r="G513" s="78" t="str">
        <f>IFERROR(__xludf.DUMMYFUNCTION("""COMPUTED_VALUE"""),"")</f>
        <v/>
      </c>
      <c r="H513" s="71"/>
      <c r="I513" s="80" t="str">
        <f>IFERROR(__xludf.DUMMYFUNCTION("""COMPUTED_VALUE"""),"")</f>
        <v/>
      </c>
      <c r="J513" s="71" t="str">
        <f>IFERROR(__xludf.DUMMYFUNCTION("""COMPUTED_VALUE"""),"")</f>
        <v/>
      </c>
      <c r="K513" s="71"/>
      <c r="L513" s="71" t="str">
        <f>IFERROR(__xludf.DUMMYFUNCTION("""COMPUTED_VALUE"""),"")</f>
        <v/>
      </c>
      <c r="M513" s="71"/>
      <c r="N513" s="109" t="str">
        <f>IFERROR(__xludf.DUMMYFUNCTION("""COMPUTED_VALUE"""),"")</f>
        <v/>
      </c>
      <c r="O513" s="71" t="str">
        <f>IFERROR(__xludf.DUMMYFUNCTION("""COMPUTED_VALUE"""),"")</f>
        <v/>
      </c>
      <c r="P513" s="71" t="str">
        <f>IFERROR(__xludf.DUMMYFUNCTION("""COMPUTED_VALUE"""),"")</f>
        <v/>
      </c>
      <c r="Q513" s="78" t="str">
        <f>IFERROR(__xludf.DUMMYFUNCTION("""COMPUTED_VALUE"""),"")</f>
        <v/>
      </c>
      <c r="R513" s="78" t="str">
        <f>IFERROR(__xludf.DUMMYFUNCTION("""COMPUTED_VALUE"""),"")</f>
        <v/>
      </c>
      <c r="S513" s="80" t="str">
        <f>IFERROR(__xludf.DUMMYFUNCTION("""COMPUTED_VALUE"""),"")</f>
        <v/>
      </c>
      <c r="T513" s="80" t="str">
        <f>IFERROR(__xludf.DUMMYFUNCTION("""COMPUTED_VALUE"""),"")</f>
        <v/>
      </c>
      <c r="U513" s="71" t="str">
        <f>IFERROR(__xludf.DUMMYFUNCTION("""COMPUTED_VALUE"""),"")</f>
        <v/>
      </c>
      <c r="V513" s="78" t="str">
        <f>IFERROR(__xludf.DUMMYFUNCTION("""COMPUTED_VALUE"""),"")</f>
        <v/>
      </c>
      <c r="W513" s="62" t="str">
        <f>IFERROR(__xludf.DUMMYFUNCTION("""COMPUTED_VALUE"""),"")</f>
        <v/>
      </c>
      <c r="X513" s="80" t="str">
        <f>IFERROR(__xludf.DUMMYFUNCTION("""COMPUTED_VALUE"""),"")</f>
        <v/>
      </c>
      <c r="Y513" s="109" t="str">
        <f>IFERROR(__xludf.DUMMYFUNCTION("""COMPUTED_VALUE"""),"")</f>
        <v/>
      </c>
      <c r="Z513" s="71"/>
      <c r="AA513" s="71"/>
      <c r="AB513" s="71"/>
    </row>
    <row r="514">
      <c r="A514" s="71"/>
      <c r="B514" s="71"/>
      <c r="C514" s="71" t="str">
        <f>IFERROR(__xludf.DUMMYFUNCTION("""COMPUTED_VALUE"""),"")</f>
        <v/>
      </c>
      <c r="D514" s="71"/>
      <c r="E514" s="78"/>
      <c r="F514" s="71"/>
      <c r="G514" s="78" t="str">
        <f>IFERROR(__xludf.DUMMYFUNCTION("""COMPUTED_VALUE"""),"")</f>
        <v/>
      </c>
      <c r="H514" s="71"/>
      <c r="I514" s="80" t="str">
        <f>IFERROR(__xludf.DUMMYFUNCTION("""COMPUTED_VALUE"""),"")</f>
        <v/>
      </c>
      <c r="J514" s="71" t="str">
        <f>IFERROR(__xludf.DUMMYFUNCTION("""COMPUTED_VALUE"""),"")</f>
        <v/>
      </c>
      <c r="K514" s="71"/>
      <c r="L514" s="71" t="str">
        <f>IFERROR(__xludf.DUMMYFUNCTION("""COMPUTED_VALUE"""),"")</f>
        <v/>
      </c>
      <c r="M514" s="71"/>
      <c r="N514" s="109" t="str">
        <f>IFERROR(__xludf.DUMMYFUNCTION("""COMPUTED_VALUE"""),"")</f>
        <v/>
      </c>
      <c r="O514" s="71" t="str">
        <f>IFERROR(__xludf.DUMMYFUNCTION("""COMPUTED_VALUE"""),"")</f>
        <v/>
      </c>
      <c r="P514" s="71" t="str">
        <f>IFERROR(__xludf.DUMMYFUNCTION("""COMPUTED_VALUE"""),"")</f>
        <v/>
      </c>
      <c r="Q514" s="78" t="str">
        <f>IFERROR(__xludf.DUMMYFUNCTION("""COMPUTED_VALUE"""),"")</f>
        <v/>
      </c>
      <c r="R514" s="78" t="str">
        <f>IFERROR(__xludf.DUMMYFUNCTION("""COMPUTED_VALUE"""),"")</f>
        <v/>
      </c>
      <c r="S514" s="80" t="str">
        <f>IFERROR(__xludf.DUMMYFUNCTION("""COMPUTED_VALUE"""),"")</f>
        <v/>
      </c>
      <c r="T514" s="80" t="str">
        <f>IFERROR(__xludf.DUMMYFUNCTION("""COMPUTED_VALUE"""),"")</f>
        <v/>
      </c>
      <c r="U514" s="71" t="str">
        <f>IFERROR(__xludf.DUMMYFUNCTION("""COMPUTED_VALUE"""),"")</f>
        <v/>
      </c>
      <c r="V514" s="78" t="str">
        <f>IFERROR(__xludf.DUMMYFUNCTION("""COMPUTED_VALUE"""),"")</f>
        <v/>
      </c>
      <c r="W514" s="62" t="str">
        <f>IFERROR(__xludf.DUMMYFUNCTION("""COMPUTED_VALUE"""),"")</f>
        <v/>
      </c>
      <c r="X514" s="80" t="str">
        <f>IFERROR(__xludf.DUMMYFUNCTION("""COMPUTED_VALUE"""),"")</f>
        <v/>
      </c>
      <c r="Y514" s="109" t="str">
        <f>IFERROR(__xludf.DUMMYFUNCTION("""COMPUTED_VALUE"""),"")</f>
        <v/>
      </c>
      <c r="Z514" s="71"/>
      <c r="AA514" s="71"/>
      <c r="AB514" s="71"/>
    </row>
    <row r="515">
      <c r="A515" s="71"/>
      <c r="B515" s="71"/>
      <c r="C515" s="71" t="str">
        <f>IFERROR(__xludf.DUMMYFUNCTION("""COMPUTED_VALUE"""),"")</f>
        <v/>
      </c>
      <c r="D515" s="71"/>
      <c r="E515" s="78"/>
      <c r="F515" s="71"/>
      <c r="G515" s="78" t="str">
        <f>IFERROR(__xludf.DUMMYFUNCTION("""COMPUTED_VALUE"""),"")</f>
        <v/>
      </c>
      <c r="H515" s="71"/>
      <c r="I515" s="80" t="str">
        <f>IFERROR(__xludf.DUMMYFUNCTION("""COMPUTED_VALUE"""),"")</f>
        <v/>
      </c>
      <c r="J515" s="71" t="str">
        <f>IFERROR(__xludf.DUMMYFUNCTION("""COMPUTED_VALUE"""),"")</f>
        <v/>
      </c>
      <c r="K515" s="71"/>
      <c r="L515" s="71" t="str">
        <f>IFERROR(__xludf.DUMMYFUNCTION("""COMPUTED_VALUE"""),"")</f>
        <v/>
      </c>
      <c r="M515" s="71"/>
      <c r="N515" s="109" t="str">
        <f>IFERROR(__xludf.DUMMYFUNCTION("""COMPUTED_VALUE"""),"")</f>
        <v/>
      </c>
      <c r="O515" s="71" t="str">
        <f>IFERROR(__xludf.DUMMYFUNCTION("""COMPUTED_VALUE"""),"")</f>
        <v/>
      </c>
      <c r="P515" s="71" t="str">
        <f>IFERROR(__xludf.DUMMYFUNCTION("""COMPUTED_VALUE"""),"")</f>
        <v/>
      </c>
      <c r="Q515" s="78" t="str">
        <f>IFERROR(__xludf.DUMMYFUNCTION("""COMPUTED_VALUE"""),"")</f>
        <v/>
      </c>
      <c r="R515" s="78" t="str">
        <f>IFERROR(__xludf.DUMMYFUNCTION("""COMPUTED_VALUE"""),"")</f>
        <v/>
      </c>
      <c r="S515" s="80" t="str">
        <f>IFERROR(__xludf.DUMMYFUNCTION("""COMPUTED_VALUE"""),"")</f>
        <v/>
      </c>
      <c r="T515" s="80" t="str">
        <f>IFERROR(__xludf.DUMMYFUNCTION("""COMPUTED_VALUE"""),"")</f>
        <v/>
      </c>
      <c r="U515" s="71" t="str">
        <f>IFERROR(__xludf.DUMMYFUNCTION("""COMPUTED_VALUE"""),"")</f>
        <v/>
      </c>
      <c r="V515" s="78" t="str">
        <f>IFERROR(__xludf.DUMMYFUNCTION("""COMPUTED_VALUE"""),"")</f>
        <v/>
      </c>
      <c r="W515" s="62" t="str">
        <f>IFERROR(__xludf.DUMMYFUNCTION("""COMPUTED_VALUE"""),"")</f>
        <v/>
      </c>
      <c r="X515" s="80" t="str">
        <f>IFERROR(__xludf.DUMMYFUNCTION("""COMPUTED_VALUE"""),"")</f>
        <v/>
      </c>
      <c r="Y515" s="109" t="str">
        <f>IFERROR(__xludf.DUMMYFUNCTION("""COMPUTED_VALUE"""),"")</f>
        <v/>
      </c>
      <c r="Z515" s="71"/>
      <c r="AA515" s="71"/>
      <c r="AB515" s="71"/>
    </row>
    <row r="516">
      <c r="A516" s="71"/>
      <c r="B516" s="71"/>
      <c r="C516" s="71" t="str">
        <f>IFERROR(__xludf.DUMMYFUNCTION("""COMPUTED_VALUE"""),"")</f>
        <v/>
      </c>
      <c r="D516" s="71"/>
      <c r="E516" s="78"/>
      <c r="F516" s="71"/>
      <c r="G516" s="78" t="str">
        <f>IFERROR(__xludf.DUMMYFUNCTION("""COMPUTED_VALUE"""),"")</f>
        <v/>
      </c>
      <c r="H516" s="71"/>
      <c r="I516" s="80" t="str">
        <f>IFERROR(__xludf.DUMMYFUNCTION("""COMPUTED_VALUE"""),"")</f>
        <v/>
      </c>
      <c r="J516" s="71" t="str">
        <f>IFERROR(__xludf.DUMMYFUNCTION("""COMPUTED_VALUE"""),"")</f>
        <v/>
      </c>
      <c r="K516" s="71"/>
      <c r="L516" s="71" t="str">
        <f>IFERROR(__xludf.DUMMYFUNCTION("""COMPUTED_VALUE"""),"")</f>
        <v/>
      </c>
      <c r="M516" s="71"/>
      <c r="N516" s="109" t="str">
        <f>IFERROR(__xludf.DUMMYFUNCTION("""COMPUTED_VALUE"""),"")</f>
        <v/>
      </c>
      <c r="O516" s="71" t="str">
        <f>IFERROR(__xludf.DUMMYFUNCTION("""COMPUTED_VALUE"""),"")</f>
        <v/>
      </c>
      <c r="P516" s="71" t="str">
        <f>IFERROR(__xludf.DUMMYFUNCTION("""COMPUTED_VALUE"""),"")</f>
        <v/>
      </c>
      <c r="Q516" s="78" t="str">
        <f>IFERROR(__xludf.DUMMYFUNCTION("""COMPUTED_VALUE"""),"")</f>
        <v/>
      </c>
      <c r="R516" s="78" t="str">
        <f>IFERROR(__xludf.DUMMYFUNCTION("""COMPUTED_VALUE"""),"")</f>
        <v/>
      </c>
      <c r="S516" s="80" t="str">
        <f>IFERROR(__xludf.DUMMYFUNCTION("""COMPUTED_VALUE"""),"")</f>
        <v/>
      </c>
      <c r="T516" s="80" t="str">
        <f>IFERROR(__xludf.DUMMYFUNCTION("""COMPUTED_VALUE"""),"")</f>
        <v/>
      </c>
      <c r="U516" s="71" t="str">
        <f>IFERROR(__xludf.DUMMYFUNCTION("""COMPUTED_VALUE"""),"")</f>
        <v/>
      </c>
      <c r="V516" s="78" t="str">
        <f>IFERROR(__xludf.DUMMYFUNCTION("""COMPUTED_VALUE"""),"")</f>
        <v/>
      </c>
      <c r="W516" s="62" t="str">
        <f>IFERROR(__xludf.DUMMYFUNCTION("""COMPUTED_VALUE"""),"")</f>
        <v/>
      </c>
      <c r="X516" s="80" t="str">
        <f>IFERROR(__xludf.DUMMYFUNCTION("""COMPUTED_VALUE"""),"")</f>
        <v/>
      </c>
      <c r="Y516" s="109" t="str">
        <f>IFERROR(__xludf.DUMMYFUNCTION("""COMPUTED_VALUE"""),"")</f>
        <v/>
      </c>
      <c r="Z516" s="71"/>
      <c r="AA516" s="71"/>
      <c r="AB516" s="71"/>
    </row>
    <row r="517">
      <c r="A517" s="71"/>
      <c r="B517" s="71"/>
      <c r="C517" s="71" t="str">
        <f>IFERROR(__xludf.DUMMYFUNCTION("""COMPUTED_VALUE"""),"")</f>
        <v/>
      </c>
      <c r="D517" s="71"/>
      <c r="E517" s="78"/>
      <c r="F517" s="71"/>
      <c r="G517" s="78" t="str">
        <f>IFERROR(__xludf.DUMMYFUNCTION("""COMPUTED_VALUE"""),"")</f>
        <v/>
      </c>
      <c r="H517" s="71"/>
      <c r="I517" s="80" t="str">
        <f>IFERROR(__xludf.DUMMYFUNCTION("""COMPUTED_VALUE"""),"")</f>
        <v/>
      </c>
      <c r="J517" s="71" t="str">
        <f>IFERROR(__xludf.DUMMYFUNCTION("""COMPUTED_VALUE"""),"")</f>
        <v/>
      </c>
      <c r="K517" s="71"/>
      <c r="L517" s="71" t="str">
        <f>IFERROR(__xludf.DUMMYFUNCTION("""COMPUTED_VALUE"""),"")</f>
        <v/>
      </c>
      <c r="M517" s="71"/>
      <c r="N517" s="109" t="str">
        <f>IFERROR(__xludf.DUMMYFUNCTION("""COMPUTED_VALUE"""),"")</f>
        <v/>
      </c>
      <c r="O517" s="71" t="str">
        <f>IFERROR(__xludf.DUMMYFUNCTION("""COMPUTED_VALUE"""),"")</f>
        <v/>
      </c>
      <c r="P517" s="71" t="str">
        <f>IFERROR(__xludf.DUMMYFUNCTION("""COMPUTED_VALUE"""),"")</f>
        <v/>
      </c>
      <c r="Q517" s="78" t="str">
        <f>IFERROR(__xludf.DUMMYFUNCTION("""COMPUTED_VALUE"""),"")</f>
        <v/>
      </c>
      <c r="R517" s="78" t="str">
        <f>IFERROR(__xludf.DUMMYFUNCTION("""COMPUTED_VALUE"""),"")</f>
        <v/>
      </c>
      <c r="S517" s="80" t="str">
        <f>IFERROR(__xludf.DUMMYFUNCTION("""COMPUTED_VALUE"""),"")</f>
        <v/>
      </c>
      <c r="T517" s="80" t="str">
        <f>IFERROR(__xludf.DUMMYFUNCTION("""COMPUTED_VALUE"""),"")</f>
        <v/>
      </c>
      <c r="U517" s="71" t="str">
        <f>IFERROR(__xludf.DUMMYFUNCTION("""COMPUTED_VALUE"""),"")</f>
        <v/>
      </c>
      <c r="V517" s="78" t="str">
        <f>IFERROR(__xludf.DUMMYFUNCTION("""COMPUTED_VALUE"""),"")</f>
        <v/>
      </c>
      <c r="W517" s="62" t="str">
        <f>IFERROR(__xludf.DUMMYFUNCTION("""COMPUTED_VALUE"""),"")</f>
        <v/>
      </c>
      <c r="X517" s="80" t="str">
        <f>IFERROR(__xludf.DUMMYFUNCTION("""COMPUTED_VALUE"""),"")</f>
        <v/>
      </c>
      <c r="Y517" s="109" t="str">
        <f>IFERROR(__xludf.DUMMYFUNCTION("""COMPUTED_VALUE"""),"")</f>
        <v/>
      </c>
      <c r="Z517" s="71"/>
      <c r="AA517" s="71"/>
      <c r="AB517" s="71"/>
    </row>
    <row r="518">
      <c r="A518" s="71"/>
      <c r="B518" s="71"/>
      <c r="C518" s="71" t="str">
        <f>IFERROR(__xludf.DUMMYFUNCTION("""COMPUTED_VALUE"""),"")</f>
        <v/>
      </c>
      <c r="D518" s="71"/>
      <c r="E518" s="78"/>
      <c r="F518" s="71"/>
      <c r="G518" s="78" t="str">
        <f>IFERROR(__xludf.DUMMYFUNCTION("""COMPUTED_VALUE"""),"")</f>
        <v/>
      </c>
      <c r="H518" s="71"/>
      <c r="I518" s="80" t="str">
        <f>IFERROR(__xludf.DUMMYFUNCTION("""COMPUTED_VALUE"""),"")</f>
        <v/>
      </c>
      <c r="J518" s="71" t="str">
        <f>IFERROR(__xludf.DUMMYFUNCTION("""COMPUTED_VALUE"""),"")</f>
        <v/>
      </c>
      <c r="K518" s="71"/>
      <c r="L518" s="71" t="str">
        <f>IFERROR(__xludf.DUMMYFUNCTION("""COMPUTED_VALUE"""),"")</f>
        <v/>
      </c>
      <c r="M518" s="71"/>
      <c r="N518" s="109" t="str">
        <f>IFERROR(__xludf.DUMMYFUNCTION("""COMPUTED_VALUE"""),"")</f>
        <v/>
      </c>
      <c r="O518" s="71" t="str">
        <f>IFERROR(__xludf.DUMMYFUNCTION("""COMPUTED_VALUE"""),"")</f>
        <v/>
      </c>
      <c r="P518" s="71" t="str">
        <f>IFERROR(__xludf.DUMMYFUNCTION("""COMPUTED_VALUE"""),"")</f>
        <v/>
      </c>
      <c r="Q518" s="78" t="str">
        <f>IFERROR(__xludf.DUMMYFUNCTION("""COMPUTED_VALUE"""),"")</f>
        <v/>
      </c>
      <c r="R518" s="78" t="str">
        <f>IFERROR(__xludf.DUMMYFUNCTION("""COMPUTED_VALUE"""),"")</f>
        <v/>
      </c>
      <c r="S518" s="80" t="str">
        <f>IFERROR(__xludf.DUMMYFUNCTION("""COMPUTED_VALUE"""),"")</f>
        <v/>
      </c>
      <c r="T518" s="80" t="str">
        <f>IFERROR(__xludf.DUMMYFUNCTION("""COMPUTED_VALUE"""),"")</f>
        <v/>
      </c>
      <c r="U518" s="71" t="str">
        <f>IFERROR(__xludf.DUMMYFUNCTION("""COMPUTED_VALUE"""),"")</f>
        <v/>
      </c>
      <c r="V518" s="78" t="str">
        <f>IFERROR(__xludf.DUMMYFUNCTION("""COMPUTED_VALUE"""),"")</f>
        <v/>
      </c>
      <c r="W518" s="62" t="str">
        <f>IFERROR(__xludf.DUMMYFUNCTION("""COMPUTED_VALUE"""),"")</f>
        <v/>
      </c>
      <c r="X518" s="80" t="str">
        <f>IFERROR(__xludf.DUMMYFUNCTION("""COMPUTED_VALUE"""),"")</f>
        <v/>
      </c>
      <c r="Y518" s="109" t="str">
        <f>IFERROR(__xludf.DUMMYFUNCTION("""COMPUTED_VALUE"""),"")</f>
        <v/>
      </c>
      <c r="Z518" s="71"/>
      <c r="AA518" s="71"/>
      <c r="AB518" s="71"/>
    </row>
    <row r="519">
      <c r="A519" s="71"/>
      <c r="B519" s="71"/>
      <c r="C519" s="71" t="str">
        <f>IFERROR(__xludf.DUMMYFUNCTION("""COMPUTED_VALUE"""),"")</f>
        <v/>
      </c>
      <c r="D519" s="71"/>
      <c r="E519" s="78"/>
      <c r="F519" s="71"/>
      <c r="G519" s="78" t="str">
        <f>IFERROR(__xludf.DUMMYFUNCTION("""COMPUTED_VALUE"""),"")</f>
        <v/>
      </c>
      <c r="H519" s="71"/>
      <c r="I519" s="80" t="str">
        <f>IFERROR(__xludf.DUMMYFUNCTION("""COMPUTED_VALUE"""),"")</f>
        <v/>
      </c>
      <c r="J519" s="71" t="str">
        <f>IFERROR(__xludf.DUMMYFUNCTION("""COMPUTED_VALUE"""),"")</f>
        <v/>
      </c>
      <c r="K519" s="71"/>
      <c r="L519" s="71" t="str">
        <f>IFERROR(__xludf.DUMMYFUNCTION("""COMPUTED_VALUE"""),"")</f>
        <v/>
      </c>
      <c r="M519" s="71"/>
      <c r="N519" s="109" t="str">
        <f>IFERROR(__xludf.DUMMYFUNCTION("""COMPUTED_VALUE"""),"")</f>
        <v/>
      </c>
      <c r="O519" s="71" t="str">
        <f>IFERROR(__xludf.DUMMYFUNCTION("""COMPUTED_VALUE"""),"")</f>
        <v/>
      </c>
      <c r="P519" s="71" t="str">
        <f>IFERROR(__xludf.DUMMYFUNCTION("""COMPUTED_VALUE"""),"")</f>
        <v/>
      </c>
      <c r="Q519" s="78" t="str">
        <f>IFERROR(__xludf.DUMMYFUNCTION("""COMPUTED_VALUE"""),"")</f>
        <v/>
      </c>
      <c r="R519" s="78" t="str">
        <f>IFERROR(__xludf.DUMMYFUNCTION("""COMPUTED_VALUE"""),"")</f>
        <v/>
      </c>
      <c r="S519" s="80" t="str">
        <f>IFERROR(__xludf.DUMMYFUNCTION("""COMPUTED_VALUE"""),"")</f>
        <v/>
      </c>
      <c r="T519" s="80" t="str">
        <f>IFERROR(__xludf.DUMMYFUNCTION("""COMPUTED_VALUE"""),"")</f>
        <v/>
      </c>
      <c r="U519" s="71" t="str">
        <f>IFERROR(__xludf.DUMMYFUNCTION("""COMPUTED_VALUE"""),"")</f>
        <v/>
      </c>
      <c r="V519" s="78" t="str">
        <f>IFERROR(__xludf.DUMMYFUNCTION("""COMPUTED_VALUE"""),"")</f>
        <v/>
      </c>
      <c r="W519" s="62" t="str">
        <f>IFERROR(__xludf.DUMMYFUNCTION("""COMPUTED_VALUE"""),"")</f>
        <v/>
      </c>
      <c r="X519" s="80" t="str">
        <f>IFERROR(__xludf.DUMMYFUNCTION("""COMPUTED_VALUE"""),"")</f>
        <v/>
      </c>
      <c r="Y519" s="109" t="str">
        <f>IFERROR(__xludf.DUMMYFUNCTION("""COMPUTED_VALUE"""),"")</f>
        <v/>
      </c>
      <c r="Z519" s="71"/>
      <c r="AA519" s="71"/>
      <c r="AB519" s="71"/>
    </row>
    <row r="520">
      <c r="A520" s="71"/>
      <c r="B520" s="71"/>
      <c r="C520" s="71" t="str">
        <f>IFERROR(__xludf.DUMMYFUNCTION("""COMPUTED_VALUE"""),"")</f>
        <v/>
      </c>
      <c r="D520" s="71"/>
      <c r="E520" s="78"/>
      <c r="F520" s="71"/>
      <c r="G520" s="78" t="str">
        <f>IFERROR(__xludf.DUMMYFUNCTION("""COMPUTED_VALUE"""),"")</f>
        <v/>
      </c>
      <c r="H520" s="71"/>
      <c r="I520" s="80" t="str">
        <f>IFERROR(__xludf.DUMMYFUNCTION("""COMPUTED_VALUE"""),"")</f>
        <v/>
      </c>
      <c r="J520" s="71" t="str">
        <f>IFERROR(__xludf.DUMMYFUNCTION("""COMPUTED_VALUE"""),"")</f>
        <v/>
      </c>
      <c r="K520" s="71"/>
      <c r="L520" s="71" t="str">
        <f>IFERROR(__xludf.DUMMYFUNCTION("""COMPUTED_VALUE"""),"")</f>
        <v/>
      </c>
      <c r="M520" s="71"/>
      <c r="N520" s="109" t="str">
        <f>IFERROR(__xludf.DUMMYFUNCTION("""COMPUTED_VALUE"""),"")</f>
        <v/>
      </c>
      <c r="O520" s="71" t="str">
        <f>IFERROR(__xludf.DUMMYFUNCTION("""COMPUTED_VALUE"""),"")</f>
        <v/>
      </c>
      <c r="P520" s="71" t="str">
        <f>IFERROR(__xludf.DUMMYFUNCTION("""COMPUTED_VALUE"""),"")</f>
        <v/>
      </c>
      <c r="Q520" s="78" t="str">
        <f>IFERROR(__xludf.DUMMYFUNCTION("""COMPUTED_VALUE"""),"")</f>
        <v/>
      </c>
      <c r="R520" s="78" t="str">
        <f>IFERROR(__xludf.DUMMYFUNCTION("""COMPUTED_VALUE"""),"")</f>
        <v/>
      </c>
      <c r="S520" s="80" t="str">
        <f>IFERROR(__xludf.DUMMYFUNCTION("""COMPUTED_VALUE"""),"")</f>
        <v/>
      </c>
      <c r="T520" s="80" t="str">
        <f>IFERROR(__xludf.DUMMYFUNCTION("""COMPUTED_VALUE"""),"")</f>
        <v/>
      </c>
      <c r="U520" s="71" t="str">
        <f>IFERROR(__xludf.DUMMYFUNCTION("""COMPUTED_VALUE"""),"")</f>
        <v/>
      </c>
      <c r="V520" s="78" t="str">
        <f>IFERROR(__xludf.DUMMYFUNCTION("""COMPUTED_VALUE"""),"")</f>
        <v/>
      </c>
      <c r="W520" s="62" t="str">
        <f>IFERROR(__xludf.DUMMYFUNCTION("""COMPUTED_VALUE"""),"")</f>
        <v/>
      </c>
      <c r="X520" s="80" t="str">
        <f>IFERROR(__xludf.DUMMYFUNCTION("""COMPUTED_VALUE"""),"")</f>
        <v/>
      </c>
      <c r="Y520" s="109" t="str">
        <f>IFERROR(__xludf.DUMMYFUNCTION("""COMPUTED_VALUE"""),"")</f>
        <v/>
      </c>
      <c r="Z520" s="71"/>
      <c r="AA520" s="71"/>
      <c r="AB520" s="71"/>
    </row>
    <row r="521">
      <c r="A521" s="71"/>
      <c r="B521" s="71"/>
      <c r="C521" s="71" t="str">
        <f>IFERROR(__xludf.DUMMYFUNCTION("""COMPUTED_VALUE"""),"")</f>
        <v/>
      </c>
      <c r="D521" s="71"/>
      <c r="E521" s="78"/>
      <c r="F521" s="71"/>
      <c r="G521" s="78" t="str">
        <f>IFERROR(__xludf.DUMMYFUNCTION("""COMPUTED_VALUE"""),"")</f>
        <v/>
      </c>
      <c r="H521" s="71"/>
      <c r="I521" s="80" t="str">
        <f>IFERROR(__xludf.DUMMYFUNCTION("""COMPUTED_VALUE"""),"")</f>
        <v/>
      </c>
      <c r="J521" s="71" t="str">
        <f>IFERROR(__xludf.DUMMYFUNCTION("""COMPUTED_VALUE"""),"")</f>
        <v/>
      </c>
      <c r="K521" s="71"/>
      <c r="L521" s="71" t="str">
        <f>IFERROR(__xludf.DUMMYFUNCTION("""COMPUTED_VALUE"""),"")</f>
        <v/>
      </c>
      <c r="M521" s="71"/>
      <c r="N521" s="109" t="str">
        <f>IFERROR(__xludf.DUMMYFUNCTION("""COMPUTED_VALUE"""),"")</f>
        <v/>
      </c>
      <c r="O521" s="71" t="str">
        <f>IFERROR(__xludf.DUMMYFUNCTION("""COMPUTED_VALUE"""),"")</f>
        <v/>
      </c>
      <c r="P521" s="71" t="str">
        <f>IFERROR(__xludf.DUMMYFUNCTION("""COMPUTED_VALUE"""),"")</f>
        <v/>
      </c>
      <c r="Q521" s="78" t="str">
        <f>IFERROR(__xludf.DUMMYFUNCTION("""COMPUTED_VALUE"""),"")</f>
        <v/>
      </c>
      <c r="R521" s="78" t="str">
        <f>IFERROR(__xludf.DUMMYFUNCTION("""COMPUTED_VALUE"""),"")</f>
        <v/>
      </c>
      <c r="S521" s="80" t="str">
        <f>IFERROR(__xludf.DUMMYFUNCTION("""COMPUTED_VALUE"""),"")</f>
        <v/>
      </c>
      <c r="T521" s="80" t="str">
        <f>IFERROR(__xludf.DUMMYFUNCTION("""COMPUTED_VALUE"""),"")</f>
        <v/>
      </c>
      <c r="U521" s="71" t="str">
        <f>IFERROR(__xludf.DUMMYFUNCTION("""COMPUTED_VALUE"""),"")</f>
        <v/>
      </c>
      <c r="V521" s="78" t="str">
        <f>IFERROR(__xludf.DUMMYFUNCTION("""COMPUTED_VALUE"""),"")</f>
        <v/>
      </c>
      <c r="W521" s="62" t="str">
        <f>IFERROR(__xludf.DUMMYFUNCTION("""COMPUTED_VALUE"""),"")</f>
        <v/>
      </c>
      <c r="X521" s="80" t="str">
        <f>IFERROR(__xludf.DUMMYFUNCTION("""COMPUTED_VALUE"""),"")</f>
        <v/>
      </c>
      <c r="Y521" s="109" t="str">
        <f>IFERROR(__xludf.DUMMYFUNCTION("""COMPUTED_VALUE"""),"")</f>
        <v/>
      </c>
      <c r="Z521" s="71"/>
      <c r="AA521" s="71"/>
      <c r="AB521" s="71"/>
    </row>
    <row r="522">
      <c r="A522" s="71"/>
      <c r="B522" s="71"/>
      <c r="C522" s="71" t="str">
        <f>IFERROR(__xludf.DUMMYFUNCTION("""COMPUTED_VALUE"""),"")</f>
        <v/>
      </c>
      <c r="D522" s="71"/>
      <c r="E522" s="78"/>
      <c r="F522" s="71"/>
      <c r="G522" s="78" t="str">
        <f>IFERROR(__xludf.DUMMYFUNCTION("""COMPUTED_VALUE"""),"")</f>
        <v/>
      </c>
      <c r="H522" s="71"/>
      <c r="I522" s="80" t="str">
        <f>IFERROR(__xludf.DUMMYFUNCTION("""COMPUTED_VALUE"""),"")</f>
        <v/>
      </c>
      <c r="J522" s="71" t="str">
        <f>IFERROR(__xludf.DUMMYFUNCTION("""COMPUTED_VALUE"""),"")</f>
        <v/>
      </c>
      <c r="K522" s="71"/>
      <c r="L522" s="71" t="str">
        <f>IFERROR(__xludf.DUMMYFUNCTION("""COMPUTED_VALUE"""),"")</f>
        <v/>
      </c>
      <c r="M522" s="71"/>
      <c r="N522" s="109" t="str">
        <f>IFERROR(__xludf.DUMMYFUNCTION("""COMPUTED_VALUE"""),"")</f>
        <v/>
      </c>
      <c r="O522" s="71" t="str">
        <f>IFERROR(__xludf.DUMMYFUNCTION("""COMPUTED_VALUE"""),"")</f>
        <v/>
      </c>
      <c r="P522" s="71" t="str">
        <f>IFERROR(__xludf.DUMMYFUNCTION("""COMPUTED_VALUE"""),"")</f>
        <v/>
      </c>
      <c r="Q522" s="78" t="str">
        <f>IFERROR(__xludf.DUMMYFUNCTION("""COMPUTED_VALUE"""),"")</f>
        <v/>
      </c>
      <c r="R522" s="78" t="str">
        <f>IFERROR(__xludf.DUMMYFUNCTION("""COMPUTED_VALUE"""),"")</f>
        <v/>
      </c>
      <c r="S522" s="80" t="str">
        <f>IFERROR(__xludf.DUMMYFUNCTION("""COMPUTED_VALUE"""),"")</f>
        <v/>
      </c>
      <c r="T522" s="80" t="str">
        <f>IFERROR(__xludf.DUMMYFUNCTION("""COMPUTED_VALUE"""),"")</f>
        <v/>
      </c>
      <c r="U522" s="71" t="str">
        <f>IFERROR(__xludf.DUMMYFUNCTION("""COMPUTED_VALUE"""),"")</f>
        <v/>
      </c>
      <c r="V522" s="78" t="str">
        <f>IFERROR(__xludf.DUMMYFUNCTION("""COMPUTED_VALUE"""),"")</f>
        <v/>
      </c>
      <c r="W522" s="62" t="str">
        <f>IFERROR(__xludf.DUMMYFUNCTION("""COMPUTED_VALUE"""),"")</f>
        <v/>
      </c>
      <c r="X522" s="80" t="str">
        <f>IFERROR(__xludf.DUMMYFUNCTION("""COMPUTED_VALUE"""),"")</f>
        <v/>
      </c>
      <c r="Y522" s="109" t="str">
        <f>IFERROR(__xludf.DUMMYFUNCTION("""COMPUTED_VALUE"""),"")</f>
        <v/>
      </c>
      <c r="Z522" s="71"/>
      <c r="AA522" s="71"/>
      <c r="AB522" s="71"/>
    </row>
    <row r="523">
      <c r="A523" s="71"/>
      <c r="B523" s="71"/>
      <c r="C523" s="71" t="str">
        <f>IFERROR(__xludf.DUMMYFUNCTION("""COMPUTED_VALUE"""),"")</f>
        <v/>
      </c>
      <c r="D523" s="71"/>
      <c r="E523" s="78"/>
      <c r="F523" s="71"/>
      <c r="G523" s="78" t="str">
        <f>IFERROR(__xludf.DUMMYFUNCTION("""COMPUTED_VALUE"""),"")</f>
        <v/>
      </c>
      <c r="H523" s="71"/>
      <c r="I523" s="80" t="str">
        <f>IFERROR(__xludf.DUMMYFUNCTION("""COMPUTED_VALUE"""),"")</f>
        <v/>
      </c>
      <c r="J523" s="71" t="str">
        <f>IFERROR(__xludf.DUMMYFUNCTION("""COMPUTED_VALUE"""),"")</f>
        <v/>
      </c>
      <c r="K523" s="71"/>
      <c r="L523" s="71" t="str">
        <f>IFERROR(__xludf.DUMMYFUNCTION("""COMPUTED_VALUE"""),"")</f>
        <v/>
      </c>
      <c r="M523" s="71"/>
      <c r="N523" s="109" t="str">
        <f>IFERROR(__xludf.DUMMYFUNCTION("""COMPUTED_VALUE"""),"")</f>
        <v/>
      </c>
      <c r="O523" s="71" t="str">
        <f>IFERROR(__xludf.DUMMYFUNCTION("""COMPUTED_VALUE"""),"")</f>
        <v/>
      </c>
      <c r="P523" s="71" t="str">
        <f>IFERROR(__xludf.DUMMYFUNCTION("""COMPUTED_VALUE"""),"")</f>
        <v/>
      </c>
      <c r="Q523" s="78" t="str">
        <f>IFERROR(__xludf.DUMMYFUNCTION("""COMPUTED_VALUE"""),"")</f>
        <v/>
      </c>
      <c r="R523" s="78" t="str">
        <f>IFERROR(__xludf.DUMMYFUNCTION("""COMPUTED_VALUE"""),"")</f>
        <v/>
      </c>
      <c r="S523" s="80" t="str">
        <f>IFERROR(__xludf.DUMMYFUNCTION("""COMPUTED_VALUE"""),"")</f>
        <v/>
      </c>
      <c r="T523" s="80" t="str">
        <f>IFERROR(__xludf.DUMMYFUNCTION("""COMPUTED_VALUE"""),"")</f>
        <v/>
      </c>
      <c r="U523" s="71" t="str">
        <f>IFERROR(__xludf.DUMMYFUNCTION("""COMPUTED_VALUE"""),"")</f>
        <v/>
      </c>
      <c r="V523" s="78" t="str">
        <f>IFERROR(__xludf.DUMMYFUNCTION("""COMPUTED_VALUE"""),"")</f>
        <v/>
      </c>
      <c r="W523" s="62" t="str">
        <f>IFERROR(__xludf.DUMMYFUNCTION("""COMPUTED_VALUE"""),"")</f>
        <v/>
      </c>
      <c r="X523" s="80" t="str">
        <f>IFERROR(__xludf.DUMMYFUNCTION("""COMPUTED_VALUE"""),"")</f>
        <v/>
      </c>
      <c r="Y523" s="109" t="str">
        <f>IFERROR(__xludf.DUMMYFUNCTION("""COMPUTED_VALUE"""),"")</f>
        <v/>
      </c>
      <c r="Z523" s="71"/>
      <c r="AA523" s="71"/>
      <c r="AB523" s="71"/>
    </row>
    <row r="524">
      <c r="A524" s="71"/>
      <c r="B524" s="71"/>
      <c r="C524" s="71" t="str">
        <f>IFERROR(__xludf.DUMMYFUNCTION("""COMPUTED_VALUE"""),"")</f>
        <v/>
      </c>
      <c r="D524" s="71"/>
      <c r="E524" s="78"/>
      <c r="F524" s="71"/>
      <c r="G524" s="78" t="str">
        <f>IFERROR(__xludf.DUMMYFUNCTION("""COMPUTED_VALUE"""),"")</f>
        <v/>
      </c>
      <c r="H524" s="71"/>
      <c r="I524" s="80" t="str">
        <f>IFERROR(__xludf.DUMMYFUNCTION("""COMPUTED_VALUE"""),"")</f>
        <v/>
      </c>
      <c r="J524" s="71" t="str">
        <f>IFERROR(__xludf.DUMMYFUNCTION("""COMPUTED_VALUE"""),"")</f>
        <v/>
      </c>
      <c r="K524" s="71"/>
      <c r="L524" s="71" t="str">
        <f>IFERROR(__xludf.DUMMYFUNCTION("""COMPUTED_VALUE"""),"")</f>
        <v/>
      </c>
      <c r="M524" s="71"/>
      <c r="N524" s="109" t="str">
        <f>IFERROR(__xludf.DUMMYFUNCTION("""COMPUTED_VALUE"""),"")</f>
        <v/>
      </c>
      <c r="O524" s="71" t="str">
        <f>IFERROR(__xludf.DUMMYFUNCTION("""COMPUTED_VALUE"""),"")</f>
        <v/>
      </c>
      <c r="P524" s="71" t="str">
        <f>IFERROR(__xludf.DUMMYFUNCTION("""COMPUTED_VALUE"""),"")</f>
        <v/>
      </c>
      <c r="Q524" s="78" t="str">
        <f>IFERROR(__xludf.DUMMYFUNCTION("""COMPUTED_VALUE"""),"")</f>
        <v/>
      </c>
      <c r="R524" s="78" t="str">
        <f>IFERROR(__xludf.DUMMYFUNCTION("""COMPUTED_VALUE"""),"")</f>
        <v/>
      </c>
      <c r="S524" s="80" t="str">
        <f>IFERROR(__xludf.DUMMYFUNCTION("""COMPUTED_VALUE"""),"")</f>
        <v/>
      </c>
      <c r="T524" s="80" t="str">
        <f>IFERROR(__xludf.DUMMYFUNCTION("""COMPUTED_VALUE"""),"")</f>
        <v/>
      </c>
      <c r="U524" s="71" t="str">
        <f>IFERROR(__xludf.DUMMYFUNCTION("""COMPUTED_VALUE"""),"")</f>
        <v/>
      </c>
      <c r="V524" s="78" t="str">
        <f>IFERROR(__xludf.DUMMYFUNCTION("""COMPUTED_VALUE"""),"")</f>
        <v/>
      </c>
      <c r="W524" s="62" t="str">
        <f>IFERROR(__xludf.DUMMYFUNCTION("""COMPUTED_VALUE"""),"")</f>
        <v/>
      </c>
      <c r="X524" s="80" t="str">
        <f>IFERROR(__xludf.DUMMYFUNCTION("""COMPUTED_VALUE"""),"")</f>
        <v/>
      </c>
      <c r="Y524" s="109" t="str">
        <f>IFERROR(__xludf.DUMMYFUNCTION("""COMPUTED_VALUE"""),"")</f>
        <v/>
      </c>
      <c r="Z524" s="71"/>
      <c r="AA524" s="71"/>
      <c r="AB524" s="71"/>
    </row>
    <row r="525">
      <c r="A525" s="71"/>
      <c r="B525" s="71"/>
      <c r="C525" s="71" t="str">
        <f>IFERROR(__xludf.DUMMYFUNCTION("""COMPUTED_VALUE"""),"")</f>
        <v/>
      </c>
      <c r="D525" s="71"/>
      <c r="E525" s="78"/>
      <c r="F525" s="71"/>
      <c r="G525" s="78" t="str">
        <f>IFERROR(__xludf.DUMMYFUNCTION("""COMPUTED_VALUE"""),"")</f>
        <v/>
      </c>
      <c r="H525" s="71"/>
      <c r="I525" s="80" t="str">
        <f>IFERROR(__xludf.DUMMYFUNCTION("""COMPUTED_VALUE"""),"")</f>
        <v/>
      </c>
      <c r="J525" s="71" t="str">
        <f>IFERROR(__xludf.DUMMYFUNCTION("""COMPUTED_VALUE"""),"")</f>
        <v/>
      </c>
      <c r="K525" s="71"/>
      <c r="L525" s="71" t="str">
        <f>IFERROR(__xludf.DUMMYFUNCTION("""COMPUTED_VALUE"""),"")</f>
        <v/>
      </c>
      <c r="M525" s="71"/>
      <c r="N525" s="109" t="str">
        <f>IFERROR(__xludf.DUMMYFUNCTION("""COMPUTED_VALUE"""),"")</f>
        <v/>
      </c>
      <c r="O525" s="71" t="str">
        <f>IFERROR(__xludf.DUMMYFUNCTION("""COMPUTED_VALUE"""),"")</f>
        <v/>
      </c>
      <c r="P525" s="71" t="str">
        <f>IFERROR(__xludf.DUMMYFUNCTION("""COMPUTED_VALUE"""),"")</f>
        <v/>
      </c>
      <c r="Q525" s="78" t="str">
        <f>IFERROR(__xludf.DUMMYFUNCTION("""COMPUTED_VALUE"""),"")</f>
        <v/>
      </c>
      <c r="R525" s="78" t="str">
        <f>IFERROR(__xludf.DUMMYFUNCTION("""COMPUTED_VALUE"""),"")</f>
        <v/>
      </c>
      <c r="S525" s="80" t="str">
        <f>IFERROR(__xludf.DUMMYFUNCTION("""COMPUTED_VALUE"""),"")</f>
        <v/>
      </c>
      <c r="T525" s="80" t="str">
        <f>IFERROR(__xludf.DUMMYFUNCTION("""COMPUTED_VALUE"""),"")</f>
        <v/>
      </c>
      <c r="U525" s="71" t="str">
        <f>IFERROR(__xludf.DUMMYFUNCTION("""COMPUTED_VALUE"""),"")</f>
        <v/>
      </c>
      <c r="V525" s="78" t="str">
        <f>IFERROR(__xludf.DUMMYFUNCTION("""COMPUTED_VALUE"""),"")</f>
        <v/>
      </c>
      <c r="W525" s="62" t="str">
        <f>IFERROR(__xludf.DUMMYFUNCTION("""COMPUTED_VALUE"""),"")</f>
        <v/>
      </c>
      <c r="X525" s="80" t="str">
        <f>IFERROR(__xludf.DUMMYFUNCTION("""COMPUTED_VALUE"""),"")</f>
        <v/>
      </c>
      <c r="Y525" s="109" t="str">
        <f>IFERROR(__xludf.DUMMYFUNCTION("""COMPUTED_VALUE"""),"")</f>
        <v/>
      </c>
      <c r="Z525" s="71"/>
      <c r="AA525" s="71"/>
      <c r="AB525" s="71"/>
    </row>
    <row r="526">
      <c r="A526" s="71"/>
      <c r="B526" s="71"/>
      <c r="C526" s="71" t="str">
        <f>IFERROR(__xludf.DUMMYFUNCTION("""COMPUTED_VALUE"""),"")</f>
        <v/>
      </c>
      <c r="D526" s="71"/>
      <c r="E526" s="78"/>
      <c r="F526" s="71"/>
      <c r="G526" s="78" t="str">
        <f>IFERROR(__xludf.DUMMYFUNCTION("""COMPUTED_VALUE"""),"")</f>
        <v/>
      </c>
      <c r="H526" s="71"/>
      <c r="I526" s="80" t="str">
        <f>IFERROR(__xludf.DUMMYFUNCTION("""COMPUTED_VALUE"""),"")</f>
        <v/>
      </c>
      <c r="J526" s="71" t="str">
        <f>IFERROR(__xludf.DUMMYFUNCTION("""COMPUTED_VALUE"""),"")</f>
        <v/>
      </c>
      <c r="K526" s="71"/>
      <c r="L526" s="71" t="str">
        <f>IFERROR(__xludf.DUMMYFUNCTION("""COMPUTED_VALUE"""),"")</f>
        <v/>
      </c>
      <c r="M526" s="71"/>
      <c r="N526" s="109" t="str">
        <f>IFERROR(__xludf.DUMMYFUNCTION("""COMPUTED_VALUE"""),"")</f>
        <v/>
      </c>
      <c r="O526" s="71" t="str">
        <f>IFERROR(__xludf.DUMMYFUNCTION("""COMPUTED_VALUE"""),"")</f>
        <v/>
      </c>
      <c r="P526" s="71" t="str">
        <f>IFERROR(__xludf.DUMMYFUNCTION("""COMPUTED_VALUE"""),"")</f>
        <v/>
      </c>
      <c r="Q526" s="78" t="str">
        <f>IFERROR(__xludf.DUMMYFUNCTION("""COMPUTED_VALUE"""),"")</f>
        <v/>
      </c>
      <c r="R526" s="78" t="str">
        <f>IFERROR(__xludf.DUMMYFUNCTION("""COMPUTED_VALUE"""),"")</f>
        <v/>
      </c>
      <c r="S526" s="80" t="str">
        <f>IFERROR(__xludf.DUMMYFUNCTION("""COMPUTED_VALUE"""),"")</f>
        <v/>
      </c>
      <c r="T526" s="80" t="str">
        <f>IFERROR(__xludf.DUMMYFUNCTION("""COMPUTED_VALUE"""),"")</f>
        <v/>
      </c>
      <c r="U526" s="71" t="str">
        <f>IFERROR(__xludf.DUMMYFUNCTION("""COMPUTED_VALUE"""),"")</f>
        <v/>
      </c>
      <c r="V526" s="78" t="str">
        <f>IFERROR(__xludf.DUMMYFUNCTION("""COMPUTED_VALUE"""),"")</f>
        <v/>
      </c>
      <c r="W526" s="62" t="str">
        <f>IFERROR(__xludf.DUMMYFUNCTION("""COMPUTED_VALUE"""),"")</f>
        <v/>
      </c>
      <c r="X526" s="80" t="str">
        <f>IFERROR(__xludf.DUMMYFUNCTION("""COMPUTED_VALUE"""),"")</f>
        <v/>
      </c>
      <c r="Y526" s="109" t="str">
        <f>IFERROR(__xludf.DUMMYFUNCTION("""COMPUTED_VALUE"""),"")</f>
        <v/>
      </c>
      <c r="Z526" s="71"/>
      <c r="AA526" s="71"/>
      <c r="AB526" s="71"/>
    </row>
    <row r="527">
      <c r="A527" s="71"/>
      <c r="B527" s="71"/>
      <c r="C527" s="71" t="str">
        <f>IFERROR(__xludf.DUMMYFUNCTION("""COMPUTED_VALUE"""),"")</f>
        <v/>
      </c>
      <c r="D527" s="71"/>
      <c r="E527" s="78"/>
      <c r="F527" s="71"/>
      <c r="G527" s="78" t="str">
        <f>IFERROR(__xludf.DUMMYFUNCTION("""COMPUTED_VALUE"""),"")</f>
        <v/>
      </c>
      <c r="H527" s="71"/>
      <c r="I527" s="80" t="str">
        <f>IFERROR(__xludf.DUMMYFUNCTION("""COMPUTED_VALUE"""),"")</f>
        <v/>
      </c>
      <c r="J527" s="71" t="str">
        <f>IFERROR(__xludf.DUMMYFUNCTION("""COMPUTED_VALUE"""),"")</f>
        <v/>
      </c>
      <c r="K527" s="71"/>
      <c r="L527" s="71" t="str">
        <f>IFERROR(__xludf.DUMMYFUNCTION("""COMPUTED_VALUE"""),"")</f>
        <v/>
      </c>
      <c r="M527" s="71"/>
      <c r="N527" s="109" t="str">
        <f>IFERROR(__xludf.DUMMYFUNCTION("""COMPUTED_VALUE"""),"")</f>
        <v/>
      </c>
      <c r="O527" s="71" t="str">
        <f>IFERROR(__xludf.DUMMYFUNCTION("""COMPUTED_VALUE"""),"")</f>
        <v/>
      </c>
      <c r="P527" s="71" t="str">
        <f>IFERROR(__xludf.DUMMYFUNCTION("""COMPUTED_VALUE"""),"")</f>
        <v/>
      </c>
      <c r="Q527" s="78" t="str">
        <f>IFERROR(__xludf.DUMMYFUNCTION("""COMPUTED_VALUE"""),"")</f>
        <v/>
      </c>
      <c r="R527" s="78" t="str">
        <f>IFERROR(__xludf.DUMMYFUNCTION("""COMPUTED_VALUE"""),"")</f>
        <v/>
      </c>
      <c r="S527" s="80" t="str">
        <f>IFERROR(__xludf.DUMMYFUNCTION("""COMPUTED_VALUE"""),"")</f>
        <v/>
      </c>
      <c r="T527" s="80" t="str">
        <f>IFERROR(__xludf.DUMMYFUNCTION("""COMPUTED_VALUE"""),"")</f>
        <v/>
      </c>
      <c r="U527" s="71" t="str">
        <f>IFERROR(__xludf.DUMMYFUNCTION("""COMPUTED_VALUE"""),"")</f>
        <v/>
      </c>
      <c r="V527" s="78" t="str">
        <f>IFERROR(__xludf.DUMMYFUNCTION("""COMPUTED_VALUE"""),"")</f>
        <v/>
      </c>
      <c r="W527" s="62" t="str">
        <f>IFERROR(__xludf.DUMMYFUNCTION("""COMPUTED_VALUE"""),"")</f>
        <v/>
      </c>
      <c r="X527" s="80" t="str">
        <f>IFERROR(__xludf.DUMMYFUNCTION("""COMPUTED_VALUE"""),"")</f>
        <v/>
      </c>
      <c r="Y527" s="109" t="str">
        <f>IFERROR(__xludf.DUMMYFUNCTION("""COMPUTED_VALUE"""),"")</f>
        <v/>
      </c>
      <c r="Z527" s="71"/>
      <c r="AA527" s="71"/>
      <c r="AB527" s="71"/>
    </row>
    <row r="528">
      <c r="A528" s="71"/>
      <c r="B528" s="71"/>
      <c r="C528" s="71" t="str">
        <f>IFERROR(__xludf.DUMMYFUNCTION("""COMPUTED_VALUE"""),"")</f>
        <v/>
      </c>
      <c r="D528" s="71"/>
      <c r="E528" s="78"/>
      <c r="F528" s="71"/>
      <c r="G528" s="78" t="str">
        <f>IFERROR(__xludf.DUMMYFUNCTION("""COMPUTED_VALUE"""),"")</f>
        <v/>
      </c>
      <c r="H528" s="71"/>
      <c r="I528" s="80" t="str">
        <f>IFERROR(__xludf.DUMMYFUNCTION("""COMPUTED_VALUE"""),"")</f>
        <v/>
      </c>
      <c r="J528" s="71" t="str">
        <f>IFERROR(__xludf.DUMMYFUNCTION("""COMPUTED_VALUE"""),"")</f>
        <v/>
      </c>
      <c r="K528" s="71"/>
      <c r="L528" s="71" t="str">
        <f>IFERROR(__xludf.DUMMYFUNCTION("""COMPUTED_VALUE"""),"")</f>
        <v/>
      </c>
      <c r="M528" s="71"/>
      <c r="N528" s="109" t="str">
        <f>IFERROR(__xludf.DUMMYFUNCTION("""COMPUTED_VALUE"""),"")</f>
        <v/>
      </c>
      <c r="O528" s="71" t="str">
        <f>IFERROR(__xludf.DUMMYFUNCTION("""COMPUTED_VALUE"""),"")</f>
        <v/>
      </c>
      <c r="P528" s="71" t="str">
        <f>IFERROR(__xludf.DUMMYFUNCTION("""COMPUTED_VALUE"""),"")</f>
        <v/>
      </c>
      <c r="Q528" s="78" t="str">
        <f>IFERROR(__xludf.DUMMYFUNCTION("""COMPUTED_VALUE"""),"")</f>
        <v/>
      </c>
      <c r="R528" s="78" t="str">
        <f>IFERROR(__xludf.DUMMYFUNCTION("""COMPUTED_VALUE"""),"")</f>
        <v/>
      </c>
      <c r="S528" s="80" t="str">
        <f>IFERROR(__xludf.DUMMYFUNCTION("""COMPUTED_VALUE"""),"")</f>
        <v/>
      </c>
      <c r="T528" s="80" t="str">
        <f>IFERROR(__xludf.DUMMYFUNCTION("""COMPUTED_VALUE"""),"")</f>
        <v/>
      </c>
      <c r="U528" s="71" t="str">
        <f>IFERROR(__xludf.DUMMYFUNCTION("""COMPUTED_VALUE"""),"")</f>
        <v/>
      </c>
      <c r="V528" s="78" t="str">
        <f>IFERROR(__xludf.DUMMYFUNCTION("""COMPUTED_VALUE"""),"")</f>
        <v/>
      </c>
      <c r="W528" s="62" t="str">
        <f>IFERROR(__xludf.DUMMYFUNCTION("""COMPUTED_VALUE"""),"")</f>
        <v/>
      </c>
      <c r="X528" s="80" t="str">
        <f>IFERROR(__xludf.DUMMYFUNCTION("""COMPUTED_VALUE"""),"")</f>
        <v/>
      </c>
      <c r="Y528" s="109" t="str">
        <f>IFERROR(__xludf.DUMMYFUNCTION("""COMPUTED_VALUE"""),"")</f>
        <v/>
      </c>
      <c r="Z528" s="71"/>
      <c r="AA528" s="71"/>
      <c r="AB528" s="71"/>
    </row>
    <row r="529">
      <c r="A529" s="71"/>
      <c r="B529" s="71"/>
      <c r="C529" s="71" t="str">
        <f>IFERROR(__xludf.DUMMYFUNCTION("""COMPUTED_VALUE"""),"")</f>
        <v/>
      </c>
      <c r="D529" s="71"/>
      <c r="E529" s="78"/>
      <c r="F529" s="71"/>
      <c r="G529" s="78" t="str">
        <f>IFERROR(__xludf.DUMMYFUNCTION("""COMPUTED_VALUE"""),"")</f>
        <v/>
      </c>
      <c r="H529" s="71"/>
      <c r="I529" s="80" t="str">
        <f>IFERROR(__xludf.DUMMYFUNCTION("""COMPUTED_VALUE"""),"")</f>
        <v/>
      </c>
      <c r="J529" s="71" t="str">
        <f>IFERROR(__xludf.DUMMYFUNCTION("""COMPUTED_VALUE"""),"")</f>
        <v/>
      </c>
      <c r="K529" s="71"/>
      <c r="L529" s="71" t="str">
        <f>IFERROR(__xludf.DUMMYFUNCTION("""COMPUTED_VALUE"""),"")</f>
        <v/>
      </c>
      <c r="M529" s="71"/>
      <c r="N529" s="109" t="str">
        <f>IFERROR(__xludf.DUMMYFUNCTION("""COMPUTED_VALUE"""),"")</f>
        <v/>
      </c>
      <c r="O529" s="71" t="str">
        <f>IFERROR(__xludf.DUMMYFUNCTION("""COMPUTED_VALUE"""),"")</f>
        <v/>
      </c>
      <c r="P529" s="71" t="str">
        <f>IFERROR(__xludf.DUMMYFUNCTION("""COMPUTED_VALUE"""),"")</f>
        <v/>
      </c>
      <c r="Q529" s="78" t="str">
        <f>IFERROR(__xludf.DUMMYFUNCTION("""COMPUTED_VALUE"""),"")</f>
        <v/>
      </c>
      <c r="R529" s="78" t="str">
        <f>IFERROR(__xludf.DUMMYFUNCTION("""COMPUTED_VALUE"""),"")</f>
        <v/>
      </c>
      <c r="S529" s="80" t="str">
        <f>IFERROR(__xludf.DUMMYFUNCTION("""COMPUTED_VALUE"""),"")</f>
        <v/>
      </c>
      <c r="T529" s="80" t="str">
        <f>IFERROR(__xludf.DUMMYFUNCTION("""COMPUTED_VALUE"""),"")</f>
        <v/>
      </c>
      <c r="U529" s="71" t="str">
        <f>IFERROR(__xludf.DUMMYFUNCTION("""COMPUTED_VALUE"""),"")</f>
        <v/>
      </c>
      <c r="V529" s="78" t="str">
        <f>IFERROR(__xludf.DUMMYFUNCTION("""COMPUTED_VALUE"""),"")</f>
        <v/>
      </c>
      <c r="W529" s="62" t="str">
        <f>IFERROR(__xludf.DUMMYFUNCTION("""COMPUTED_VALUE"""),"")</f>
        <v/>
      </c>
      <c r="X529" s="80" t="str">
        <f>IFERROR(__xludf.DUMMYFUNCTION("""COMPUTED_VALUE"""),"")</f>
        <v/>
      </c>
      <c r="Y529" s="109" t="str">
        <f>IFERROR(__xludf.DUMMYFUNCTION("""COMPUTED_VALUE"""),"")</f>
        <v/>
      </c>
      <c r="Z529" s="71"/>
      <c r="AA529" s="71"/>
      <c r="AB529" s="71"/>
    </row>
    <row r="530">
      <c r="A530" s="71"/>
      <c r="B530" s="71"/>
      <c r="C530" s="71" t="str">
        <f>IFERROR(__xludf.DUMMYFUNCTION("""COMPUTED_VALUE"""),"")</f>
        <v/>
      </c>
      <c r="D530" s="71"/>
      <c r="E530" s="78"/>
      <c r="F530" s="71"/>
      <c r="G530" s="78" t="str">
        <f>IFERROR(__xludf.DUMMYFUNCTION("""COMPUTED_VALUE"""),"")</f>
        <v/>
      </c>
      <c r="H530" s="71"/>
      <c r="I530" s="80" t="str">
        <f>IFERROR(__xludf.DUMMYFUNCTION("""COMPUTED_VALUE"""),"")</f>
        <v/>
      </c>
      <c r="J530" s="71" t="str">
        <f>IFERROR(__xludf.DUMMYFUNCTION("""COMPUTED_VALUE"""),"")</f>
        <v/>
      </c>
      <c r="K530" s="71"/>
      <c r="L530" s="71" t="str">
        <f>IFERROR(__xludf.DUMMYFUNCTION("""COMPUTED_VALUE"""),"")</f>
        <v/>
      </c>
      <c r="M530" s="71"/>
      <c r="N530" s="109" t="str">
        <f>IFERROR(__xludf.DUMMYFUNCTION("""COMPUTED_VALUE"""),"")</f>
        <v/>
      </c>
      <c r="O530" s="71" t="str">
        <f>IFERROR(__xludf.DUMMYFUNCTION("""COMPUTED_VALUE"""),"")</f>
        <v/>
      </c>
      <c r="P530" s="71" t="str">
        <f>IFERROR(__xludf.DUMMYFUNCTION("""COMPUTED_VALUE"""),"")</f>
        <v/>
      </c>
      <c r="Q530" s="78" t="str">
        <f>IFERROR(__xludf.DUMMYFUNCTION("""COMPUTED_VALUE"""),"")</f>
        <v/>
      </c>
      <c r="R530" s="78" t="str">
        <f>IFERROR(__xludf.DUMMYFUNCTION("""COMPUTED_VALUE"""),"")</f>
        <v/>
      </c>
      <c r="S530" s="80" t="str">
        <f>IFERROR(__xludf.DUMMYFUNCTION("""COMPUTED_VALUE"""),"")</f>
        <v/>
      </c>
      <c r="T530" s="80" t="str">
        <f>IFERROR(__xludf.DUMMYFUNCTION("""COMPUTED_VALUE"""),"")</f>
        <v/>
      </c>
      <c r="U530" s="71" t="str">
        <f>IFERROR(__xludf.DUMMYFUNCTION("""COMPUTED_VALUE"""),"")</f>
        <v/>
      </c>
      <c r="V530" s="78" t="str">
        <f>IFERROR(__xludf.DUMMYFUNCTION("""COMPUTED_VALUE"""),"")</f>
        <v/>
      </c>
      <c r="W530" s="62" t="str">
        <f>IFERROR(__xludf.DUMMYFUNCTION("""COMPUTED_VALUE"""),"")</f>
        <v/>
      </c>
      <c r="X530" s="80" t="str">
        <f>IFERROR(__xludf.DUMMYFUNCTION("""COMPUTED_VALUE"""),"")</f>
        <v/>
      </c>
      <c r="Y530" s="109" t="str">
        <f>IFERROR(__xludf.DUMMYFUNCTION("""COMPUTED_VALUE"""),"")</f>
        <v/>
      </c>
      <c r="Z530" s="71"/>
      <c r="AA530" s="71"/>
      <c r="AB530" s="71"/>
    </row>
    <row r="531">
      <c r="A531" s="71"/>
      <c r="B531" s="71"/>
      <c r="C531" s="71" t="str">
        <f>IFERROR(__xludf.DUMMYFUNCTION("""COMPUTED_VALUE"""),"")</f>
        <v/>
      </c>
      <c r="D531" s="71"/>
      <c r="E531" s="78"/>
      <c r="F531" s="71"/>
      <c r="G531" s="78" t="str">
        <f>IFERROR(__xludf.DUMMYFUNCTION("""COMPUTED_VALUE"""),"")</f>
        <v/>
      </c>
      <c r="H531" s="71"/>
      <c r="I531" s="80" t="str">
        <f>IFERROR(__xludf.DUMMYFUNCTION("""COMPUTED_VALUE"""),"")</f>
        <v/>
      </c>
      <c r="J531" s="71" t="str">
        <f>IFERROR(__xludf.DUMMYFUNCTION("""COMPUTED_VALUE"""),"")</f>
        <v/>
      </c>
      <c r="K531" s="71"/>
      <c r="L531" s="71" t="str">
        <f>IFERROR(__xludf.DUMMYFUNCTION("""COMPUTED_VALUE"""),"")</f>
        <v/>
      </c>
      <c r="M531" s="71"/>
      <c r="N531" s="109" t="str">
        <f>IFERROR(__xludf.DUMMYFUNCTION("""COMPUTED_VALUE"""),"")</f>
        <v/>
      </c>
      <c r="O531" s="71" t="str">
        <f>IFERROR(__xludf.DUMMYFUNCTION("""COMPUTED_VALUE"""),"")</f>
        <v/>
      </c>
      <c r="P531" s="71" t="str">
        <f>IFERROR(__xludf.DUMMYFUNCTION("""COMPUTED_VALUE"""),"")</f>
        <v/>
      </c>
      <c r="Q531" s="78" t="str">
        <f>IFERROR(__xludf.DUMMYFUNCTION("""COMPUTED_VALUE"""),"")</f>
        <v/>
      </c>
      <c r="R531" s="78" t="str">
        <f>IFERROR(__xludf.DUMMYFUNCTION("""COMPUTED_VALUE"""),"")</f>
        <v/>
      </c>
      <c r="S531" s="80" t="str">
        <f>IFERROR(__xludf.DUMMYFUNCTION("""COMPUTED_VALUE"""),"")</f>
        <v/>
      </c>
      <c r="T531" s="80" t="str">
        <f>IFERROR(__xludf.DUMMYFUNCTION("""COMPUTED_VALUE"""),"")</f>
        <v/>
      </c>
      <c r="U531" s="71" t="str">
        <f>IFERROR(__xludf.DUMMYFUNCTION("""COMPUTED_VALUE"""),"")</f>
        <v/>
      </c>
      <c r="V531" s="78" t="str">
        <f>IFERROR(__xludf.DUMMYFUNCTION("""COMPUTED_VALUE"""),"")</f>
        <v/>
      </c>
      <c r="W531" s="62" t="str">
        <f>IFERROR(__xludf.DUMMYFUNCTION("""COMPUTED_VALUE"""),"")</f>
        <v/>
      </c>
      <c r="X531" s="80" t="str">
        <f>IFERROR(__xludf.DUMMYFUNCTION("""COMPUTED_VALUE"""),"")</f>
        <v/>
      </c>
      <c r="Y531" s="109" t="str">
        <f>IFERROR(__xludf.DUMMYFUNCTION("""COMPUTED_VALUE"""),"")</f>
        <v/>
      </c>
      <c r="Z531" s="71"/>
      <c r="AA531" s="71"/>
      <c r="AB531" s="71"/>
    </row>
    <row r="532">
      <c r="A532" s="71"/>
      <c r="B532" s="71"/>
      <c r="C532" s="71" t="str">
        <f>IFERROR(__xludf.DUMMYFUNCTION("""COMPUTED_VALUE"""),"")</f>
        <v/>
      </c>
      <c r="D532" s="71"/>
      <c r="E532" s="78"/>
      <c r="F532" s="71"/>
      <c r="G532" s="78" t="str">
        <f>IFERROR(__xludf.DUMMYFUNCTION("""COMPUTED_VALUE"""),"")</f>
        <v/>
      </c>
      <c r="H532" s="71"/>
      <c r="I532" s="80" t="str">
        <f>IFERROR(__xludf.DUMMYFUNCTION("""COMPUTED_VALUE"""),"")</f>
        <v/>
      </c>
      <c r="J532" s="71" t="str">
        <f>IFERROR(__xludf.DUMMYFUNCTION("""COMPUTED_VALUE"""),"")</f>
        <v/>
      </c>
      <c r="K532" s="71"/>
      <c r="L532" s="71" t="str">
        <f>IFERROR(__xludf.DUMMYFUNCTION("""COMPUTED_VALUE"""),"")</f>
        <v/>
      </c>
      <c r="M532" s="71"/>
      <c r="N532" s="109" t="str">
        <f>IFERROR(__xludf.DUMMYFUNCTION("""COMPUTED_VALUE"""),"")</f>
        <v/>
      </c>
      <c r="O532" s="71" t="str">
        <f>IFERROR(__xludf.DUMMYFUNCTION("""COMPUTED_VALUE"""),"")</f>
        <v/>
      </c>
      <c r="P532" s="71" t="str">
        <f>IFERROR(__xludf.DUMMYFUNCTION("""COMPUTED_VALUE"""),"")</f>
        <v/>
      </c>
      <c r="Q532" s="78" t="str">
        <f>IFERROR(__xludf.DUMMYFUNCTION("""COMPUTED_VALUE"""),"")</f>
        <v/>
      </c>
      <c r="R532" s="78" t="str">
        <f>IFERROR(__xludf.DUMMYFUNCTION("""COMPUTED_VALUE"""),"")</f>
        <v/>
      </c>
      <c r="S532" s="80" t="str">
        <f>IFERROR(__xludf.DUMMYFUNCTION("""COMPUTED_VALUE"""),"")</f>
        <v/>
      </c>
      <c r="T532" s="80" t="str">
        <f>IFERROR(__xludf.DUMMYFUNCTION("""COMPUTED_VALUE"""),"")</f>
        <v/>
      </c>
      <c r="U532" s="71" t="str">
        <f>IFERROR(__xludf.DUMMYFUNCTION("""COMPUTED_VALUE"""),"")</f>
        <v/>
      </c>
      <c r="V532" s="78" t="str">
        <f>IFERROR(__xludf.DUMMYFUNCTION("""COMPUTED_VALUE"""),"")</f>
        <v/>
      </c>
      <c r="W532" s="62" t="str">
        <f>IFERROR(__xludf.DUMMYFUNCTION("""COMPUTED_VALUE"""),"")</f>
        <v/>
      </c>
      <c r="X532" s="80" t="str">
        <f>IFERROR(__xludf.DUMMYFUNCTION("""COMPUTED_VALUE"""),"")</f>
        <v/>
      </c>
      <c r="Y532" s="109" t="str">
        <f>IFERROR(__xludf.DUMMYFUNCTION("""COMPUTED_VALUE"""),"")</f>
        <v/>
      </c>
      <c r="Z532" s="71"/>
      <c r="AA532" s="71"/>
      <c r="AB532" s="71"/>
    </row>
    <row r="533">
      <c r="A533" s="71"/>
      <c r="B533" s="71"/>
      <c r="C533" s="71" t="str">
        <f>IFERROR(__xludf.DUMMYFUNCTION("""COMPUTED_VALUE"""),"")</f>
        <v/>
      </c>
      <c r="D533" s="71"/>
      <c r="E533" s="78"/>
      <c r="F533" s="71"/>
      <c r="G533" s="78" t="str">
        <f>IFERROR(__xludf.DUMMYFUNCTION("""COMPUTED_VALUE"""),"")</f>
        <v/>
      </c>
      <c r="H533" s="71"/>
      <c r="I533" s="80" t="str">
        <f>IFERROR(__xludf.DUMMYFUNCTION("""COMPUTED_VALUE"""),"")</f>
        <v/>
      </c>
      <c r="J533" s="71" t="str">
        <f>IFERROR(__xludf.DUMMYFUNCTION("""COMPUTED_VALUE"""),"")</f>
        <v/>
      </c>
      <c r="K533" s="71"/>
      <c r="L533" s="71" t="str">
        <f>IFERROR(__xludf.DUMMYFUNCTION("""COMPUTED_VALUE"""),"")</f>
        <v/>
      </c>
      <c r="M533" s="71"/>
      <c r="N533" s="109" t="str">
        <f>IFERROR(__xludf.DUMMYFUNCTION("""COMPUTED_VALUE"""),"")</f>
        <v/>
      </c>
      <c r="O533" s="71" t="str">
        <f>IFERROR(__xludf.DUMMYFUNCTION("""COMPUTED_VALUE"""),"")</f>
        <v/>
      </c>
      <c r="P533" s="71" t="str">
        <f>IFERROR(__xludf.DUMMYFUNCTION("""COMPUTED_VALUE"""),"")</f>
        <v/>
      </c>
      <c r="Q533" s="78" t="str">
        <f>IFERROR(__xludf.DUMMYFUNCTION("""COMPUTED_VALUE"""),"")</f>
        <v/>
      </c>
      <c r="R533" s="78" t="str">
        <f>IFERROR(__xludf.DUMMYFUNCTION("""COMPUTED_VALUE"""),"")</f>
        <v/>
      </c>
      <c r="S533" s="80" t="str">
        <f>IFERROR(__xludf.DUMMYFUNCTION("""COMPUTED_VALUE"""),"")</f>
        <v/>
      </c>
      <c r="T533" s="80" t="str">
        <f>IFERROR(__xludf.DUMMYFUNCTION("""COMPUTED_VALUE"""),"")</f>
        <v/>
      </c>
      <c r="U533" s="71" t="str">
        <f>IFERROR(__xludf.DUMMYFUNCTION("""COMPUTED_VALUE"""),"")</f>
        <v/>
      </c>
      <c r="V533" s="78" t="str">
        <f>IFERROR(__xludf.DUMMYFUNCTION("""COMPUTED_VALUE"""),"")</f>
        <v/>
      </c>
      <c r="W533" s="62" t="str">
        <f>IFERROR(__xludf.DUMMYFUNCTION("""COMPUTED_VALUE"""),"")</f>
        <v/>
      </c>
      <c r="X533" s="80" t="str">
        <f>IFERROR(__xludf.DUMMYFUNCTION("""COMPUTED_VALUE"""),"")</f>
        <v/>
      </c>
      <c r="Y533" s="109" t="str">
        <f>IFERROR(__xludf.DUMMYFUNCTION("""COMPUTED_VALUE"""),"")</f>
        <v/>
      </c>
      <c r="Z533" s="71"/>
      <c r="AA533" s="71"/>
      <c r="AB533" s="71"/>
    </row>
    <row r="534">
      <c r="A534" s="71"/>
      <c r="B534" s="71"/>
      <c r="C534" s="71" t="str">
        <f>IFERROR(__xludf.DUMMYFUNCTION("""COMPUTED_VALUE"""),"")</f>
        <v/>
      </c>
      <c r="D534" s="71"/>
      <c r="E534" s="78"/>
      <c r="F534" s="71"/>
      <c r="G534" s="78" t="str">
        <f>IFERROR(__xludf.DUMMYFUNCTION("""COMPUTED_VALUE"""),"")</f>
        <v/>
      </c>
      <c r="H534" s="71"/>
      <c r="I534" s="80" t="str">
        <f>IFERROR(__xludf.DUMMYFUNCTION("""COMPUTED_VALUE"""),"")</f>
        <v/>
      </c>
      <c r="J534" s="71" t="str">
        <f>IFERROR(__xludf.DUMMYFUNCTION("""COMPUTED_VALUE"""),"")</f>
        <v/>
      </c>
      <c r="K534" s="71"/>
      <c r="L534" s="71" t="str">
        <f>IFERROR(__xludf.DUMMYFUNCTION("""COMPUTED_VALUE"""),"")</f>
        <v/>
      </c>
      <c r="M534" s="71"/>
      <c r="N534" s="109" t="str">
        <f>IFERROR(__xludf.DUMMYFUNCTION("""COMPUTED_VALUE"""),"")</f>
        <v/>
      </c>
      <c r="O534" s="71" t="str">
        <f>IFERROR(__xludf.DUMMYFUNCTION("""COMPUTED_VALUE"""),"")</f>
        <v/>
      </c>
      <c r="P534" s="71" t="str">
        <f>IFERROR(__xludf.DUMMYFUNCTION("""COMPUTED_VALUE"""),"")</f>
        <v/>
      </c>
      <c r="Q534" s="78" t="str">
        <f>IFERROR(__xludf.DUMMYFUNCTION("""COMPUTED_VALUE"""),"")</f>
        <v/>
      </c>
      <c r="R534" s="78" t="str">
        <f>IFERROR(__xludf.DUMMYFUNCTION("""COMPUTED_VALUE"""),"")</f>
        <v/>
      </c>
      <c r="S534" s="80" t="str">
        <f>IFERROR(__xludf.DUMMYFUNCTION("""COMPUTED_VALUE"""),"")</f>
        <v/>
      </c>
      <c r="T534" s="80" t="str">
        <f>IFERROR(__xludf.DUMMYFUNCTION("""COMPUTED_VALUE"""),"")</f>
        <v/>
      </c>
      <c r="U534" s="71" t="str">
        <f>IFERROR(__xludf.DUMMYFUNCTION("""COMPUTED_VALUE"""),"")</f>
        <v/>
      </c>
      <c r="V534" s="78" t="str">
        <f>IFERROR(__xludf.DUMMYFUNCTION("""COMPUTED_VALUE"""),"")</f>
        <v/>
      </c>
      <c r="W534" s="62" t="str">
        <f>IFERROR(__xludf.DUMMYFUNCTION("""COMPUTED_VALUE"""),"")</f>
        <v/>
      </c>
      <c r="X534" s="80" t="str">
        <f>IFERROR(__xludf.DUMMYFUNCTION("""COMPUTED_VALUE"""),"")</f>
        <v/>
      </c>
      <c r="Y534" s="109" t="str">
        <f>IFERROR(__xludf.DUMMYFUNCTION("""COMPUTED_VALUE"""),"")</f>
        <v/>
      </c>
      <c r="Z534" s="71"/>
      <c r="AA534" s="71"/>
      <c r="AB534" s="71"/>
    </row>
    <row r="535">
      <c r="A535" s="71"/>
      <c r="B535" s="71"/>
      <c r="C535" s="71" t="str">
        <f>IFERROR(__xludf.DUMMYFUNCTION("""COMPUTED_VALUE"""),"")</f>
        <v/>
      </c>
      <c r="D535" s="71"/>
      <c r="E535" s="78"/>
      <c r="F535" s="71"/>
      <c r="G535" s="78" t="str">
        <f>IFERROR(__xludf.DUMMYFUNCTION("""COMPUTED_VALUE"""),"")</f>
        <v/>
      </c>
      <c r="H535" s="71"/>
      <c r="I535" s="80" t="str">
        <f>IFERROR(__xludf.DUMMYFUNCTION("""COMPUTED_VALUE"""),"")</f>
        <v/>
      </c>
      <c r="J535" s="71" t="str">
        <f>IFERROR(__xludf.DUMMYFUNCTION("""COMPUTED_VALUE"""),"")</f>
        <v/>
      </c>
      <c r="K535" s="71"/>
      <c r="L535" s="71" t="str">
        <f>IFERROR(__xludf.DUMMYFUNCTION("""COMPUTED_VALUE"""),"")</f>
        <v/>
      </c>
      <c r="M535" s="71"/>
      <c r="N535" s="109" t="str">
        <f>IFERROR(__xludf.DUMMYFUNCTION("""COMPUTED_VALUE"""),"")</f>
        <v/>
      </c>
      <c r="O535" s="71" t="str">
        <f>IFERROR(__xludf.DUMMYFUNCTION("""COMPUTED_VALUE"""),"")</f>
        <v/>
      </c>
      <c r="P535" s="71" t="str">
        <f>IFERROR(__xludf.DUMMYFUNCTION("""COMPUTED_VALUE"""),"")</f>
        <v/>
      </c>
      <c r="Q535" s="78" t="str">
        <f>IFERROR(__xludf.DUMMYFUNCTION("""COMPUTED_VALUE"""),"")</f>
        <v/>
      </c>
      <c r="R535" s="78" t="str">
        <f>IFERROR(__xludf.DUMMYFUNCTION("""COMPUTED_VALUE"""),"")</f>
        <v/>
      </c>
      <c r="S535" s="80" t="str">
        <f>IFERROR(__xludf.DUMMYFUNCTION("""COMPUTED_VALUE"""),"")</f>
        <v/>
      </c>
      <c r="T535" s="80" t="str">
        <f>IFERROR(__xludf.DUMMYFUNCTION("""COMPUTED_VALUE"""),"")</f>
        <v/>
      </c>
      <c r="U535" s="71" t="str">
        <f>IFERROR(__xludf.DUMMYFUNCTION("""COMPUTED_VALUE"""),"")</f>
        <v/>
      </c>
      <c r="V535" s="78" t="str">
        <f>IFERROR(__xludf.DUMMYFUNCTION("""COMPUTED_VALUE"""),"")</f>
        <v/>
      </c>
      <c r="W535" s="62" t="str">
        <f>IFERROR(__xludf.DUMMYFUNCTION("""COMPUTED_VALUE"""),"")</f>
        <v/>
      </c>
      <c r="X535" s="80" t="str">
        <f>IFERROR(__xludf.DUMMYFUNCTION("""COMPUTED_VALUE"""),"")</f>
        <v/>
      </c>
      <c r="Y535" s="109" t="str">
        <f>IFERROR(__xludf.DUMMYFUNCTION("""COMPUTED_VALUE"""),"")</f>
        <v/>
      </c>
      <c r="Z535" s="71"/>
      <c r="AA535" s="71"/>
      <c r="AB535" s="71"/>
    </row>
    <row r="536">
      <c r="A536" s="71"/>
      <c r="B536" s="71"/>
      <c r="C536" s="71" t="str">
        <f>IFERROR(__xludf.DUMMYFUNCTION("""COMPUTED_VALUE"""),"")</f>
        <v/>
      </c>
      <c r="D536" s="71"/>
      <c r="E536" s="78"/>
      <c r="F536" s="71"/>
      <c r="G536" s="78" t="str">
        <f>IFERROR(__xludf.DUMMYFUNCTION("""COMPUTED_VALUE"""),"")</f>
        <v/>
      </c>
      <c r="H536" s="71"/>
      <c r="I536" s="80" t="str">
        <f>IFERROR(__xludf.DUMMYFUNCTION("""COMPUTED_VALUE"""),"")</f>
        <v/>
      </c>
      <c r="J536" s="71" t="str">
        <f>IFERROR(__xludf.DUMMYFUNCTION("""COMPUTED_VALUE"""),"")</f>
        <v/>
      </c>
      <c r="K536" s="71"/>
      <c r="L536" s="71" t="str">
        <f>IFERROR(__xludf.DUMMYFUNCTION("""COMPUTED_VALUE"""),"")</f>
        <v/>
      </c>
      <c r="M536" s="71"/>
      <c r="N536" s="109" t="str">
        <f>IFERROR(__xludf.DUMMYFUNCTION("""COMPUTED_VALUE"""),"")</f>
        <v/>
      </c>
      <c r="O536" s="71" t="str">
        <f>IFERROR(__xludf.DUMMYFUNCTION("""COMPUTED_VALUE"""),"")</f>
        <v/>
      </c>
      <c r="P536" s="71" t="str">
        <f>IFERROR(__xludf.DUMMYFUNCTION("""COMPUTED_VALUE"""),"")</f>
        <v/>
      </c>
      <c r="Q536" s="78" t="str">
        <f>IFERROR(__xludf.DUMMYFUNCTION("""COMPUTED_VALUE"""),"")</f>
        <v/>
      </c>
      <c r="R536" s="78" t="str">
        <f>IFERROR(__xludf.DUMMYFUNCTION("""COMPUTED_VALUE"""),"")</f>
        <v/>
      </c>
      <c r="S536" s="80" t="str">
        <f>IFERROR(__xludf.DUMMYFUNCTION("""COMPUTED_VALUE"""),"")</f>
        <v/>
      </c>
      <c r="T536" s="80" t="str">
        <f>IFERROR(__xludf.DUMMYFUNCTION("""COMPUTED_VALUE"""),"")</f>
        <v/>
      </c>
      <c r="U536" s="71" t="str">
        <f>IFERROR(__xludf.DUMMYFUNCTION("""COMPUTED_VALUE"""),"")</f>
        <v/>
      </c>
      <c r="V536" s="78" t="str">
        <f>IFERROR(__xludf.DUMMYFUNCTION("""COMPUTED_VALUE"""),"")</f>
        <v/>
      </c>
      <c r="W536" s="62" t="str">
        <f>IFERROR(__xludf.DUMMYFUNCTION("""COMPUTED_VALUE"""),"")</f>
        <v/>
      </c>
      <c r="X536" s="80" t="str">
        <f>IFERROR(__xludf.DUMMYFUNCTION("""COMPUTED_VALUE"""),"")</f>
        <v/>
      </c>
      <c r="Y536" s="109" t="str">
        <f>IFERROR(__xludf.DUMMYFUNCTION("""COMPUTED_VALUE"""),"")</f>
        <v/>
      </c>
      <c r="Z536" s="71"/>
      <c r="AA536" s="71"/>
      <c r="AB536" s="71"/>
    </row>
    <row r="537">
      <c r="A537" s="71"/>
      <c r="B537" s="71"/>
      <c r="C537" s="71" t="str">
        <f>IFERROR(__xludf.DUMMYFUNCTION("""COMPUTED_VALUE"""),"")</f>
        <v/>
      </c>
      <c r="D537" s="71"/>
      <c r="E537" s="78"/>
      <c r="F537" s="71"/>
      <c r="G537" s="78" t="str">
        <f>IFERROR(__xludf.DUMMYFUNCTION("""COMPUTED_VALUE"""),"")</f>
        <v/>
      </c>
      <c r="H537" s="71"/>
      <c r="I537" s="80" t="str">
        <f>IFERROR(__xludf.DUMMYFUNCTION("""COMPUTED_VALUE"""),"")</f>
        <v/>
      </c>
      <c r="J537" s="71" t="str">
        <f>IFERROR(__xludf.DUMMYFUNCTION("""COMPUTED_VALUE"""),"")</f>
        <v/>
      </c>
      <c r="K537" s="71"/>
      <c r="L537" s="71" t="str">
        <f>IFERROR(__xludf.DUMMYFUNCTION("""COMPUTED_VALUE"""),"")</f>
        <v/>
      </c>
      <c r="M537" s="71"/>
      <c r="N537" s="109" t="str">
        <f>IFERROR(__xludf.DUMMYFUNCTION("""COMPUTED_VALUE"""),"")</f>
        <v/>
      </c>
      <c r="O537" s="71" t="str">
        <f>IFERROR(__xludf.DUMMYFUNCTION("""COMPUTED_VALUE"""),"")</f>
        <v/>
      </c>
      <c r="P537" s="71" t="str">
        <f>IFERROR(__xludf.DUMMYFUNCTION("""COMPUTED_VALUE"""),"")</f>
        <v/>
      </c>
      <c r="Q537" s="78" t="str">
        <f>IFERROR(__xludf.DUMMYFUNCTION("""COMPUTED_VALUE"""),"")</f>
        <v/>
      </c>
      <c r="R537" s="78" t="str">
        <f>IFERROR(__xludf.DUMMYFUNCTION("""COMPUTED_VALUE"""),"")</f>
        <v/>
      </c>
      <c r="S537" s="80" t="str">
        <f>IFERROR(__xludf.DUMMYFUNCTION("""COMPUTED_VALUE"""),"")</f>
        <v/>
      </c>
      <c r="T537" s="80" t="str">
        <f>IFERROR(__xludf.DUMMYFUNCTION("""COMPUTED_VALUE"""),"")</f>
        <v/>
      </c>
      <c r="U537" s="71" t="str">
        <f>IFERROR(__xludf.DUMMYFUNCTION("""COMPUTED_VALUE"""),"")</f>
        <v/>
      </c>
      <c r="V537" s="78" t="str">
        <f>IFERROR(__xludf.DUMMYFUNCTION("""COMPUTED_VALUE"""),"")</f>
        <v/>
      </c>
      <c r="W537" s="62" t="str">
        <f>IFERROR(__xludf.DUMMYFUNCTION("""COMPUTED_VALUE"""),"")</f>
        <v/>
      </c>
      <c r="X537" s="80" t="str">
        <f>IFERROR(__xludf.DUMMYFUNCTION("""COMPUTED_VALUE"""),"")</f>
        <v/>
      </c>
      <c r="Y537" s="109" t="str">
        <f>IFERROR(__xludf.DUMMYFUNCTION("""COMPUTED_VALUE"""),"")</f>
        <v/>
      </c>
      <c r="Z537" s="71"/>
      <c r="AA537" s="71"/>
      <c r="AB537" s="71"/>
    </row>
    <row r="538">
      <c r="A538" s="71"/>
      <c r="B538" s="71"/>
      <c r="C538" s="71" t="str">
        <f>IFERROR(__xludf.DUMMYFUNCTION("""COMPUTED_VALUE"""),"")</f>
        <v/>
      </c>
      <c r="D538" s="71"/>
      <c r="E538" s="78"/>
      <c r="F538" s="71"/>
      <c r="G538" s="78" t="str">
        <f>IFERROR(__xludf.DUMMYFUNCTION("""COMPUTED_VALUE"""),"")</f>
        <v/>
      </c>
      <c r="H538" s="71"/>
      <c r="I538" s="80" t="str">
        <f>IFERROR(__xludf.DUMMYFUNCTION("""COMPUTED_VALUE"""),"")</f>
        <v/>
      </c>
      <c r="J538" s="71" t="str">
        <f>IFERROR(__xludf.DUMMYFUNCTION("""COMPUTED_VALUE"""),"")</f>
        <v/>
      </c>
      <c r="K538" s="71"/>
      <c r="L538" s="71" t="str">
        <f>IFERROR(__xludf.DUMMYFUNCTION("""COMPUTED_VALUE"""),"")</f>
        <v/>
      </c>
      <c r="M538" s="71"/>
      <c r="N538" s="109" t="str">
        <f>IFERROR(__xludf.DUMMYFUNCTION("""COMPUTED_VALUE"""),"")</f>
        <v/>
      </c>
      <c r="O538" s="71" t="str">
        <f>IFERROR(__xludf.DUMMYFUNCTION("""COMPUTED_VALUE"""),"")</f>
        <v/>
      </c>
      <c r="P538" s="71" t="str">
        <f>IFERROR(__xludf.DUMMYFUNCTION("""COMPUTED_VALUE"""),"")</f>
        <v/>
      </c>
      <c r="Q538" s="78" t="str">
        <f>IFERROR(__xludf.DUMMYFUNCTION("""COMPUTED_VALUE"""),"")</f>
        <v/>
      </c>
      <c r="R538" s="78" t="str">
        <f>IFERROR(__xludf.DUMMYFUNCTION("""COMPUTED_VALUE"""),"")</f>
        <v/>
      </c>
      <c r="S538" s="80" t="str">
        <f>IFERROR(__xludf.DUMMYFUNCTION("""COMPUTED_VALUE"""),"")</f>
        <v/>
      </c>
      <c r="T538" s="80" t="str">
        <f>IFERROR(__xludf.DUMMYFUNCTION("""COMPUTED_VALUE"""),"")</f>
        <v/>
      </c>
      <c r="U538" s="71" t="str">
        <f>IFERROR(__xludf.DUMMYFUNCTION("""COMPUTED_VALUE"""),"")</f>
        <v/>
      </c>
      <c r="V538" s="78" t="str">
        <f>IFERROR(__xludf.DUMMYFUNCTION("""COMPUTED_VALUE"""),"")</f>
        <v/>
      </c>
      <c r="W538" s="62" t="str">
        <f>IFERROR(__xludf.DUMMYFUNCTION("""COMPUTED_VALUE"""),"")</f>
        <v/>
      </c>
      <c r="X538" s="80" t="str">
        <f>IFERROR(__xludf.DUMMYFUNCTION("""COMPUTED_VALUE"""),"")</f>
        <v/>
      </c>
      <c r="Y538" s="109" t="str">
        <f>IFERROR(__xludf.DUMMYFUNCTION("""COMPUTED_VALUE"""),"")</f>
        <v/>
      </c>
      <c r="Z538" s="71"/>
      <c r="AA538" s="71"/>
      <c r="AB538" s="71"/>
    </row>
    <row r="539">
      <c r="A539" s="71"/>
      <c r="B539" s="71"/>
      <c r="C539" s="71" t="str">
        <f>IFERROR(__xludf.DUMMYFUNCTION("""COMPUTED_VALUE"""),"")</f>
        <v/>
      </c>
      <c r="D539" s="71"/>
      <c r="E539" s="78"/>
      <c r="F539" s="71"/>
      <c r="G539" s="78" t="str">
        <f>IFERROR(__xludf.DUMMYFUNCTION("""COMPUTED_VALUE"""),"")</f>
        <v/>
      </c>
      <c r="H539" s="71"/>
      <c r="I539" s="80" t="str">
        <f>IFERROR(__xludf.DUMMYFUNCTION("""COMPUTED_VALUE"""),"")</f>
        <v/>
      </c>
      <c r="J539" s="71" t="str">
        <f>IFERROR(__xludf.DUMMYFUNCTION("""COMPUTED_VALUE"""),"")</f>
        <v/>
      </c>
      <c r="K539" s="71"/>
      <c r="L539" s="71" t="str">
        <f>IFERROR(__xludf.DUMMYFUNCTION("""COMPUTED_VALUE"""),"")</f>
        <v/>
      </c>
      <c r="M539" s="71"/>
      <c r="N539" s="109" t="str">
        <f>IFERROR(__xludf.DUMMYFUNCTION("""COMPUTED_VALUE"""),"")</f>
        <v/>
      </c>
      <c r="O539" s="71" t="str">
        <f>IFERROR(__xludf.DUMMYFUNCTION("""COMPUTED_VALUE"""),"")</f>
        <v/>
      </c>
      <c r="P539" s="71" t="str">
        <f>IFERROR(__xludf.DUMMYFUNCTION("""COMPUTED_VALUE"""),"")</f>
        <v/>
      </c>
      <c r="Q539" s="78" t="str">
        <f>IFERROR(__xludf.DUMMYFUNCTION("""COMPUTED_VALUE"""),"")</f>
        <v/>
      </c>
      <c r="R539" s="78" t="str">
        <f>IFERROR(__xludf.DUMMYFUNCTION("""COMPUTED_VALUE"""),"")</f>
        <v/>
      </c>
      <c r="S539" s="80" t="str">
        <f>IFERROR(__xludf.DUMMYFUNCTION("""COMPUTED_VALUE"""),"")</f>
        <v/>
      </c>
      <c r="T539" s="80" t="str">
        <f>IFERROR(__xludf.DUMMYFUNCTION("""COMPUTED_VALUE"""),"")</f>
        <v/>
      </c>
      <c r="U539" s="71" t="str">
        <f>IFERROR(__xludf.DUMMYFUNCTION("""COMPUTED_VALUE"""),"")</f>
        <v/>
      </c>
      <c r="V539" s="78" t="str">
        <f>IFERROR(__xludf.DUMMYFUNCTION("""COMPUTED_VALUE"""),"")</f>
        <v/>
      </c>
      <c r="W539" s="62" t="str">
        <f>IFERROR(__xludf.DUMMYFUNCTION("""COMPUTED_VALUE"""),"")</f>
        <v/>
      </c>
      <c r="X539" s="80" t="str">
        <f>IFERROR(__xludf.DUMMYFUNCTION("""COMPUTED_VALUE"""),"")</f>
        <v/>
      </c>
      <c r="Y539" s="109" t="str">
        <f>IFERROR(__xludf.DUMMYFUNCTION("""COMPUTED_VALUE"""),"")</f>
        <v/>
      </c>
      <c r="Z539" s="71"/>
      <c r="AA539" s="71"/>
      <c r="AB539" s="71"/>
    </row>
    <row r="540">
      <c r="A540" s="71"/>
      <c r="B540" s="71"/>
      <c r="C540" s="71" t="str">
        <f>IFERROR(__xludf.DUMMYFUNCTION("""COMPUTED_VALUE"""),"")</f>
        <v/>
      </c>
      <c r="D540" s="71"/>
      <c r="E540" s="78"/>
      <c r="F540" s="71"/>
      <c r="G540" s="78" t="str">
        <f>IFERROR(__xludf.DUMMYFUNCTION("""COMPUTED_VALUE"""),"")</f>
        <v/>
      </c>
      <c r="H540" s="71"/>
      <c r="I540" s="80" t="str">
        <f>IFERROR(__xludf.DUMMYFUNCTION("""COMPUTED_VALUE"""),"")</f>
        <v/>
      </c>
      <c r="J540" s="71" t="str">
        <f>IFERROR(__xludf.DUMMYFUNCTION("""COMPUTED_VALUE"""),"")</f>
        <v/>
      </c>
      <c r="K540" s="71"/>
      <c r="L540" s="71" t="str">
        <f>IFERROR(__xludf.DUMMYFUNCTION("""COMPUTED_VALUE"""),"")</f>
        <v/>
      </c>
      <c r="M540" s="71"/>
      <c r="N540" s="109" t="str">
        <f>IFERROR(__xludf.DUMMYFUNCTION("""COMPUTED_VALUE"""),"")</f>
        <v/>
      </c>
      <c r="O540" s="71" t="str">
        <f>IFERROR(__xludf.DUMMYFUNCTION("""COMPUTED_VALUE"""),"")</f>
        <v/>
      </c>
      <c r="P540" s="71" t="str">
        <f>IFERROR(__xludf.DUMMYFUNCTION("""COMPUTED_VALUE"""),"")</f>
        <v/>
      </c>
      <c r="Q540" s="78" t="str">
        <f>IFERROR(__xludf.DUMMYFUNCTION("""COMPUTED_VALUE"""),"")</f>
        <v/>
      </c>
      <c r="R540" s="78" t="str">
        <f>IFERROR(__xludf.DUMMYFUNCTION("""COMPUTED_VALUE"""),"")</f>
        <v/>
      </c>
      <c r="S540" s="80" t="str">
        <f>IFERROR(__xludf.DUMMYFUNCTION("""COMPUTED_VALUE"""),"")</f>
        <v/>
      </c>
      <c r="T540" s="80" t="str">
        <f>IFERROR(__xludf.DUMMYFUNCTION("""COMPUTED_VALUE"""),"")</f>
        <v/>
      </c>
      <c r="U540" s="71" t="str">
        <f>IFERROR(__xludf.DUMMYFUNCTION("""COMPUTED_VALUE"""),"")</f>
        <v/>
      </c>
      <c r="V540" s="78" t="str">
        <f>IFERROR(__xludf.DUMMYFUNCTION("""COMPUTED_VALUE"""),"")</f>
        <v/>
      </c>
      <c r="W540" s="62" t="str">
        <f>IFERROR(__xludf.DUMMYFUNCTION("""COMPUTED_VALUE"""),"")</f>
        <v/>
      </c>
      <c r="X540" s="80" t="str">
        <f>IFERROR(__xludf.DUMMYFUNCTION("""COMPUTED_VALUE"""),"")</f>
        <v/>
      </c>
      <c r="Y540" s="109" t="str">
        <f>IFERROR(__xludf.DUMMYFUNCTION("""COMPUTED_VALUE"""),"")</f>
        <v/>
      </c>
      <c r="Z540" s="71"/>
      <c r="AA540" s="71"/>
      <c r="AB540" s="71"/>
    </row>
    <row r="541">
      <c r="A541" s="71"/>
      <c r="B541" s="71"/>
      <c r="C541" s="71" t="str">
        <f>IFERROR(__xludf.DUMMYFUNCTION("""COMPUTED_VALUE"""),"")</f>
        <v/>
      </c>
      <c r="D541" s="71"/>
      <c r="E541" s="78"/>
      <c r="F541" s="71"/>
      <c r="G541" s="78" t="str">
        <f>IFERROR(__xludf.DUMMYFUNCTION("""COMPUTED_VALUE"""),"")</f>
        <v/>
      </c>
      <c r="H541" s="71"/>
      <c r="I541" s="80" t="str">
        <f>IFERROR(__xludf.DUMMYFUNCTION("""COMPUTED_VALUE"""),"")</f>
        <v/>
      </c>
      <c r="J541" s="71" t="str">
        <f>IFERROR(__xludf.DUMMYFUNCTION("""COMPUTED_VALUE"""),"")</f>
        <v/>
      </c>
      <c r="K541" s="71"/>
      <c r="L541" s="71" t="str">
        <f>IFERROR(__xludf.DUMMYFUNCTION("""COMPUTED_VALUE"""),"")</f>
        <v/>
      </c>
      <c r="M541" s="71"/>
      <c r="N541" s="109" t="str">
        <f>IFERROR(__xludf.DUMMYFUNCTION("""COMPUTED_VALUE"""),"")</f>
        <v/>
      </c>
      <c r="O541" s="71" t="str">
        <f>IFERROR(__xludf.DUMMYFUNCTION("""COMPUTED_VALUE"""),"")</f>
        <v/>
      </c>
      <c r="P541" s="71" t="str">
        <f>IFERROR(__xludf.DUMMYFUNCTION("""COMPUTED_VALUE"""),"")</f>
        <v/>
      </c>
      <c r="Q541" s="78" t="str">
        <f>IFERROR(__xludf.DUMMYFUNCTION("""COMPUTED_VALUE"""),"")</f>
        <v/>
      </c>
      <c r="R541" s="78" t="str">
        <f>IFERROR(__xludf.DUMMYFUNCTION("""COMPUTED_VALUE"""),"")</f>
        <v/>
      </c>
      <c r="S541" s="80" t="str">
        <f>IFERROR(__xludf.DUMMYFUNCTION("""COMPUTED_VALUE"""),"")</f>
        <v/>
      </c>
      <c r="T541" s="80" t="str">
        <f>IFERROR(__xludf.DUMMYFUNCTION("""COMPUTED_VALUE"""),"")</f>
        <v/>
      </c>
      <c r="U541" s="71" t="str">
        <f>IFERROR(__xludf.DUMMYFUNCTION("""COMPUTED_VALUE"""),"")</f>
        <v/>
      </c>
      <c r="V541" s="78" t="str">
        <f>IFERROR(__xludf.DUMMYFUNCTION("""COMPUTED_VALUE"""),"")</f>
        <v/>
      </c>
      <c r="W541" s="62" t="str">
        <f>IFERROR(__xludf.DUMMYFUNCTION("""COMPUTED_VALUE"""),"")</f>
        <v/>
      </c>
      <c r="X541" s="80" t="str">
        <f>IFERROR(__xludf.DUMMYFUNCTION("""COMPUTED_VALUE"""),"")</f>
        <v/>
      </c>
      <c r="Y541" s="109" t="str">
        <f>IFERROR(__xludf.DUMMYFUNCTION("""COMPUTED_VALUE"""),"")</f>
        <v/>
      </c>
      <c r="Z541" s="71"/>
      <c r="AA541" s="71"/>
      <c r="AB541" s="71"/>
    </row>
    <row r="542">
      <c r="A542" s="71"/>
      <c r="B542" s="71"/>
      <c r="C542" s="71" t="str">
        <f>IFERROR(__xludf.DUMMYFUNCTION("""COMPUTED_VALUE"""),"")</f>
        <v/>
      </c>
      <c r="D542" s="71"/>
      <c r="E542" s="78"/>
      <c r="F542" s="71"/>
      <c r="G542" s="78" t="str">
        <f>IFERROR(__xludf.DUMMYFUNCTION("""COMPUTED_VALUE"""),"")</f>
        <v/>
      </c>
      <c r="H542" s="71"/>
      <c r="I542" s="80" t="str">
        <f>IFERROR(__xludf.DUMMYFUNCTION("""COMPUTED_VALUE"""),"")</f>
        <v/>
      </c>
      <c r="J542" s="71" t="str">
        <f>IFERROR(__xludf.DUMMYFUNCTION("""COMPUTED_VALUE"""),"")</f>
        <v/>
      </c>
      <c r="K542" s="71"/>
      <c r="L542" s="71" t="str">
        <f>IFERROR(__xludf.DUMMYFUNCTION("""COMPUTED_VALUE"""),"")</f>
        <v/>
      </c>
      <c r="M542" s="71"/>
      <c r="N542" s="109" t="str">
        <f>IFERROR(__xludf.DUMMYFUNCTION("""COMPUTED_VALUE"""),"")</f>
        <v/>
      </c>
      <c r="O542" s="71" t="str">
        <f>IFERROR(__xludf.DUMMYFUNCTION("""COMPUTED_VALUE"""),"")</f>
        <v/>
      </c>
      <c r="P542" s="71" t="str">
        <f>IFERROR(__xludf.DUMMYFUNCTION("""COMPUTED_VALUE"""),"")</f>
        <v/>
      </c>
      <c r="Q542" s="78" t="str">
        <f>IFERROR(__xludf.DUMMYFUNCTION("""COMPUTED_VALUE"""),"")</f>
        <v/>
      </c>
      <c r="R542" s="78" t="str">
        <f>IFERROR(__xludf.DUMMYFUNCTION("""COMPUTED_VALUE"""),"")</f>
        <v/>
      </c>
      <c r="S542" s="80" t="str">
        <f>IFERROR(__xludf.DUMMYFUNCTION("""COMPUTED_VALUE"""),"")</f>
        <v/>
      </c>
      <c r="T542" s="80" t="str">
        <f>IFERROR(__xludf.DUMMYFUNCTION("""COMPUTED_VALUE"""),"")</f>
        <v/>
      </c>
      <c r="U542" s="71" t="str">
        <f>IFERROR(__xludf.DUMMYFUNCTION("""COMPUTED_VALUE"""),"")</f>
        <v/>
      </c>
      <c r="V542" s="78" t="str">
        <f>IFERROR(__xludf.DUMMYFUNCTION("""COMPUTED_VALUE"""),"")</f>
        <v/>
      </c>
      <c r="W542" s="62" t="str">
        <f>IFERROR(__xludf.DUMMYFUNCTION("""COMPUTED_VALUE"""),"")</f>
        <v/>
      </c>
      <c r="X542" s="80" t="str">
        <f>IFERROR(__xludf.DUMMYFUNCTION("""COMPUTED_VALUE"""),"")</f>
        <v/>
      </c>
      <c r="Y542" s="109" t="str">
        <f>IFERROR(__xludf.DUMMYFUNCTION("""COMPUTED_VALUE"""),"")</f>
        <v/>
      </c>
      <c r="Z542" s="71"/>
      <c r="AA542" s="71"/>
      <c r="AB542" s="71"/>
    </row>
    <row r="543">
      <c r="A543" s="71"/>
      <c r="B543" s="71"/>
      <c r="C543" s="71" t="str">
        <f>IFERROR(__xludf.DUMMYFUNCTION("""COMPUTED_VALUE"""),"")</f>
        <v/>
      </c>
      <c r="D543" s="71"/>
      <c r="E543" s="78"/>
      <c r="F543" s="71"/>
      <c r="G543" s="78" t="str">
        <f>IFERROR(__xludf.DUMMYFUNCTION("""COMPUTED_VALUE"""),"")</f>
        <v/>
      </c>
      <c r="H543" s="71"/>
      <c r="I543" s="80" t="str">
        <f>IFERROR(__xludf.DUMMYFUNCTION("""COMPUTED_VALUE"""),"")</f>
        <v/>
      </c>
      <c r="J543" s="71" t="str">
        <f>IFERROR(__xludf.DUMMYFUNCTION("""COMPUTED_VALUE"""),"")</f>
        <v/>
      </c>
      <c r="K543" s="71"/>
      <c r="L543" s="71" t="str">
        <f>IFERROR(__xludf.DUMMYFUNCTION("""COMPUTED_VALUE"""),"")</f>
        <v/>
      </c>
      <c r="M543" s="71"/>
      <c r="N543" s="109" t="str">
        <f>IFERROR(__xludf.DUMMYFUNCTION("""COMPUTED_VALUE"""),"")</f>
        <v/>
      </c>
      <c r="O543" s="71" t="str">
        <f>IFERROR(__xludf.DUMMYFUNCTION("""COMPUTED_VALUE"""),"")</f>
        <v/>
      </c>
      <c r="P543" s="71" t="str">
        <f>IFERROR(__xludf.DUMMYFUNCTION("""COMPUTED_VALUE"""),"")</f>
        <v/>
      </c>
      <c r="Q543" s="78" t="str">
        <f>IFERROR(__xludf.DUMMYFUNCTION("""COMPUTED_VALUE"""),"")</f>
        <v/>
      </c>
      <c r="R543" s="78" t="str">
        <f>IFERROR(__xludf.DUMMYFUNCTION("""COMPUTED_VALUE"""),"")</f>
        <v/>
      </c>
      <c r="S543" s="80" t="str">
        <f>IFERROR(__xludf.DUMMYFUNCTION("""COMPUTED_VALUE"""),"")</f>
        <v/>
      </c>
      <c r="T543" s="80" t="str">
        <f>IFERROR(__xludf.DUMMYFUNCTION("""COMPUTED_VALUE"""),"")</f>
        <v/>
      </c>
      <c r="U543" s="71" t="str">
        <f>IFERROR(__xludf.DUMMYFUNCTION("""COMPUTED_VALUE"""),"")</f>
        <v/>
      </c>
      <c r="V543" s="78" t="str">
        <f>IFERROR(__xludf.DUMMYFUNCTION("""COMPUTED_VALUE"""),"")</f>
        <v/>
      </c>
      <c r="W543" s="62" t="str">
        <f>IFERROR(__xludf.DUMMYFUNCTION("""COMPUTED_VALUE"""),"")</f>
        <v/>
      </c>
      <c r="X543" s="80" t="str">
        <f>IFERROR(__xludf.DUMMYFUNCTION("""COMPUTED_VALUE"""),"")</f>
        <v/>
      </c>
      <c r="Y543" s="109" t="str">
        <f>IFERROR(__xludf.DUMMYFUNCTION("""COMPUTED_VALUE"""),"")</f>
        <v/>
      </c>
      <c r="Z543" s="71"/>
      <c r="AA543" s="71"/>
      <c r="AB543" s="71"/>
    </row>
    <row r="544">
      <c r="A544" s="71"/>
      <c r="B544" s="71"/>
      <c r="C544" s="71" t="str">
        <f>IFERROR(__xludf.DUMMYFUNCTION("""COMPUTED_VALUE"""),"")</f>
        <v/>
      </c>
      <c r="D544" s="71"/>
      <c r="E544" s="78"/>
      <c r="F544" s="71"/>
      <c r="G544" s="78" t="str">
        <f>IFERROR(__xludf.DUMMYFUNCTION("""COMPUTED_VALUE"""),"")</f>
        <v/>
      </c>
      <c r="H544" s="71"/>
      <c r="I544" s="80" t="str">
        <f>IFERROR(__xludf.DUMMYFUNCTION("""COMPUTED_VALUE"""),"")</f>
        <v/>
      </c>
      <c r="J544" s="71" t="str">
        <f>IFERROR(__xludf.DUMMYFUNCTION("""COMPUTED_VALUE"""),"")</f>
        <v/>
      </c>
      <c r="K544" s="71"/>
      <c r="L544" s="71" t="str">
        <f>IFERROR(__xludf.DUMMYFUNCTION("""COMPUTED_VALUE"""),"")</f>
        <v/>
      </c>
      <c r="M544" s="71"/>
      <c r="N544" s="109" t="str">
        <f>IFERROR(__xludf.DUMMYFUNCTION("""COMPUTED_VALUE"""),"")</f>
        <v/>
      </c>
      <c r="O544" s="71" t="str">
        <f>IFERROR(__xludf.DUMMYFUNCTION("""COMPUTED_VALUE"""),"")</f>
        <v/>
      </c>
      <c r="P544" s="71" t="str">
        <f>IFERROR(__xludf.DUMMYFUNCTION("""COMPUTED_VALUE"""),"")</f>
        <v/>
      </c>
      <c r="Q544" s="78" t="str">
        <f>IFERROR(__xludf.DUMMYFUNCTION("""COMPUTED_VALUE"""),"")</f>
        <v/>
      </c>
      <c r="R544" s="78" t="str">
        <f>IFERROR(__xludf.DUMMYFUNCTION("""COMPUTED_VALUE"""),"")</f>
        <v/>
      </c>
      <c r="S544" s="80" t="str">
        <f>IFERROR(__xludf.DUMMYFUNCTION("""COMPUTED_VALUE"""),"")</f>
        <v/>
      </c>
      <c r="T544" s="80" t="str">
        <f>IFERROR(__xludf.DUMMYFUNCTION("""COMPUTED_VALUE"""),"")</f>
        <v/>
      </c>
      <c r="U544" s="71" t="str">
        <f>IFERROR(__xludf.DUMMYFUNCTION("""COMPUTED_VALUE"""),"")</f>
        <v/>
      </c>
      <c r="V544" s="78" t="str">
        <f>IFERROR(__xludf.DUMMYFUNCTION("""COMPUTED_VALUE"""),"")</f>
        <v/>
      </c>
      <c r="W544" s="62" t="str">
        <f>IFERROR(__xludf.DUMMYFUNCTION("""COMPUTED_VALUE"""),"")</f>
        <v/>
      </c>
      <c r="X544" s="80" t="str">
        <f>IFERROR(__xludf.DUMMYFUNCTION("""COMPUTED_VALUE"""),"")</f>
        <v/>
      </c>
      <c r="Y544" s="109" t="str">
        <f>IFERROR(__xludf.DUMMYFUNCTION("""COMPUTED_VALUE"""),"")</f>
        <v/>
      </c>
      <c r="Z544" s="71"/>
      <c r="AA544" s="71"/>
      <c r="AB544" s="71"/>
    </row>
    <row r="545">
      <c r="A545" s="71"/>
      <c r="B545" s="71"/>
      <c r="C545" s="71" t="str">
        <f>IFERROR(__xludf.DUMMYFUNCTION("""COMPUTED_VALUE"""),"")</f>
        <v/>
      </c>
      <c r="D545" s="71"/>
      <c r="E545" s="78"/>
      <c r="F545" s="71"/>
      <c r="G545" s="78" t="str">
        <f>IFERROR(__xludf.DUMMYFUNCTION("""COMPUTED_VALUE"""),"")</f>
        <v/>
      </c>
      <c r="H545" s="71"/>
      <c r="I545" s="80" t="str">
        <f>IFERROR(__xludf.DUMMYFUNCTION("""COMPUTED_VALUE"""),"")</f>
        <v/>
      </c>
      <c r="J545" s="71" t="str">
        <f>IFERROR(__xludf.DUMMYFUNCTION("""COMPUTED_VALUE"""),"")</f>
        <v/>
      </c>
      <c r="K545" s="71"/>
      <c r="L545" s="71" t="str">
        <f>IFERROR(__xludf.DUMMYFUNCTION("""COMPUTED_VALUE"""),"")</f>
        <v/>
      </c>
      <c r="M545" s="71"/>
      <c r="N545" s="109" t="str">
        <f>IFERROR(__xludf.DUMMYFUNCTION("""COMPUTED_VALUE"""),"")</f>
        <v/>
      </c>
      <c r="O545" s="71" t="str">
        <f>IFERROR(__xludf.DUMMYFUNCTION("""COMPUTED_VALUE"""),"")</f>
        <v/>
      </c>
      <c r="P545" s="71" t="str">
        <f>IFERROR(__xludf.DUMMYFUNCTION("""COMPUTED_VALUE"""),"")</f>
        <v/>
      </c>
      <c r="Q545" s="78" t="str">
        <f>IFERROR(__xludf.DUMMYFUNCTION("""COMPUTED_VALUE"""),"")</f>
        <v/>
      </c>
      <c r="R545" s="78" t="str">
        <f>IFERROR(__xludf.DUMMYFUNCTION("""COMPUTED_VALUE"""),"")</f>
        <v/>
      </c>
      <c r="S545" s="80" t="str">
        <f>IFERROR(__xludf.DUMMYFUNCTION("""COMPUTED_VALUE"""),"")</f>
        <v/>
      </c>
      <c r="T545" s="80" t="str">
        <f>IFERROR(__xludf.DUMMYFUNCTION("""COMPUTED_VALUE"""),"")</f>
        <v/>
      </c>
      <c r="U545" s="71" t="str">
        <f>IFERROR(__xludf.DUMMYFUNCTION("""COMPUTED_VALUE"""),"")</f>
        <v/>
      </c>
      <c r="V545" s="78" t="str">
        <f>IFERROR(__xludf.DUMMYFUNCTION("""COMPUTED_VALUE"""),"")</f>
        <v/>
      </c>
      <c r="W545" s="62" t="str">
        <f>IFERROR(__xludf.DUMMYFUNCTION("""COMPUTED_VALUE"""),"")</f>
        <v/>
      </c>
      <c r="X545" s="80" t="str">
        <f>IFERROR(__xludf.DUMMYFUNCTION("""COMPUTED_VALUE"""),"")</f>
        <v/>
      </c>
      <c r="Y545" s="109" t="str">
        <f>IFERROR(__xludf.DUMMYFUNCTION("""COMPUTED_VALUE"""),"")</f>
        <v/>
      </c>
      <c r="Z545" s="71"/>
      <c r="AA545" s="71"/>
      <c r="AB545" s="71"/>
    </row>
    <row r="546">
      <c r="A546" s="71"/>
      <c r="B546" s="71"/>
      <c r="C546" s="71" t="str">
        <f>IFERROR(__xludf.DUMMYFUNCTION("""COMPUTED_VALUE"""),"")</f>
        <v/>
      </c>
      <c r="D546" s="71"/>
      <c r="E546" s="78"/>
      <c r="F546" s="71"/>
      <c r="G546" s="78" t="str">
        <f>IFERROR(__xludf.DUMMYFUNCTION("""COMPUTED_VALUE"""),"")</f>
        <v/>
      </c>
      <c r="H546" s="71"/>
      <c r="I546" s="80" t="str">
        <f>IFERROR(__xludf.DUMMYFUNCTION("""COMPUTED_VALUE"""),"")</f>
        <v/>
      </c>
      <c r="J546" s="71" t="str">
        <f>IFERROR(__xludf.DUMMYFUNCTION("""COMPUTED_VALUE"""),"")</f>
        <v/>
      </c>
      <c r="K546" s="71"/>
      <c r="L546" s="71" t="str">
        <f>IFERROR(__xludf.DUMMYFUNCTION("""COMPUTED_VALUE"""),"")</f>
        <v/>
      </c>
      <c r="M546" s="71"/>
      <c r="N546" s="109" t="str">
        <f>IFERROR(__xludf.DUMMYFUNCTION("""COMPUTED_VALUE"""),"")</f>
        <v/>
      </c>
      <c r="O546" s="71" t="str">
        <f>IFERROR(__xludf.DUMMYFUNCTION("""COMPUTED_VALUE"""),"")</f>
        <v/>
      </c>
      <c r="P546" s="71" t="str">
        <f>IFERROR(__xludf.DUMMYFUNCTION("""COMPUTED_VALUE"""),"")</f>
        <v/>
      </c>
      <c r="Q546" s="78" t="str">
        <f>IFERROR(__xludf.DUMMYFUNCTION("""COMPUTED_VALUE"""),"")</f>
        <v/>
      </c>
      <c r="R546" s="78" t="str">
        <f>IFERROR(__xludf.DUMMYFUNCTION("""COMPUTED_VALUE"""),"")</f>
        <v/>
      </c>
      <c r="S546" s="80" t="str">
        <f>IFERROR(__xludf.DUMMYFUNCTION("""COMPUTED_VALUE"""),"")</f>
        <v/>
      </c>
      <c r="T546" s="80" t="str">
        <f>IFERROR(__xludf.DUMMYFUNCTION("""COMPUTED_VALUE"""),"")</f>
        <v/>
      </c>
      <c r="U546" s="71" t="str">
        <f>IFERROR(__xludf.DUMMYFUNCTION("""COMPUTED_VALUE"""),"")</f>
        <v/>
      </c>
      <c r="V546" s="78" t="str">
        <f>IFERROR(__xludf.DUMMYFUNCTION("""COMPUTED_VALUE"""),"")</f>
        <v/>
      </c>
      <c r="W546" s="62" t="str">
        <f>IFERROR(__xludf.DUMMYFUNCTION("""COMPUTED_VALUE"""),"")</f>
        <v/>
      </c>
      <c r="X546" s="80" t="str">
        <f>IFERROR(__xludf.DUMMYFUNCTION("""COMPUTED_VALUE"""),"")</f>
        <v/>
      </c>
      <c r="Y546" s="109" t="str">
        <f>IFERROR(__xludf.DUMMYFUNCTION("""COMPUTED_VALUE"""),"")</f>
        <v/>
      </c>
      <c r="Z546" s="71"/>
      <c r="AA546" s="71"/>
      <c r="AB546" s="71"/>
    </row>
    <row r="547">
      <c r="A547" s="71"/>
      <c r="B547" s="71"/>
      <c r="C547" s="71" t="str">
        <f>IFERROR(__xludf.DUMMYFUNCTION("""COMPUTED_VALUE"""),"")</f>
        <v/>
      </c>
      <c r="D547" s="71"/>
      <c r="E547" s="78"/>
      <c r="F547" s="71"/>
      <c r="G547" s="78" t="str">
        <f>IFERROR(__xludf.DUMMYFUNCTION("""COMPUTED_VALUE"""),"")</f>
        <v/>
      </c>
      <c r="H547" s="71"/>
      <c r="I547" s="80" t="str">
        <f>IFERROR(__xludf.DUMMYFUNCTION("""COMPUTED_VALUE"""),"")</f>
        <v/>
      </c>
      <c r="J547" s="71" t="str">
        <f>IFERROR(__xludf.DUMMYFUNCTION("""COMPUTED_VALUE"""),"")</f>
        <v/>
      </c>
      <c r="K547" s="71"/>
      <c r="L547" s="71" t="str">
        <f>IFERROR(__xludf.DUMMYFUNCTION("""COMPUTED_VALUE"""),"")</f>
        <v/>
      </c>
      <c r="M547" s="71"/>
      <c r="N547" s="109" t="str">
        <f>IFERROR(__xludf.DUMMYFUNCTION("""COMPUTED_VALUE"""),"")</f>
        <v/>
      </c>
      <c r="O547" s="71" t="str">
        <f>IFERROR(__xludf.DUMMYFUNCTION("""COMPUTED_VALUE"""),"")</f>
        <v/>
      </c>
      <c r="P547" s="71" t="str">
        <f>IFERROR(__xludf.DUMMYFUNCTION("""COMPUTED_VALUE"""),"")</f>
        <v/>
      </c>
      <c r="Q547" s="78" t="str">
        <f>IFERROR(__xludf.DUMMYFUNCTION("""COMPUTED_VALUE"""),"")</f>
        <v/>
      </c>
      <c r="R547" s="78" t="str">
        <f>IFERROR(__xludf.DUMMYFUNCTION("""COMPUTED_VALUE"""),"")</f>
        <v/>
      </c>
      <c r="S547" s="80" t="str">
        <f>IFERROR(__xludf.DUMMYFUNCTION("""COMPUTED_VALUE"""),"")</f>
        <v/>
      </c>
      <c r="T547" s="80" t="str">
        <f>IFERROR(__xludf.DUMMYFUNCTION("""COMPUTED_VALUE"""),"")</f>
        <v/>
      </c>
      <c r="U547" s="71" t="str">
        <f>IFERROR(__xludf.DUMMYFUNCTION("""COMPUTED_VALUE"""),"")</f>
        <v/>
      </c>
      <c r="V547" s="78" t="str">
        <f>IFERROR(__xludf.DUMMYFUNCTION("""COMPUTED_VALUE"""),"")</f>
        <v/>
      </c>
      <c r="W547" s="62" t="str">
        <f>IFERROR(__xludf.DUMMYFUNCTION("""COMPUTED_VALUE"""),"")</f>
        <v/>
      </c>
      <c r="X547" s="80" t="str">
        <f>IFERROR(__xludf.DUMMYFUNCTION("""COMPUTED_VALUE"""),"")</f>
        <v/>
      </c>
      <c r="Y547" s="109" t="str">
        <f>IFERROR(__xludf.DUMMYFUNCTION("""COMPUTED_VALUE"""),"")</f>
        <v/>
      </c>
      <c r="Z547" s="71"/>
      <c r="AA547" s="71"/>
      <c r="AB547" s="71"/>
    </row>
    <row r="548">
      <c r="A548" s="71"/>
      <c r="B548" s="71"/>
      <c r="C548" s="71" t="str">
        <f>IFERROR(__xludf.DUMMYFUNCTION("""COMPUTED_VALUE"""),"")</f>
        <v/>
      </c>
      <c r="D548" s="71"/>
      <c r="E548" s="78"/>
      <c r="F548" s="71"/>
      <c r="G548" s="78" t="str">
        <f>IFERROR(__xludf.DUMMYFUNCTION("""COMPUTED_VALUE"""),"")</f>
        <v/>
      </c>
      <c r="H548" s="71"/>
      <c r="I548" s="80" t="str">
        <f>IFERROR(__xludf.DUMMYFUNCTION("""COMPUTED_VALUE"""),"")</f>
        <v/>
      </c>
      <c r="J548" s="71" t="str">
        <f>IFERROR(__xludf.DUMMYFUNCTION("""COMPUTED_VALUE"""),"")</f>
        <v/>
      </c>
      <c r="K548" s="71"/>
      <c r="L548" s="71" t="str">
        <f>IFERROR(__xludf.DUMMYFUNCTION("""COMPUTED_VALUE"""),"")</f>
        <v/>
      </c>
      <c r="M548" s="71"/>
      <c r="N548" s="109" t="str">
        <f>IFERROR(__xludf.DUMMYFUNCTION("""COMPUTED_VALUE"""),"")</f>
        <v/>
      </c>
      <c r="O548" s="71" t="str">
        <f>IFERROR(__xludf.DUMMYFUNCTION("""COMPUTED_VALUE"""),"")</f>
        <v/>
      </c>
      <c r="P548" s="71" t="str">
        <f>IFERROR(__xludf.DUMMYFUNCTION("""COMPUTED_VALUE"""),"")</f>
        <v/>
      </c>
      <c r="Q548" s="78" t="str">
        <f>IFERROR(__xludf.DUMMYFUNCTION("""COMPUTED_VALUE"""),"")</f>
        <v/>
      </c>
      <c r="R548" s="78" t="str">
        <f>IFERROR(__xludf.DUMMYFUNCTION("""COMPUTED_VALUE"""),"")</f>
        <v/>
      </c>
      <c r="S548" s="80" t="str">
        <f>IFERROR(__xludf.DUMMYFUNCTION("""COMPUTED_VALUE"""),"")</f>
        <v/>
      </c>
      <c r="T548" s="80" t="str">
        <f>IFERROR(__xludf.DUMMYFUNCTION("""COMPUTED_VALUE"""),"")</f>
        <v/>
      </c>
      <c r="U548" s="71" t="str">
        <f>IFERROR(__xludf.DUMMYFUNCTION("""COMPUTED_VALUE"""),"")</f>
        <v/>
      </c>
      <c r="V548" s="78" t="str">
        <f>IFERROR(__xludf.DUMMYFUNCTION("""COMPUTED_VALUE"""),"")</f>
        <v/>
      </c>
      <c r="W548" s="62" t="str">
        <f>IFERROR(__xludf.DUMMYFUNCTION("""COMPUTED_VALUE"""),"")</f>
        <v/>
      </c>
      <c r="X548" s="80" t="str">
        <f>IFERROR(__xludf.DUMMYFUNCTION("""COMPUTED_VALUE"""),"")</f>
        <v/>
      </c>
      <c r="Y548" s="109" t="str">
        <f>IFERROR(__xludf.DUMMYFUNCTION("""COMPUTED_VALUE"""),"")</f>
        <v/>
      </c>
      <c r="Z548" s="71"/>
      <c r="AA548" s="71"/>
      <c r="AB548" s="71"/>
    </row>
    <row r="549">
      <c r="A549" s="71"/>
      <c r="B549" s="71"/>
      <c r="C549" s="71" t="str">
        <f>IFERROR(__xludf.DUMMYFUNCTION("""COMPUTED_VALUE"""),"")</f>
        <v/>
      </c>
      <c r="D549" s="71"/>
      <c r="E549" s="78"/>
      <c r="F549" s="71"/>
      <c r="G549" s="78" t="str">
        <f>IFERROR(__xludf.DUMMYFUNCTION("""COMPUTED_VALUE"""),"")</f>
        <v/>
      </c>
      <c r="H549" s="71"/>
      <c r="I549" s="80" t="str">
        <f>IFERROR(__xludf.DUMMYFUNCTION("""COMPUTED_VALUE"""),"")</f>
        <v/>
      </c>
      <c r="J549" s="71" t="str">
        <f>IFERROR(__xludf.DUMMYFUNCTION("""COMPUTED_VALUE"""),"")</f>
        <v/>
      </c>
      <c r="K549" s="71"/>
      <c r="L549" s="71" t="str">
        <f>IFERROR(__xludf.DUMMYFUNCTION("""COMPUTED_VALUE"""),"")</f>
        <v/>
      </c>
      <c r="M549" s="71"/>
      <c r="N549" s="109" t="str">
        <f>IFERROR(__xludf.DUMMYFUNCTION("""COMPUTED_VALUE"""),"")</f>
        <v/>
      </c>
      <c r="O549" s="71" t="str">
        <f>IFERROR(__xludf.DUMMYFUNCTION("""COMPUTED_VALUE"""),"")</f>
        <v/>
      </c>
      <c r="P549" s="71" t="str">
        <f>IFERROR(__xludf.DUMMYFUNCTION("""COMPUTED_VALUE"""),"")</f>
        <v/>
      </c>
      <c r="Q549" s="78" t="str">
        <f>IFERROR(__xludf.DUMMYFUNCTION("""COMPUTED_VALUE"""),"")</f>
        <v/>
      </c>
      <c r="R549" s="78" t="str">
        <f>IFERROR(__xludf.DUMMYFUNCTION("""COMPUTED_VALUE"""),"")</f>
        <v/>
      </c>
      <c r="S549" s="80" t="str">
        <f>IFERROR(__xludf.DUMMYFUNCTION("""COMPUTED_VALUE"""),"")</f>
        <v/>
      </c>
      <c r="T549" s="80" t="str">
        <f>IFERROR(__xludf.DUMMYFUNCTION("""COMPUTED_VALUE"""),"")</f>
        <v/>
      </c>
      <c r="U549" s="71" t="str">
        <f>IFERROR(__xludf.DUMMYFUNCTION("""COMPUTED_VALUE"""),"")</f>
        <v/>
      </c>
      <c r="V549" s="78" t="str">
        <f>IFERROR(__xludf.DUMMYFUNCTION("""COMPUTED_VALUE"""),"")</f>
        <v/>
      </c>
      <c r="W549" s="62" t="str">
        <f>IFERROR(__xludf.DUMMYFUNCTION("""COMPUTED_VALUE"""),"")</f>
        <v/>
      </c>
      <c r="X549" s="80" t="str">
        <f>IFERROR(__xludf.DUMMYFUNCTION("""COMPUTED_VALUE"""),"")</f>
        <v/>
      </c>
      <c r="Y549" s="109" t="str">
        <f>IFERROR(__xludf.DUMMYFUNCTION("""COMPUTED_VALUE"""),"")</f>
        <v/>
      </c>
      <c r="Z549" s="71"/>
      <c r="AA549" s="71"/>
      <c r="AB549" s="71"/>
    </row>
    <row r="550">
      <c r="A550" s="71"/>
      <c r="B550" s="71"/>
      <c r="C550" s="71" t="str">
        <f>IFERROR(__xludf.DUMMYFUNCTION("""COMPUTED_VALUE"""),"")</f>
        <v/>
      </c>
      <c r="D550" s="71"/>
      <c r="E550" s="78"/>
      <c r="F550" s="71"/>
      <c r="G550" s="78" t="str">
        <f>IFERROR(__xludf.DUMMYFUNCTION("""COMPUTED_VALUE"""),"")</f>
        <v/>
      </c>
      <c r="H550" s="71"/>
      <c r="I550" s="80" t="str">
        <f>IFERROR(__xludf.DUMMYFUNCTION("""COMPUTED_VALUE"""),"")</f>
        <v/>
      </c>
      <c r="J550" s="71" t="str">
        <f>IFERROR(__xludf.DUMMYFUNCTION("""COMPUTED_VALUE"""),"")</f>
        <v/>
      </c>
      <c r="K550" s="71"/>
      <c r="L550" s="71" t="str">
        <f>IFERROR(__xludf.DUMMYFUNCTION("""COMPUTED_VALUE"""),"")</f>
        <v/>
      </c>
      <c r="M550" s="71"/>
      <c r="N550" s="109" t="str">
        <f>IFERROR(__xludf.DUMMYFUNCTION("""COMPUTED_VALUE"""),"")</f>
        <v/>
      </c>
      <c r="O550" s="71" t="str">
        <f>IFERROR(__xludf.DUMMYFUNCTION("""COMPUTED_VALUE"""),"")</f>
        <v/>
      </c>
      <c r="P550" s="71" t="str">
        <f>IFERROR(__xludf.DUMMYFUNCTION("""COMPUTED_VALUE"""),"")</f>
        <v/>
      </c>
      <c r="Q550" s="78" t="str">
        <f>IFERROR(__xludf.DUMMYFUNCTION("""COMPUTED_VALUE"""),"")</f>
        <v/>
      </c>
      <c r="R550" s="78" t="str">
        <f>IFERROR(__xludf.DUMMYFUNCTION("""COMPUTED_VALUE"""),"")</f>
        <v/>
      </c>
      <c r="S550" s="80" t="str">
        <f>IFERROR(__xludf.DUMMYFUNCTION("""COMPUTED_VALUE"""),"")</f>
        <v/>
      </c>
      <c r="T550" s="80" t="str">
        <f>IFERROR(__xludf.DUMMYFUNCTION("""COMPUTED_VALUE"""),"")</f>
        <v/>
      </c>
      <c r="U550" s="71" t="str">
        <f>IFERROR(__xludf.DUMMYFUNCTION("""COMPUTED_VALUE"""),"")</f>
        <v/>
      </c>
      <c r="V550" s="78" t="str">
        <f>IFERROR(__xludf.DUMMYFUNCTION("""COMPUTED_VALUE"""),"")</f>
        <v/>
      </c>
      <c r="W550" s="62" t="str">
        <f>IFERROR(__xludf.DUMMYFUNCTION("""COMPUTED_VALUE"""),"")</f>
        <v/>
      </c>
      <c r="X550" s="80" t="str">
        <f>IFERROR(__xludf.DUMMYFUNCTION("""COMPUTED_VALUE"""),"")</f>
        <v/>
      </c>
      <c r="Y550" s="109" t="str">
        <f>IFERROR(__xludf.DUMMYFUNCTION("""COMPUTED_VALUE"""),"")</f>
        <v/>
      </c>
      <c r="Z550" s="71"/>
      <c r="AA550" s="71"/>
      <c r="AB550" s="71"/>
    </row>
    <row r="551">
      <c r="A551" s="71"/>
      <c r="B551" s="71"/>
      <c r="C551" s="71" t="str">
        <f>IFERROR(__xludf.DUMMYFUNCTION("""COMPUTED_VALUE"""),"")</f>
        <v/>
      </c>
      <c r="D551" s="71"/>
      <c r="E551" s="78"/>
      <c r="F551" s="71"/>
      <c r="G551" s="78" t="str">
        <f>IFERROR(__xludf.DUMMYFUNCTION("""COMPUTED_VALUE"""),"")</f>
        <v/>
      </c>
      <c r="H551" s="71"/>
      <c r="I551" s="80" t="str">
        <f>IFERROR(__xludf.DUMMYFUNCTION("""COMPUTED_VALUE"""),"")</f>
        <v/>
      </c>
      <c r="J551" s="71" t="str">
        <f>IFERROR(__xludf.DUMMYFUNCTION("""COMPUTED_VALUE"""),"")</f>
        <v/>
      </c>
      <c r="K551" s="71"/>
      <c r="L551" s="71" t="str">
        <f>IFERROR(__xludf.DUMMYFUNCTION("""COMPUTED_VALUE"""),"")</f>
        <v/>
      </c>
      <c r="M551" s="71"/>
      <c r="N551" s="109" t="str">
        <f>IFERROR(__xludf.DUMMYFUNCTION("""COMPUTED_VALUE"""),"")</f>
        <v/>
      </c>
      <c r="O551" s="71" t="str">
        <f>IFERROR(__xludf.DUMMYFUNCTION("""COMPUTED_VALUE"""),"")</f>
        <v/>
      </c>
      <c r="P551" s="71" t="str">
        <f>IFERROR(__xludf.DUMMYFUNCTION("""COMPUTED_VALUE"""),"")</f>
        <v/>
      </c>
      <c r="Q551" s="78" t="str">
        <f>IFERROR(__xludf.DUMMYFUNCTION("""COMPUTED_VALUE"""),"")</f>
        <v/>
      </c>
      <c r="R551" s="78" t="str">
        <f>IFERROR(__xludf.DUMMYFUNCTION("""COMPUTED_VALUE"""),"")</f>
        <v/>
      </c>
      <c r="S551" s="80" t="str">
        <f>IFERROR(__xludf.DUMMYFUNCTION("""COMPUTED_VALUE"""),"")</f>
        <v/>
      </c>
      <c r="T551" s="80" t="str">
        <f>IFERROR(__xludf.DUMMYFUNCTION("""COMPUTED_VALUE"""),"")</f>
        <v/>
      </c>
      <c r="U551" s="71" t="str">
        <f>IFERROR(__xludf.DUMMYFUNCTION("""COMPUTED_VALUE"""),"")</f>
        <v/>
      </c>
      <c r="V551" s="78" t="str">
        <f>IFERROR(__xludf.DUMMYFUNCTION("""COMPUTED_VALUE"""),"")</f>
        <v/>
      </c>
      <c r="W551" s="62" t="str">
        <f>IFERROR(__xludf.DUMMYFUNCTION("""COMPUTED_VALUE"""),"")</f>
        <v/>
      </c>
      <c r="X551" s="80" t="str">
        <f>IFERROR(__xludf.DUMMYFUNCTION("""COMPUTED_VALUE"""),"")</f>
        <v/>
      </c>
      <c r="Y551" s="109" t="str">
        <f>IFERROR(__xludf.DUMMYFUNCTION("""COMPUTED_VALUE"""),"")</f>
        <v/>
      </c>
      <c r="Z551" s="71"/>
      <c r="AA551" s="71"/>
      <c r="AB551" s="71"/>
    </row>
    <row r="552">
      <c r="A552" s="71"/>
      <c r="B552" s="71"/>
      <c r="C552" s="71" t="str">
        <f>IFERROR(__xludf.DUMMYFUNCTION("""COMPUTED_VALUE"""),"")</f>
        <v/>
      </c>
      <c r="D552" s="71"/>
      <c r="E552" s="78"/>
      <c r="F552" s="71"/>
      <c r="G552" s="78" t="str">
        <f>IFERROR(__xludf.DUMMYFUNCTION("""COMPUTED_VALUE"""),"")</f>
        <v/>
      </c>
      <c r="H552" s="71"/>
      <c r="I552" s="80" t="str">
        <f>IFERROR(__xludf.DUMMYFUNCTION("""COMPUTED_VALUE"""),"")</f>
        <v/>
      </c>
      <c r="J552" s="71" t="str">
        <f>IFERROR(__xludf.DUMMYFUNCTION("""COMPUTED_VALUE"""),"")</f>
        <v/>
      </c>
      <c r="K552" s="71"/>
      <c r="L552" s="71" t="str">
        <f>IFERROR(__xludf.DUMMYFUNCTION("""COMPUTED_VALUE"""),"")</f>
        <v/>
      </c>
      <c r="M552" s="71"/>
      <c r="N552" s="109" t="str">
        <f>IFERROR(__xludf.DUMMYFUNCTION("""COMPUTED_VALUE"""),"")</f>
        <v/>
      </c>
      <c r="O552" s="71" t="str">
        <f>IFERROR(__xludf.DUMMYFUNCTION("""COMPUTED_VALUE"""),"")</f>
        <v/>
      </c>
      <c r="P552" s="71" t="str">
        <f>IFERROR(__xludf.DUMMYFUNCTION("""COMPUTED_VALUE"""),"")</f>
        <v/>
      </c>
      <c r="Q552" s="78" t="str">
        <f>IFERROR(__xludf.DUMMYFUNCTION("""COMPUTED_VALUE"""),"")</f>
        <v/>
      </c>
      <c r="R552" s="78" t="str">
        <f>IFERROR(__xludf.DUMMYFUNCTION("""COMPUTED_VALUE"""),"")</f>
        <v/>
      </c>
      <c r="S552" s="80" t="str">
        <f>IFERROR(__xludf.DUMMYFUNCTION("""COMPUTED_VALUE"""),"")</f>
        <v/>
      </c>
      <c r="T552" s="80" t="str">
        <f>IFERROR(__xludf.DUMMYFUNCTION("""COMPUTED_VALUE"""),"")</f>
        <v/>
      </c>
      <c r="U552" s="71" t="str">
        <f>IFERROR(__xludf.DUMMYFUNCTION("""COMPUTED_VALUE"""),"")</f>
        <v/>
      </c>
      <c r="V552" s="78" t="str">
        <f>IFERROR(__xludf.DUMMYFUNCTION("""COMPUTED_VALUE"""),"")</f>
        <v/>
      </c>
      <c r="W552" s="62" t="str">
        <f>IFERROR(__xludf.DUMMYFUNCTION("""COMPUTED_VALUE"""),"")</f>
        <v/>
      </c>
      <c r="X552" s="80" t="str">
        <f>IFERROR(__xludf.DUMMYFUNCTION("""COMPUTED_VALUE"""),"")</f>
        <v/>
      </c>
      <c r="Y552" s="109" t="str">
        <f>IFERROR(__xludf.DUMMYFUNCTION("""COMPUTED_VALUE"""),"")</f>
        <v/>
      </c>
      <c r="Z552" s="71"/>
      <c r="AA552" s="71"/>
      <c r="AB552" s="71"/>
    </row>
    <row r="553">
      <c r="A553" s="71"/>
      <c r="B553" s="71"/>
      <c r="C553" s="71" t="str">
        <f>IFERROR(__xludf.DUMMYFUNCTION("""COMPUTED_VALUE"""),"")</f>
        <v/>
      </c>
      <c r="D553" s="71"/>
      <c r="E553" s="78"/>
      <c r="F553" s="71"/>
      <c r="G553" s="78" t="str">
        <f>IFERROR(__xludf.DUMMYFUNCTION("""COMPUTED_VALUE"""),"")</f>
        <v/>
      </c>
      <c r="H553" s="71"/>
      <c r="I553" s="80" t="str">
        <f>IFERROR(__xludf.DUMMYFUNCTION("""COMPUTED_VALUE"""),"")</f>
        <v/>
      </c>
      <c r="J553" s="71" t="str">
        <f>IFERROR(__xludf.DUMMYFUNCTION("""COMPUTED_VALUE"""),"")</f>
        <v/>
      </c>
      <c r="K553" s="71"/>
      <c r="L553" s="71" t="str">
        <f>IFERROR(__xludf.DUMMYFUNCTION("""COMPUTED_VALUE"""),"")</f>
        <v/>
      </c>
      <c r="M553" s="71"/>
      <c r="N553" s="109" t="str">
        <f>IFERROR(__xludf.DUMMYFUNCTION("""COMPUTED_VALUE"""),"")</f>
        <v/>
      </c>
      <c r="O553" s="71" t="str">
        <f>IFERROR(__xludf.DUMMYFUNCTION("""COMPUTED_VALUE"""),"")</f>
        <v/>
      </c>
      <c r="P553" s="71" t="str">
        <f>IFERROR(__xludf.DUMMYFUNCTION("""COMPUTED_VALUE"""),"")</f>
        <v/>
      </c>
      <c r="Q553" s="78" t="str">
        <f>IFERROR(__xludf.DUMMYFUNCTION("""COMPUTED_VALUE"""),"")</f>
        <v/>
      </c>
      <c r="R553" s="78" t="str">
        <f>IFERROR(__xludf.DUMMYFUNCTION("""COMPUTED_VALUE"""),"")</f>
        <v/>
      </c>
      <c r="S553" s="80" t="str">
        <f>IFERROR(__xludf.DUMMYFUNCTION("""COMPUTED_VALUE"""),"")</f>
        <v/>
      </c>
      <c r="T553" s="80" t="str">
        <f>IFERROR(__xludf.DUMMYFUNCTION("""COMPUTED_VALUE"""),"")</f>
        <v/>
      </c>
      <c r="U553" s="71" t="str">
        <f>IFERROR(__xludf.DUMMYFUNCTION("""COMPUTED_VALUE"""),"")</f>
        <v/>
      </c>
      <c r="V553" s="78" t="str">
        <f>IFERROR(__xludf.DUMMYFUNCTION("""COMPUTED_VALUE"""),"")</f>
        <v/>
      </c>
      <c r="W553" s="62" t="str">
        <f>IFERROR(__xludf.DUMMYFUNCTION("""COMPUTED_VALUE"""),"")</f>
        <v/>
      </c>
      <c r="X553" s="80" t="str">
        <f>IFERROR(__xludf.DUMMYFUNCTION("""COMPUTED_VALUE"""),"")</f>
        <v/>
      </c>
      <c r="Y553" s="109" t="str">
        <f>IFERROR(__xludf.DUMMYFUNCTION("""COMPUTED_VALUE"""),"")</f>
        <v/>
      </c>
      <c r="Z553" s="71"/>
      <c r="AA553" s="71"/>
      <c r="AB553" s="71"/>
    </row>
    <row r="554">
      <c r="A554" s="71"/>
      <c r="B554" s="71"/>
      <c r="C554" s="71" t="str">
        <f>IFERROR(__xludf.DUMMYFUNCTION("""COMPUTED_VALUE"""),"")</f>
        <v/>
      </c>
      <c r="D554" s="71"/>
      <c r="E554" s="78"/>
      <c r="F554" s="71"/>
      <c r="G554" s="78" t="str">
        <f>IFERROR(__xludf.DUMMYFUNCTION("""COMPUTED_VALUE"""),"")</f>
        <v/>
      </c>
      <c r="H554" s="71"/>
      <c r="I554" s="80" t="str">
        <f>IFERROR(__xludf.DUMMYFUNCTION("""COMPUTED_VALUE"""),"")</f>
        <v/>
      </c>
      <c r="J554" s="71" t="str">
        <f>IFERROR(__xludf.DUMMYFUNCTION("""COMPUTED_VALUE"""),"")</f>
        <v/>
      </c>
      <c r="K554" s="71"/>
      <c r="L554" s="71" t="str">
        <f>IFERROR(__xludf.DUMMYFUNCTION("""COMPUTED_VALUE"""),"")</f>
        <v/>
      </c>
      <c r="M554" s="71"/>
      <c r="N554" s="109" t="str">
        <f>IFERROR(__xludf.DUMMYFUNCTION("""COMPUTED_VALUE"""),"")</f>
        <v/>
      </c>
      <c r="O554" s="71" t="str">
        <f>IFERROR(__xludf.DUMMYFUNCTION("""COMPUTED_VALUE"""),"")</f>
        <v/>
      </c>
      <c r="P554" s="71" t="str">
        <f>IFERROR(__xludf.DUMMYFUNCTION("""COMPUTED_VALUE"""),"")</f>
        <v/>
      </c>
      <c r="Q554" s="78" t="str">
        <f>IFERROR(__xludf.DUMMYFUNCTION("""COMPUTED_VALUE"""),"")</f>
        <v/>
      </c>
      <c r="R554" s="78" t="str">
        <f>IFERROR(__xludf.DUMMYFUNCTION("""COMPUTED_VALUE"""),"")</f>
        <v/>
      </c>
      <c r="S554" s="80" t="str">
        <f>IFERROR(__xludf.DUMMYFUNCTION("""COMPUTED_VALUE"""),"")</f>
        <v/>
      </c>
      <c r="T554" s="80" t="str">
        <f>IFERROR(__xludf.DUMMYFUNCTION("""COMPUTED_VALUE"""),"")</f>
        <v/>
      </c>
      <c r="U554" s="71" t="str">
        <f>IFERROR(__xludf.DUMMYFUNCTION("""COMPUTED_VALUE"""),"")</f>
        <v/>
      </c>
      <c r="V554" s="78" t="str">
        <f>IFERROR(__xludf.DUMMYFUNCTION("""COMPUTED_VALUE"""),"")</f>
        <v/>
      </c>
      <c r="W554" s="62" t="str">
        <f>IFERROR(__xludf.DUMMYFUNCTION("""COMPUTED_VALUE"""),"")</f>
        <v/>
      </c>
      <c r="X554" s="80" t="str">
        <f>IFERROR(__xludf.DUMMYFUNCTION("""COMPUTED_VALUE"""),"")</f>
        <v/>
      </c>
      <c r="Y554" s="109" t="str">
        <f>IFERROR(__xludf.DUMMYFUNCTION("""COMPUTED_VALUE"""),"")</f>
        <v/>
      </c>
      <c r="Z554" s="71"/>
      <c r="AA554" s="71"/>
      <c r="AB554" s="71"/>
    </row>
    <row r="555">
      <c r="A555" s="71"/>
      <c r="B555" s="71"/>
      <c r="C555" s="71" t="str">
        <f>IFERROR(__xludf.DUMMYFUNCTION("""COMPUTED_VALUE"""),"")</f>
        <v/>
      </c>
      <c r="D555" s="71"/>
      <c r="E555" s="78"/>
      <c r="F555" s="71"/>
      <c r="G555" s="78" t="str">
        <f>IFERROR(__xludf.DUMMYFUNCTION("""COMPUTED_VALUE"""),"")</f>
        <v/>
      </c>
      <c r="H555" s="71"/>
      <c r="I555" s="80" t="str">
        <f>IFERROR(__xludf.DUMMYFUNCTION("""COMPUTED_VALUE"""),"")</f>
        <v/>
      </c>
      <c r="J555" s="71" t="str">
        <f>IFERROR(__xludf.DUMMYFUNCTION("""COMPUTED_VALUE"""),"")</f>
        <v/>
      </c>
      <c r="K555" s="71"/>
      <c r="L555" s="71" t="str">
        <f>IFERROR(__xludf.DUMMYFUNCTION("""COMPUTED_VALUE"""),"")</f>
        <v/>
      </c>
      <c r="M555" s="71"/>
      <c r="N555" s="109" t="str">
        <f>IFERROR(__xludf.DUMMYFUNCTION("""COMPUTED_VALUE"""),"")</f>
        <v/>
      </c>
      <c r="O555" s="71" t="str">
        <f>IFERROR(__xludf.DUMMYFUNCTION("""COMPUTED_VALUE"""),"")</f>
        <v/>
      </c>
      <c r="P555" s="71" t="str">
        <f>IFERROR(__xludf.DUMMYFUNCTION("""COMPUTED_VALUE"""),"")</f>
        <v/>
      </c>
      <c r="Q555" s="78" t="str">
        <f>IFERROR(__xludf.DUMMYFUNCTION("""COMPUTED_VALUE"""),"")</f>
        <v/>
      </c>
      <c r="R555" s="78" t="str">
        <f>IFERROR(__xludf.DUMMYFUNCTION("""COMPUTED_VALUE"""),"")</f>
        <v/>
      </c>
      <c r="S555" s="80" t="str">
        <f>IFERROR(__xludf.DUMMYFUNCTION("""COMPUTED_VALUE"""),"")</f>
        <v/>
      </c>
      <c r="T555" s="80" t="str">
        <f>IFERROR(__xludf.DUMMYFUNCTION("""COMPUTED_VALUE"""),"")</f>
        <v/>
      </c>
      <c r="U555" s="71" t="str">
        <f>IFERROR(__xludf.DUMMYFUNCTION("""COMPUTED_VALUE"""),"")</f>
        <v/>
      </c>
      <c r="V555" s="78" t="str">
        <f>IFERROR(__xludf.DUMMYFUNCTION("""COMPUTED_VALUE"""),"")</f>
        <v/>
      </c>
      <c r="W555" s="62" t="str">
        <f>IFERROR(__xludf.DUMMYFUNCTION("""COMPUTED_VALUE"""),"")</f>
        <v/>
      </c>
      <c r="X555" s="80" t="str">
        <f>IFERROR(__xludf.DUMMYFUNCTION("""COMPUTED_VALUE"""),"")</f>
        <v/>
      </c>
      <c r="Y555" s="109" t="str">
        <f>IFERROR(__xludf.DUMMYFUNCTION("""COMPUTED_VALUE"""),"")</f>
        <v/>
      </c>
      <c r="Z555" s="71"/>
      <c r="AA555" s="71"/>
      <c r="AB555" s="71"/>
    </row>
    <row r="556">
      <c r="A556" s="71"/>
      <c r="B556" s="71"/>
      <c r="C556" s="71" t="str">
        <f>IFERROR(__xludf.DUMMYFUNCTION("""COMPUTED_VALUE"""),"")</f>
        <v/>
      </c>
      <c r="D556" s="71"/>
      <c r="E556" s="78"/>
      <c r="F556" s="71"/>
      <c r="G556" s="78" t="str">
        <f>IFERROR(__xludf.DUMMYFUNCTION("""COMPUTED_VALUE"""),"")</f>
        <v/>
      </c>
      <c r="H556" s="71"/>
      <c r="I556" s="80" t="str">
        <f>IFERROR(__xludf.DUMMYFUNCTION("""COMPUTED_VALUE"""),"")</f>
        <v/>
      </c>
      <c r="J556" s="71" t="str">
        <f>IFERROR(__xludf.DUMMYFUNCTION("""COMPUTED_VALUE"""),"")</f>
        <v/>
      </c>
      <c r="K556" s="71"/>
      <c r="L556" s="71" t="str">
        <f>IFERROR(__xludf.DUMMYFUNCTION("""COMPUTED_VALUE"""),"")</f>
        <v/>
      </c>
      <c r="M556" s="71"/>
      <c r="N556" s="109" t="str">
        <f>IFERROR(__xludf.DUMMYFUNCTION("""COMPUTED_VALUE"""),"")</f>
        <v/>
      </c>
      <c r="O556" s="71" t="str">
        <f>IFERROR(__xludf.DUMMYFUNCTION("""COMPUTED_VALUE"""),"")</f>
        <v/>
      </c>
      <c r="P556" s="71" t="str">
        <f>IFERROR(__xludf.DUMMYFUNCTION("""COMPUTED_VALUE"""),"")</f>
        <v/>
      </c>
      <c r="Q556" s="78" t="str">
        <f>IFERROR(__xludf.DUMMYFUNCTION("""COMPUTED_VALUE"""),"")</f>
        <v/>
      </c>
      <c r="R556" s="78" t="str">
        <f>IFERROR(__xludf.DUMMYFUNCTION("""COMPUTED_VALUE"""),"")</f>
        <v/>
      </c>
      <c r="S556" s="80" t="str">
        <f>IFERROR(__xludf.DUMMYFUNCTION("""COMPUTED_VALUE"""),"")</f>
        <v/>
      </c>
      <c r="T556" s="80" t="str">
        <f>IFERROR(__xludf.DUMMYFUNCTION("""COMPUTED_VALUE"""),"")</f>
        <v/>
      </c>
      <c r="U556" s="71" t="str">
        <f>IFERROR(__xludf.DUMMYFUNCTION("""COMPUTED_VALUE"""),"")</f>
        <v/>
      </c>
      <c r="V556" s="78" t="str">
        <f>IFERROR(__xludf.DUMMYFUNCTION("""COMPUTED_VALUE"""),"")</f>
        <v/>
      </c>
      <c r="W556" s="62" t="str">
        <f>IFERROR(__xludf.DUMMYFUNCTION("""COMPUTED_VALUE"""),"")</f>
        <v/>
      </c>
      <c r="X556" s="80" t="str">
        <f>IFERROR(__xludf.DUMMYFUNCTION("""COMPUTED_VALUE"""),"")</f>
        <v/>
      </c>
      <c r="Y556" s="109" t="str">
        <f>IFERROR(__xludf.DUMMYFUNCTION("""COMPUTED_VALUE"""),"")</f>
        <v/>
      </c>
      <c r="Z556" s="71"/>
      <c r="AA556" s="71"/>
      <c r="AB556" s="71"/>
    </row>
    <row r="557">
      <c r="A557" s="71"/>
      <c r="B557" s="71"/>
      <c r="C557" s="71" t="str">
        <f>IFERROR(__xludf.DUMMYFUNCTION("""COMPUTED_VALUE"""),"")</f>
        <v/>
      </c>
      <c r="D557" s="71"/>
      <c r="E557" s="78"/>
      <c r="F557" s="71"/>
      <c r="G557" s="78" t="str">
        <f>IFERROR(__xludf.DUMMYFUNCTION("""COMPUTED_VALUE"""),"")</f>
        <v/>
      </c>
      <c r="H557" s="71"/>
      <c r="I557" s="80" t="str">
        <f>IFERROR(__xludf.DUMMYFUNCTION("""COMPUTED_VALUE"""),"")</f>
        <v/>
      </c>
      <c r="J557" s="71" t="str">
        <f>IFERROR(__xludf.DUMMYFUNCTION("""COMPUTED_VALUE"""),"")</f>
        <v/>
      </c>
      <c r="K557" s="71"/>
      <c r="L557" s="71" t="str">
        <f>IFERROR(__xludf.DUMMYFUNCTION("""COMPUTED_VALUE"""),"")</f>
        <v/>
      </c>
      <c r="M557" s="71"/>
      <c r="N557" s="109" t="str">
        <f>IFERROR(__xludf.DUMMYFUNCTION("""COMPUTED_VALUE"""),"")</f>
        <v/>
      </c>
      <c r="O557" s="71" t="str">
        <f>IFERROR(__xludf.DUMMYFUNCTION("""COMPUTED_VALUE"""),"")</f>
        <v/>
      </c>
      <c r="P557" s="71" t="str">
        <f>IFERROR(__xludf.DUMMYFUNCTION("""COMPUTED_VALUE"""),"")</f>
        <v/>
      </c>
      <c r="Q557" s="78" t="str">
        <f>IFERROR(__xludf.DUMMYFUNCTION("""COMPUTED_VALUE"""),"")</f>
        <v/>
      </c>
      <c r="R557" s="78" t="str">
        <f>IFERROR(__xludf.DUMMYFUNCTION("""COMPUTED_VALUE"""),"")</f>
        <v/>
      </c>
      <c r="S557" s="80" t="str">
        <f>IFERROR(__xludf.DUMMYFUNCTION("""COMPUTED_VALUE"""),"")</f>
        <v/>
      </c>
      <c r="T557" s="80" t="str">
        <f>IFERROR(__xludf.DUMMYFUNCTION("""COMPUTED_VALUE"""),"")</f>
        <v/>
      </c>
      <c r="U557" s="71" t="str">
        <f>IFERROR(__xludf.DUMMYFUNCTION("""COMPUTED_VALUE"""),"")</f>
        <v/>
      </c>
      <c r="V557" s="78" t="str">
        <f>IFERROR(__xludf.DUMMYFUNCTION("""COMPUTED_VALUE"""),"")</f>
        <v/>
      </c>
      <c r="W557" s="62" t="str">
        <f>IFERROR(__xludf.DUMMYFUNCTION("""COMPUTED_VALUE"""),"")</f>
        <v/>
      </c>
      <c r="X557" s="80" t="str">
        <f>IFERROR(__xludf.DUMMYFUNCTION("""COMPUTED_VALUE"""),"")</f>
        <v/>
      </c>
      <c r="Y557" s="109" t="str">
        <f>IFERROR(__xludf.DUMMYFUNCTION("""COMPUTED_VALUE"""),"")</f>
        <v/>
      </c>
      <c r="Z557" s="71"/>
      <c r="AA557" s="71"/>
      <c r="AB557" s="71"/>
    </row>
    <row r="558">
      <c r="A558" s="71"/>
      <c r="B558" s="71"/>
      <c r="C558" s="71" t="str">
        <f>IFERROR(__xludf.DUMMYFUNCTION("""COMPUTED_VALUE"""),"")</f>
        <v/>
      </c>
      <c r="D558" s="71"/>
      <c r="E558" s="78"/>
      <c r="F558" s="71"/>
      <c r="G558" s="78" t="str">
        <f>IFERROR(__xludf.DUMMYFUNCTION("""COMPUTED_VALUE"""),"")</f>
        <v/>
      </c>
      <c r="H558" s="71"/>
      <c r="I558" s="80" t="str">
        <f>IFERROR(__xludf.DUMMYFUNCTION("""COMPUTED_VALUE"""),"")</f>
        <v/>
      </c>
      <c r="J558" s="71" t="str">
        <f>IFERROR(__xludf.DUMMYFUNCTION("""COMPUTED_VALUE"""),"")</f>
        <v/>
      </c>
      <c r="K558" s="71"/>
      <c r="L558" s="71" t="str">
        <f>IFERROR(__xludf.DUMMYFUNCTION("""COMPUTED_VALUE"""),"")</f>
        <v/>
      </c>
      <c r="M558" s="71"/>
      <c r="N558" s="109" t="str">
        <f>IFERROR(__xludf.DUMMYFUNCTION("""COMPUTED_VALUE"""),"")</f>
        <v/>
      </c>
      <c r="O558" s="71" t="str">
        <f>IFERROR(__xludf.DUMMYFUNCTION("""COMPUTED_VALUE"""),"")</f>
        <v/>
      </c>
      <c r="P558" s="71" t="str">
        <f>IFERROR(__xludf.DUMMYFUNCTION("""COMPUTED_VALUE"""),"")</f>
        <v/>
      </c>
      <c r="Q558" s="78" t="str">
        <f>IFERROR(__xludf.DUMMYFUNCTION("""COMPUTED_VALUE"""),"")</f>
        <v/>
      </c>
      <c r="R558" s="78" t="str">
        <f>IFERROR(__xludf.DUMMYFUNCTION("""COMPUTED_VALUE"""),"")</f>
        <v/>
      </c>
      <c r="S558" s="80" t="str">
        <f>IFERROR(__xludf.DUMMYFUNCTION("""COMPUTED_VALUE"""),"")</f>
        <v/>
      </c>
      <c r="T558" s="80" t="str">
        <f>IFERROR(__xludf.DUMMYFUNCTION("""COMPUTED_VALUE"""),"")</f>
        <v/>
      </c>
      <c r="U558" s="71" t="str">
        <f>IFERROR(__xludf.DUMMYFUNCTION("""COMPUTED_VALUE"""),"")</f>
        <v/>
      </c>
      <c r="V558" s="78" t="str">
        <f>IFERROR(__xludf.DUMMYFUNCTION("""COMPUTED_VALUE"""),"")</f>
        <v/>
      </c>
      <c r="W558" s="62" t="str">
        <f>IFERROR(__xludf.DUMMYFUNCTION("""COMPUTED_VALUE"""),"")</f>
        <v/>
      </c>
      <c r="X558" s="80" t="str">
        <f>IFERROR(__xludf.DUMMYFUNCTION("""COMPUTED_VALUE"""),"")</f>
        <v/>
      </c>
      <c r="Y558" s="109" t="str">
        <f>IFERROR(__xludf.DUMMYFUNCTION("""COMPUTED_VALUE"""),"")</f>
        <v/>
      </c>
      <c r="Z558" s="71"/>
      <c r="AA558" s="71"/>
      <c r="AB558" s="71"/>
    </row>
    <row r="559">
      <c r="A559" s="71"/>
      <c r="B559" s="71"/>
      <c r="C559" s="71" t="str">
        <f>IFERROR(__xludf.DUMMYFUNCTION("""COMPUTED_VALUE"""),"")</f>
        <v/>
      </c>
      <c r="D559" s="71"/>
      <c r="E559" s="78"/>
      <c r="F559" s="71"/>
      <c r="G559" s="78" t="str">
        <f>IFERROR(__xludf.DUMMYFUNCTION("""COMPUTED_VALUE"""),"")</f>
        <v/>
      </c>
      <c r="H559" s="71"/>
      <c r="I559" s="80" t="str">
        <f>IFERROR(__xludf.DUMMYFUNCTION("""COMPUTED_VALUE"""),"")</f>
        <v/>
      </c>
      <c r="J559" s="71" t="str">
        <f>IFERROR(__xludf.DUMMYFUNCTION("""COMPUTED_VALUE"""),"")</f>
        <v/>
      </c>
      <c r="K559" s="71"/>
      <c r="L559" s="71" t="str">
        <f>IFERROR(__xludf.DUMMYFUNCTION("""COMPUTED_VALUE"""),"")</f>
        <v/>
      </c>
      <c r="M559" s="71"/>
      <c r="N559" s="109" t="str">
        <f>IFERROR(__xludf.DUMMYFUNCTION("""COMPUTED_VALUE"""),"")</f>
        <v/>
      </c>
      <c r="O559" s="71" t="str">
        <f>IFERROR(__xludf.DUMMYFUNCTION("""COMPUTED_VALUE"""),"")</f>
        <v/>
      </c>
      <c r="P559" s="71" t="str">
        <f>IFERROR(__xludf.DUMMYFUNCTION("""COMPUTED_VALUE"""),"")</f>
        <v/>
      </c>
      <c r="Q559" s="78" t="str">
        <f>IFERROR(__xludf.DUMMYFUNCTION("""COMPUTED_VALUE"""),"")</f>
        <v/>
      </c>
      <c r="R559" s="78" t="str">
        <f>IFERROR(__xludf.DUMMYFUNCTION("""COMPUTED_VALUE"""),"")</f>
        <v/>
      </c>
      <c r="S559" s="80" t="str">
        <f>IFERROR(__xludf.DUMMYFUNCTION("""COMPUTED_VALUE"""),"")</f>
        <v/>
      </c>
      <c r="T559" s="80" t="str">
        <f>IFERROR(__xludf.DUMMYFUNCTION("""COMPUTED_VALUE"""),"")</f>
        <v/>
      </c>
      <c r="U559" s="71" t="str">
        <f>IFERROR(__xludf.DUMMYFUNCTION("""COMPUTED_VALUE"""),"")</f>
        <v/>
      </c>
      <c r="V559" s="78" t="str">
        <f>IFERROR(__xludf.DUMMYFUNCTION("""COMPUTED_VALUE"""),"")</f>
        <v/>
      </c>
      <c r="W559" s="62" t="str">
        <f>IFERROR(__xludf.DUMMYFUNCTION("""COMPUTED_VALUE"""),"")</f>
        <v/>
      </c>
      <c r="X559" s="80" t="str">
        <f>IFERROR(__xludf.DUMMYFUNCTION("""COMPUTED_VALUE"""),"")</f>
        <v/>
      </c>
      <c r="Y559" s="109" t="str">
        <f>IFERROR(__xludf.DUMMYFUNCTION("""COMPUTED_VALUE"""),"")</f>
        <v/>
      </c>
      <c r="Z559" s="71"/>
      <c r="AA559" s="71"/>
      <c r="AB559" s="71"/>
    </row>
    <row r="560">
      <c r="A560" s="71"/>
      <c r="B560" s="71"/>
      <c r="C560" s="71" t="str">
        <f>IFERROR(__xludf.DUMMYFUNCTION("""COMPUTED_VALUE"""),"")</f>
        <v/>
      </c>
      <c r="D560" s="71"/>
      <c r="E560" s="78"/>
      <c r="F560" s="71"/>
      <c r="G560" s="78" t="str">
        <f>IFERROR(__xludf.DUMMYFUNCTION("""COMPUTED_VALUE"""),"")</f>
        <v/>
      </c>
      <c r="H560" s="71"/>
      <c r="I560" s="80" t="str">
        <f>IFERROR(__xludf.DUMMYFUNCTION("""COMPUTED_VALUE"""),"")</f>
        <v/>
      </c>
      <c r="J560" s="71" t="str">
        <f>IFERROR(__xludf.DUMMYFUNCTION("""COMPUTED_VALUE"""),"")</f>
        <v/>
      </c>
      <c r="K560" s="71"/>
      <c r="L560" s="71" t="str">
        <f>IFERROR(__xludf.DUMMYFUNCTION("""COMPUTED_VALUE"""),"")</f>
        <v/>
      </c>
      <c r="M560" s="71"/>
      <c r="N560" s="109" t="str">
        <f>IFERROR(__xludf.DUMMYFUNCTION("""COMPUTED_VALUE"""),"")</f>
        <v/>
      </c>
      <c r="O560" s="71" t="str">
        <f>IFERROR(__xludf.DUMMYFUNCTION("""COMPUTED_VALUE"""),"")</f>
        <v/>
      </c>
      <c r="P560" s="71" t="str">
        <f>IFERROR(__xludf.DUMMYFUNCTION("""COMPUTED_VALUE"""),"")</f>
        <v/>
      </c>
      <c r="Q560" s="78" t="str">
        <f>IFERROR(__xludf.DUMMYFUNCTION("""COMPUTED_VALUE"""),"")</f>
        <v/>
      </c>
      <c r="R560" s="78" t="str">
        <f>IFERROR(__xludf.DUMMYFUNCTION("""COMPUTED_VALUE"""),"")</f>
        <v/>
      </c>
      <c r="S560" s="80" t="str">
        <f>IFERROR(__xludf.DUMMYFUNCTION("""COMPUTED_VALUE"""),"")</f>
        <v/>
      </c>
      <c r="T560" s="80" t="str">
        <f>IFERROR(__xludf.DUMMYFUNCTION("""COMPUTED_VALUE"""),"")</f>
        <v/>
      </c>
      <c r="U560" s="71" t="str">
        <f>IFERROR(__xludf.DUMMYFUNCTION("""COMPUTED_VALUE"""),"")</f>
        <v/>
      </c>
      <c r="V560" s="78" t="str">
        <f>IFERROR(__xludf.DUMMYFUNCTION("""COMPUTED_VALUE"""),"")</f>
        <v/>
      </c>
      <c r="W560" s="62" t="str">
        <f>IFERROR(__xludf.DUMMYFUNCTION("""COMPUTED_VALUE"""),"")</f>
        <v/>
      </c>
      <c r="X560" s="80" t="str">
        <f>IFERROR(__xludf.DUMMYFUNCTION("""COMPUTED_VALUE"""),"")</f>
        <v/>
      </c>
      <c r="Y560" s="109" t="str">
        <f>IFERROR(__xludf.DUMMYFUNCTION("""COMPUTED_VALUE"""),"")</f>
        <v/>
      </c>
      <c r="Z560" s="71"/>
      <c r="AA560" s="71"/>
      <c r="AB560" s="71"/>
    </row>
    <row r="561">
      <c r="A561" s="71"/>
      <c r="B561" s="71"/>
      <c r="C561" s="71" t="str">
        <f>IFERROR(__xludf.DUMMYFUNCTION("""COMPUTED_VALUE"""),"")</f>
        <v/>
      </c>
      <c r="D561" s="71"/>
      <c r="E561" s="78"/>
      <c r="F561" s="71"/>
      <c r="G561" s="78" t="str">
        <f>IFERROR(__xludf.DUMMYFUNCTION("""COMPUTED_VALUE"""),"")</f>
        <v/>
      </c>
      <c r="H561" s="71"/>
      <c r="I561" s="80" t="str">
        <f>IFERROR(__xludf.DUMMYFUNCTION("""COMPUTED_VALUE"""),"")</f>
        <v/>
      </c>
      <c r="J561" s="71" t="str">
        <f>IFERROR(__xludf.DUMMYFUNCTION("""COMPUTED_VALUE"""),"")</f>
        <v/>
      </c>
      <c r="K561" s="71"/>
      <c r="L561" s="71" t="str">
        <f>IFERROR(__xludf.DUMMYFUNCTION("""COMPUTED_VALUE"""),"")</f>
        <v/>
      </c>
      <c r="M561" s="71"/>
      <c r="N561" s="109" t="str">
        <f>IFERROR(__xludf.DUMMYFUNCTION("""COMPUTED_VALUE"""),"")</f>
        <v/>
      </c>
      <c r="O561" s="71" t="str">
        <f>IFERROR(__xludf.DUMMYFUNCTION("""COMPUTED_VALUE"""),"")</f>
        <v/>
      </c>
      <c r="P561" s="71" t="str">
        <f>IFERROR(__xludf.DUMMYFUNCTION("""COMPUTED_VALUE"""),"")</f>
        <v/>
      </c>
      <c r="Q561" s="78" t="str">
        <f>IFERROR(__xludf.DUMMYFUNCTION("""COMPUTED_VALUE"""),"")</f>
        <v/>
      </c>
      <c r="R561" s="78" t="str">
        <f>IFERROR(__xludf.DUMMYFUNCTION("""COMPUTED_VALUE"""),"")</f>
        <v/>
      </c>
      <c r="S561" s="80" t="str">
        <f>IFERROR(__xludf.DUMMYFUNCTION("""COMPUTED_VALUE"""),"")</f>
        <v/>
      </c>
      <c r="T561" s="80" t="str">
        <f>IFERROR(__xludf.DUMMYFUNCTION("""COMPUTED_VALUE"""),"")</f>
        <v/>
      </c>
      <c r="U561" s="71" t="str">
        <f>IFERROR(__xludf.DUMMYFUNCTION("""COMPUTED_VALUE"""),"")</f>
        <v/>
      </c>
      <c r="V561" s="78" t="str">
        <f>IFERROR(__xludf.DUMMYFUNCTION("""COMPUTED_VALUE"""),"")</f>
        <v/>
      </c>
      <c r="W561" s="62" t="str">
        <f>IFERROR(__xludf.DUMMYFUNCTION("""COMPUTED_VALUE"""),"")</f>
        <v/>
      </c>
      <c r="X561" s="80" t="str">
        <f>IFERROR(__xludf.DUMMYFUNCTION("""COMPUTED_VALUE"""),"")</f>
        <v/>
      </c>
      <c r="Y561" s="109" t="str">
        <f>IFERROR(__xludf.DUMMYFUNCTION("""COMPUTED_VALUE"""),"")</f>
        <v/>
      </c>
      <c r="Z561" s="71"/>
      <c r="AA561" s="71"/>
      <c r="AB561" s="71"/>
    </row>
    <row r="562">
      <c r="A562" s="71"/>
      <c r="B562" s="71"/>
      <c r="C562" s="71" t="str">
        <f>IFERROR(__xludf.DUMMYFUNCTION("""COMPUTED_VALUE"""),"")</f>
        <v/>
      </c>
      <c r="D562" s="71"/>
      <c r="E562" s="78"/>
      <c r="F562" s="71"/>
      <c r="G562" s="78" t="str">
        <f>IFERROR(__xludf.DUMMYFUNCTION("""COMPUTED_VALUE"""),"")</f>
        <v/>
      </c>
      <c r="H562" s="71"/>
      <c r="I562" s="80" t="str">
        <f>IFERROR(__xludf.DUMMYFUNCTION("""COMPUTED_VALUE"""),"")</f>
        <v/>
      </c>
      <c r="J562" s="71" t="str">
        <f>IFERROR(__xludf.DUMMYFUNCTION("""COMPUTED_VALUE"""),"")</f>
        <v/>
      </c>
      <c r="K562" s="71"/>
      <c r="L562" s="71" t="str">
        <f>IFERROR(__xludf.DUMMYFUNCTION("""COMPUTED_VALUE"""),"")</f>
        <v/>
      </c>
      <c r="M562" s="71"/>
      <c r="N562" s="109" t="str">
        <f>IFERROR(__xludf.DUMMYFUNCTION("""COMPUTED_VALUE"""),"")</f>
        <v/>
      </c>
      <c r="O562" s="71" t="str">
        <f>IFERROR(__xludf.DUMMYFUNCTION("""COMPUTED_VALUE"""),"")</f>
        <v/>
      </c>
      <c r="P562" s="71" t="str">
        <f>IFERROR(__xludf.DUMMYFUNCTION("""COMPUTED_VALUE"""),"")</f>
        <v/>
      </c>
      <c r="Q562" s="78" t="str">
        <f>IFERROR(__xludf.DUMMYFUNCTION("""COMPUTED_VALUE"""),"")</f>
        <v/>
      </c>
      <c r="R562" s="78" t="str">
        <f>IFERROR(__xludf.DUMMYFUNCTION("""COMPUTED_VALUE"""),"")</f>
        <v/>
      </c>
      <c r="S562" s="80" t="str">
        <f>IFERROR(__xludf.DUMMYFUNCTION("""COMPUTED_VALUE"""),"")</f>
        <v/>
      </c>
      <c r="T562" s="80" t="str">
        <f>IFERROR(__xludf.DUMMYFUNCTION("""COMPUTED_VALUE"""),"")</f>
        <v/>
      </c>
      <c r="U562" s="71" t="str">
        <f>IFERROR(__xludf.DUMMYFUNCTION("""COMPUTED_VALUE"""),"")</f>
        <v/>
      </c>
      <c r="V562" s="78" t="str">
        <f>IFERROR(__xludf.DUMMYFUNCTION("""COMPUTED_VALUE"""),"")</f>
        <v/>
      </c>
      <c r="W562" s="62" t="str">
        <f>IFERROR(__xludf.DUMMYFUNCTION("""COMPUTED_VALUE"""),"")</f>
        <v/>
      </c>
      <c r="X562" s="80" t="str">
        <f>IFERROR(__xludf.DUMMYFUNCTION("""COMPUTED_VALUE"""),"")</f>
        <v/>
      </c>
      <c r="Y562" s="109" t="str">
        <f>IFERROR(__xludf.DUMMYFUNCTION("""COMPUTED_VALUE"""),"")</f>
        <v/>
      </c>
      <c r="Z562" s="71"/>
      <c r="AA562" s="71"/>
      <c r="AB562" s="71"/>
    </row>
    <row r="563">
      <c r="A563" s="71"/>
      <c r="B563" s="71"/>
      <c r="C563" s="71" t="str">
        <f>IFERROR(__xludf.DUMMYFUNCTION("""COMPUTED_VALUE"""),"")</f>
        <v/>
      </c>
      <c r="D563" s="71"/>
      <c r="E563" s="78"/>
      <c r="F563" s="71"/>
      <c r="G563" s="78" t="str">
        <f>IFERROR(__xludf.DUMMYFUNCTION("""COMPUTED_VALUE"""),"")</f>
        <v/>
      </c>
      <c r="H563" s="71"/>
      <c r="I563" s="80" t="str">
        <f>IFERROR(__xludf.DUMMYFUNCTION("""COMPUTED_VALUE"""),"")</f>
        <v/>
      </c>
      <c r="J563" s="71" t="str">
        <f>IFERROR(__xludf.DUMMYFUNCTION("""COMPUTED_VALUE"""),"")</f>
        <v/>
      </c>
      <c r="K563" s="71"/>
      <c r="L563" s="71" t="str">
        <f>IFERROR(__xludf.DUMMYFUNCTION("""COMPUTED_VALUE"""),"")</f>
        <v/>
      </c>
      <c r="M563" s="71"/>
      <c r="N563" s="109" t="str">
        <f>IFERROR(__xludf.DUMMYFUNCTION("""COMPUTED_VALUE"""),"")</f>
        <v/>
      </c>
      <c r="O563" s="71" t="str">
        <f>IFERROR(__xludf.DUMMYFUNCTION("""COMPUTED_VALUE"""),"")</f>
        <v/>
      </c>
      <c r="P563" s="71" t="str">
        <f>IFERROR(__xludf.DUMMYFUNCTION("""COMPUTED_VALUE"""),"")</f>
        <v/>
      </c>
      <c r="Q563" s="78" t="str">
        <f>IFERROR(__xludf.DUMMYFUNCTION("""COMPUTED_VALUE"""),"")</f>
        <v/>
      </c>
      <c r="R563" s="78" t="str">
        <f>IFERROR(__xludf.DUMMYFUNCTION("""COMPUTED_VALUE"""),"")</f>
        <v/>
      </c>
      <c r="S563" s="80" t="str">
        <f>IFERROR(__xludf.DUMMYFUNCTION("""COMPUTED_VALUE"""),"")</f>
        <v/>
      </c>
      <c r="T563" s="80" t="str">
        <f>IFERROR(__xludf.DUMMYFUNCTION("""COMPUTED_VALUE"""),"")</f>
        <v/>
      </c>
      <c r="U563" s="71" t="str">
        <f>IFERROR(__xludf.DUMMYFUNCTION("""COMPUTED_VALUE"""),"")</f>
        <v/>
      </c>
      <c r="V563" s="78" t="str">
        <f>IFERROR(__xludf.DUMMYFUNCTION("""COMPUTED_VALUE"""),"")</f>
        <v/>
      </c>
      <c r="W563" s="62" t="str">
        <f>IFERROR(__xludf.DUMMYFUNCTION("""COMPUTED_VALUE"""),"")</f>
        <v/>
      </c>
      <c r="X563" s="80" t="str">
        <f>IFERROR(__xludf.DUMMYFUNCTION("""COMPUTED_VALUE"""),"")</f>
        <v/>
      </c>
      <c r="Y563" s="109" t="str">
        <f>IFERROR(__xludf.DUMMYFUNCTION("""COMPUTED_VALUE"""),"")</f>
        <v/>
      </c>
      <c r="Z563" s="71"/>
      <c r="AA563" s="71"/>
      <c r="AB563" s="71"/>
    </row>
    <row r="564">
      <c r="A564" s="71"/>
      <c r="B564" s="71"/>
      <c r="C564" s="71" t="str">
        <f>IFERROR(__xludf.DUMMYFUNCTION("""COMPUTED_VALUE"""),"")</f>
        <v/>
      </c>
      <c r="D564" s="71"/>
      <c r="E564" s="78"/>
      <c r="F564" s="71"/>
      <c r="G564" s="78" t="str">
        <f>IFERROR(__xludf.DUMMYFUNCTION("""COMPUTED_VALUE"""),"")</f>
        <v/>
      </c>
      <c r="H564" s="71"/>
      <c r="I564" s="80" t="str">
        <f>IFERROR(__xludf.DUMMYFUNCTION("""COMPUTED_VALUE"""),"")</f>
        <v/>
      </c>
      <c r="J564" s="71" t="str">
        <f>IFERROR(__xludf.DUMMYFUNCTION("""COMPUTED_VALUE"""),"")</f>
        <v/>
      </c>
      <c r="K564" s="71"/>
      <c r="L564" s="71" t="str">
        <f>IFERROR(__xludf.DUMMYFUNCTION("""COMPUTED_VALUE"""),"")</f>
        <v/>
      </c>
      <c r="M564" s="71"/>
      <c r="N564" s="109" t="str">
        <f>IFERROR(__xludf.DUMMYFUNCTION("""COMPUTED_VALUE"""),"")</f>
        <v/>
      </c>
      <c r="O564" s="71" t="str">
        <f>IFERROR(__xludf.DUMMYFUNCTION("""COMPUTED_VALUE"""),"")</f>
        <v/>
      </c>
      <c r="P564" s="71" t="str">
        <f>IFERROR(__xludf.DUMMYFUNCTION("""COMPUTED_VALUE"""),"")</f>
        <v/>
      </c>
      <c r="Q564" s="78" t="str">
        <f>IFERROR(__xludf.DUMMYFUNCTION("""COMPUTED_VALUE"""),"")</f>
        <v/>
      </c>
      <c r="R564" s="78" t="str">
        <f>IFERROR(__xludf.DUMMYFUNCTION("""COMPUTED_VALUE"""),"")</f>
        <v/>
      </c>
      <c r="S564" s="80" t="str">
        <f>IFERROR(__xludf.DUMMYFUNCTION("""COMPUTED_VALUE"""),"")</f>
        <v/>
      </c>
      <c r="T564" s="80" t="str">
        <f>IFERROR(__xludf.DUMMYFUNCTION("""COMPUTED_VALUE"""),"")</f>
        <v/>
      </c>
      <c r="U564" s="71" t="str">
        <f>IFERROR(__xludf.DUMMYFUNCTION("""COMPUTED_VALUE"""),"")</f>
        <v/>
      </c>
      <c r="V564" s="78" t="str">
        <f>IFERROR(__xludf.DUMMYFUNCTION("""COMPUTED_VALUE"""),"")</f>
        <v/>
      </c>
      <c r="W564" s="62" t="str">
        <f>IFERROR(__xludf.DUMMYFUNCTION("""COMPUTED_VALUE"""),"")</f>
        <v/>
      </c>
      <c r="X564" s="80" t="str">
        <f>IFERROR(__xludf.DUMMYFUNCTION("""COMPUTED_VALUE"""),"")</f>
        <v/>
      </c>
      <c r="Y564" s="109" t="str">
        <f>IFERROR(__xludf.DUMMYFUNCTION("""COMPUTED_VALUE"""),"")</f>
        <v/>
      </c>
      <c r="Z564" s="71"/>
      <c r="AA564" s="71"/>
      <c r="AB564" s="71"/>
    </row>
    <row r="565">
      <c r="A565" s="71"/>
      <c r="B565" s="71"/>
      <c r="C565" s="71" t="str">
        <f>IFERROR(__xludf.DUMMYFUNCTION("""COMPUTED_VALUE"""),"")</f>
        <v/>
      </c>
      <c r="D565" s="71"/>
      <c r="E565" s="78"/>
      <c r="F565" s="71"/>
      <c r="G565" s="78" t="str">
        <f>IFERROR(__xludf.DUMMYFUNCTION("""COMPUTED_VALUE"""),"")</f>
        <v/>
      </c>
      <c r="H565" s="71"/>
      <c r="I565" s="80" t="str">
        <f>IFERROR(__xludf.DUMMYFUNCTION("""COMPUTED_VALUE"""),"")</f>
        <v/>
      </c>
      <c r="J565" s="71" t="str">
        <f>IFERROR(__xludf.DUMMYFUNCTION("""COMPUTED_VALUE"""),"")</f>
        <v/>
      </c>
      <c r="K565" s="71"/>
      <c r="L565" s="71" t="str">
        <f>IFERROR(__xludf.DUMMYFUNCTION("""COMPUTED_VALUE"""),"")</f>
        <v/>
      </c>
      <c r="M565" s="71"/>
      <c r="N565" s="109" t="str">
        <f>IFERROR(__xludf.DUMMYFUNCTION("""COMPUTED_VALUE"""),"")</f>
        <v/>
      </c>
      <c r="O565" s="71" t="str">
        <f>IFERROR(__xludf.DUMMYFUNCTION("""COMPUTED_VALUE"""),"")</f>
        <v/>
      </c>
      <c r="P565" s="71" t="str">
        <f>IFERROR(__xludf.DUMMYFUNCTION("""COMPUTED_VALUE"""),"")</f>
        <v/>
      </c>
      <c r="Q565" s="78" t="str">
        <f>IFERROR(__xludf.DUMMYFUNCTION("""COMPUTED_VALUE"""),"")</f>
        <v/>
      </c>
      <c r="R565" s="78" t="str">
        <f>IFERROR(__xludf.DUMMYFUNCTION("""COMPUTED_VALUE"""),"")</f>
        <v/>
      </c>
      <c r="S565" s="80" t="str">
        <f>IFERROR(__xludf.DUMMYFUNCTION("""COMPUTED_VALUE"""),"")</f>
        <v/>
      </c>
      <c r="T565" s="80" t="str">
        <f>IFERROR(__xludf.DUMMYFUNCTION("""COMPUTED_VALUE"""),"")</f>
        <v/>
      </c>
      <c r="U565" s="71" t="str">
        <f>IFERROR(__xludf.DUMMYFUNCTION("""COMPUTED_VALUE"""),"")</f>
        <v/>
      </c>
      <c r="V565" s="78" t="str">
        <f>IFERROR(__xludf.DUMMYFUNCTION("""COMPUTED_VALUE"""),"")</f>
        <v/>
      </c>
      <c r="W565" s="62" t="str">
        <f>IFERROR(__xludf.DUMMYFUNCTION("""COMPUTED_VALUE"""),"")</f>
        <v/>
      </c>
      <c r="X565" s="80" t="str">
        <f>IFERROR(__xludf.DUMMYFUNCTION("""COMPUTED_VALUE"""),"")</f>
        <v/>
      </c>
      <c r="Y565" s="109" t="str">
        <f>IFERROR(__xludf.DUMMYFUNCTION("""COMPUTED_VALUE"""),"")</f>
        <v/>
      </c>
      <c r="Z565" s="71"/>
      <c r="AA565" s="71"/>
      <c r="AB565" s="71"/>
    </row>
    <row r="566">
      <c r="A566" s="71"/>
      <c r="B566" s="71"/>
      <c r="C566" s="71" t="str">
        <f>IFERROR(__xludf.DUMMYFUNCTION("""COMPUTED_VALUE"""),"")</f>
        <v/>
      </c>
      <c r="D566" s="71"/>
      <c r="E566" s="78"/>
      <c r="F566" s="71"/>
      <c r="G566" s="78" t="str">
        <f>IFERROR(__xludf.DUMMYFUNCTION("""COMPUTED_VALUE"""),"")</f>
        <v/>
      </c>
      <c r="H566" s="71"/>
      <c r="I566" s="80" t="str">
        <f>IFERROR(__xludf.DUMMYFUNCTION("""COMPUTED_VALUE"""),"")</f>
        <v/>
      </c>
      <c r="J566" s="71" t="str">
        <f>IFERROR(__xludf.DUMMYFUNCTION("""COMPUTED_VALUE"""),"")</f>
        <v/>
      </c>
      <c r="K566" s="71"/>
      <c r="L566" s="71" t="str">
        <f>IFERROR(__xludf.DUMMYFUNCTION("""COMPUTED_VALUE"""),"")</f>
        <v/>
      </c>
      <c r="M566" s="71"/>
      <c r="N566" s="109" t="str">
        <f>IFERROR(__xludf.DUMMYFUNCTION("""COMPUTED_VALUE"""),"")</f>
        <v/>
      </c>
      <c r="O566" s="71" t="str">
        <f>IFERROR(__xludf.DUMMYFUNCTION("""COMPUTED_VALUE"""),"")</f>
        <v/>
      </c>
      <c r="P566" s="71" t="str">
        <f>IFERROR(__xludf.DUMMYFUNCTION("""COMPUTED_VALUE"""),"")</f>
        <v/>
      </c>
      <c r="Q566" s="78" t="str">
        <f>IFERROR(__xludf.DUMMYFUNCTION("""COMPUTED_VALUE"""),"")</f>
        <v/>
      </c>
      <c r="R566" s="78" t="str">
        <f>IFERROR(__xludf.DUMMYFUNCTION("""COMPUTED_VALUE"""),"")</f>
        <v/>
      </c>
      <c r="S566" s="80" t="str">
        <f>IFERROR(__xludf.DUMMYFUNCTION("""COMPUTED_VALUE"""),"")</f>
        <v/>
      </c>
      <c r="T566" s="80" t="str">
        <f>IFERROR(__xludf.DUMMYFUNCTION("""COMPUTED_VALUE"""),"")</f>
        <v/>
      </c>
      <c r="U566" s="71" t="str">
        <f>IFERROR(__xludf.DUMMYFUNCTION("""COMPUTED_VALUE"""),"")</f>
        <v/>
      </c>
      <c r="V566" s="78" t="str">
        <f>IFERROR(__xludf.DUMMYFUNCTION("""COMPUTED_VALUE"""),"")</f>
        <v/>
      </c>
      <c r="W566" s="62" t="str">
        <f>IFERROR(__xludf.DUMMYFUNCTION("""COMPUTED_VALUE"""),"")</f>
        <v/>
      </c>
      <c r="X566" s="80" t="str">
        <f>IFERROR(__xludf.DUMMYFUNCTION("""COMPUTED_VALUE"""),"")</f>
        <v/>
      </c>
      <c r="Y566" s="109" t="str">
        <f>IFERROR(__xludf.DUMMYFUNCTION("""COMPUTED_VALUE"""),"")</f>
        <v/>
      </c>
      <c r="Z566" s="71"/>
      <c r="AA566" s="71"/>
      <c r="AB566" s="71"/>
    </row>
    <row r="567">
      <c r="A567" s="71"/>
      <c r="B567" s="71"/>
      <c r="C567" s="71" t="str">
        <f>IFERROR(__xludf.DUMMYFUNCTION("""COMPUTED_VALUE"""),"")</f>
        <v/>
      </c>
      <c r="D567" s="71"/>
      <c r="E567" s="78"/>
      <c r="F567" s="71"/>
      <c r="G567" s="78" t="str">
        <f>IFERROR(__xludf.DUMMYFUNCTION("""COMPUTED_VALUE"""),"")</f>
        <v/>
      </c>
      <c r="H567" s="71"/>
      <c r="I567" s="80" t="str">
        <f>IFERROR(__xludf.DUMMYFUNCTION("""COMPUTED_VALUE"""),"")</f>
        <v/>
      </c>
      <c r="J567" s="71" t="str">
        <f>IFERROR(__xludf.DUMMYFUNCTION("""COMPUTED_VALUE"""),"")</f>
        <v/>
      </c>
      <c r="K567" s="71"/>
      <c r="L567" s="71" t="str">
        <f>IFERROR(__xludf.DUMMYFUNCTION("""COMPUTED_VALUE"""),"")</f>
        <v/>
      </c>
      <c r="M567" s="71"/>
      <c r="N567" s="109" t="str">
        <f>IFERROR(__xludf.DUMMYFUNCTION("""COMPUTED_VALUE"""),"")</f>
        <v/>
      </c>
      <c r="O567" s="71" t="str">
        <f>IFERROR(__xludf.DUMMYFUNCTION("""COMPUTED_VALUE"""),"")</f>
        <v/>
      </c>
      <c r="P567" s="71" t="str">
        <f>IFERROR(__xludf.DUMMYFUNCTION("""COMPUTED_VALUE"""),"")</f>
        <v/>
      </c>
      <c r="Q567" s="78" t="str">
        <f>IFERROR(__xludf.DUMMYFUNCTION("""COMPUTED_VALUE"""),"")</f>
        <v/>
      </c>
      <c r="R567" s="78" t="str">
        <f>IFERROR(__xludf.DUMMYFUNCTION("""COMPUTED_VALUE"""),"")</f>
        <v/>
      </c>
      <c r="S567" s="80" t="str">
        <f>IFERROR(__xludf.DUMMYFUNCTION("""COMPUTED_VALUE"""),"")</f>
        <v/>
      </c>
      <c r="T567" s="80" t="str">
        <f>IFERROR(__xludf.DUMMYFUNCTION("""COMPUTED_VALUE"""),"")</f>
        <v/>
      </c>
      <c r="U567" s="71" t="str">
        <f>IFERROR(__xludf.DUMMYFUNCTION("""COMPUTED_VALUE"""),"")</f>
        <v/>
      </c>
      <c r="V567" s="78" t="str">
        <f>IFERROR(__xludf.DUMMYFUNCTION("""COMPUTED_VALUE"""),"")</f>
        <v/>
      </c>
      <c r="W567" s="62" t="str">
        <f>IFERROR(__xludf.DUMMYFUNCTION("""COMPUTED_VALUE"""),"")</f>
        <v/>
      </c>
      <c r="X567" s="80" t="str">
        <f>IFERROR(__xludf.DUMMYFUNCTION("""COMPUTED_VALUE"""),"")</f>
        <v/>
      </c>
      <c r="Y567" s="109" t="str">
        <f>IFERROR(__xludf.DUMMYFUNCTION("""COMPUTED_VALUE"""),"")</f>
        <v/>
      </c>
      <c r="Z567" s="71"/>
      <c r="AA567" s="71"/>
      <c r="AB567" s="71"/>
    </row>
    <row r="568">
      <c r="A568" s="71"/>
      <c r="B568" s="71"/>
      <c r="C568" s="71" t="str">
        <f>IFERROR(__xludf.DUMMYFUNCTION("""COMPUTED_VALUE"""),"")</f>
        <v/>
      </c>
      <c r="D568" s="71"/>
      <c r="E568" s="78"/>
      <c r="F568" s="71"/>
      <c r="G568" s="78" t="str">
        <f>IFERROR(__xludf.DUMMYFUNCTION("""COMPUTED_VALUE"""),"")</f>
        <v/>
      </c>
      <c r="H568" s="71"/>
      <c r="I568" s="80" t="str">
        <f>IFERROR(__xludf.DUMMYFUNCTION("""COMPUTED_VALUE"""),"")</f>
        <v/>
      </c>
      <c r="J568" s="71" t="str">
        <f>IFERROR(__xludf.DUMMYFUNCTION("""COMPUTED_VALUE"""),"")</f>
        <v/>
      </c>
      <c r="K568" s="71"/>
      <c r="L568" s="71" t="str">
        <f>IFERROR(__xludf.DUMMYFUNCTION("""COMPUTED_VALUE"""),"")</f>
        <v/>
      </c>
      <c r="M568" s="71"/>
      <c r="N568" s="109" t="str">
        <f>IFERROR(__xludf.DUMMYFUNCTION("""COMPUTED_VALUE"""),"")</f>
        <v/>
      </c>
      <c r="O568" s="71" t="str">
        <f>IFERROR(__xludf.DUMMYFUNCTION("""COMPUTED_VALUE"""),"")</f>
        <v/>
      </c>
      <c r="P568" s="71" t="str">
        <f>IFERROR(__xludf.DUMMYFUNCTION("""COMPUTED_VALUE"""),"")</f>
        <v/>
      </c>
      <c r="Q568" s="78" t="str">
        <f>IFERROR(__xludf.DUMMYFUNCTION("""COMPUTED_VALUE"""),"")</f>
        <v/>
      </c>
      <c r="R568" s="78" t="str">
        <f>IFERROR(__xludf.DUMMYFUNCTION("""COMPUTED_VALUE"""),"")</f>
        <v/>
      </c>
      <c r="S568" s="80" t="str">
        <f>IFERROR(__xludf.DUMMYFUNCTION("""COMPUTED_VALUE"""),"")</f>
        <v/>
      </c>
      <c r="T568" s="80" t="str">
        <f>IFERROR(__xludf.DUMMYFUNCTION("""COMPUTED_VALUE"""),"")</f>
        <v/>
      </c>
      <c r="U568" s="71" t="str">
        <f>IFERROR(__xludf.DUMMYFUNCTION("""COMPUTED_VALUE"""),"")</f>
        <v/>
      </c>
      <c r="V568" s="78" t="str">
        <f>IFERROR(__xludf.DUMMYFUNCTION("""COMPUTED_VALUE"""),"")</f>
        <v/>
      </c>
      <c r="W568" s="62" t="str">
        <f>IFERROR(__xludf.DUMMYFUNCTION("""COMPUTED_VALUE"""),"")</f>
        <v/>
      </c>
      <c r="X568" s="80" t="str">
        <f>IFERROR(__xludf.DUMMYFUNCTION("""COMPUTED_VALUE"""),"")</f>
        <v/>
      </c>
      <c r="Y568" s="109" t="str">
        <f>IFERROR(__xludf.DUMMYFUNCTION("""COMPUTED_VALUE"""),"")</f>
        <v/>
      </c>
      <c r="Z568" s="71"/>
      <c r="AA568" s="71"/>
      <c r="AB568" s="71"/>
    </row>
    <row r="569">
      <c r="A569" s="71"/>
      <c r="B569" s="71"/>
      <c r="C569" s="71" t="str">
        <f>IFERROR(__xludf.DUMMYFUNCTION("""COMPUTED_VALUE"""),"")</f>
        <v/>
      </c>
      <c r="D569" s="71"/>
      <c r="E569" s="78"/>
      <c r="F569" s="71"/>
      <c r="G569" s="78" t="str">
        <f>IFERROR(__xludf.DUMMYFUNCTION("""COMPUTED_VALUE"""),"")</f>
        <v/>
      </c>
      <c r="H569" s="71"/>
      <c r="I569" s="80" t="str">
        <f>IFERROR(__xludf.DUMMYFUNCTION("""COMPUTED_VALUE"""),"")</f>
        <v/>
      </c>
      <c r="J569" s="71" t="str">
        <f>IFERROR(__xludf.DUMMYFUNCTION("""COMPUTED_VALUE"""),"")</f>
        <v/>
      </c>
      <c r="K569" s="71"/>
      <c r="L569" s="71" t="str">
        <f>IFERROR(__xludf.DUMMYFUNCTION("""COMPUTED_VALUE"""),"")</f>
        <v/>
      </c>
      <c r="M569" s="71"/>
      <c r="N569" s="109" t="str">
        <f>IFERROR(__xludf.DUMMYFUNCTION("""COMPUTED_VALUE"""),"")</f>
        <v/>
      </c>
      <c r="O569" s="71" t="str">
        <f>IFERROR(__xludf.DUMMYFUNCTION("""COMPUTED_VALUE"""),"")</f>
        <v/>
      </c>
      <c r="P569" s="71" t="str">
        <f>IFERROR(__xludf.DUMMYFUNCTION("""COMPUTED_VALUE"""),"")</f>
        <v/>
      </c>
      <c r="Q569" s="78" t="str">
        <f>IFERROR(__xludf.DUMMYFUNCTION("""COMPUTED_VALUE"""),"")</f>
        <v/>
      </c>
      <c r="R569" s="78" t="str">
        <f>IFERROR(__xludf.DUMMYFUNCTION("""COMPUTED_VALUE"""),"")</f>
        <v/>
      </c>
      <c r="S569" s="80" t="str">
        <f>IFERROR(__xludf.DUMMYFUNCTION("""COMPUTED_VALUE"""),"")</f>
        <v/>
      </c>
      <c r="T569" s="80" t="str">
        <f>IFERROR(__xludf.DUMMYFUNCTION("""COMPUTED_VALUE"""),"")</f>
        <v/>
      </c>
      <c r="U569" s="71" t="str">
        <f>IFERROR(__xludf.DUMMYFUNCTION("""COMPUTED_VALUE"""),"")</f>
        <v/>
      </c>
      <c r="V569" s="78" t="str">
        <f>IFERROR(__xludf.DUMMYFUNCTION("""COMPUTED_VALUE"""),"")</f>
        <v/>
      </c>
      <c r="W569" s="62" t="str">
        <f>IFERROR(__xludf.DUMMYFUNCTION("""COMPUTED_VALUE"""),"")</f>
        <v/>
      </c>
      <c r="X569" s="80" t="str">
        <f>IFERROR(__xludf.DUMMYFUNCTION("""COMPUTED_VALUE"""),"")</f>
        <v/>
      </c>
      <c r="Y569" s="109" t="str">
        <f>IFERROR(__xludf.DUMMYFUNCTION("""COMPUTED_VALUE"""),"")</f>
        <v/>
      </c>
      <c r="Z569" s="71"/>
      <c r="AA569" s="71"/>
      <c r="AB569" s="71"/>
    </row>
    <row r="570">
      <c r="A570" s="71"/>
      <c r="B570" s="71"/>
      <c r="C570" s="71" t="str">
        <f>IFERROR(__xludf.DUMMYFUNCTION("""COMPUTED_VALUE"""),"")</f>
        <v/>
      </c>
      <c r="D570" s="71"/>
      <c r="E570" s="78"/>
      <c r="F570" s="71"/>
      <c r="G570" s="78" t="str">
        <f>IFERROR(__xludf.DUMMYFUNCTION("""COMPUTED_VALUE"""),"")</f>
        <v/>
      </c>
      <c r="H570" s="71"/>
      <c r="I570" s="80" t="str">
        <f>IFERROR(__xludf.DUMMYFUNCTION("""COMPUTED_VALUE"""),"")</f>
        <v/>
      </c>
      <c r="J570" s="71" t="str">
        <f>IFERROR(__xludf.DUMMYFUNCTION("""COMPUTED_VALUE"""),"")</f>
        <v/>
      </c>
      <c r="K570" s="71"/>
      <c r="L570" s="71" t="str">
        <f>IFERROR(__xludf.DUMMYFUNCTION("""COMPUTED_VALUE"""),"")</f>
        <v/>
      </c>
      <c r="M570" s="71"/>
      <c r="N570" s="109" t="str">
        <f>IFERROR(__xludf.DUMMYFUNCTION("""COMPUTED_VALUE"""),"")</f>
        <v/>
      </c>
      <c r="O570" s="71" t="str">
        <f>IFERROR(__xludf.DUMMYFUNCTION("""COMPUTED_VALUE"""),"")</f>
        <v/>
      </c>
      <c r="P570" s="71" t="str">
        <f>IFERROR(__xludf.DUMMYFUNCTION("""COMPUTED_VALUE"""),"")</f>
        <v/>
      </c>
      <c r="Q570" s="78" t="str">
        <f>IFERROR(__xludf.DUMMYFUNCTION("""COMPUTED_VALUE"""),"")</f>
        <v/>
      </c>
      <c r="R570" s="78" t="str">
        <f>IFERROR(__xludf.DUMMYFUNCTION("""COMPUTED_VALUE"""),"")</f>
        <v/>
      </c>
      <c r="S570" s="80" t="str">
        <f>IFERROR(__xludf.DUMMYFUNCTION("""COMPUTED_VALUE"""),"")</f>
        <v/>
      </c>
      <c r="T570" s="80" t="str">
        <f>IFERROR(__xludf.DUMMYFUNCTION("""COMPUTED_VALUE"""),"")</f>
        <v/>
      </c>
      <c r="U570" s="71" t="str">
        <f>IFERROR(__xludf.DUMMYFUNCTION("""COMPUTED_VALUE"""),"")</f>
        <v/>
      </c>
      <c r="V570" s="78" t="str">
        <f>IFERROR(__xludf.DUMMYFUNCTION("""COMPUTED_VALUE"""),"")</f>
        <v/>
      </c>
      <c r="W570" s="62" t="str">
        <f>IFERROR(__xludf.DUMMYFUNCTION("""COMPUTED_VALUE"""),"")</f>
        <v/>
      </c>
      <c r="X570" s="80" t="str">
        <f>IFERROR(__xludf.DUMMYFUNCTION("""COMPUTED_VALUE"""),"")</f>
        <v/>
      </c>
      <c r="Y570" s="109" t="str">
        <f>IFERROR(__xludf.DUMMYFUNCTION("""COMPUTED_VALUE"""),"")</f>
        <v/>
      </c>
      <c r="Z570" s="71"/>
      <c r="AA570" s="71"/>
      <c r="AB570" s="71"/>
    </row>
    <row r="571">
      <c r="A571" s="71"/>
      <c r="B571" s="71"/>
      <c r="C571" s="71" t="str">
        <f>IFERROR(__xludf.DUMMYFUNCTION("""COMPUTED_VALUE"""),"")</f>
        <v/>
      </c>
      <c r="D571" s="71"/>
      <c r="E571" s="78"/>
      <c r="F571" s="71"/>
      <c r="G571" s="78" t="str">
        <f>IFERROR(__xludf.DUMMYFUNCTION("""COMPUTED_VALUE"""),"")</f>
        <v/>
      </c>
      <c r="H571" s="71"/>
      <c r="I571" s="80" t="str">
        <f>IFERROR(__xludf.DUMMYFUNCTION("""COMPUTED_VALUE"""),"")</f>
        <v/>
      </c>
      <c r="J571" s="71" t="str">
        <f>IFERROR(__xludf.DUMMYFUNCTION("""COMPUTED_VALUE"""),"")</f>
        <v/>
      </c>
      <c r="K571" s="71"/>
      <c r="L571" s="71" t="str">
        <f>IFERROR(__xludf.DUMMYFUNCTION("""COMPUTED_VALUE"""),"")</f>
        <v/>
      </c>
      <c r="M571" s="71"/>
      <c r="N571" s="109" t="str">
        <f>IFERROR(__xludf.DUMMYFUNCTION("""COMPUTED_VALUE"""),"")</f>
        <v/>
      </c>
      <c r="O571" s="71" t="str">
        <f>IFERROR(__xludf.DUMMYFUNCTION("""COMPUTED_VALUE"""),"")</f>
        <v/>
      </c>
      <c r="P571" s="71" t="str">
        <f>IFERROR(__xludf.DUMMYFUNCTION("""COMPUTED_VALUE"""),"")</f>
        <v/>
      </c>
      <c r="Q571" s="78" t="str">
        <f>IFERROR(__xludf.DUMMYFUNCTION("""COMPUTED_VALUE"""),"")</f>
        <v/>
      </c>
      <c r="R571" s="78" t="str">
        <f>IFERROR(__xludf.DUMMYFUNCTION("""COMPUTED_VALUE"""),"")</f>
        <v/>
      </c>
      <c r="S571" s="80" t="str">
        <f>IFERROR(__xludf.DUMMYFUNCTION("""COMPUTED_VALUE"""),"")</f>
        <v/>
      </c>
      <c r="T571" s="80" t="str">
        <f>IFERROR(__xludf.DUMMYFUNCTION("""COMPUTED_VALUE"""),"")</f>
        <v/>
      </c>
      <c r="U571" s="71" t="str">
        <f>IFERROR(__xludf.DUMMYFUNCTION("""COMPUTED_VALUE"""),"")</f>
        <v/>
      </c>
      <c r="V571" s="78" t="str">
        <f>IFERROR(__xludf.DUMMYFUNCTION("""COMPUTED_VALUE"""),"")</f>
        <v/>
      </c>
      <c r="W571" s="62" t="str">
        <f>IFERROR(__xludf.DUMMYFUNCTION("""COMPUTED_VALUE"""),"")</f>
        <v/>
      </c>
      <c r="X571" s="80" t="str">
        <f>IFERROR(__xludf.DUMMYFUNCTION("""COMPUTED_VALUE"""),"")</f>
        <v/>
      </c>
      <c r="Y571" s="109" t="str">
        <f>IFERROR(__xludf.DUMMYFUNCTION("""COMPUTED_VALUE"""),"")</f>
        <v/>
      </c>
      <c r="Z571" s="71"/>
      <c r="AA571" s="71"/>
      <c r="AB571" s="71"/>
    </row>
    <row r="572">
      <c r="A572" s="71"/>
      <c r="B572" s="71"/>
      <c r="C572" s="71" t="str">
        <f>IFERROR(__xludf.DUMMYFUNCTION("""COMPUTED_VALUE"""),"")</f>
        <v/>
      </c>
      <c r="D572" s="71"/>
      <c r="E572" s="78"/>
      <c r="F572" s="71"/>
      <c r="G572" s="78" t="str">
        <f>IFERROR(__xludf.DUMMYFUNCTION("""COMPUTED_VALUE"""),"")</f>
        <v/>
      </c>
      <c r="H572" s="71"/>
      <c r="I572" s="80" t="str">
        <f>IFERROR(__xludf.DUMMYFUNCTION("""COMPUTED_VALUE"""),"")</f>
        <v/>
      </c>
      <c r="J572" s="71" t="str">
        <f>IFERROR(__xludf.DUMMYFUNCTION("""COMPUTED_VALUE"""),"")</f>
        <v/>
      </c>
      <c r="K572" s="71"/>
      <c r="L572" s="71" t="str">
        <f>IFERROR(__xludf.DUMMYFUNCTION("""COMPUTED_VALUE"""),"")</f>
        <v/>
      </c>
      <c r="M572" s="71"/>
      <c r="N572" s="109" t="str">
        <f>IFERROR(__xludf.DUMMYFUNCTION("""COMPUTED_VALUE"""),"")</f>
        <v/>
      </c>
      <c r="O572" s="71" t="str">
        <f>IFERROR(__xludf.DUMMYFUNCTION("""COMPUTED_VALUE"""),"")</f>
        <v/>
      </c>
      <c r="P572" s="71" t="str">
        <f>IFERROR(__xludf.DUMMYFUNCTION("""COMPUTED_VALUE"""),"")</f>
        <v/>
      </c>
      <c r="Q572" s="78" t="str">
        <f>IFERROR(__xludf.DUMMYFUNCTION("""COMPUTED_VALUE"""),"")</f>
        <v/>
      </c>
      <c r="R572" s="78" t="str">
        <f>IFERROR(__xludf.DUMMYFUNCTION("""COMPUTED_VALUE"""),"")</f>
        <v/>
      </c>
      <c r="S572" s="80" t="str">
        <f>IFERROR(__xludf.DUMMYFUNCTION("""COMPUTED_VALUE"""),"")</f>
        <v/>
      </c>
      <c r="T572" s="80" t="str">
        <f>IFERROR(__xludf.DUMMYFUNCTION("""COMPUTED_VALUE"""),"")</f>
        <v/>
      </c>
      <c r="U572" s="71" t="str">
        <f>IFERROR(__xludf.DUMMYFUNCTION("""COMPUTED_VALUE"""),"")</f>
        <v/>
      </c>
      <c r="V572" s="78" t="str">
        <f>IFERROR(__xludf.DUMMYFUNCTION("""COMPUTED_VALUE"""),"")</f>
        <v/>
      </c>
      <c r="W572" s="62" t="str">
        <f>IFERROR(__xludf.DUMMYFUNCTION("""COMPUTED_VALUE"""),"")</f>
        <v/>
      </c>
      <c r="X572" s="80" t="str">
        <f>IFERROR(__xludf.DUMMYFUNCTION("""COMPUTED_VALUE"""),"")</f>
        <v/>
      </c>
      <c r="Y572" s="109" t="str">
        <f>IFERROR(__xludf.DUMMYFUNCTION("""COMPUTED_VALUE"""),"")</f>
        <v/>
      </c>
      <c r="Z572" s="71"/>
      <c r="AA572" s="71"/>
      <c r="AB572" s="71"/>
    </row>
    <row r="573">
      <c r="A573" s="71"/>
      <c r="B573" s="71"/>
      <c r="C573" s="71" t="str">
        <f>IFERROR(__xludf.DUMMYFUNCTION("""COMPUTED_VALUE"""),"")</f>
        <v/>
      </c>
      <c r="D573" s="71"/>
      <c r="E573" s="78"/>
      <c r="F573" s="71"/>
      <c r="G573" s="78" t="str">
        <f>IFERROR(__xludf.DUMMYFUNCTION("""COMPUTED_VALUE"""),"")</f>
        <v/>
      </c>
      <c r="H573" s="71"/>
      <c r="I573" s="80" t="str">
        <f>IFERROR(__xludf.DUMMYFUNCTION("""COMPUTED_VALUE"""),"")</f>
        <v/>
      </c>
      <c r="J573" s="71" t="str">
        <f>IFERROR(__xludf.DUMMYFUNCTION("""COMPUTED_VALUE"""),"")</f>
        <v/>
      </c>
      <c r="K573" s="71"/>
      <c r="L573" s="71" t="str">
        <f>IFERROR(__xludf.DUMMYFUNCTION("""COMPUTED_VALUE"""),"")</f>
        <v/>
      </c>
      <c r="M573" s="71"/>
      <c r="N573" s="109" t="str">
        <f>IFERROR(__xludf.DUMMYFUNCTION("""COMPUTED_VALUE"""),"")</f>
        <v/>
      </c>
      <c r="O573" s="71" t="str">
        <f>IFERROR(__xludf.DUMMYFUNCTION("""COMPUTED_VALUE"""),"")</f>
        <v/>
      </c>
      <c r="P573" s="71" t="str">
        <f>IFERROR(__xludf.DUMMYFUNCTION("""COMPUTED_VALUE"""),"")</f>
        <v/>
      </c>
      <c r="Q573" s="78" t="str">
        <f>IFERROR(__xludf.DUMMYFUNCTION("""COMPUTED_VALUE"""),"")</f>
        <v/>
      </c>
      <c r="R573" s="78" t="str">
        <f>IFERROR(__xludf.DUMMYFUNCTION("""COMPUTED_VALUE"""),"")</f>
        <v/>
      </c>
      <c r="S573" s="80" t="str">
        <f>IFERROR(__xludf.DUMMYFUNCTION("""COMPUTED_VALUE"""),"")</f>
        <v/>
      </c>
      <c r="T573" s="80" t="str">
        <f>IFERROR(__xludf.DUMMYFUNCTION("""COMPUTED_VALUE"""),"")</f>
        <v/>
      </c>
      <c r="U573" s="71" t="str">
        <f>IFERROR(__xludf.DUMMYFUNCTION("""COMPUTED_VALUE"""),"")</f>
        <v/>
      </c>
      <c r="V573" s="78" t="str">
        <f>IFERROR(__xludf.DUMMYFUNCTION("""COMPUTED_VALUE"""),"")</f>
        <v/>
      </c>
      <c r="W573" s="62" t="str">
        <f>IFERROR(__xludf.DUMMYFUNCTION("""COMPUTED_VALUE"""),"")</f>
        <v/>
      </c>
      <c r="X573" s="80" t="str">
        <f>IFERROR(__xludf.DUMMYFUNCTION("""COMPUTED_VALUE"""),"")</f>
        <v/>
      </c>
      <c r="Y573" s="109" t="str">
        <f>IFERROR(__xludf.DUMMYFUNCTION("""COMPUTED_VALUE"""),"")</f>
        <v/>
      </c>
      <c r="Z573" s="71"/>
      <c r="AA573" s="71"/>
      <c r="AB573" s="71"/>
    </row>
    <row r="574">
      <c r="A574" s="71"/>
      <c r="B574" s="71"/>
      <c r="C574" s="71" t="str">
        <f>IFERROR(__xludf.DUMMYFUNCTION("""COMPUTED_VALUE"""),"")</f>
        <v/>
      </c>
      <c r="D574" s="71"/>
      <c r="E574" s="78"/>
      <c r="F574" s="71"/>
      <c r="G574" s="78" t="str">
        <f>IFERROR(__xludf.DUMMYFUNCTION("""COMPUTED_VALUE"""),"")</f>
        <v/>
      </c>
      <c r="H574" s="71"/>
      <c r="I574" s="80" t="str">
        <f>IFERROR(__xludf.DUMMYFUNCTION("""COMPUTED_VALUE"""),"")</f>
        <v/>
      </c>
      <c r="J574" s="71" t="str">
        <f>IFERROR(__xludf.DUMMYFUNCTION("""COMPUTED_VALUE"""),"")</f>
        <v/>
      </c>
      <c r="K574" s="71"/>
      <c r="L574" s="71" t="str">
        <f>IFERROR(__xludf.DUMMYFUNCTION("""COMPUTED_VALUE"""),"")</f>
        <v/>
      </c>
      <c r="M574" s="71"/>
      <c r="N574" s="109" t="str">
        <f>IFERROR(__xludf.DUMMYFUNCTION("""COMPUTED_VALUE"""),"")</f>
        <v/>
      </c>
      <c r="O574" s="71" t="str">
        <f>IFERROR(__xludf.DUMMYFUNCTION("""COMPUTED_VALUE"""),"")</f>
        <v/>
      </c>
      <c r="P574" s="71" t="str">
        <f>IFERROR(__xludf.DUMMYFUNCTION("""COMPUTED_VALUE"""),"")</f>
        <v/>
      </c>
      <c r="Q574" s="78" t="str">
        <f>IFERROR(__xludf.DUMMYFUNCTION("""COMPUTED_VALUE"""),"")</f>
        <v/>
      </c>
      <c r="R574" s="78" t="str">
        <f>IFERROR(__xludf.DUMMYFUNCTION("""COMPUTED_VALUE"""),"")</f>
        <v/>
      </c>
      <c r="S574" s="80" t="str">
        <f>IFERROR(__xludf.DUMMYFUNCTION("""COMPUTED_VALUE"""),"")</f>
        <v/>
      </c>
      <c r="T574" s="80" t="str">
        <f>IFERROR(__xludf.DUMMYFUNCTION("""COMPUTED_VALUE"""),"")</f>
        <v/>
      </c>
      <c r="U574" s="71" t="str">
        <f>IFERROR(__xludf.DUMMYFUNCTION("""COMPUTED_VALUE"""),"")</f>
        <v/>
      </c>
      <c r="V574" s="78" t="str">
        <f>IFERROR(__xludf.DUMMYFUNCTION("""COMPUTED_VALUE"""),"")</f>
        <v/>
      </c>
      <c r="W574" s="62" t="str">
        <f>IFERROR(__xludf.DUMMYFUNCTION("""COMPUTED_VALUE"""),"")</f>
        <v/>
      </c>
      <c r="X574" s="80" t="str">
        <f>IFERROR(__xludf.DUMMYFUNCTION("""COMPUTED_VALUE"""),"")</f>
        <v/>
      </c>
      <c r="Y574" s="109" t="str">
        <f>IFERROR(__xludf.DUMMYFUNCTION("""COMPUTED_VALUE"""),"")</f>
        <v/>
      </c>
      <c r="Z574" s="71"/>
      <c r="AA574" s="71"/>
      <c r="AB574" s="71"/>
    </row>
    <row r="575">
      <c r="A575" s="71"/>
      <c r="B575" s="71"/>
      <c r="C575" s="71" t="str">
        <f>IFERROR(__xludf.DUMMYFUNCTION("""COMPUTED_VALUE"""),"")</f>
        <v/>
      </c>
      <c r="D575" s="71"/>
      <c r="E575" s="78"/>
      <c r="F575" s="71"/>
      <c r="G575" s="78" t="str">
        <f>IFERROR(__xludf.DUMMYFUNCTION("""COMPUTED_VALUE"""),"")</f>
        <v/>
      </c>
      <c r="H575" s="71"/>
      <c r="I575" s="80" t="str">
        <f>IFERROR(__xludf.DUMMYFUNCTION("""COMPUTED_VALUE"""),"")</f>
        <v/>
      </c>
      <c r="J575" s="71" t="str">
        <f>IFERROR(__xludf.DUMMYFUNCTION("""COMPUTED_VALUE"""),"")</f>
        <v/>
      </c>
      <c r="K575" s="71"/>
      <c r="L575" s="71" t="str">
        <f>IFERROR(__xludf.DUMMYFUNCTION("""COMPUTED_VALUE"""),"")</f>
        <v/>
      </c>
      <c r="M575" s="71"/>
      <c r="N575" s="109" t="str">
        <f>IFERROR(__xludf.DUMMYFUNCTION("""COMPUTED_VALUE"""),"")</f>
        <v/>
      </c>
      <c r="O575" s="71" t="str">
        <f>IFERROR(__xludf.DUMMYFUNCTION("""COMPUTED_VALUE"""),"")</f>
        <v/>
      </c>
      <c r="P575" s="71" t="str">
        <f>IFERROR(__xludf.DUMMYFUNCTION("""COMPUTED_VALUE"""),"")</f>
        <v/>
      </c>
      <c r="Q575" s="78" t="str">
        <f>IFERROR(__xludf.DUMMYFUNCTION("""COMPUTED_VALUE"""),"")</f>
        <v/>
      </c>
      <c r="R575" s="78" t="str">
        <f>IFERROR(__xludf.DUMMYFUNCTION("""COMPUTED_VALUE"""),"")</f>
        <v/>
      </c>
      <c r="S575" s="80" t="str">
        <f>IFERROR(__xludf.DUMMYFUNCTION("""COMPUTED_VALUE"""),"")</f>
        <v/>
      </c>
      <c r="T575" s="80" t="str">
        <f>IFERROR(__xludf.DUMMYFUNCTION("""COMPUTED_VALUE"""),"")</f>
        <v/>
      </c>
      <c r="U575" s="71" t="str">
        <f>IFERROR(__xludf.DUMMYFUNCTION("""COMPUTED_VALUE"""),"")</f>
        <v/>
      </c>
      <c r="V575" s="78" t="str">
        <f>IFERROR(__xludf.DUMMYFUNCTION("""COMPUTED_VALUE"""),"")</f>
        <v/>
      </c>
      <c r="W575" s="62" t="str">
        <f>IFERROR(__xludf.DUMMYFUNCTION("""COMPUTED_VALUE"""),"")</f>
        <v/>
      </c>
      <c r="X575" s="80" t="str">
        <f>IFERROR(__xludf.DUMMYFUNCTION("""COMPUTED_VALUE"""),"")</f>
        <v/>
      </c>
      <c r="Y575" s="109" t="str">
        <f>IFERROR(__xludf.DUMMYFUNCTION("""COMPUTED_VALUE"""),"")</f>
        <v/>
      </c>
      <c r="Z575" s="71"/>
      <c r="AA575" s="71"/>
      <c r="AB575" s="71"/>
    </row>
    <row r="576">
      <c r="A576" s="71"/>
      <c r="B576" s="71"/>
      <c r="C576" s="71" t="str">
        <f>IFERROR(__xludf.DUMMYFUNCTION("""COMPUTED_VALUE"""),"")</f>
        <v/>
      </c>
      <c r="D576" s="71"/>
      <c r="E576" s="78"/>
      <c r="F576" s="71"/>
      <c r="G576" s="78" t="str">
        <f>IFERROR(__xludf.DUMMYFUNCTION("""COMPUTED_VALUE"""),"")</f>
        <v/>
      </c>
      <c r="H576" s="71"/>
      <c r="I576" s="80" t="str">
        <f>IFERROR(__xludf.DUMMYFUNCTION("""COMPUTED_VALUE"""),"")</f>
        <v/>
      </c>
      <c r="J576" s="71" t="str">
        <f>IFERROR(__xludf.DUMMYFUNCTION("""COMPUTED_VALUE"""),"")</f>
        <v/>
      </c>
      <c r="K576" s="71"/>
      <c r="L576" s="71" t="str">
        <f>IFERROR(__xludf.DUMMYFUNCTION("""COMPUTED_VALUE"""),"")</f>
        <v/>
      </c>
      <c r="M576" s="71"/>
      <c r="N576" s="109" t="str">
        <f>IFERROR(__xludf.DUMMYFUNCTION("""COMPUTED_VALUE"""),"")</f>
        <v/>
      </c>
      <c r="O576" s="71" t="str">
        <f>IFERROR(__xludf.DUMMYFUNCTION("""COMPUTED_VALUE"""),"")</f>
        <v/>
      </c>
      <c r="P576" s="71" t="str">
        <f>IFERROR(__xludf.DUMMYFUNCTION("""COMPUTED_VALUE"""),"")</f>
        <v/>
      </c>
      <c r="Q576" s="78" t="str">
        <f>IFERROR(__xludf.DUMMYFUNCTION("""COMPUTED_VALUE"""),"")</f>
        <v/>
      </c>
      <c r="R576" s="78" t="str">
        <f>IFERROR(__xludf.DUMMYFUNCTION("""COMPUTED_VALUE"""),"")</f>
        <v/>
      </c>
      <c r="S576" s="80" t="str">
        <f>IFERROR(__xludf.DUMMYFUNCTION("""COMPUTED_VALUE"""),"")</f>
        <v/>
      </c>
      <c r="T576" s="80" t="str">
        <f>IFERROR(__xludf.DUMMYFUNCTION("""COMPUTED_VALUE"""),"")</f>
        <v/>
      </c>
      <c r="U576" s="71" t="str">
        <f>IFERROR(__xludf.DUMMYFUNCTION("""COMPUTED_VALUE"""),"")</f>
        <v/>
      </c>
      <c r="V576" s="78" t="str">
        <f>IFERROR(__xludf.DUMMYFUNCTION("""COMPUTED_VALUE"""),"")</f>
        <v/>
      </c>
      <c r="W576" s="62" t="str">
        <f>IFERROR(__xludf.DUMMYFUNCTION("""COMPUTED_VALUE"""),"")</f>
        <v/>
      </c>
      <c r="X576" s="80" t="str">
        <f>IFERROR(__xludf.DUMMYFUNCTION("""COMPUTED_VALUE"""),"")</f>
        <v/>
      </c>
      <c r="Y576" s="109" t="str">
        <f>IFERROR(__xludf.DUMMYFUNCTION("""COMPUTED_VALUE"""),"")</f>
        <v/>
      </c>
      <c r="Z576" s="71"/>
      <c r="AA576" s="71"/>
      <c r="AB576" s="71"/>
    </row>
    <row r="577">
      <c r="A577" s="71"/>
      <c r="B577" s="71"/>
      <c r="C577" s="71" t="str">
        <f>IFERROR(__xludf.DUMMYFUNCTION("""COMPUTED_VALUE"""),"")</f>
        <v/>
      </c>
      <c r="D577" s="71"/>
      <c r="E577" s="78"/>
      <c r="F577" s="71"/>
      <c r="G577" s="78" t="str">
        <f>IFERROR(__xludf.DUMMYFUNCTION("""COMPUTED_VALUE"""),"")</f>
        <v/>
      </c>
      <c r="H577" s="71"/>
      <c r="I577" s="80" t="str">
        <f>IFERROR(__xludf.DUMMYFUNCTION("""COMPUTED_VALUE"""),"")</f>
        <v/>
      </c>
      <c r="J577" s="71" t="str">
        <f>IFERROR(__xludf.DUMMYFUNCTION("""COMPUTED_VALUE"""),"")</f>
        <v/>
      </c>
      <c r="K577" s="71"/>
      <c r="L577" s="71" t="str">
        <f>IFERROR(__xludf.DUMMYFUNCTION("""COMPUTED_VALUE"""),"")</f>
        <v/>
      </c>
      <c r="M577" s="71"/>
      <c r="N577" s="109" t="str">
        <f>IFERROR(__xludf.DUMMYFUNCTION("""COMPUTED_VALUE"""),"")</f>
        <v/>
      </c>
      <c r="O577" s="71" t="str">
        <f>IFERROR(__xludf.DUMMYFUNCTION("""COMPUTED_VALUE"""),"")</f>
        <v/>
      </c>
      <c r="P577" s="71" t="str">
        <f>IFERROR(__xludf.DUMMYFUNCTION("""COMPUTED_VALUE"""),"")</f>
        <v/>
      </c>
      <c r="Q577" s="78" t="str">
        <f>IFERROR(__xludf.DUMMYFUNCTION("""COMPUTED_VALUE"""),"")</f>
        <v/>
      </c>
      <c r="R577" s="78" t="str">
        <f>IFERROR(__xludf.DUMMYFUNCTION("""COMPUTED_VALUE"""),"")</f>
        <v/>
      </c>
      <c r="S577" s="80" t="str">
        <f>IFERROR(__xludf.DUMMYFUNCTION("""COMPUTED_VALUE"""),"")</f>
        <v/>
      </c>
      <c r="T577" s="80" t="str">
        <f>IFERROR(__xludf.DUMMYFUNCTION("""COMPUTED_VALUE"""),"")</f>
        <v/>
      </c>
      <c r="U577" s="71" t="str">
        <f>IFERROR(__xludf.DUMMYFUNCTION("""COMPUTED_VALUE"""),"")</f>
        <v/>
      </c>
      <c r="V577" s="78" t="str">
        <f>IFERROR(__xludf.DUMMYFUNCTION("""COMPUTED_VALUE"""),"")</f>
        <v/>
      </c>
      <c r="W577" s="62" t="str">
        <f>IFERROR(__xludf.DUMMYFUNCTION("""COMPUTED_VALUE"""),"")</f>
        <v/>
      </c>
      <c r="X577" s="80" t="str">
        <f>IFERROR(__xludf.DUMMYFUNCTION("""COMPUTED_VALUE"""),"")</f>
        <v/>
      </c>
      <c r="Y577" s="109" t="str">
        <f>IFERROR(__xludf.DUMMYFUNCTION("""COMPUTED_VALUE"""),"")</f>
        <v/>
      </c>
      <c r="Z577" s="71"/>
      <c r="AA577" s="71"/>
      <c r="AB577" s="71"/>
    </row>
    <row r="578">
      <c r="A578" s="71"/>
      <c r="B578" s="71"/>
      <c r="C578" s="71" t="str">
        <f>IFERROR(__xludf.DUMMYFUNCTION("""COMPUTED_VALUE"""),"")</f>
        <v/>
      </c>
      <c r="D578" s="71"/>
      <c r="E578" s="78"/>
      <c r="F578" s="71"/>
      <c r="G578" s="78" t="str">
        <f>IFERROR(__xludf.DUMMYFUNCTION("""COMPUTED_VALUE"""),"")</f>
        <v/>
      </c>
      <c r="H578" s="71"/>
      <c r="I578" s="80" t="str">
        <f>IFERROR(__xludf.DUMMYFUNCTION("""COMPUTED_VALUE"""),"")</f>
        <v/>
      </c>
      <c r="J578" s="71" t="str">
        <f>IFERROR(__xludf.DUMMYFUNCTION("""COMPUTED_VALUE"""),"")</f>
        <v/>
      </c>
      <c r="K578" s="71"/>
      <c r="L578" s="71" t="str">
        <f>IFERROR(__xludf.DUMMYFUNCTION("""COMPUTED_VALUE"""),"")</f>
        <v/>
      </c>
      <c r="M578" s="71"/>
      <c r="N578" s="109" t="str">
        <f>IFERROR(__xludf.DUMMYFUNCTION("""COMPUTED_VALUE"""),"")</f>
        <v/>
      </c>
      <c r="O578" s="71" t="str">
        <f>IFERROR(__xludf.DUMMYFUNCTION("""COMPUTED_VALUE"""),"")</f>
        <v/>
      </c>
      <c r="P578" s="71" t="str">
        <f>IFERROR(__xludf.DUMMYFUNCTION("""COMPUTED_VALUE"""),"")</f>
        <v/>
      </c>
      <c r="Q578" s="78" t="str">
        <f>IFERROR(__xludf.DUMMYFUNCTION("""COMPUTED_VALUE"""),"")</f>
        <v/>
      </c>
      <c r="R578" s="78" t="str">
        <f>IFERROR(__xludf.DUMMYFUNCTION("""COMPUTED_VALUE"""),"")</f>
        <v/>
      </c>
      <c r="S578" s="80" t="str">
        <f>IFERROR(__xludf.DUMMYFUNCTION("""COMPUTED_VALUE"""),"")</f>
        <v/>
      </c>
      <c r="T578" s="80" t="str">
        <f>IFERROR(__xludf.DUMMYFUNCTION("""COMPUTED_VALUE"""),"")</f>
        <v/>
      </c>
      <c r="U578" s="71" t="str">
        <f>IFERROR(__xludf.DUMMYFUNCTION("""COMPUTED_VALUE"""),"")</f>
        <v/>
      </c>
      <c r="V578" s="78" t="str">
        <f>IFERROR(__xludf.DUMMYFUNCTION("""COMPUTED_VALUE"""),"")</f>
        <v/>
      </c>
      <c r="W578" s="62" t="str">
        <f>IFERROR(__xludf.DUMMYFUNCTION("""COMPUTED_VALUE"""),"")</f>
        <v/>
      </c>
      <c r="X578" s="80" t="str">
        <f>IFERROR(__xludf.DUMMYFUNCTION("""COMPUTED_VALUE"""),"")</f>
        <v/>
      </c>
      <c r="Y578" s="109" t="str">
        <f>IFERROR(__xludf.DUMMYFUNCTION("""COMPUTED_VALUE"""),"")</f>
        <v/>
      </c>
      <c r="Z578" s="71"/>
      <c r="AA578" s="71"/>
      <c r="AB578" s="71"/>
    </row>
    <row r="579">
      <c r="A579" s="71"/>
      <c r="B579" s="71"/>
      <c r="C579" s="71" t="str">
        <f>IFERROR(__xludf.DUMMYFUNCTION("""COMPUTED_VALUE"""),"")</f>
        <v/>
      </c>
      <c r="D579" s="71"/>
      <c r="E579" s="78"/>
      <c r="F579" s="71"/>
      <c r="G579" s="78" t="str">
        <f>IFERROR(__xludf.DUMMYFUNCTION("""COMPUTED_VALUE"""),"")</f>
        <v/>
      </c>
      <c r="H579" s="71"/>
      <c r="I579" s="80" t="str">
        <f>IFERROR(__xludf.DUMMYFUNCTION("""COMPUTED_VALUE"""),"")</f>
        <v/>
      </c>
      <c r="J579" s="71" t="str">
        <f>IFERROR(__xludf.DUMMYFUNCTION("""COMPUTED_VALUE"""),"")</f>
        <v/>
      </c>
      <c r="K579" s="71"/>
      <c r="L579" s="71" t="str">
        <f>IFERROR(__xludf.DUMMYFUNCTION("""COMPUTED_VALUE"""),"")</f>
        <v/>
      </c>
      <c r="M579" s="71"/>
      <c r="N579" s="109" t="str">
        <f>IFERROR(__xludf.DUMMYFUNCTION("""COMPUTED_VALUE"""),"")</f>
        <v/>
      </c>
      <c r="O579" s="71" t="str">
        <f>IFERROR(__xludf.DUMMYFUNCTION("""COMPUTED_VALUE"""),"")</f>
        <v/>
      </c>
      <c r="P579" s="71" t="str">
        <f>IFERROR(__xludf.DUMMYFUNCTION("""COMPUTED_VALUE"""),"")</f>
        <v/>
      </c>
      <c r="Q579" s="78" t="str">
        <f>IFERROR(__xludf.DUMMYFUNCTION("""COMPUTED_VALUE"""),"")</f>
        <v/>
      </c>
      <c r="R579" s="78" t="str">
        <f>IFERROR(__xludf.DUMMYFUNCTION("""COMPUTED_VALUE"""),"")</f>
        <v/>
      </c>
      <c r="S579" s="80" t="str">
        <f>IFERROR(__xludf.DUMMYFUNCTION("""COMPUTED_VALUE"""),"")</f>
        <v/>
      </c>
      <c r="T579" s="80" t="str">
        <f>IFERROR(__xludf.DUMMYFUNCTION("""COMPUTED_VALUE"""),"")</f>
        <v/>
      </c>
      <c r="U579" s="71" t="str">
        <f>IFERROR(__xludf.DUMMYFUNCTION("""COMPUTED_VALUE"""),"")</f>
        <v/>
      </c>
      <c r="V579" s="78" t="str">
        <f>IFERROR(__xludf.DUMMYFUNCTION("""COMPUTED_VALUE"""),"")</f>
        <v/>
      </c>
      <c r="W579" s="62" t="str">
        <f>IFERROR(__xludf.DUMMYFUNCTION("""COMPUTED_VALUE"""),"")</f>
        <v/>
      </c>
      <c r="X579" s="80" t="str">
        <f>IFERROR(__xludf.DUMMYFUNCTION("""COMPUTED_VALUE"""),"")</f>
        <v/>
      </c>
      <c r="Y579" s="109" t="str">
        <f>IFERROR(__xludf.DUMMYFUNCTION("""COMPUTED_VALUE"""),"")</f>
        <v/>
      </c>
      <c r="Z579" s="71"/>
      <c r="AA579" s="71"/>
      <c r="AB579" s="71"/>
    </row>
    <row r="580">
      <c r="A580" s="71"/>
      <c r="B580" s="71"/>
      <c r="C580" s="71" t="str">
        <f>IFERROR(__xludf.DUMMYFUNCTION("""COMPUTED_VALUE"""),"")</f>
        <v/>
      </c>
      <c r="D580" s="71"/>
      <c r="E580" s="78"/>
      <c r="F580" s="71"/>
      <c r="G580" s="78" t="str">
        <f>IFERROR(__xludf.DUMMYFUNCTION("""COMPUTED_VALUE"""),"")</f>
        <v/>
      </c>
      <c r="H580" s="71"/>
      <c r="I580" s="80" t="str">
        <f>IFERROR(__xludf.DUMMYFUNCTION("""COMPUTED_VALUE"""),"")</f>
        <v/>
      </c>
      <c r="J580" s="71" t="str">
        <f>IFERROR(__xludf.DUMMYFUNCTION("""COMPUTED_VALUE"""),"")</f>
        <v/>
      </c>
      <c r="K580" s="71"/>
      <c r="L580" s="71" t="str">
        <f>IFERROR(__xludf.DUMMYFUNCTION("""COMPUTED_VALUE"""),"")</f>
        <v/>
      </c>
      <c r="M580" s="71"/>
      <c r="N580" s="109" t="str">
        <f>IFERROR(__xludf.DUMMYFUNCTION("""COMPUTED_VALUE"""),"")</f>
        <v/>
      </c>
      <c r="O580" s="71" t="str">
        <f>IFERROR(__xludf.DUMMYFUNCTION("""COMPUTED_VALUE"""),"")</f>
        <v/>
      </c>
      <c r="P580" s="71" t="str">
        <f>IFERROR(__xludf.DUMMYFUNCTION("""COMPUTED_VALUE"""),"")</f>
        <v/>
      </c>
      <c r="Q580" s="78" t="str">
        <f>IFERROR(__xludf.DUMMYFUNCTION("""COMPUTED_VALUE"""),"")</f>
        <v/>
      </c>
      <c r="R580" s="78" t="str">
        <f>IFERROR(__xludf.DUMMYFUNCTION("""COMPUTED_VALUE"""),"")</f>
        <v/>
      </c>
      <c r="S580" s="80" t="str">
        <f>IFERROR(__xludf.DUMMYFUNCTION("""COMPUTED_VALUE"""),"")</f>
        <v/>
      </c>
      <c r="T580" s="80" t="str">
        <f>IFERROR(__xludf.DUMMYFUNCTION("""COMPUTED_VALUE"""),"")</f>
        <v/>
      </c>
      <c r="U580" s="71" t="str">
        <f>IFERROR(__xludf.DUMMYFUNCTION("""COMPUTED_VALUE"""),"")</f>
        <v/>
      </c>
      <c r="V580" s="78" t="str">
        <f>IFERROR(__xludf.DUMMYFUNCTION("""COMPUTED_VALUE"""),"")</f>
        <v/>
      </c>
      <c r="W580" s="62" t="str">
        <f>IFERROR(__xludf.DUMMYFUNCTION("""COMPUTED_VALUE"""),"")</f>
        <v/>
      </c>
      <c r="X580" s="80" t="str">
        <f>IFERROR(__xludf.DUMMYFUNCTION("""COMPUTED_VALUE"""),"")</f>
        <v/>
      </c>
      <c r="Y580" s="109" t="str">
        <f>IFERROR(__xludf.DUMMYFUNCTION("""COMPUTED_VALUE"""),"")</f>
        <v/>
      </c>
      <c r="Z580" s="71"/>
      <c r="AA580" s="71"/>
      <c r="AB580" s="71"/>
    </row>
    <row r="581">
      <c r="A581" s="71"/>
      <c r="B581" s="71"/>
      <c r="C581" s="71" t="str">
        <f>IFERROR(__xludf.DUMMYFUNCTION("""COMPUTED_VALUE"""),"")</f>
        <v/>
      </c>
      <c r="D581" s="71"/>
      <c r="E581" s="78"/>
      <c r="F581" s="71"/>
      <c r="G581" s="78" t="str">
        <f>IFERROR(__xludf.DUMMYFUNCTION("""COMPUTED_VALUE"""),"")</f>
        <v/>
      </c>
      <c r="H581" s="71"/>
      <c r="I581" s="80" t="str">
        <f>IFERROR(__xludf.DUMMYFUNCTION("""COMPUTED_VALUE"""),"")</f>
        <v/>
      </c>
      <c r="J581" s="71" t="str">
        <f>IFERROR(__xludf.DUMMYFUNCTION("""COMPUTED_VALUE"""),"")</f>
        <v/>
      </c>
      <c r="K581" s="71"/>
      <c r="L581" s="71" t="str">
        <f>IFERROR(__xludf.DUMMYFUNCTION("""COMPUTED_VALUE"""),"")</f>
        <v/>
      </c>
      <c r="M581" s="71"/>
      <c r="N581" s="109" t="str">
        <f>IFERROR(__xludf.DUMMYFUNCTION("""COMPUTED_VALUE"""),"")</f>
        <v/>
      </c>
      <c r="O581" s="71" t="str">
        <f>IFERROR(__xludf.DUMMYFUNCTION("""COMPUTED_VALUE"""),"")</f>
        <v/>
      </c>
      <c r="P581" s="71" t="str">
        <f>IFERROR(__xludf.DUMMYFUNCTION("""COMPUTED_VALUE"""),"")</f>
        <v/>
      </c>
      <c r="Q581" s="78" t="str">
        <f>IFERROR(__xludf.DUMMYFUNCTION("""COMPUTED_VALUE"""),"")</f>
        <v/>
      </c>
      <c r="R581" s="78" t="str">
        <f>IFERROR(__xludf.DUMMYFUNCTION("""COMPUTED_VALUE"""),"")</f>
        <v/>
      </c>
      <c r="S581" s="80" t="str">
        <f>IFERROR(__xludf.DUMMYFUNCTION("""COMPUTED_VALUE"""),"")</f>
        <v/>
      </c>
      <c r="T581" s="80" t="str">
        <f>IFERROR(__xludf.DUMMYFUNCTION("""COMPUTED_VALUE"""),"")</f>
        <v/>
      </c>
      <c r="U581" s="71" t="str">
        <f>IFERROR(__xludf.DUMMYFUNCTION("""COMPUTED_VALUE"""),"")</f>
        <v/>
      </c>
      <c r="V581" s="78" t="str">
        <f>IFERROR(__xludf.DUMMYFUNCTION("""COMPUTED_VALUE"""),"")</f>
        <v/>
      </c>
      <c r="W581" s="62" t="str">
        <f>IFERROR(__xludf.DUMMYFUNCTION("""COMPUTED_VALUE"""),"")</f>
        <v/>
      </c>
      <c r="X581" s="80" t="str">
        <f>IFERROR(__xludf.DUMMYFUNCTION("""COMPUTED_VALUE"""),"")</f>
        <v/>
      </c>
      <c r="Y581" s="109" t="str">
        <f>IFERROR(__xludf.DUMMYFUNCTION("""COMPUTED_VALUE"""),"")</f>
        <v/>
      </c>
      <c r="Z581" s="71"/>
      <c r="AA581" s="71"/>
      <c r="AB581" s="71"/>
    </row>
    <row r="582">
      <c r="A582" s="71"/>
      <c r="B582" s="71"/>
      <c r="C582" s="71" t="str">
        <f>IFERROR(__xludf.DUMMYFUNCTION("""COMPUTED_VALUE"""),"")</f>
        <v/>
      </c>
      <c r="D582" s="71"/>
      <c r="E582" s="78"/>
      <c r="F582" s="71"/>
      <c r="G582" s="78" t="str">
        <f>IFERROR(__xludf.DUMMYFUNCTION("""COMPUTED_VALUE"""),"")</f>
        <v/>
      </c>
      <c r="H582" s="71"/>
      <c r="I582" s="80" t="str">
        <f>IFERROR(__xludf.DUMMYFUNCTION("""COMPUTED_VALUE"""),"")</f>
        <v/>
      </c>
      <c r="J582" s="71" t="str">
        <f>IFERROR(__xludf.DUMMYFUNCTION("""COMPUTED_VALUE"""),"")</f>
        <v/>
      </c>
      <c r="K582" s="71"/>
      <c r="L582" s="71" t="str">
        <f>IFERROR(__xludf.DUMMYFUNCTION("""COMPUTED_VALUE"""),"")</f>
        <v/>
      </c>
      <c r="M582" s="71"/>
      <c r="N582" s="109" t="str">
        <f>IFERROR(__xludf.DUMMYFUNCTION("""COMPUTED_VALUE"""),"")</f>
        <v/>
      </c>
      <c r="O582" s="71" t="str">
        <f>IFERROR(__xludf.DUMMYFUNCTION("""COMPUTED_VALUE"""),"")</f>
        <v/>
      </c>
      <c r="P582" s="71" t="str">
        <f>IFERROR(__xludf.DUMMYFUNCTION("""COMPUTED_VALUE"""),"")</f>
        <v/>
      </c>
      <c r="Q582" s="78" t="str">
        <f>IFERROR(__xludf.DUMMYFUNCTION("""COMPUTED_VALUE"""),"")</f>
        <v/>
      </c>
      <c r="R582" s="78" t="str">
        <f>IFERROR(__xludf.DUMMYFUNCTION("""COMPUTED_VALUE"""),"")</f>
        <v/>
      </c>
      <c r="S582" s="80" t="str">
        <f>IFERROR(__xludf.DUMMYFUNCTION("""COMPUTED_VALUE"""),"")</f>
        <v/>
      </c>
      <c r="T582" s="80" t="str">
        <f>IFERROR(__xludf.DUMMYFUNCTION("""COMPUTED_VALUE"""),"")</f>
        <v/>
      </c>
      <c r="U582" s="71" t="str">
        <f>IFERROR(__xludf.DUMMYFUNCTION("""COMPUTED_VALUE"""),"")</f>
        <v/>
      </c>
      <c r="V582" s="78" t="str">
        <f>IFERROR(__xludf.DUMMYFUNCTION("""COMPUTED_VALUE"""),"")</f>
        <v/>
      </c>
      <c r="W582" s="62" t="str">
        <f>IFERROR(__xludf.DUMMYFUNCTION("""COMPUTED_VALUE"""),"")</f>
        <v/>
      </c>
      <c r="X582" s="80" t="str">
        <f>IFERROR(__xludf.DUMMYFUNCTION("""COMPUTED_VALUE"""),"")</f>
        <v/>
      </c>
      <c r="Y582" s="109" t="str">
        <f>IFERROR(__xludf.DUMMYFUNCTION("""COMPUTED_VALUE"""),"")</f>
        <v/>
      </c>
      <c r="Z582" s="71"/>
      <c r="AA582" s="71"/>
      <c r="AB582" s="71"/>
    </row>
    <row r="583">
      <c r="A583" s="71"/>
      <c r="B583" s="71"/>
      <c r="C583" s="71" t="str">
        <f>IFERROR(__xludf.DUMMYFUNCTION("""COMPUTED_VALUE"""),"")</f>
        <v/>
      </c>
      <c r="D583" s="71"/>
      <c r="E583" s="78"/>
      <c r="F583" s="71"/>
      <c r="G583" s="78" t="str">
        <f>IFERROR(__xludf.DUMMYFUNCTION("""COMPUTED_VALUE"""),"")</f>
        <v/>
      </c>
      <c r="H583" s="71"/>
      <c r="I583" s="80" t="str">
        <f>IFERROR(__xludf.DUMMYFUNCTION("""COMPUTED_VALUE"""),"")</f>
        <v/>
      </c>
      <c r="J583" s="71" t="str">
        <f>IFERROR(__xludf.DUMMYFUNCTION("""COMPUTED_VALUE"""),"")</f>
        <v/>
      </c>
      <c r="K583" s="71"/>
      <c r="L583" s="71" t="str">
        <f>IFERROR(__xludf.DUMMYFUNCTION("""COMPUTED_VALUE"""),"")</f>
        <v/>
      </c>
      <c r="M583" s="71"/>
      <c r="N583" s="109" t="str">
        <f>IFERROR(__xludf.DUMMYFUNCTION("""COMPUTED_VALUE"""),"")</f>
        <v/>
      </c>
      <c r="O583" s="71" t="str">
        <f>IFERROR(__xludf.DUMMYFUNCTION("""COMPUTED_VALUE"""),"")</f>
        <v/>
      </c>
      <c r="P583" s="71" t="str">
        <f>IFERROR(__xludf.DUMMYFUNCTION("""COMPUTED_VALUE"""),"")</f>
        <v/>
      </c>
      <c r="Q583" s="78" t="str">
        <f>IFERROR(__xludf.DUMMYFUNCTION("""COMPUTED_VALUE"""),"")</f>
        <v/>
      </c>
      <c r="R583" s="78" t="str">
        <f>IFERROR(__xludf.DUMMYFUNCTION("""COMPUTED_VALUE"""),"")</f>
        <v/>
      </c>
      <c r="S583" s="80" t="str">
        <f>IFERROR(__xludf.DUMMYFUNCTION("""COMPUTED_VALUE"""),"")</f>
        <v/>
      </c>
      <c r="T583" s="80" t="str">
        <f>IFERROR(__xludf.DUMMYFUNCTION("""COMPUTED_VALUE"""),"")</f>
        <v/>
      </c>
      <c r="U583" s="71" t="str">
        <f>IFERROR(__xludf.DUMMYFUNCTION("""COMPUTED_VALUE"""),"")</f>
        <v/>
      </c>
      <c r="V583" s="78" t="str">
        <f>IFERROR(__xludf.DUMMYFUNCTION("""COMPUTED_VALUE"""),"")</f>
        <v/>
      </c>
      <c r="W583" s="62" t="str">
        <f>IFERROR(__xludf.DUMMYFUNCTION("""COMPUTED_VALUE"""),"")</f>
        <v/>
      </c>
      <c r="X583" s="80" t="str">
        <f>IFERROR(__xludf.DUMMYFUNCTION("""COMPUTED_VALUE"""),"")</f>
        <v/>
      </c>
      <c r="Y583" s="109" t="str">
        <f>IFERROR(__xludf.DUMMYFUNCTION("""COMPUTED_VALUE"""),"")</f>
        <v/>
      </c>
      <c r="Z583" s="71"/>
      <c r="AA583" s="71"/>
      <c r="AB583" s="71"/>
    </row>
    <row r="584">
      <c r="A584" s="71"/>
      <c r="B584" s="71"/>
      <c r="C584" s="71" t="str">
        <f>IFERROR(__xludf.DUMMYFUNCTION("""COMPUTED_VALUE"""),"")</f>
        <v/>
      </c>
      <c r="D584" s="71"/>
      <c r="E584" s="78"/>
      <c r="F584" s="71"/>
      <c r="G584" s="78" t="str">
        <f>IFERROR(__xludf.DUMMYFUNCTION("""COMPUTED_VALUE"""),"")</f>
        <v/>
      </c>
      <c r="H584" s="71"/>
      <c r="I584" s="80" t="str">
        <f>IFERROR(__xludf.DUMMYFUNCTION("""COMPUTED_VALUE"""),"")</f>
        <v/>
      </c>
      <c r="J584" s="71" t="str">
        <f>IFERROR(__xludf.DUMMYFUNCTION("""COMPUTED_VALUE"""),"")</f>
        <v/>
      </c>
      <c r="K584" s="71"/>
      <c r="L584" s="71" t="str">
        <f>IFERROR(__xludf.DUMMYFUNCTION("""COMPUTED_VALUE"""),"")</f>
        <v/>
      </c>
      <c r="M584" s="71"/>
      <c r="N584" s="109" t="str">
        <f>IFERROR(__xludf.DUMMYFUNCTION("""COMPUTED_VALUE"""),"")</f>
        <v/>
      </c>
      <c r="O584" s="71" t="str">
        <f>IFERROR(__xludf.DUMMYFUNCTION("""COMPUTED_VALUE"""),"")</f>
        <v/>
      </c>
      <c r="P584" s="71" t="str">
        <f>IFERROR(__xludf.DUMMYFUNCTION("""COMPUTED_VALUE"""),"")</f>
        <v/>
      </c>
      <c r="Q584" s="78" t="str">
        <f>IFERROR(__xludf.DUMMYFUNCTION("""COMPUTED_VALUE"""),"")</f>
        <v/>
      </c>
      <c r="R584" s="78" t="str">
        <f>IFERROR(__xludf.DUMMYFUNCTION("""COMPUTED_VALUE"""),"")</f>
        <v/>
      </c>
      <c r="S584" s="80" t="str">
        <f>IFERROR(__xludf.DUMMYFUNCTION("""COMPUTED_VALUE"""),"")</f>
        <v/>
      </c>
      <c r="T584" s="80" t="str">
        <f>IFERROR(__xludf.DUMMYFUNCTION("""COMPUTED_VALUE"""),"")</f>
        <v/>
      </c>
      <c r="U584" s="71" t="str">
        <f>IFERROR(__xludf.DUMMYFUNCTION("""COMPUTED_VALUE"""),"")</f>
        <v/>
      </c>
      <c r="V584" s="78" t="str">
        <f>IFERROR(__xludf.DUMMYFUNCTION("""COMPUTED_VALUE"""),"")</f>
        <v/>
      </c>
      <c r="W584" s="62" t="str">
        <f>IFERROR(__xludf.DUMMYFUNCTION("""COMPUTED_VALUE"""),"")</f>
        <v/>
      </c>
      <c r="X584" s="80" t="str">
        <f>IFERROR(__xludf.DUMMYFUNCTION("""COMPUTED_VALUE"""),"")</f>
        <v/>
      </c>
      <c r="Y584" s="109" t="str">
        <f>IFERROR(__xludf.DUMMYFUNCTION("""COMPUTED_VALUE"""),"")</f>
        <v/>
      </c>
      <c r="Z584" s="71"/>
      <c r="AA584" s="71"/>
      <c r="AB584" s="71"/>
    </row>
    <row r="585">
      <c r="A585" s="71"/>
      <c r="B585" s="71"/>
      <c r="C585" s="71" t="str">
        <f>IFERROR(__xludf.DUMMYFUNCTION("""COMPUTED_VALUE"""),"")</f>
        <v/>
      </c>
      <c r="D585" s="71"/>
      <c r="E585" s="78"/>
      <c r="F585" s="71"/>
      <c r="G585" s="78" t="str">
        <f>IFERROR(__xludf.DUMMYFUNCTION("""COMPUTED_VALUE"""),"")</f>
        <v/>
      </c>
      <c r="H585" s="71"/>
      <c r="I585" s="80" t="str">
        <f>IFERROR(__xludf.DUMMYFUNCTION("""COMPUTED_VALUE"""),"")</f>
        <v/>
      </c>
      <c r="J585" s="71" t="str">
        <f>IFERROR(__xludf.DUMMYFUNCTION("""COMPUTED_VALUE"""),"")</f>
        <v/>
      </c>
      <c r="K585" s="71"/>
      <c r="L585" s="71" t="str">
        <f>IFERROR(__xludf.DUMMYFUNCTION("""COMPUTED_VALUE"""),"")</f>
        <v/>
      </c>
      <c r="M585" s="71"/>
      <c r="N585" s="109" t="str">
        <f>IFERROR(__xludf.DUMMYFUNCTION("""COMPUTED_VALUE"""),"")</f>
        <v/>
      </c>
      <c r="O585" s="71" t="str">
        <f>IFERROR(__xludf.DUMMYFUNCTION("""COMPUTED_VALUE"""),"")</f>
        <v/>
      </c>
      <c r="P585" s="71" t="str">
        <f>IFERROR(__xludf.DUMMYFUNCTION("""COMPUTED_VALUE"""),"")</f>
        <v/>
      </c>
      <c r="Q585" s="78" t="str">
        <f>IFERROR(__xludf.DUMMYFUNCTION("""COMPUTED_VALUE"""),"")</f>
        <v/>
      </c>
      <c r="R585" s="78" t="str">
        <f>IFERROR(__xludf.DUMMYFUNCTION("""COMPUTED_VALUE"""),"")</f>
        <v/>
      </c>
      <c r="S585" s="80" t="str">
        <f>IFERROR(__xludf.DUMMYFUNCTION("""COMPUTED_VALUE"""),"")</f>
        <v/>
      </c>
      <c r="T585" s="80" t="str">
        <f>IFERROR(__xludf.DUMMYFUNCTION("""COMPUTED_VALUE"""),"")</f>
        <v/>
      </c>
      <c r="U585" s="71" t="str">
        <f>IFERROR(__xludf.DUMMYFUNCTION("""COMPUTED_VALUE"""),"")</f>
        <v/>
      </c>
      <c r="V585" s="78" t="str">
        <f>IFERROR(__xludf.DUMMYFUNCTION("""COMPUTED_VALUE"""),"")</f>
        <v/>
      </c>
      <c r="W585" s="62" t="str">
        <f>IFERROR(__xludf.DUMMYFUNCTION("""COMPUTED_VALUE"""),"")</f>
        <v/>
      </c>
      <c r="X585" s="80" t="str">
        <f>IFERROR(__xludf.DUMMYFUNCTION("""COMPUTED_VALUE"""),"")</f>
        <v/>
      </c>
      <c r="Y585" s="109" t="str">
        <f>IFERROR(__xludf.DUMMYFUNCTION("""COMPUTED_VALUE"""),"")</f>
        <v/>
      </c>
      <c r="Z585" s="71"/>
      <c r="AA585" s="71"/>
      <c r="AB585" s="71"/>
    </row>
    <row r="586">
      <c r="A586" s="71"/>
      <c r="B586" s="71"/>
      <c r="C586" s="71" t="str">
        <f>IFERROR(__xludf.DUMMYFUNCTION("""COMPUTED_VALUE"""),"")</f>
        <v/>
      </c>
      <c r="D586" s="71"/>
      <c r="E586" s="78"/>
      <c r="F586" s="71"/>
      <c r="G586" s="78" t="str">
        <f>IFERROR(__xludf.DUMMYFUNCTION("""COMPUTED_VALUE"""),"")</f>
        <v/>
      </c>
      <c r="H586" s="71"/>
      <c r="I586" s="80" t="str">
        <f>IFERROR(__xludf.DUMMYFUNCTION("""COMPUTED_VALUE"""),"")</f>
        <v/>
      </c>
      <c r="J586" s="71" t="str">
        <f>IFERROR(__xludf.DUMMYFUNCTION("""COMPUTED_VALUE"""),"")</f>
        <v/>
      </c>
      <c r="K586" s="71"/>
      <c r="L586" s="71" t="str">
        <f>IFERROR(__xludf.DUMMYFUNCTION("""COMPUTED_VALUE"""),"")</f>
        <v/>
      </c>
      <c r="M586" s="71"/>
      <c r="N586" s="109" t="str">
        <f>IFERROR(__xludf.DUMMYFUNCTION("""COMPUTED_VALUE"""),"")</f>
        <v/>
      </c>
      <c r="O586" s="71" t="str">
        <f>IFERROR(__xludf.DUMMYFUNCTION("""COMPUTED_VALUE"""),"")</f>
        <v/>
      </c>
      <c r="P586" s="71" t="str">
        <f>IFERROR(__xludf.DUMMYFUNCTION("""COMPUTED_VALUE"""),"")</f>
        <v/>
      </c>
      <c r="Q586" s="78" t="str">
        <f>IFERROR(__xludf.DUMMYFUNCTION("""COMPUTED_VALUE"""),"")</f>
        <v/>
      </c>
      <c r="R586" s="78" t="str">
        <f>IFERROR(__xludf.DUMMYFUNCTION("""COMPUTED_VALUE"""),"")</f>
        <v/>
      </c>
      <c r="S586" s="80" t="str">
        <f>IFERROR(__xludf.DUMMYFUNCTION("""COMPUTED_VALUE"""),"")</f>
        <v/>
      </c>
      <c r="T586" s="80" t="str">
        <f>IFERROR(__xludf.DUMMYFUNCTION("""COMPUTED_VALUE"""),"")</f>
        <v/>
      </c>
      <c r="U586" s="71" t="str">
        <f>IFERROR(__xludf.DUMMYFUNCTION("""COMPUTED_VALUE"""),"")</f>
        <v/>
      </c>
      <c r="V586" s="78" t="str">
        <f>IFERROR(__xludf.DUMMYFUNCTION("""COMPUTED_VALUE"""),"")</f>
        <v/>
      </c>
      <c r="W586" s="62" t="str">
        <f>IFERROR(__xludf.DUMMYFUNCTION("""COMPUTED_VALUE"""),"")</f>
        <v/>
      </c>
      <c r="X586" s="80" t="str">
        <f>IFERROR(__xludf.DUMMYFUNCTION("""COMPUTED_VALUE"""),"")</f>
        <v/>
      </c>
      <c r="Y586" s="109" t="str">
        <f>IFERROR(__xludf.DUMMYFUNCTION("""COMPUTED_VALUE"""),"")</f>
        <v/>
      </c>
      <c r="Z586" s="71"/>
      <c r="AA586" s="71"/>
      <c r="AB586" s="71"/>
    </row>
    <row r="587">
      <c r="A587" s="71"/>
      <c r="B587" s="71"/>
      <c r="C587" s="71" t="str">
        <f>IFERROR(__xludf.DUMMYFUNCTION("""COMPUTED_VALUE"""),"")</f>
        <v/>
      </c>
      <c r="D587" s="71"/>
      <c r="E587" s="78"/>
      <c r="F587" s="71"/>
      <c r="G587" s="78" t="str">
        <f>IFERROR(__xludf.DUMMYFUNCTION("""COMPUTED_VALUE"""),"")</f>
        <v/>
      </c>
      <c r="H587" s="71"/>
      <c r="I587" s="80" t="str">
        <f>IFERROR(__xludf.DUMMYFUNCTION("""COMPUTED_VALUE"""),"")</f>
        <v/>
      </c>
      <c r="J587" s="71" t="str">
        <f>IFERROR(__xludf.DUMMYFUNCTION("""COMPUTED_VALUE"""),"")</f>
        <v/>
      </c>
      <c r="K587" s="71"/>
      <c r="L587" s="71" t="str">
        <f>IFERROR(__xludf.DUMMYFUNCTION("""COMPUTED_VALUE"""),"")</f>
        <v/>
      </c>
      <c r="M587" s="71"/>
      <c r="N587" s="109" t="str">
        <f>IFERROR(__xludf.DUMMYFUNCTION("""COMPUTED_VALUE"""),"")</f>
        <v/>
      </c>
      <c r="O587" s="71" t="str">
        <f>IFERROR(__xludf.DUMMYFUNCTION("""COMPUTED_VALUE"""),"")</f>
        <v/>
      </c>
      <c r="P587" s="71" t="str">
        <f>IFERROR(__xludf.DUMMYFUNCTION("""COMPUTED_VALUE"""),"")</f>
        <v/>
      </c>
      <c r="Q587" s="78" t="str">
        <f>IFERROR(__xludf.DUMMYFUNCTION("""COMPUTED_VALUE"""),"")</f>
        <v/>
      </c>
      <c r="R587" s="78" t="str">
        <f>IFERROR(__xludf.DUMMYFUNCTION("""COMPUTED_VALUE"""),"")</f>
        <v/>
      </c>
      <c r="S587" s="80" t="str">
        <f>IFERROR(__xludf.DUMMYFUNCTION("""COMPUTED_VALUE"""),"")</f>
        <v/>
      </c>
      <c r="T587" s="80" t="str">
        <f>IFERROR(__xludf.DUMMYFUNCTION("""COMPUTED_VALUE"""),"")</f>
        <v/>
      </c>
      <c r="U587" s="71" t="str">
        <f>IFERROR(__xludf.DUMMYFUNCTION("""COMPUTED_VALUE"""),"")</f>
        <v/>
      </c>
      <c r="V587" s="78" t="str">
        <f>IFERROR(__xludf.DUMMYFUNCTION("""COMPUTED_VALUE"""),"")</f>
        <v/>
      </c>
      <c r="W587" s="62" t="str">
        <f>IFERROR(__xludf.DUMMYFUNCTION("""COMPUTED_VALUE"""),"")</f>
        <v/>
      </c>
      <c r="X587" s="80" t="str">
        <f>IFERROR(__xludf.DUMMYFUNCTION("""COMPUTED_VALUE"""),"")</f>
        <v/>
      </c>
      <c r="Y587" s="109" t="str">
        <f>IFERROR(__xludf.DUMMYFUNCTION("""COMPUTED_VALUE"""),"")</f>
        <v/>
      </c>
      <c r="Z587" s="71"/>
      <c r="AA587" s="71"/>
      <c r="AB587" s="71"/>
    </row>
    <row r="588">
      <c r="A588" s="71"/>
      <c r="B588" s="71"/>
      <c r="C588" s="71" t="str">
        <f>IFERROR(__xludf.DUMMYFUNCTION("""COMPUTED_VALUE"""),"")</f>
        <v/>
      </c>
      <c r="D588" s="71"/>
      <c r="E588" s="78"/>
      <c r="F588" s="71"/>
      <c r="G588" s="78" t="str">
        <f>IFERROR(__xludf.DUMMYFUNCTION("""COMPUTED_VALUE"""),"")</f>
        <v/>
      </c>
      <c r="H588" s="71"/>
      <c r="I588" s="80" t="str">
        <f>IFERROR(__xludf.DUMMYFUNCTION("""COMPUTED_VALUE"""),"")</f>
        <v/>
      </c>
      <c r="J588" s="71" t="str">
        <f>IFERROR(__xludf.DUMMYFUNCTION("""COMPUTED_VALUE"""),"")</f>
        <v/>
      </c>
      <c r="K588" s="71"/>
      <c r="L588" s="71" t="str">
        <f>IFERROR(__xludf.DUMMYFUNCTION("""COMPUTED_VALUE"""),"")</f>
        <v/>
      </c>
      <c r="M588" s="71"/>
      <c r="N588" s="109" t="str">
        <f>IFERROR(__xludf.DUMMYFUNCTION("""COMPUTED_VALUE"""),"")</f>
        <v/>
      </c>
      <c r="O588" s="71" t="str">
        <f>IFERROR(__xludf.DUMMYFUNCTION("""COMPUTED_VALUE"""),"")</f>
        <v/>
      </c>
      <c r="P588" s="71" t="str">
        <f>IFERROR(__xludf.DUMMYFUNCTION("""COMPUTED_VALUE"""),"")</f>
        <v/>
      </c>
      <c r="Q588" s="78" t="str">
        <f>IFERROR(__xludf.DUMMYFUNCTION("""COMPUTED_VALUE"""),"")</f>
        <v/>
      </c>
      <c r="R588" s="78" t="str">
        <f>IFERROR(__xludf.DUMMYFUNCTION("""COMPUTED_VALUE"""),"")</f>
        <v/>
      </c>
      <c r="S588" s="80" t="str">
        <f>IFERROR(__xludf.DUMMYFUNCTION("""COMPUTED_VALUE"""),"")</f>
        <v/>
      </c>
      <c r="T588" s="80" t="str">
        <f>IFERROR(__xludf.DUMMYFUNCTION("""COMPUTED_VALUE"""),"")</f>
        <v/>
      </c>
      <c r="U588" s="71" t="str">
        <f>IFERROR(__xludf.DUMMYFUNCTION("""COMPUTED_VALUE"""),"")</f>
        <v/>
      </c>
      <c r="V588" s="78" t="str">
        <f>IFERROR(__xludf.DUMMYFUNCTION("""COMPUTED_VALUE"""),"")</f>
        <v/>
      </c>
      <c r="W588" s="62" t="str">
        <f>IFERROR(__xludf.DUMMYFUNCTION("""COMPUTED_VALUE"""),"")</f>
        <v/>
      </c>
      <c r="X588" s="80" t="str">
        <f>IFERROR(__xludf.DUMMYFUNCTION("""COMPUTED_VALUE"""),"")</f>
        <v/>
      </c>
      <c r="Y588" s="109" t="str">
        <f>IFERROR(__xludf.DUMMYFUNCTION("""COMPUTED_VALUE"""),"")</f>
        <v/>
      </c>
      <c r="Z588" s="71"/>
      <c r="AA588" s="71"/>
      <c r="AB588" s="71"/>
    </row>
    <row r="589">
      <c r="A589" s="71"/>
      <c r="B589" s="71"/>
      <c r="C589" s="71" t="str">
        <f>IFERROR(__xludf.DUMMYFUNCTION("""COMPUTED_VALUE"""),"")</f>
        <v/>
      </c>
      <c r="D589" s="71"/>
      <c r="E589" s="78"/>
      <c r="F589" s="71"/>
      <c r="G589" s="78" t="str">
        <f>IFERROR(__xludf.DUMMYFUNCTION("""COMPUTED_VALUE"""),"")</f>
        <v/>
      </c>
      <c r="H589" s="71"/>
      <c r="I589" s="80" t="str">
        <f>IFERROR(__xludf.DUMMYFUNCTION("""COMPUTED_VALUE"""),"")</f>
        <v/>
      </c>
      <c r="J589" s="71" t="str">
        <f>IFERROR(__xludf.DUMMYFUNCTION("""COMPUTED_VALUE"""),"")</f>
        <v/>
      </c>
      <c r="K589" s="71"/>
      <c r="L589" s="71" t="str">
        <f>IFERROR(__xludf.DUMMYFUNCTION("""COMPUTED_VALUE"""),"")</f>
        <v/>
      </c>
      <c r="M589" s="71"/>
      <c r="N589" s="109" t="str">
        <f>IFERROR(__xludf.DUMMYFUNCTION("""COMPUTED_VALUE"""),"")</f>
        <v/>
      </c>
      <c r="O589" s="71" t="str">
        <f>IFERROR(__xludf.DUMMYFUNCTION("""COMPUTED_VALUE"""),"")</f>
        <v/>
      </c>
      <c r="P589" s="71" t="str">
        <f>IFERROR(__xludf.DUMMYFUNCTION("""COMPUTED_VALUE"""),"")</f>
        <v/>
      </c>
      <c r="Q589" s="78" t="str">
        <f>IFERROR(__xludf.DUMMYFUNCTION("""COMPUTED_VALUE"""),"")</f>
        <v/>
      </c>
      <c r="R589" s="78" t="str">
        <f>IFERROR(__xludf.DUMMYFUNCTION("""COMPUTED_VALUE"""),"")</f>
        <v/>
      </c>
      <c r="S589" s="80" t="str">
        <f>IFERROR(__xludf.DUMMYFUNCTION("""COMPUTED_VALUE"""),"")</f>
        <v/>
      </c>
      <c r="T589" s="80" t="str">
        <f>IFERROR(__xludf.DUMMYFUNCTION("""COMPUTED_VALUE"""),"")</f>
        <v/>
      </c>
      <c r="U589" s="71" t="str">
        <f>IFERROR(__xludf.DUMMYFUNCTION("""COMPUTED_VALUE"""),"")</f>
        <v/>
      </c>
      <c r="V589" s="78" t="str">
        <f>IFERROR(__xludf.DUMMYFUNCTION("""COMPUTED_VALUE"""),"")</f>
        <v/>
      </c>
      <c r="W589" s="62" t="str">
        <f>IFERROR(__xludf.DUMMYFUNCTION("""COMPUTED_VALUE"""),"")</f>
        <v/>
      </c>
      <c r="X589" s="80" t="str">
        <f>IFERROR(__xludf.DUMMYFUNCTION("""COMPUTED_VALUE"""),"")</f>
        <v/>
      </c>
      <c r="Y589" s="109" t="str">
        <f>IFERROR(__xludf.DUMMYFUNCTION("""COMPUTED_VALUE"""),"")</f>
        <v/>
      </c>
      <c r="Z589" s="71"/>
      <c r="AA589" s="71"/>
      <c r="AB589" s="71"/>
    </row>
    <row r="590">
      <c r="A590" s="71"/>
      <c r="B590" s="71"/>
      <c r="C590" s="71" t="str">
        <f>IFERROR(__xludf.DUMMYFUNCTION("""COMPUTED_VALUE"""),"")</f>
        <v/>
      </c>
      <c r="D590" s="71"/>
      <c r="E590" s="78"/>
      <c r="F590" s="71"/>
      <c r="G590" s="78" t="str">
        <f>IFERROR(__xludf.DUMMYFUNCTION("""COMPUTED_VALUE"""),"")</f>
        <v/>
      </c>
      <c r="H590" s="71"/>
      <c r="I590" s="80" t="str">
        <f>IFERROR(__xludf.DUMMYFUNCTION("""COMPUTED_VALUE"""),"")</f>
        <v/>
      </c>
      <c r="J590" s="71" t="str">
        <f>IFERROR(__xludf.DUMMYFUNCTION("""COMPUTED_VALUE"""),"")</f>
        <v/>
      </c>
      <c r="K590" s="71"/>
      <c r="L590" s="71" t="str">
        <f>IFERROR(__xludf.DUMMYFUNCTION("""COMPUTED_VALUE"""),"")</f>
        <v/>
      </c>
      <c r="M590" s="71"/>
      <c r="N590" s="109" t="str">
        <f>IFERROR(__xludf.DUMMYFUNCTION("""COMPUTED_VALUE"""),"")</f>
        <v/>
      </c>
      <c r="O590" s="71" t="str">
        <f>IFERROR(__xludf.DUMMYFUNCTION("""COMPUTED_VALUE"""),"")</f>
        <v/>
      </c>
      <c r="P590" s="71" t="str">
        <f>IFERROR(__xludf.DUMMYFUNCTION("""COMPUTED_VALUE"""),"")</f>
        <v/>
      </c>
      <c r="Q590" s="78" t="str">
        <f>IFERROR(__xludf.DUMMYFUNCTION("""COMPUTED_VALUE"""),"")</f>
        <v/>
      </c>
      <c r="R590" s="78" t="str">
        <f>IFERROR(__xludf.DUMMYFUNCTION("""COMPUTED_VALUE"""),"")</f>
        <v/>
      </c>
      <c r="S590" s="80" t="str">
        <f>IFERROR(__xludf.DUMMYFUNCTION("""COMPUTED_VALUE"""),"")</f>
        <v/>
      </c>
      <c r="T590" s="80" t="str">
        <f>IFERROR(__xludf.DUMMYFUNCTION("""COMPUTED_VALUE"""),"")</f>
        <v/>
      </c>
      <c r="U590" s="71" t="str">
        <f>IFERROR(__xludf.DUMMYFUNCTION("""COMPUTED_VALUE"""),"")</f>
        <v/>
      </c>
      <c r="V590" s="78" t="str">
        <f>IFERROR(__xludf.DUMMYFUNCTION("""COMPUTED_VALUE"""),"")</f>
        <v/>
      </c>
      <c r="W590" s="62" t="str">
        <f>IFERROR(__xludf.DUMMYFUNCTION("""COMPUTED_VALUE"""),"")</f>
        <v/>
      </c>
      <c r="X590" s="80" t="str">
        <f>IFERROR(__xludf.DUMMYFUNCTION("""COMPUTED_VALUE"""),"")</f>
        <v/>
      </c>
      <c r="Y590" s="109" t="str">
        <f>IFERROR(__xludf.DUMMYFUNCTION("""COMPUTED_VALUE"""),"")</f>
        <v/>
      </c>
      <c r="Z590" s="71"/>
      <c r="AA590" s="71"/>
      <c r="AB590" s="71"/>
    </row>
    <row r="591">
      <c r="A591" s="71"/>
      <c r="B591" s="71"/>
      <c r="C591" s="71" t="str">
        <f>IFERROR(__xludf.DUMMYFUNCTION("""COMPUTED_VALUE"""),"")</f>
        <v/>
      </c>
      <c r="D591" s="71"/>
      <c r="E591" s="78"/>
      <c r="F591" s="71"/>
      <c r="G591" s="78" t="str">
        <f>IFERROR(__xludf.DUMMYFUNCTION("""COMPUTED_VALUE"""),"")</f>
        <v/>
      </c>
      <c r="H591" s="71"/>
      <c r="I591" s="80" t="str">
        <f>IFERROR(__xludf.DUMMYFUNCTION("""COMPUTED_VALUE"""),"")</f>
        <v/>
      </c>
      <c r="J591" s="71" t="str">
        <f>IFERROR(__xludf.DUMMYFUNCTION("""COMPUTED_VALUE"""),"")</f>
        <v/>
      </c>
      <c r="K591" s="71"/>
      <c r="L591" s="71" t="str">
        <f>IFERROR(__xludf.DUMMYFUNCTION("""COMPUTED_VALUE"""),"")</f>
        <v/>
      </c>
      <c r="M591" s="71"/>
      <c r="N591" s="109" t="str">
        <f>IFERROR(__xludf.DUMMYFUNCTION("""COMPUTED_VALUE"""),"")</f>
        <v/>
      </c>
      <c r="O591" s="71" t="str">
        <f>IFERROR(__xludf.DUMMYFUNCTION("""COMPUTED_VALUE"""),"")</f>
        <v/>
      </c>
      <c r="P591" s="71" t="str">
        <f>IFERROR(__xludf.DUMMYFUNCTION("""COMPUTED_VALUE"""),"")</f>
        <v/>
      </c>
      <c r="Q591" s="78" t="str">
        <f>IFERROR(__xludf.DUMMYFUNCTION("""COMPUTED_VALUE"""),"")</f>
        <v/>
      </c>
      <c r="R591" s="78" t="str">
        <f>IFERROR(__xludf.DUMMYFUNCTION("""COMPUTED_VALUE"""),"")</f>
        <v/>
      </c>
      <c r="S591" s="80" t="str">
        <f>IFERROR(__xludf.DUMMYFUNCTION("""COMPUTED_VALUE"""),"")</f>
        <v/>
      </c>
      <c r="T591" s="80" t="str">
        <f>IFERROR(__xludf.DUMMYFUNCTION("""COMPUTED_VALUE"""),"")</f>
        <v/>
      </c>
      <c r="U591" s="71" t="str">
        <f>IFERROR(__xludf.DUMMYFUNCTION("""COMPUTED_VALUE"""),"")</f>
        <v/>
      </c>
      <c r="V591" s="78" t="str">
        <f>IFERROR(__xludf.DUMMYFUNCTION("""COMPUTED_VALUE"""),"")</f>
        <v/>
      </c>
      <c r="W591" s="62" t="str">
        <f>IFERROR(__xludf.DUMMYFUNCTION("""COMPUTED_VALUE"""),"")</f>
        <v/>
      </c>
      <c r="X591" s="80" t="str">
        <f>IFERROR(__xludf.DUMMYFUNCTION("""COMPUTED_VALUE"""),"")</f>
        <v/>
      </c>
      <c r="Y591" s="109" t="str">
        <f>IFERROR(__xludf.DUMMYFUNCTION("""COMPUTED_VALUE"""),"")</f>
        <v/>
      </c>
      <c r="Z591" s="71"/>
      <c r="AA591" s="71"/>
      <c r="AB591" s="71"/>
    </row>
    <row r="592">
      <c r="A592" s="71"/>
      <c r="B592" s="71"/>
      <c r="C592" s="71" t="str">
        <f>IFERROR(__xludf.DUMMYFUNCTION("""COMPUTED_VALUE"""),"")</f>
        <v/>
      </c>
      <c r="D592" s="71"/>
      <c r="E592" s="78"/>
      <c r="F592" s="71"/>
      <c r="G592" s="78" t="str">
        <f>IFERROR(__xludf.DUMMYFUNCTION("""COMPUTED_VALUE"""),"")</f>
        <v/>
      </c>
      <c r="H592" s="71"/>
      <c r="I592" s="80" t="str">
        <f>IFERROR(__xludf.DUMMYFUNCTION("""COMPUTED_VALUE"""),"")</f>
        <v/>
      </c>
      <c r="J592" s="71" t="str">
        <f>IFERROR(__xludf.DUMMYFUNCTION("""COMPUTED_VALUE"""),"")</f>
        <v/>
      </c>
      <c r="K592" s="71"/>
      <c r="L592" s="71" t="str">
        <f>IFERROR(__xludf.DUMMYFUNCTION("""COMPUTED_VALUE"""),"")</f>
        <v/>
      </c>
      <c r="M592" s="71"/>
      <c r="N592" s="109" t="str">
        <f>IFERROR(__xludf.DUMMYFUNCTION("""COMPUTED_VALUE"""),"")</f>
        <v/>
      </c>
      <c r="O592" s="71" t="str">
        <f>IFERROR(__xludf.DUMMYFUNCTION("""COMPUTED_VALUE"""),"")</f>
        <v/>
      </c>
      <c r="P592" s="71" t="str">
        <f>IFERROR(__xludf.DUMMYFUNCTION("""COMPUTED_VALUE"""),"")</f>
        <v/>
      </c>
      <c r="Q592" s="78" t="str">
        <f>IFERROR(__xludf.DUMMYFUNCTION("""COMPUTED_VALUE"""),"")</f>
        <v/>
      </c>
      <c r="R592" s="78" t="str">
        <f>IFERROR(__xludf.DUMMYFUNCTION("""COMPUTED_VALUE"""),"")</f>
        <v/>
      </c>
      <c r="S592" s="80" t="str">
        <f>IFERROR(__xludf.DUMMYFUNCTION("""COMPUTED_VALUE"""),"")</f>
        <v/>
      </c>
      <c r="T592" s="80" t="str">
        <f>IFERROR(__xludf.DUMMYFUNCTION("""COMPUTED_VALUE"""),"")</f>
        <v/>
      </c>
      <c r="U592" s="71" t="str">
        <f>IFERROR(__xludf.DUMMYFUNCTION("""COMPUTED_VALUE"""),"")</f>
        <v/>
      </c>
      <c r="V592" s="78" t="str">
        <f>IFERROR(__xludf.DUMMYFUNCTION("""COMPUTED_VALUE"""),"")</f>
        <v/>
      </c>
      <c r="W592" s="62" t="str">
        <f>IFERROR(__xludf.DUMMYFUNCTION("""COMPUTED_VALUE"""),"")</f>
        <v/>
      </c>
      <c r="X592" s="80" t="str">
        <f>IFERROR(__xludf.DUMMYFUNCTION("""COMPUTED_VALUE"""),"")</f>
        <v/>
      </c>
      <c r="Y592" s="109" t="str">
        <f>IFERROR(__xludf.DUMMYFUNCTION("""COMPUTED_VALUE"""),"")</f>
        <v/>
      </c>
      <c r="Z592" s="71"/>
      <c r="AA592" s="71"/>
      <c r="AB592" s="71"/>
    </row>
    <row r="593">
      <c r="A593" s="71"/>
      <c r="B593" s="71"/>
      <c r="C593" s="71" t="str">
        <f>IFERROR(__xludf.DUMMYFUNCTION("""COMPUTED_VALUE"""),"")</f>
        <v/>
      </c>
      <c r="D593" s="71"/>
      <c r="E593" s="78"/>
      <c r="F593" s="71"/>
      <c r="G593" s="78" t="str">
        <f>IFERROR(__xludf.DUMMYFUNCTION("""COMPUTED_VALUE"""),"")</f>
        <v/>
      </c>
      <c r="H593" s="71"/>
      <c r="I593" s="80" t="str">
        <f>IFERROR(__xludf.DUMMYFUNCTION("""COMPUTED_VALUE"""),"")</f>
        <v/>
      </c>
      <c r="J593" s="71" t="str">
        <f>IFERROR(__xludf.DUMMYFUNCTION("""COMPUTED_VALUE"""),"")</f>
        <v/>
      </c>
      <c r="K593" s="71"/>
      <c r="L593" s="71" t="str">
        <f>IFERROR(__xludf.DUMMYFUNCTION("""COMPUTED_VALUE"""),"")</f>
        <v/>
      </c>
      <c r="M593" s="71"/>
      <c r="N593" s="109" t="str">
        <f>IFERROR(__xludf.DUMMYFUNCTION("""COMPUTED_VALUE"""),"")</f>
        <v/>
      </c>
      <c r="O593" s="71" t="str">
        <f>IFERROR(__xludf.DUMMYFUNCTION("""COMPUTED_VALUE"""),"")</f>
        <v/>
      </c>
      <c r="P593" s="71" t="str">
        <f>IFERROR(__xludf.DUMMYFUNCTION("""COMPUTED_VALUE"""),"")</f>
        <v/>
      </c>
      <c r="Q593" s="78" t="str">
        <f>IFERROR(__xludf.DUMMYFUNCTION("""COMPUTED_VALUE"""),"")</f>
        <v/>
      </c>
      <c r="R593" s="78" t="str">
        <f>IFERROR(__xludf.DUMMYFUNCTION("""COMPUTED_VALUE"""),"")</f>
        <v/>
      </c>
      <c r="S593" s="80" t="str">
        <f>IFERROR(__xludf.DUMMYFUNCTION("""COMPUTED_VALUE"""),"")</f>
        <v/>
      </c>
      <c r="T593" s="80" t="str">
        <f>IFERROR(__xludf.DUMMYFUNCTION("""COMPUTED_VALUE"""),"")</f>
        <v/>
      </c>
      <c r="U593" s="71" t="str">
        <f>IFERROR(__xludf.DUMMYFUNCTION("""COMPUTED_VALUE"""),"")</f>
        <v/>
      </c>
      <c r="V593" s="78" t="str">
        <f>IFERROR(__xludf.DUMMYFUNCTION("""COMPUTED_VALUE"""),"")</f>
        <v/>
      </c>
      <c r="W593" s="62" t="str">
        <f>IFERROR(__xludf.DUMMYFUNCTION("""COMPUTED_VALUE"""),"")</f>
        <v/>
      </c>
      <c r="X593" s="80" t="str">
        <f>IFERROR(__xludf.DUMMYFUNCTION("""COMPUTED_VALUE"""),"")</f>
        <v/>
      </c>
      <c r="Y593" s="109" t="str">
        <f>IFERROR(__xludf.DUMMYFUNCTION("""COMPUTED_VALUE"""),"")</f>
        <v/>
      </c>
      <c r="Z593" s="71"/>
      <c r="AA593" s="71"/>
      <c r="AB593" s="71"/>
    </row>
    <row r="594">
      <c r="A594" s="71"/>
      <c r="B594" s="71"/>
      <c r="C594" s="71" t="str">
        <f>IFERROR(__xludf.DUMMYFUNCTION("""COMPUTED_VALUE"""),"")</f>
        <v/>
      </c>
      <c r="D594" s="71"/>
      <c r="E594" s="78"/>
      <c r="F594" s="71"/>
      <c r="G594" s="78" t="str">
        <f>IFERROR(__xludf.DUMMYFUNCTION("""COMPUTED_VALUE"""),"")</f>
        <v/>
      </c>
      <c r="H594" s="71"/>
      <c r="I594" s="80" t="str">
        <f>IFERROR(__xludf.DUMMYFUNCTION("""COMPUTED_VALUE"""),"")</f>
        <v/>
      </c>
      <c r="J594" s="71" t="str">
        <f>IFERROR(__xludf.DUMMYFUNCTION("""COMPUTED_VALUE"""),"")</f>
        <v/>
      </c>
      <c r="K594" s="71"/>
      <c r="L594" s="71" t="str">
        <f>IFERROR(__xludf.DUMMYFUNCTION("""COMPUTED_VALUE"""),"")</f>
        <v/>
      </c>
      <c r="M594" s="71"/>
      <c r="N594" s="109" t="str">
        <f>IFERROR(__xludf.DUMMYFUNCTION("""COMPUTED_VALUE"""),"")</f>
        <v/>
      </c>
      <c r="O594" s="71" t="str">
        <f>IFERROR(__xludf.DUMMYFUNCTION("""COMPUTED_VALUE"""),"")</f>
        <v/>
      </c>
      <c r="P594" s="71" t="str">
        <f>IFERROR(__xludf.DUMMYFUNCTION("""COMPUTED_VALUE"""),"")</f>
        <v/>
      </c>
      <c r="Q594" s="78" t="str">
        <f>IFERROR(__xludf.DUMMYFUNCTION("""COMPUTED_VALUE"""),"")</f>
        <v/>
      </c>
      <c r="R594" s="78" t="str">
        <f>IFERROR(__xludf.DUMMYFUNCTION("""COMPUTED_VALUE"""),"")</f>
        <v/>
      </c>
      <c r="S594" s="80" t="str">
        <f>IFERROR(__xludf.DUMMYFUNCTION("""COMPUTED_VALUE"""),"")</f>
        <v/>
      </c>
      <c r="T594" s="80" t="str">
        <f>IFERROR(__xludf.DUMMYFUNCTION("""COMPUTED_VALUE"""),"")</f>
        <v/>
      </c>
      <c r="U594" s="71" t="str">
        <f>IFERROR(__xludf.DUMMYFUNCTION("""COMPUTED_VALUE"""),"")</f>
        <v/>
      </c>
      <c r="V594" s="78" t="str">
        <f>IFERROR(__xludf.DUMMYFUNCTION("""COMPUTED_VALUE"""),"")</f>
        <v/>
      </c>
      <c r="W594" s="62" t="str">
        <f>IFERROR(__xludf.DUMMYFUNCTION("""COMPUTED_VALUE"""),"")</f>
        <v/>
      </c>
      <c r="X594" s="80" t="str">
        <f>IFERROR(__xludf.DUMMYFUNCTION("""COMPUTED_VALUE"""),"")</f>
        <v/>
      </c>
      <c r="Y594" s="109" t="str">
        <f>IFERROR(__xludf.DUMMYFUNCTION("""COMPUTED_VALUE"""),"")</f>
        <v/>
      </c>
      <c r="Z594" s="71"/>
      <c r="AA594" s="71"/>
      <c r="AB594" s="71"/>
    </row>
    <row r="595">
      <c r="A595" s="71"/>
      <c r="B595" s="71"/>
      <c r="C595" s="71" t="str">
        <f>IFERROR(__xludf.DUMMYFUNCTION("""COMPUTED_VALUE"""),"")</f>
        <v/>
      </c>
      <c r="D595" s="71"/>
      <c r="E595" s="78"/>
      <c r="F595" s="71"/>
      <c r="G595" s="78" t="str">
        <f>IFERROR(__xludf.DUMMYFUNCTION("""COMPUTED_VALUE"""),"")</f>
        <v/>
      </c>
      <c r="H595" s="71"/>
      <c r="I595" s="80" t="str">
        <f>IFERROR(__xludf.DUMMYFUNCTION("""COMPUTED_VALUE"""),"")</f>
        <v/>
      </c>
      <c r="J595" s="71" t="str">
        <f>IFERROR(__xludf.DUMMYFUNCTION("""COMPUTED_VALUE"""),"")</f>
        <v/>
      </c>
      <c r="K595" s="71"/>
      <c r="L595" s="71" t="str">
        <f>IFERROR(__xludf.DUMMYFUNCTION("""COMPUTED_VALUE"""),"")</f>
        <v/>
      </c>
      <c r="M595" s="71"/>
      <c r="N595" s="109" t="str">
        <f>IFERROR(__xludf.DUMMYFUNCTION("""COMPUTED_VALUE"""),"")</f>
        <v/>
      </c>
      <c r="O595" s="71" t="str">
        <f>IFERROR(__xludf.DUMMYFUNCTION("""COMPUTED_VALUE"""),"")</f>
        <v/>
      </c>
      <c r="P595" s="71" t="str">
        <f>IFERROR(__xludf.DUMMYFUNCTION("""COMPUTED_VALUE"""),"")</f>
        <v/>
      </c>
      <c r="Q595" s="78" t="str">
        <f>IFERROR(__xludf.DUMMYFUNCTION("""COMPUTED_VALUE"""),"")</f>
        <v/>
      </c>
      <c r="R595" s="78" t="str">
        <f>IFERROR(__xludf.DUMMYFUNCTION("""COMPUTED_VALUE"""),"")</f>
        <v/>
      </c>
      <c r="S595" s="80" t="str">
        <f>IFERROR(__xludf.DUMMYFUNCTION("""COMPUTED_VALUE"""),"")</f>
        <v/>
      </c>
      <c r="T595" s="80" t="str">
        <f>IFERROR(__xludf.DUMMYFUNCTION("""COMPUTED_VALUE"""),"")</f>
        <v/>
      </c>
      <c r="U595" s="71" t="str">
        <f>IFERROR(__xludf.DUMMYFUNCTION("""COMPUTED_VALUE"""),"")</f>
        <v/>
      </c>
      <c r="V595" s="78" t="str">
        <f>IFERROR(__xludf.DUMMYFUNCTION("""COMPUTED_VALUE"""),"")</f>
        <v/>
      </c>
      <c r="W595" s="62" t="str">
        <f>IFERROR(__xludf.DUMMYFUNCTION("""COMPUTED_VALUE"""),"")</f>
        <v/>
      </c>
      <c r="X595" s="80" t="str">
        <f>IFERROR(__xludf.DUMMYFUNCTION("""COMPUTED_VALUE"""),"")</f>
        <v/>
      </c>
      <c r="Y595" s="109" t="str">
        <f>IFERROR(__xludf.DUMMYFUNCTION("""COMPUTED_VALUE"""),"")</f>
        <v/>
      </c>
      <c r="Z595" s="71"/>
      <c r="AA595" s="71"/>
      <c r="AB595" s="71"/>
    </row>
    <row r="596">
      <c r="A596" s="71"/>
      <c r="B596" s="71"/>
      <c r="C596" s="71" t="str">
        <f>IFERROR(__xludf.DUMMYFUNCTION("""COMPUTED_VALUE"""),"")</f>
        <v/>
      </c>
      <c r="D596" s="71"/>
      <c r="E596" s="78"/>
      <c r="F596" s="71"/>
      <c r="G596" s="78" t="str">
        <f>IFERROR(__xludf.DUMMYFUNCTION("""COMPUTED_VALUE"""),"")</f>
        <v/>
      </c>
      <c r="H596" s="71"/>
      <c r="I596" s="80" t="str">
        <f>IFERROR(__xludf.DUMMYFUNCTION("""COMPUTED_VALUE"""),"")</f>
        <v/>
      </c>
      <c r="J596" s="71" t="str">
        <f>IFERROR(__xludf.DUMMYFUNCTION("""COMPUTED_VALUE"""),"")</f>
        <v/>
      </c>
      <c r="K596" s="71"/>
      <c r="L596" s="71" t="str">
        <f>IFERROR(__xludf.DUMMYFUNCTION("""COMPUTED_VALUE"""),"")</f>
        <v/>
      </c>
      <c r="M596" s="71"/>
      <c r="N596" s="109" t="str">
        <f>IFERROR(__xludf.DUMMYFUNCTION("""COMPUTED_VALUE"""),"")</f>
        <v/>
      </c>
      <c r="O596" s="71" t="str">
        <f>IFERROR(__xludf.DUMMYFUNCTION("""COMPUTED_VALUE"""),"")</f>
        <v/>
      </c>
      <c r="P596" s="71" t="str">
        <f>IFERROR(__xludf.DUMMYFUNCTION("""COMPUTED_VALUE"""),"")</f>
        <v/>
      </c>
      <c r="Q596" s="78" t="str">
        <f>IFERROR(__xludf.DUMMYFUNCTION("""COMPUTED_VALUE"""),"")</f>
        <v/>
      </c>
      <c r="R596" s="78" t="str">
        <f>IFERROR(__xludf.DUMMYFUNCTION("""COMPUTED_VALUE"""),"")</f>
        <v/>
      </c>
      <c r="S596" s="80" t="str">
        <f>IFERROR(__xludf.DUMMYFUNCTION("""COMPUTED_VALUE"""),"")</f>
        <v/>
      </c>
      <c r="T596" s="80" t="str">
        <f>IFERROR(__xludf.DUMMYFUNCTION("""COMPUTED_VALUE"""),"")</f>
        <v/>
      </c>
      <c r="U596" s="71" t="str">
        <f>IFERROR(__xludf.DUMMYFUNCTION("""COMPUTED_VALUE"""),"")</f>
        <v/>
      </c>
      <c r="V596" s="78" t="str">
        <f>IFERROR(__xludf.DUMMYFUNCTION("""COMPUTED_VALUE"""),"")</f>
        <v/>
      </c>
      <c r="W596" s="62" t="str">
        <f>IFERROR(__xludf.DUMMYFUNCTION("""COMPUTED_VALUE"""),"")</f>
        <v/>
      </c>
      <c r="X596" s="80" t="str">
        <f>IFERROR(__xludf.DUMMYFUNCTION("""COMPUTED_VALUE"""),"")</f>
        <v/>
      </c>
      <c r="Y596" s="109" t="str">
        <f>IFERROR(__xludf.DUMMYFUNCTION("""COMPUTED_VALUE"""),"")</f>
        <v/>
      </c>
      <c r="Z596" s="71"/>
      <c r="AA596" s="71"/>
      <c r="AB596" s="71"/>
    </row>
    <row r="597">
      <c r="A597" s="71"/>
      <c r="B597" s="71"/>
      <c r="C597" s="71" t="str">
        <f>IFERROR(__xludf.DUMMYFUNCTION("""COMPUTED_VALUE"""),"")</f>
        <v/>
      </c>
      <c r="D597" s="71"/>
      <c r="E597" s="78"/>
      <c r="F597" s="71"/>
      <c r="G597" s="78" t="str">
        <f>IFERROR(__xludf.DUMMYFUNCTION("""COMPUTED_VALUE"""),"")</f>
        <v/>
      </c>
      <c r="H597" s="71"/>
      <c r="I597" s="80" t="str">
        <f>IFERROR(__xludf.DUMMYFUNCTION("""COMPUTED_VALUE"""),"")</f>
        <v/>
      </c>
      <c r="J597" s="71" t="str">
        <f>IFERROR(__xludf.DUMMYFUNCTION("""COMPUTED_VALUE"""),"")</f>
        <v/>
      </c>
      <c r="K597" s="71"/>
      <c r="L597" s="71" t="str">
        <f>IFERROR(__xludf.DUMMYFUNCTION("""COMPUTED_VALUE"""),"")</f>
        <v/>
      </c>
      <c r="M597" s="71"/>
      <c r="N597" s="109" t="str">
        <f>IFERROR(__xludf.DUMMYFUNCTION("""COMPUTED_VALUE"""),"")</f>
        <v/>
      </c>
      <c r="O597" s="71" t="str">
        <f>IFERROR(__xludf.DUMMYFUNCTION("""COMPUTED_VALUE"""),"")</f>
        <v/>
      </c>
      <c r="P597" s="71" t="str">
        <f>IFERROR(__xludf.DUMMYFUNCTION("""COMPUTED_VALUE"""),"")</f>
        <v/>
      </c>
      <c r="Q597" s="78" t="str">
        <f>IFERROR(__xludf.DUMMYFUNCTION("""COMPUTED_VALUE"""),"")</f>
        <v/>
      </c>
      <c r="R597" s="78" t="str">
        <f>IFERROR(__xludf.DUMMYFUNCTION("""COMPUTED_VALUE"""),"")</f>
        <v/>
      </c>
      <c r="S597" s="80" t="str">
        <f>IFERROR(__xludf.DUMMYFUNCTION("""COMPUTED_VALUE"""),"")</f>
        <v/>
      </c>
      <c r="T597" s="80" t="str">
        <f>IFERROR(__xludf.DUMMYFUNCTION("""COMPUTED_VALUE"""),"")</f>
        <v/>
      </c>
      <c r="U597" s="71" t="str">
        <f>IFERROR(__xludf.DUMMYFUNCTION("""COMPUTED_VALUE"""),"")</f>
        <v/>
      </c>
      <c r="V597" s="78" t="str">
        <f>IFERROR(__xludf.DUMMYFUNCTION("""COMPUTED_VALUE"""),"")</f>
        <v/>
      </c>
      <c r="W597" s="62" t="str">
        <f>IFERROR(__xludf.DUMMYFUNCTION("""COMPUTED_VALUE"""),"")</f>
        <v/>
      </c>
      <c r="X597" s="80" t="str">
        <f>IFERROR(__xludf.DUMMYFUNCTION("""COMPUTED_VALUE"""),"")</f>
        <v/>
      </c>
      <c r="Y597" s="109" t="str">
        <f>IFERROR(__xludf.DUMMYFUNCTION("""COMPUTED_VALUE"""),"")</f>
        <v/>
      </c>
      <c r="Z597" s="71"/>
      <c r="AA597" s="71"/>
      <c r="AB597" s="71"/>
    </row>
    <row r="598">
      <c r="A598" s="71"/>
      <c r="B598" s="71"/>
      <c r="C598" s="71" t="str">
        <f>IFERROR(__xludf.DUMMYFUNCTION("""COMPUTED_VALUE"""),"")</f>
        <v/>
      </c>
      <c r="D598" s="71"/>
      <c r="E598" s="78"/>
      <c r="F598" s="71"/>
      <c r="G598" s="78" t="str">
        <f>IFERROR(__xludf.DUMMYFUNCTION("""COMPUTED_VALUE"""),"")</f>
        <v/>
      </c>
      <c r="H598" s="71"/>
      <c r="I598" s="80" t="str">
        <f>IFERROR(__xludf.DUMMYFUNCTION("""COMPUTED_VALUE"""),"")</f>
        <v/>
      </c>
      <c r="J598" s="71" t="str">
        <f>IFERROR(__xludf.DUMMYFUNCTION("""COMPUTED_VALUE"""),"")</f>
        <v/>
      </c>
      <c r="K598" s="71"/>
      <c r="L598" s="71" t="str">
        <f>IFERROR(__xludf.DUMMYFUNCTION("""COMPUTED_VALUE"""),"")</f>
        <v/>
      </c>
      <c r="M598" s="71"/>
      <c r="N598" s="109" t="str">
        <f>IFERROR(__xludf.DUMMYFUNCTION("""COMPUTED_VALUE"""),"")</f>
        <v/>
      </c>
      <c r="O598" s="71" t="str">
        <f>IFERROR(__xludf.DUMMYFUNCTION("""COMPUTED_VALUE"""),"")</f>
        <v/>
      </c>
      <c r="P598" s="71" t="str">
        <f>IFERROR(__xludf.DUMMYFUNCTION("""COMPUTED_VALUE"""),"")</f>
        <v/>
      </c>
      <c r="Q598" s="78" t="str">
        <f>IFERROR(__xludf.DUMMYFUNCTION("""COMPUTED_VALUE"""),"")</f>
        <v/>
      </c>
      <c r="R598" s="78" t="str">
        <f>IFERROR(__xludf.DUMMYFUNCTION("""COMPUTED_VALUE"""),"")</f>
        <v/>
      </c>
      <c r="S598" s="80" t="str">
        <f>IFERROR(__xludf.DUMMYFUNCTION("""COMPUTED_VALUE"""),"")</f>
        <v/>
      </c>
      <c r="T598" s="80" t="str">
        <f>IFERROR(__xludf.DUMMYFUNCTION("""COMPUTED_VALUE"""),"")</f>
        <v/>
      </c>
      <c r="U598" s="71" t="str">
        <f>IFERROR(__xludf.DUMMYFUNCTION("""COMPUTED_VALUE"""),"")</f>
        <v/>
      </c>
      <c r="V598" s="78" t="str">
        <f>IFERROR(__xludf.DUMMYFUNCTION("""COMPUTED_VALUE"""),"")</f>
        <v/>
      </c>
      <c r="W598" s="62" t="str">
        <f>IFERROR(__xludf.DUMMYFUNCTION("""COMPUTED_VALUE"""),"")</f>
        <v/>
      </c>
      <c r="X598" s="80" t="str">
        <f>IFERROR(__xludf.DUMMYFUNCTION("""COMPUTED_VALUE"""),"")</f>
        <v/>
      </c>
      <c r="Y598" s="109" t="str">
        <f>IFERROR(__xludf.DUMMYFUNCTION("""COMPUTED_VALUE"""),"")</f>
        <v/>
      </c>
      <c r="Z598" s="71"/>
      <c r="AA598" s="71"/>
      <c r="AB598" s="71"/>
    </row>
    <row r="599">
      <c r="A599" s="71"/>
      <c r="B599" s="71"/>
      <c r="C599" s="71" t="str">
        <f>IFERROR(__xludf.DUMMYFUNCTION("""COMPUTED_VALUE"""),"")</f>
        <v/>
      </c>
      <c r="D599" s="71"/>
      <c r="E599" s="78"/>
      <c r="F599" s="71"/>
      <c r="G599" s="78" t="str">
        <f>IFERROR(__xludf.DUMMYFUNCTION("""COMPUTED_VALUE"""),"")</f>
        <v/>
      </c>
      <c r="H599" s="71"/>
      <c r="I599" s="80" t="str">
        <f>IFERROR(__xludf.DUMMYFUNCTION("""COMPUTED_VALUE"""),"")</f>
        <v/>
      </c>
      <c r="J599" s="71" t="str">
        <f>IFERROR(__xludf.DUMMYFUNCTION("""COMPUTED_VALUE"""),"")</f>
        <v/>
      </c>
      <c r="K599" s="71"/>
      <c r="L599" s="71" t="str">
        <f>IFERROR(__xludf.DUMMYFUNCTION("""COMPUTED_VALUE"""),"")</f>
        <v/>
      </c>
      <c r="M599" s="71"/>
      <c r="N599" s="109" t="str">
        <f>IFERROR(__xludf.DUMMYFUNCTION("""COMPUTED_VALUE"""),"")</f>
        <v/>
      </c>
      <c r="O599" s="71" t="str">
        <f>IFERROR(__xludf.DUMMYFUNCTION("""COMPUTED_VALUE"""),"")</f>
        <v/>
      </c>
      <c r="P599" s="71" t="str">
        <f>IFERROR(__xludf.DUMMYFUNCTION("""COMPUTED_VALUE"""),"")</f>
        <v/>
      </c>
      <c r="Q599" s="78" t="str">
        <f>IFERROR(__xludf.DUMMYFUNCTION("""COMPUTED_VALUE"""),"")</f>
        <v/>
      </c>
      <c r="R599" s="78" t="str">
        <f>IFERROR(__xludf.DUMMYFUNCTION("""COMPUTED_VALUE"""),"")</f>
        <v/>
      </c>
      <c r="S599" s="80" t="str">
        <f>IFERROR(__xludf.DUMMYFUNCTION("""COMPUTED_VALUE"""),"")</f>
        <v/>
      </c>
      <c r="T599" s="80" t="str">
        <f>IFERROR(__xludf.DUMMYFUNCTION("""COMPUTED_VALUE"""),"")</f>
        <v/>
      </c>
      <c r="U599" s="71" t="str">
        <f>IFERROR(__xludf.DUMMYFUNCTION("""COMPUTED_VALUE"""),"")</f>
        <v/>
      </c>
      <c r="V599" s="78" t="str">
        <f>IFERROR(__xludf.DUMMYFUNCTION("""COMPUTED_VALUE"""),"")</f>
        <v/>
      </c>
      <c r="W599" s="62" t="str">
        <f>IFERROR(__xludf.DUMMYFUNCTION("""COMPUTED_VALUE"""),"")</f>
        <v/>
      </c>
      <c r="X599" s="80" t="str">
        <f>IFERROR(__xludf.DUMMYFUNCTION("""COMPUTED_VALUE"""),"")</f>
        <v/>
      </c>
      <c r="Y599" s="109" t="str">
        <f>IFERROR(__xludf.DUMMYFUNCTION("""COMPUTED_VALUE"""),"")</f>
        <v/>
      </c>
      <c r="Z599" s="71"/>
      <c r="AA599" s="71"/>
      <c r="AB599" s="71"/>
    </row>
    <row r="600">
      <c r="A600" s="71"/>
      <c r="B600" s="71"/>
      <c r="C600" s="71" t="str">
        <f>IFERROR(__xludf.DUMMYFUNCTION("""COMPUTED_VALUE"""),"")</f>
        <v/>
      </c>
      <c r="D600" s="71"/>
      <c r="E600" s="78"/>
      <c r="F600" s="71"/>
      <c r="G600" s="78" t="str">
        <f>IFERROR(__xludf.DUMMYFUNCTION("""COMPUTED_VALUE"""),"")</f>
        <v/>
      </c>
      <c r="H600" s="71"/>
      <c r="I600" s="80" t="str">
        <f>IFERROR(__xludf.DUMMYFUNCTION("""COMPUTED_VALUE"""),"")</f>
        <v/>
      </c>
      <c r="J600" s="71" t="str">
        <f>IFERROR(__xludf.DUMMYFUNCTION("""COMPUTED_VALUE"""),"")</f>
        <v/>
      </c>
      <c r="K600" s="71"/>
      <c r="L600" s="71" t="str">
        <f>IFERROR(__xludf.DUMMYFUNCTION("""COMPUTED_VALUE"""),"")</f>
        <v/>
      </c>
      <c r="M600" s="71"/>
      <c r="N600" s="109" t="str">
        <f>IFERROR(__xludf.DUMMYFUNCTION("""COMPUTED_VALUE"""),"")</f>
        <v/>
      </c>
      <c r="O600" s="71" t="str">
        <f>IFERROR(__xludf.DUMMYFUNCTION("""COMPUTED_VALUE"""),"")</f>
        <v/>
      </c>
      <c r="P600" s="71" t="str">
        <f>IFERROR(__xludf.DUMMYFUNCTION("""COMPUTED_VALUE"""),"")</f>
        <v/>
      </c>
      <c r="Q600" s="78" t="str">
        <f>IFERROR(__xludf.DUMMYFUNCTION("""COMPUTED_VALUE"""),"")</f>
        <v/>
      </c>
      <c r="R600" s="78" t="str">
        <f>IFERROR(__xludf.DUMMYFUNCTION("""COMPUTED_VALUE"""),"")</f>
        <v/>
      </c>
      <c r="S600" s="80" t="str">
        <f>IFERROR(__xludf.DUMMYFUNCTION("""COMPUTED_VALUE"""),"")</f>
        <v/>
      </c>
      <c r="T600" s="80" t="str">
        <f>IFERROR(__xludf.DUMMYFUNCTION("""COMPUTED_VALUE"""),"")</f>
        <v/>
      </c>
      <c r="U600" s="71" t="str">
        <f>IFERROR(__xludf.DUMMYFUNCTION("""COMPUTED_VALUE"""),"")</f>
        <v/>
      </c>
      <c r="V600" s="78" t="str">
        <f>IFERROR(__xludf.DUMMYFUNCTION("""COMPUTED_VALUE"""),"")</f>
        <v/>
      </c>
      <c r="W600" s="62" t="str">
        <f>IFERROR(__xludf.DUMMYFUNCTION("""COMPUTED_VALUE"""),"")</f>
        <v/>
      </c>
      <c r="X600" s="80" t="str">
        <f>IFERROR(__xludf.DUMMYFUNCTION("""COMPUTED_VALUE"""),"")</f>
        <v/>
      </c>
      <c r="Y600" s="109" t="str">
        <f>IFERROR(__xludf.DUMMYFUNCTION("""COMPUTED_VALUE"""),"")</f>
        <v/>
      </c>
      <c r="Z600" s="71"/>
      <c r="AA600" s="71"/>
      <c r="AB600" s="71"/>
    </row>
    <row r="601">
      <c r="A601" s="71"/>
      <c r="B601" s="71"/>
      <c r="C601" s="71" t="str">
        <f>IFERROR(__xludf.DUMMYFUNCTION("""COMPUTED_VALUE"""),"")</f>
        <v/>
      </c>
      <c r="D601" s="71"/>
      <c r="E601" s="78"/>
      <c r="F601" s="71"/>
      <c r="G601" s="78" t="str">
        <f>IFERROR(__xludf.DUMMYFUNCTION("""COMPUTED_VALUE"""),"")</f>
        <v/>
      </c>
      <c r="H601" s="71"/>
      <c r="I601" s="80" t="str">
        <f>IFERROR(__xludf.DUMMYFUNCTION("""COMPUTED_VALUE"""),"")</f>
        <v/>
      </c>
      <c r="J601" s="71" t="str">
        <f>IFERROR(__xludf.DUMMYFUNCTION("""COMPUTED_VALUE"""),"")</f>
        <v/>
      </c>
      <c r="K601" s="71"/>
      <c r="L601" s="71" t="str">
        <f>IFERROR(__xludf.DUMMYFUNCTION("""COMPUTED_VALUE"""),"")</f>
        <v/>
      </c>
      <c r="M601" s="71"/>
      <c r="N601" s="109" t="str">
        <f>IFERROR(__xludf.DUMMYFUNCTION("""COMPUTED_VALUE"""),"")</f>
        <v/>
      </c>
      <c r="O601" s="71" t="str">
        <f>IFERROR(__xludf.DUMMYFUNCTION("""COMPUTED_VALUE"""),"")</f>
        <v/>
      </c>
      <c r="P601" s="71" t="str">
        <f>IFERROR(__xludf.DUMMYFUNCTION("""COMPUTED_VALUE"""),"")</f>
        <v/>
      </c>
      <c r="Q601" s="78" t="str">
        <f>IFERROR(__xludf.DUMMYFUNCTION("""COMPUTED_VALUE"""),"")</f>
        <v/>
      </c>
      <c r="R601" s="78" t="str">
        <f>IFERROR(__xludf.DUMMYFUNCTION("""COMPUTED_VALUE"""),"")</f>
        <v/>
      </c>
      <c r="S601" s="80" t="str">
        <f>IFERROR(__xludf.DUMMYFUNCTION("""COMPUTED_VALUE"""),"")</f>
        <v/>
      </c>
      <c r="T601" s="80" t="str">
        <f>IFERROR(__xludf.DUMMYFUNCTION("""COMPUTED_VALUE"""),"")</f>
        <v/>
      </c>
      <c r="U601" s="71" t="str">
        <f>IFERROR(__xludf.DUMMYFUNCTION("""COMPUTED_VALUE"""),"")</f>
        <v/>
      </c>
      <c r="V601" s="78" t="str">
        <f>IFERROR(__xludf.DUMMYFUNCTION("""COMPUTED_VALUE"""),"")</f>
        <v/>
      </c>
      <c r="W601" s="62" t="str">
        <f>IFERROR(__xludf.DUMMYFUNCTION("""COMPUTED_VALUE"""),"")</f>
        <v/>
      </c>
      <c r="X601" s="80" t="str">
        <f>IFERROR(__xludf.DUMMYFUNCTION("""COMPUTED_VALUE"""),"")</f>
        <v/>
      </c>
      <c r="Y601" s="109" t="str">
        <f>IFERROR(__xludf.DUMMYFUNCTION("""COMPUTED_VALUE"""),"")</f>
        <v/>
      </c>
      <c r="Z601" s="71"/>
      <c r="AA601" s="71"/>
      <c r="AB601" s="71"/>
    </row>
    <row r="602">
      <c r="A602" s="71"/>
      <c r="B602" s="71"/>
      <c r="C602" s="71" t="str">
        <f>IFERROR(__xludf.DUMMYFUNCTION("""COMPUTED_VALUE"""),"")</f>
        <v/>
      </c>
      <c r="D602" s="71"/>
      <c r="E602" s="78"/>
      <c r="F602" s="71"/>
      <c r="G602" s="78" t="str">
        <f>IFERROR(__xludf.DUMMYFUNCTION("""COMPUTED_VALUE"""),"")</f>
        <v/>
      </c>
      <c r="H602" s="71"/>
      <c r="I602" s="80" t="str">
        <f>IFERROR(__xludf.DUMMYFUNCTION("""COMPUTED_VALUE"""),"")</f>
        <v/>
      </c>
      <c r="J602" s="71" t="str">
        <f>IFERROR(__xludf.DUMMYFUNCTION("""COMPUTED_VALUE"""),"")</f>
        <v/>
      </c>
      <c r="K602" s="71"/>
      <c r="L602" s="71" t="str">
        <f>IFERROR(__xludf.DUMMYFUNCTION("""COMPUTED_VALUE"""),"")</f>
        <v/>
      </c>
      <c r="M602" s="71"/>
      <c r="N602" s="109" t="str">
        <f>IFERROR(__xludf.DUMMYFUNCTION("""COMPUTED_VALUE"""),"")</f>
        <v/>
      </c>
      <c r="O602" s="71" t="str">
        <f>IFERROR(__xludf.DUMMYFUNCTION("""COMPUTED_VALUE"""),"")</f>
        <v/>
      </c>
      <c r="P602" s="71" t="str">
        <f>IFERROR(__xludf.DUMMYFUNCTION("""COMPUTED_VALUE"""),"")</f>
        <v/>
      </c>
      <c r="Q602" s="78" t="str">
        <f>IFERROR(__xludf.DUMMYFUNCTION("""COMPUTED_VALUE"""),"")</f>
        <v/>
      </c>
      <c r="R602" s="78" t="str">
        <f>IFERROR(__xludf.DUMMYFUNCTION("""COMPUTED_VALUE"""),"")</f>
        <v/>
      </c>
      <c r="S602" s="80" t="str">
        <f>IFERROR(__xludf.DUMMYFUNCTION("""COMPUTED_VALUE"""),"")</f>
        <v/>
      </c>
      <c r="T602" s="80" t="str">
        <f>IFERROR(__xludf.DUMMYFUNCTION("""COMPUTED_VALUE"""),"")</f>
        <v/>
      </c>
      <c r="U602" s="71" t="str">
        <f>IFERROR(__xludf.DUMMYFUNCTION("""COMPUTED_VALUE"""),"")</f>
        <v/>
      </c>
      <c r="V602" s="78" t="str">
        <f>IFERROR(__xludf.DUMMYFUNCTION("""COMPUTED_VALUE"""),"")</f>
        <v/>
      </c>
      <c r="W602" s="62" t="str">
        <f>IFERROR(__xludf.DUMMYFUNCTION("""COMPUTED_VALUE"""),"")</f>
        <v/>
      </c>
      <c r="X602" s="80" t="str">
        <f>IFERROR(__xludf.DUMMYFUNCTION("""COMPUTED_VALUE"""),"")</f>
        <v/>
      </c>
      <c r="Y602" s="109" t="str">
        <f>IFERROR(__xludf.DUMMYFUNCTION("""COMPUTED_VALUE"""),"")</f>
        <v/>
      </c>
      <c r="Z602" s="71"/>
      <c r="AA602" s="71"/>
      <c r="AB602" s="71"/>
    </row>
    <row r="603">
      <c r="A603" s="71"/>
      <c r="B603" s="71"/>
      <c r="C603" s="71" t="str">
        <f>IFERROR(__xludf.DUMMYFUNCTION("""COMPUTED_VALUE"""),"")</f>
        <v/>
      </c>
      <c r="D603" s="71"/>
      <c r="E603" s="78"/>
      <c r="F603" s="71"/>
      <c r="G603" s="78" t="str">
        <f>IFERROR(__xludf.DUMMYFUNCTION("""COMPUTED_VALUE"""),"")</f>
        <v/>
      </c>
      <c r="H603" s="71"/>
      <c r="I603" s="80" t="str">
        <f>IFERROR(__xludf.DUMMYFUNCTION("""COMPUTED_VALUE"""),"")</f>
        <v/>
      </c>
      <c r="J603" s="71" t="str">
        <f>IFERROR(__xludf.DUMMYFUNCTION("""COMPUTED_VALUE"""),"")</f>
        <v/>
      </c>
      <c r="K603" s="71"/>
      <c r="L603" s="71" t="str">
        <f>IFERROR(__xludf.DUMMYFUNCTION("""COMPUTED_VALUE"""),"")</f>
        <v/>
      </c>
      <c r="M603" s="71"/>
      <c r="N603" s="109" t="str">
        <f>IFERROR(__xludf.DUMMYFUNCTION("""COMPUTED_VALUE"""),"")</f>
        <v/>
      </c>
      <c r="O603" s="71" t="str">
        <f>IFERROR(__xludf.DUMMYFUNCTION("""COMPUTED_VALUE"""),"")</f>
        <v/>
      </c>
      <c r="P603" s="71" t="str">
        <f>IFERROR(__xludf.DUMMYFUNCTION("""COMPUTED_VALUE"""),"")</f>
        <v/>
      </c>
      <c r="Q603" s="78" t="str">
        <f>IFERROR(__xludf.DUMMYFUNCTION("""COMPUTED_VALUE"""),"")</f>
        <v/>
      </c>
      <c r="R603" s="78" t="str">
        <f>IFERROR(__xludf.DUMMYFUNCTION("""COMPUTED_VALUE"""),"")</f>
        <v/>
      </c>
      <c r="S603" s="80" t="str">
        <f>IFERROR(__xludf.DUMMYFUNCTION("""COMPUTED_VALUE"""),"")</f>
        <v/>
      </c>
      <c r="T603" s="80" t="str">
        <f>IFERROR(__xludf.DUMMYFUNCTION("""COMPUTED_VALUE"""),"")</f>
        <v/>
      </c>
      <c r="U603" s="71" t="str">
        <f>IFERROR(__xludf.DUMMYFUNCTION("""COMPUTED_VALUE"""),"")</f>
        <v/>
      </c>
      <c r="V603" s="78" t="str">
        <f>IFERROR(__xludf.DUMMYFUNCTION("""COMPUTED_VALUE"""),"")</f>
        <v/>
      </c>
      <c r="W603" s="62" t="str">
        <f>IFERROR(__xludf.DUMMYFUNCTION("""COMPUTED_VALUE"""),"")</f>
        <v/>
      </c>
      <c r="X603" s="80" t="str">
        <f>IFERROR(__xludf.DUMMYFUNCTION("""COMPUTED_VALUE"""),"")</f>
        <v/>
      </c>
      <c r="Y603" s="109" t="str">
        <f>IFERROR(__xludf.DUMMYFUNCTION("""COMPUTED_VALUE"""),"")</f>
        <v/>
      </c>
      <c r="Z603" s="71"/>
      <c r="AA603" s="71"/>
      <c r="AB603" s="71"/>
    </row>
    <row r="604">
      <c r="A604" s="71"/>
      <c r="B604" s="71"/>
      <c r="C604" s="71" t="str">
        <f>IFERROR(__xludf.DUMMYFUNCTION("""COMPUTED_VALUE"""),"")</f>
        <v/>
      </c>
      <c r="D604" s="71"/>
      <c r="E604" s="78"/>
      <c r="F604" s="71"/>
      <c r="G604" s="78" t="str">
        <f>IFERROR(__xludf.DUMMYFUNCTION("""COMPUTED_VALUE"""),"")</f>
        <v/>
      </c>
      <c r="H604" s="71"/>
      <c r="I604" s="80" t="str">
        <f>IFERROR(__xludf.DUMMYFUNCTION("""COMPUTED_VALUE"""),"")</f>
        <v/>
      </c>
      <c r="J604" s="71" t="str">
        <f>IFERROR(__xludf.DUMMYFUNCTION("""COMPUTED_VALUE"""),"")</f>
        <v/>
      </c>
      <c r="K604" s="71"/>
      <c r="L604" s="71" t="str">
        <f>IFERROR(__xludf.DUMMYFUNCTION("""COMPUTED_VALUE"""),"")</f>
        <v/>
      </c>
      <c r="M604" s="71"/>
      <c r="N604" s="109" t="str">
        <f>IFERROR(__xludf.DUMMYFUNCTION("""COMPUTED_VALUE"""),"")</f>
        <v/>
      </c>
      <c r="O604" s="71" t="str">
        <f>IFERROR(__xludf.DUMMYFUNCTION("""COMPUTED_VALUE"""),"")</f>
        <v/>
      </c>
      <c r="P604" s="71" t="str">
        <f>IFERROR(__xludf.DUMMYFUNCTION("""COMPUTED_VALUE"""),"")</f>
        <v/>
      </c>
      <c r="Q604" s="78" t="str">
        <f>IFERROR(__xludf.DUMMYFUNCTION("""COMPUTED_VALUE"""),"")</f>
        <v/>
      </c>
      <c r="R604" s="78" t="str">
        <f>IFERROR(__xludf.DUMMYFUNCTION("""COMPUTED_VALUE"""),"")</f>
        <v/>
      </c>
      <c r="S604" s="80" t="str">
        <f>IFERROR(__xludf.DUMMYFUNCTION("""COMPUTED_VALUE"""),"")</f>
        <v/>
      </c>
      <c r="T604" s="80" t="str">
        <f>IFERROR(__xludf.DUMMYFUNCTION("""COMPUTED_VALUE"""),"")</f>
        <v/>
      </c>
      <c r="U604" s="71" t="str">
        <f>IFERROR(__xludf.DUMMYFUNCTION("""COMPUTED_VALUE"""),"")</f>
        <v/>
      </c>
      <c r="V604" s="78" t="str">
        <f>IFERROR(__xludf.DUMMYFUNCTION("""COMPUTED_VALUE"""),"")</f>
        <v/>
      </c>
      <c r="W604" s="62" t="str">
        <f>IFERROR(__xludf.DUMMYFUNCTION("""COMPUTED_VALUE"""),"")</f>
        <v/>
      </c>
      <c r="X604" s="80" t="str">
        <f>IFERROR(__xludf.DUMMYFUNCTION("""COMPUTED_VALUE"""),"")</f>
        <v/>
      </c>
      <c r="Y604" s="109" t="str">
        <f>IFERROR(__xludf.DUMMYFUNCTION("""COMPUTED_VALUE"""),"")</f>
        <v/>
      </c>
      <c r="Z604" s="71"/>
      <c r="AA604" s="71"/>
      <c r="AB604" s="71"/>
    </row>
    <row r="605">
      <c r="A605" s="71"/>
      <c r="B605" s="71"/>
      <c r="C605" s="71" t="str">
        <f>IFERROR(__xludf.DUMMYFUNCTION("""COMPUTED_VALUE"""),"")</f>
        <v/>
      </c>
      <c r="D605" s="71"/>
      <c r="E605" s="78"/>
      <c r="F605" s="71"/>
      <c r="G605" s="78" t="str">
        <f>IFERROR(__xludf.DUMMYFUNCTION("""COMPUTED_VALUE"""),"")</f>
        <v/>
      </c>
      <c r="H605" s="71"/>
      <c r="I605" s="80" t="str">
        <f>IFERROR(__xludf.DUMMYFUNCTION("""COMPUTED_VALUE"""),"")</f>
        <v/>
      </c>
      <c r="J605" s="71" t="str">
        <f>IFERROR(__xludf.DUMMYFUNCTION("""COMPUTED_VALUE"""),"")</f>
        <v/>
      </c>
      <c r="K605" s="71"/>
      <c r="L605" s="71" t="str">
        <f>IFERROR(__xludf.DUMMYFUNCTION("""COMPUTED_VALUE"""),"")</f>
        <v/>
      </c>
      <c r="M605" s="71"/>
      <c r="N605" s="109" t="str">
        <f>IFERROR(__xludf.DUMMYFUNCTION("""COMPUTED_VALUE"""),"")</f>
        <v/>
      </c>
      <c r="O605" s="71" t="str">
        <f>IFERROR(__xludf.DUMMYFUNCTION("""COMPUTED_VALUE"""),"")</f>
        <v/>
      </c>
      <c r="P605" s="71" t="str">
        <f>IFERROR(__xludf.DUMMYFUNCTION("""COMPUTED_VALUE"""),"")</f>
        <v/>
      </c>
      <c r="Q605" s="78" t="str">
        <f>IFERROR(__xludf.DUMMYFUNCTION("""COMPUTED_VALUE"""),"")</f>
        <v/>
      </c>
      <c r="R605" s="78" t="str">
        <f>IFERROR(__xludf.DUMMYFUNCTION("""COMPUTED_VALUE"""),"")</f>
        <v/>
      </c>
      <c r="S605" s="80" t="str">
        <f>IFERROR(__xludf.DUMMYFUNCTION("""COMPUTED_VALUE"""),"")</f>
        <v/>
      </c>
      <c r="T605" s="80" t="str">
        <f>IFERROR(__xludf.DUMMYFUNCTION("""COMPUTED_VALUE"""),"")</f>
        <v/>
      </c>
      <c r="U605" s="71" t="str">
        <f>IFERROR(__xludf.DUMMYFUNCTION("""COMPUTED_VALUE"""),"")</f>
        <v/>
      </c>
      <c r="V605" s="78" t="str">
        <f>IFERROR(__xludf.DUMMYFUNCTION("""COMPUTED_VALUE"""),"")</f>
        <v/>
      </c>
      <c r="W605" s="62" t="str">
        <f>IFERROR(__xludf.DUMMYFUNCTION("""COMPUTED_VALUE"""),"")</f>
        <v/>
      </c>
      <c r="X605" s="80" t="str">
        <f>IFERROR(__xludf.DUMMYFUNCTION("""COMPUTED_VALUE"""),"")</f>
        <v/>
      </c>
      <c r="Y605" s="109" t="str">
        <f>IFERROR(__xludf.DUMMYFUNCTION("""COMPUTED_VALUE"""),"")</f>
        <v/>
      </c>
      <c r="Z605" s="71"/>
      <c r="AA605" s="71"/>
      <c r="AB605" s="71"/>
    </row>
    <row r="606">
      <c r="A606" s="71"/>
      <c r="B606" s="71"/>
      <c r="C606" s="71" t="str">
        <f>IFERROR(__xludf.DUMMYFUNCTION("""COMPUTED_VALUE"""),"")</f>
        <v/>
      </c>
      <c r="D606" s="71"/>
      <c r="E606" s="78"/>
      <c r="F606" s="71"/>
      <c r="G606" s="78" t="str">
        <f>IFERROR(__xludf.DUMMYFUNCTION("""COMPUTED_VALUE"""),"")</f>
        <v/>
      </c>
      <c r="H606" s="71"/>
      <c r="I606" s="80" t="str">
        <f>IFERROR(__xludf.DUMMYFUNCTION("""COMPUTED_VALUE"""),"")</f>
        <v/>
      </c>
      <c r="J606" s="71" t="str">
        <f>IFERROR(__xludf.DUMMYFUNCTION("""COMPUTED_VALUE"""),"")</f>
        <v/>
      </c>
      <c r="K606" s="71"/>
      <c r="L606" s="71" t="str">
        <f>IFERROR(__xludf.DUMMYFUNCTION("""COMPUTED_VALUE"""),"")</f>
        <v/>
      </c>
      <c r="M606" s="71"/>
      <c r="N606" s="109" t="str">
        <f>IFERROR(__xludf.DUMMYFUNCTION("""COMPUTED_VALUE"""),"")</f>
        <v/>
      </c>
      <c r="O606" s="71" t="str">
        <f>IFERROR(__xludf.DUMMYFUNCTION("""COMPUTED_VALUE"""),"")</f>
        <v/>
      </c>
      <c r="P606" s="71" t="str">
        <f>IFERROR(__xludf.DUMMYFUNCTION("""COMPUTED_VALUE"""),"")</f>
        <v/>
      </c>
      <c r="Q606" s="78" t="str">
        <f>IFERROR(__xludf.DUMMYFUNCTION("""COMPUTED_VALUE"""),"")</f>
        <v/>
      </c>
      <c r="R606" s="78" t="str">
        <f>IFERROR(__xludf.DUMMYFUNCTION("""COMPUTED_VALUE"""),"")</f>
        <v/>
      </c>
      <c r="S606" s="80" t="str">
        <f>IFERROR(__xludf.DUMMYFUNCTION("""COMPUTED_VALUE"""),"")</f>
        <v/>
      </c>
      <c r="T606" s="80" t="str">
        <f>IFERROR(__xludf.DUMMYFUNCTION("""COMPUTED_VALUE"""),"")</f>
        <v/>
      </c>
      <c r="U606" s="71" t="str">
        <f>IFERROR(__xludf.DUMMYFUNCTION("""COMPUTED_VALUE"""),"")</f>
        <v/>
      </c>
      <c r="V606" s="78" t="str">
        <f>IFERROR(__xludf.DUMMYFUNCTION("""COMPUTED_VALUE"""),"")</f>
        <v/>
      </c>
      <c r="W606" s="62" t="str">
        <f>IFERROR(__xludf.DUMMYFUNCTION("""COMPUTED_VALUE"""),"")</f>
        <v/>
      </c>
      <c r="X606" s="80" t="str">
        <f>IFERROR(__xludf.DUMMYFUNCTION("""COMPUTED_VALUE"""),"")</f>
        <v/>
      </c>
      <c r="Y606" s="109" t="str">
        <f>IFERROR(__xludf.DUMMYFUNCTION("""COMPUTED_VALUE"""),"")</f>
        <v/>
      </c>
      <c r="Z606" s="71"/>
      <c r="AA606" s="71"/>
      <c r="AB606" s="71"/>
    </row>
    <row r="607">
      <c r="A607" s="71"/>
      <c r="B607" s="71"/>
      <c r="C607" s="71" t="str">
        <f>IFERROR(__xludf.DUMMYFUNCTION("""COMPUTED_VALUE"""),"")</f>
        <v/>
      </c>
      <c r="D607" s="71"/>
      <c r="E607" s="78"/>
      <c r="F607" s="71"/>
      <c r="G607" s="78" t="str">
        <f>IFERROR(__xludf.DUMMYFUNCTION("""COMPUTED_VALUE"""),"")</f>
        <v/>
      </c>
      <c r="H607" s="71"/>
      <c r="I607" s="80" t="str">
        <f>IFERROR(__xludf.DUMMYFUNCTION("""COMPUTED_VALUE"""),"")</f>
        <v/>
      </c>
      <c r="J607" s="71" t="str">
        <f>IFERROR(__xludf.DUMMYFUNCTION("""COMPUTED_VALUE"""),"")</f>
        <v/>
      </c>
      <c r="K607" s="71"/>
      <c r="L607" s="71" t="str">
        <f>IFERROR(__xludf.DUMMYFUNCTION("""COMPUTED_VALUE"""),"")</f>
        <v/>
      </c>
      <c r="M607" s="71"/>
      <c r="N607" s="109" t="str">
        <f>IFERROR(__xludf.DUMMYFUNCTION("""COMPUTED_VALUE"""),"")</f>
        <v/>
      </c>
      <c r="O607" s="71" t="str">
        <f>IFERROR(__xludf.DUMMYFUNCTION("""COMPUTED_VALUE"""),"")</f>
        <v/>
      </c>
      <c r="P607" s="71" t="str">
        <f>IFERROR(__xludf.DUMMYFUNCTION("""COMPUTED_VALUE"""),"")</f>
        <v/>
      </c>
      <c r="Q607" s="78" t="str">
        <f>IFERROR(__xludf.DUMMYFUNCTION("""COMPUTED_VALUE"""),"")</f>
        <v/>
      </c>
      <c r="R607" s="78" t="str">
        <f>IFERROR(__xludf.DUMMYFUNCTION("""COMPUTED_VALUE"""),"")</f>
        <v/>
      </c>
      <c r="S607" s="80" t="str">
        <f>IFERROR(__xludf.DUMMYFUNCTION("""COMPUTED_VALUE"""),"")</f>
        <v/>
      </c>
      <c r="T607" s="80" t="str">
        <f>IFERROR(__xludf.DUMMYFUNCTION("""COMPUTED_VALUE"""),"")</f>
        <v/>
      </c>
      <c r="U607" s="71" t="str">
        <f>IFERROR(__xludf.DUMMYFUNCTION("""COMPUTED_VALUE"""),"")</f>
        <v/>
      </c>
      <c r="V607" s="78" t="str">
        <f>IFERROR(__xludf.DUMMYFUNCTION("""COMPUTED_VALUE"""),"")</f>
        <v/>
      </c>
      <c r="W607" s="62" t="str">
        <f>IFERROR(__xludf.DUMMYFUNCTION("""COMPUTED_VALUE"""),"")</f>
        <v/>
      </c>
      <c r="X607" s="80" t="str">
        <f>IFERROR(__xludf.DUMMYFUNCTION("""COMPUTED_VALUE"""),"")</f>
        <v/>
      </c>
      <c r="Y607" s="109" t="str">
        <f>IFERROR(__xludf.DUMMYFUNCTION("""COMPUTED_VALUE"""),"")</f>
        <v/>
      </c>
      <c r="Z607" s="71"/>
      <c r="AA607" s="71"/>
      <c r="AB607" s="71"/>
    </row>
    <row r="608">
      <c r="A608" s="71"/>
      <c r="B608" s="71"/>
      <c r="C608" s="71" t="str">
        <f>IFERROR(__xludf.DUMMYFUNCTION("""COMPUTED_VALUE"""),"")</f>
        <v/>
      </c>
      <c r="D608" s="71"/>
      <c r="E608" s="78"/>
      <c r="F608" s="71"/>
      <c r="G608" s="78" t="str">
        <f>IFERROR(__xludf.DUMMYFUNCTION("""COMPUTED_VALUE"""),"")</f>
        <v/>
      </c>
      <c r="H608" s="71"/>
      <c r="I608" s="80" t="str">
        <f>IFERROR(__xludf.DUMMYFUNCTION("""COMPUTED_VALUE"""),"")</f>
        <v/>
      </c>
      <c r="J608" s="71" t="str">
        <f>IFERROR(__xludf.DUMMYFUNCTION("""COMPUTED_VALUE"""),"")</f>
        <v/>
      </c>
      <c r="K608" s="71"/>
      <c r="L608" s="71" t="str">
        <f>IFERROR(__xludf.DUMMYFUNCTION("""COMPUTED_VALUE"""),"")</f>
        <v/>
      </c>
      <c r="M608" s="71"/>
      <c r="N608" s="109" t="str">
        <f>IFERROR(__xludf.DUMMYFUNCTION("""COMPUTED_VALUE"""),"")</f>
        <v/>
      </c>
      <c r="O608" s="71" t="str">
        <f>IFERROR(__xludf.DUMMYFUNCTION("""COMPUTED_VALUE"""),"")</f>
        <v/>
      </c>
      <c r="P608" s="71" t="str">
        <f>IFERROR(__xludf.DUMMYFUNCTION("""COMPUTED_VALUE"""),"")</f>
        <v/>
      </c>
      <c r="Q608" s="78" t="str">
        <f>IFERROR(__xludf.DUMMYFUNCTION("""COMPUTED_VALUE"""),"")</f>
        <v/>
      </c>
      <c r="R608" s="78" t="str">
        <f>IFERROR(__xludf.DUMMYFUNCTION("""COMPUTED_VALUE"""),"")</f>
        <v/>
      </c>
      <c r="S608" s="80" t="str">
        <f>IFERROR(__xludf.DUMMYFUNCTION("""COMPUTED_VALUE"""),"")</f>
        <v/>
      </c>
      <c r="T608" s="80" t="str">
        <f>IFERROR(__xludf.DUMMYFUNCTION("""COMPUTED_VALUE"""),"")</f>
        <v/>
      </c>
      <c r="U608" s="71" t="str">
        <f>IFERROR(__xludf.DUMMYFUNCTION("""COMPUTED_VALUE"""),"")</f>
        <v/>
      </c>
      <c r="V608" s="78" t="str">
        <f>IFERROR(__xludf.DUMMYFUNCTION("""COMPUTED_VALUE"""),"")</f>
        <v/>
      </c>
      <c r="W608" s="62" t="str">
        <f>IFERROR(__xludf.DUMMYFUNCTION("""COMPUTED_VALUE"""),"")</f>
        <v/>
      </c>
      <c r="X608" s="80" t="str">
        <f>IFERROR(__xludf.DUMMYFUNCTION("""COMPUTED_VALUE"""),"")</f>
        <v/>
      </c>
      <c r="Y608" s="109" t="str">
        <f>IFERROR(__xludf.DUMMYFUNCTION("""COMPUTED_VALUE"""),"")</f>
        <v/>
      </c>
      <c r="Z608" s="71"/>
      <c r="AA608" s="71"/>
      <c r="AB608" s="71"/>
    </row>
    <row r="609">
      <c r="A609" s="71"/>
      <c r="B609" s="71"/>
      <c r="C609" s="71" t="str">
        <f>IFERROR(__xludf.DUMMYFUNCTION("""COMPUTED_VALUE"""),"")</f>
        <v/>
      </c>
      <c r="D609" s="71"/>
      <c r="E609" s="78"/>
      <c r="F609" s="71"/>
      <c r="G609" s="78" t="str">
        <f>IFERROR(__xludf.DUMMYFUNCTION("""COMPUTED_VALUE"""),"")</f>
        <v/>
      </c>
      <c r="H609" s="71"/>
      <c r="I609" s="80" t="str">
        <f>IFERROR(__xludf.DUMMYFUNCTION("""COMPUTED_VALUE"""),"")</f>
        <v/>
      </c>
      <c r="J609" s="71" t="str">
        <f>IFERROR(__xludf.DUMMYFUNCTION("""COMPUTED_VALUE"""),"")</f>
        <v/>
      </c>
      <c r="K609" s="71"/>
      <c r="L609" s="71" t="str">
        <f>IFERROR(__xludf.DUMMYFUNCTION("""COMPUTED_VALUE"""),"")</f>
        <v/>
      </c>
      <c r="M609" s="71"/>
      <c r="N609" s="109" t="str">
        <f>IFERROR(__xludf.DUMMYFUNCTION("""COMPUTED_VALUE"""),"")</f>
        <v/>
      </c>
      <c r="O609" s="71" t="str">
        <f>IFERROR(__xludf.DUMMYFUNCTION("""COMPUTED_VALUE"""),"")</f>
        <v/>
      </c>
      <c r="P609" s="71" t="str">
        <f>IFERROR(__xludf.DUMMYFUNCTION("""COMPUTED_VALUE"""),"")</f>
        <v/>
      </c>
      <c r="Q609" s="78" t="str">
        <f>IFERROR(__xludf.DUMMYFUNCTION("""COMPUTED_VALUE"""),"")</f>
        <v/>
      </c>
      <c r="R609" s="78" t="str">
        <f>IFERROR(__xludf.DUMMYFUNCTION("""COMPUTED_VALUE"""),"")</f>
        <v/>
      </c>
      <c r="S609" s="80" t="str">
        <f>IFERROR(__xludf.DUMMYFUNCTION("""COMPUTED_VALUE"""),"")</f>
        <v/>
      </c>
      <c r="T609" s="80" t="str">
        <f>IFERROR(__xludf.DUMMYFUNCTION("""COMPUTED_VALUE"""),"")</f>
        <v/>
      </c>
      <c r="U609" s="71" t="str">
        <f>IFERROR(__xludf.DUMMYFUNCTION("""COMPUTED_VALUE"""),"")</f>
        <v/>
      </c>
      <c r="V609" s="78" t="str">
        <f>IFERROR(__xludf.DUMMYFUNCTION("""COMPUTED_VALUE"""),"")</f>
        <v/>
      </c>
      <c r="W609" s="62" t="str">
        <f>IFERROR(__xludf.DUMMYFUNCTION("""COMPUTED_VALUE"""),"")</f>
        <v/>
      </c>
      <c r="X609" s="80" t="str">
        <f>IFERROR(__xludf.DUMMYFUNCTION("""COMPUTED_VALUE"""),"")</f>
        <v/>
      </c>
      <c r="Y609" s="109" t="str">
        <f>IFERROR(__xludf.DUMMYFUNCTION("""COMPUTED_VALUE"""),"")</f>
        <v/>
      </c>
      <c r="Z609" s="71"/>
      <c r="AA609" s="71"/>
      <c r="AB609" s="71"/>
    </row>
    <row r="610">
      <c r="A610" s="71"/>
      <c r="B610" s="71"/>
      <c r="C610" s="71" t="str">
        <f>IFERROR(__xludf.DUMMYFUNCTION("""COMPUTED_VALUE"""),"")</f>
        <v/>
      </c>
      <c r="D610" s="71"/>
      <c r="E610" s="78"/>
      <c r="F610" s="71"/>
      <c r="G610" s="78" t="str">
        <f>IFERROR(__xludf.DUMMYFUNCTION("""COMPUTED_VALUE"""),"")</f>
        <v/>
      </c>
      <c r="H610" s="71"/>
      <c r="I610" s="80" t="str">
        <f>IFERROR(__xludf.DUMMYFUNCTION("""COMPUTED_VALUE"""),"")</f>
        <v/>
      </c>
      <c r="J610" s="71" t="str">
        <f>IFERROR(__xludf.DUMMYFUNCTION("""COMPUTED_VALUE"""),"")</f>
        <v/>
      </c>
      <c r="K610" s="71"/>
      <c r="L610" s="71" t="str">
        <f>IFERROR(__xludf.DUMMYFUNCTION("""COMPUTED_VALUE"""),"")</f>
        <v/>
      </c>
      <c r="M610" s="71"/>
      <c r="N610" s="109" t="str">
        <f>IFERROR(__xludf.DUMMYFUNCTION("""COMPUTED_VALUE"""),"")</f>
        <v/>
      </c>
      <c r="O610" s="71" t="str">
        <f>IFERROR(__xludf.DUMMYFUNCTION("""COMPUTED_VALUE"""),"")</f>
        <v/>
      </c>
      <c r="P610" s="71" t="str">
        <f>IFERROR(__xludf.DUMMYFUNCTION("""COMPUTED_VALUE"""),"")</f>
        <v/>
      </c>
      <c r="Q610" s="78" t="str">
        <f>IFERROR(__xludf.DUMMYFUNCTION("""COMPUTED_VALUE"""),"")</f>
        <v/>
      </c>
      <c r="R610" s="78" t="str">
        <f>IFERROR(__xludf.DUMMYFUNCTION("""COMPUTED_VALUE"""),"")</f>
        <v/>
      </c>
      <c r="S610" s="80" t="str">
        <f>IFERROR(__xludf.DUMMYFUNCTION("""COMPUTED_VALUE"""),"")</f>
        <v/>
      </c>
      <c r="T610" s="80" t="str">
        <f>IFERROR(__xludf.DUMMYFUNCTION("""COMPUTED_VALUE"""),"")</f>
        <v/>
      </c>
      <c r="U610" s="71" t="str">
        <f>IFERROR(__xludf.DUMMYFUNCTION("""COMPUTED_VALUE"""),"")</f>
        <v/>
      </c>
      <c r="V610" s="78" t="str">
        <f>IFERROR(__xludf.DUMMYFUNCTION("""COMPUTED_VALUE"""),"")</f>
        <v/>
      </c>
      <c r="W610" s="62" t="str">
        <f>IFERROR(__xludf.DUMMYFUNCTION("""COMPUTED_VALUE"""),"")</f>
        <v/>
      </c>
      <c r="X610" s="80" t="str">
        <f>IFERROR(__xludf.DUMMYFUNCTION("""COMPUTED_VALUE"""),"")</f>
        <v/>
      </c>
      <c r="Y610" s="109" t="str">
        <f>IFERROR(__xludf.DUMMYFUNCTION("""COMPUTED_VALUE"""),"")</f>
        <v/>
      </c>
      <c r="Z610" s="71"/>
      <c r="AA610" s="71"/>
      <c r="AB610" s="71"/>
    </row>
    <row r="611">
      <c r="A611" s="71"/>
      <c r="B611" s="71"/>
      <c r="C611" s="71" t="str">
        <f>IFERROR(__xludf.DUMMYFUNCTION("""COMPUTED_VALUE"""),"")</f>
        <v/>
      </c>
      <c r="D611" s="71"/>
      <c r="E611" s="78"/>
      <c r="F611" s="71"/>
      <c r="G611" s="78" t="str">
        <f>IFERROR(__xludf.DUMMYFUNCTION("""COMPUTED_VALUE"""),"")</f>
        <v/>
      </c>
      <c r="H611" s="71"/>
      <c r="I611" s="80" t="str">
        <f>IFERROR(__xludf.DUMMYFUNCTION("""COMPUTED_VALUE"""),"")</f>
        <v/>
      </c>
      <c r="J611" s="71" t="str">
        <f>IFERROR(__xludf.DUMMYFUNCTION("""COMPUTED_VALUE"""),"")</f>
        <v/>
      </c>
      <c r="K611" s="71"/>
      <c r="L611" s="71" t="str">
        <f>IFERROR(__xludf.DUMMYFUNCTION("""COMPUTED_VALUE"""),"")</f>
        <v/>
      </c>
      <c r="M611" s="71"/>
      <c r="N611" s="109" t="str">
        <f>IFERROR(__xludf.DUMMYFUNCTION("""COMPUTED_VALUE"""),"")</f>
        <v/>
      </c>
      <c r="O611" s="71" t="str">
        <f>IFERROR(__xludf.DUMMYFUNCTION("""COMPUTED_VALUE"""),"")</f>
        <v/>
      </c>
      <c r="P611" s="71" t="str">
        <f>IFERROR(__xludf.DUMMYFUNCTION("""COMPUTED_VALUE"""),"")</f>
        <v/>
      </c>
      <c r="Q611" s="78" t="str">
        <f>IFERROR(__xludf.DUMMYFUNCTION("""COMPUTED_VALUE"""),"")</f>
        <v/>
      </c>
      <c r="R611" s="78" t="str">
        <f>IFERROR(__xludf.DUMMYFUNCTION("""COMPUTED_VALUE"""),"")</f>
        <v/>
      </c>
      <c r="S611" s="80" t="str">
        <f>IFERROR(__xludf.DUMMYFUNCTION("""COMPUTED_VALUE"""),"")</f>
        <v/>
      </c>
      <c r="T611" s="80" t="str">
        <f>IFERROR(__xludf.DUMMYFUNCTION("""COMPUTED_VALUE"""),"")</f>
        <v/>
      </c>
      <c r="U611" s="71" t="str">
        <f>IFERROR(__xludf.DUMMYFUNCTION("""COMPUTED_VALUE"""),"")</f>
        <v/>
      </c>
      <c r="V611" s="78" t="str">
        <f>IFERROR(__xludf.DUMMYFUNCTION("""COMPUTED_VALUE"""),"")</f>
        <v/>
      </c>
      <c r="W611" s="62" t="str">
        <f>IFERROR(__xludf.DUMMYFUNCTION("""COMPUTED_VALUE"""),"")</f>
        <v/>
      </c>
      <c r="X611" s="80" t="str">
        <f>IFERROR(__xludf.DUMMYFUNCTION("""COMPUTED_VALUE"""),"")</f>
        <v/>
      </c>
      <c r="Y611" s="109" t="str">
        <f>IFERROR(__xludf.DUMMYFUNCTION("""COMPUTED_VALUE"""),"")</f>
        <v/>
      </c>
      <c r="Z611" s="71"/>
      <c r="AA611" s="71"/>
      <c r="AB611" s="71"/>
    </row>
    <row r="612">
      <c r="A612" s="71"/>
      <c r="B612" s="71"/>
      <c r="C612" s="71" t="str">
        <f>IFERROR(__xludf.DUMMYFUNCTION("""COMPUTED_VALUE"""),"")</f>
        <v/>
      </c>
      <c r="D612" s="71"/>
      <c r="E612" s="78"/>
      <c r="F612" s="71"/>
      <c r="G612" s="78" t="str">
        <f>IFERROR(__xludf.DUMMYFUNCTION("""COMPUTED_VALUE"""),"")</f>
        <v/>
      </c>
      <c r="H612" s="71"/>
      <c r="I612" s="80" t="str">
        <f>IFERROR(__xludf.DUMMYFUNCTION("""COMPUTED_VALUE"""),"")</f>
        <v/>
      </c>
      <c r="J612" s="71" t="str">
        <f>IFERROR(__xludf.DUMMYFUNCTION("""COMPUTED_VALUE"""),"")</f>
        <v/>
      </c>
      <c r="K612" s="71"/>
      <c r="L612" s="71" t="str">
        <f>IFERROR(__xludf.DUMMYFUNCTION("""COMPUTED_VALUE"""),"")</f>
        <v/>
      </c>
      <c r="M612" s="71"/>
      <c r="N612" s="109" t="str">
        <f>IFERROR(__xludf.DUMMYFUNCTION("""COMPUTED_VALUE"""),"")</f>
        <v/>
      </c>
      <c r="O612" s="71" t="str">
        <f>IFERROR(__xludf.DUMMYFUNCTION("""COMPUTED_VALUE"""),"")</f>
        <v/>
      </c>
      <c r="P612" s="71" t="str">
        <f>IFERROR(__xludf.DUMMYFUNCTION("""COMPUTED_VALUE"""),"")</f>
        <v/>
      </c>
      <c r="Q612" s="78" t="str">
        <f>IFERROR(__xludf.DUMMYFUNCTION("""COMPUTED_VALUE"""),"")</f>
        <v/>
      </c>
      <c r="R612" s="78" t="str">
        <f>IFERROR(__xludf.DUMMYFUNCTION("""COMPUTED_VALUE"""),"")</f>
        <v/>
      </c>
      <c r="S612" s="80" t="str">
        <f>IFERROR(__xludf.DUMMYFUNCTION("""COMPUTED_VALUE"""),"")</f>
        <v/>
      </c>
      <c r="T612" s="80" t="str">
        <f>IFERROR(__xludf.DUMMYFUNCTION("""COMPUTED_VALUE"""),"")</f>
        <v/>
      </c>
      <c r="U612" s="71" t="str">
        <f>IFERROR(__xludf.DUMMYFUNCTION("""COMPUTED_VALUE"""),"")</f>
        <v/>
      </c>
      <c r="V612" s="78" t="str">
        <f>IFERROR(__xludf.DUMMYFUNCTION("""COMPUTED_VALUE"""),"")</f>
        <v/>
      </c>
      <c r="W612" s="62" t="str">
        <f>IFERROR(__xludf.DUMMYFUNCTION("""COMPUTED_VALUE"""),"")</f>
        <v/>
      </c>
      <c r="X612" s="80" t="str">
        <f>IFERROR(__xludf.DUMMYFUNCTION("""COMPUTED_VALUE"""),"")</f>
        <v/>
      </c>
      <c r="Y612" s="109" t="str">
        <f>IFERROR(__xludf.DUMMYFUNCTION("""COMPUTED_VALUE"""),"")</f>
        <v/>
      </c>
      <c r="Z612" s="71"/>
      <c r="AA612" s="71"/>
      <c r="AB612" s="71"/>
    </row>
    <row r="613">
      <c r="A613" s="71"/>
      <c r="B613" s="71"/>
      <c r="C613" s="71" t="str">
        <f>IFERROR(__xludf.DUMMYFUNCTION("""COMPUTED_VALUE"""),"")</f>
        <v/>
      </c>
      <c r="D613" s="71"/>
      <c r="E613" s="78"/>
      <c r="F613" s="71"/>
      <c r="G613" s="78" t="str">
        <f>IFERROR(__xludf.DUMMYFUNCTION("""COMPUTED_VALUE"""),"")</f>
        <v/>
      </c>
      <c r="H613" s="71"/>
      <c r="I613" s="80" t="str">
        <f>IFERROR(__xludf.DUMMYFUNCTION("""COMPUTED_VALUE"""),"")</f>
        <v/>
      </c>
      <c r="J613" s="71" t="str">
        <f>IFERROR(__xludf.DUMMYFUNCTION("""COMPUTED_VALUE"""),"")</f>
        <v/>
      </c>
      <c r="K613" s="71"/>
      <c r="L613" s="71" t="str">
        <f>IFERROR(__xludf.DUMMYFUNCTION("""COMPUTED_VALUE"""),"")</f>
        <v/>
      </c>
      <c r="M613" s="71"/>
      <c r="N613" s="109" t="str">
        <f>IFERROR(__xludf.DUMMYFUNCTION("""COMPUTED_VALUE"""),"")</f>
        <v/>
      </c>
      <c r="O613" s="71" t="str">
        <f>IFERROR(__xludf.DUMMYFUNCTION("""COMPUTED_VALUE"""),"")</f>
        <v/>
      </c>
      <c r="P613" s="71" t="str">
        <f>IFERROR(__xludf.DUMMYFUNCTION("""COMPUTED_VALUE"""),"")</f>
        <v/>
      </c>
      <c r="Q613" s="78" t="str">
        <f>IFERROR(__xludf.DUMMYFUNCTION("""COMPUTED_VALUE"""),"")</f>
        <v/>
      </c>
      <c r="R613" s="78" t="str">
        <f>IFERROR(__xludf.DUMMYFUNCTION("""COMPUTED_VALUE"""),"")</f>
        <v/>
      </c>
      <c r="S613" s="80" t="str">
        <f>IFERROR(__xludf.DUMMYFUNCTION("""COMPUTED_VALUE"""),"")</f>
        <v/>
      </c>
      <c r="T613" s="80" t="str">
        <f>IFERROR(__xludf.DUMMYFUNCTION("""COMPUTED_VALUE"""),"")</f>
        <v/>
      </c>
      <c r="U613" s="71" t="str">
        <f>IFERROR(__xludf.DUMMYFUNCTION("""COMPUTED_VALUE"""),"")</f>
        <v/>
      </c>
      <c r="V613" s="78" t="str">
        <f>IFERROR(__xludf.DUMMYFUNCTION("""COMPUTED_VALUE"""),"")</f>
        <v/>
      </c>
      <c r="W613" s="62" t="str">
        <f>IFERROR(__xludf.DUMMYFUNCTION("""COMPUTED_VALUE"""),"")</f>
        <v/>
      </c>
      <c r="X613" s="80" t="str">
        <f>IFERROR(__xludf.DUMMYFUNCTION("""COMPUTED_VALUE"""),"")</f>
        <v/>
      </c>
      <c r="Y613" s="109" t="str">
        <f>IFERROR(__xludf.DUMMYFUNCTION("""COMPUTED_VALUE"""),"")</f>
        <v/>
      </c>
      <c r="Z613" s="71"/>
      <c r="AA613" s="71"/>
      <c r="AB613" s="71"/>
    </row>
    <row r="614">
      <c r="A614" s="71"/>
      <c r="B614" s="71"/>
      <c r="C614" s="71" t="str">
        <f>IFERROR(__xludf.DUMMYFUNCTION("""COMPUTED_VALUE"""),"")</f>
        <v/>
      </c>
      <c r="D614" s="71"/>
      <c r="E614" s="78"/>
      <c r="F614" s="71"/>
      <c r="G614" s="78" t="str">
        <f>IFERROR(__xludf.DUMMYFUNCTION("""COMPUTED_VALUE"""),"")</f>
        <v/>
      </c>
      <c r="H614" s="71"/>
      <c r="I614" s="80" t="str">
        <f>IFERROR(__xludf.DUMMYFUNCTION("""COMPUTED_VALUE"""),"")</f>
        <v/>
      </c>
      <c r="J614" s="71" t="str">
        <f>IFERROR(__xludf.DUMMYFUNCTION("""COMPUTED_VALUE"""),"")</f>
        <v/>
      </c>
      <c r="K614" s="71"/>
      <c r="L614" s="71" t="str">
        <f>IFERROR(__xludf.DUMMYFUNCTION("""COMPUTED_VALUE"""),"")</f>
        <v/>
      </c>
      <c r="M614" s="71"/>
      <c r="N614" s="109" t="str">
        <f>IFERROR(__xludf.DUMMYFUNCTION("""COMPUTED_VALUE"""),"")</f>
        <v/>
      </c>
      <c r="O614" s="71" t="str">
        <f>IFERROR(__xludf.DUMMYFUNCTION("""COMPUTED_VALUE"""),"")</f>
        <v/>
      </c>
      <c r="P614" s="71" t="str">
        <f>IFERROR(__xludf.DUMMYFUNCTION("""COMPUTED_VALUE"""),"")</f>
        <v/>
      </c>
      <c r="Q614" s="78" t="str">
        <f>IFERROR(__xludf.DUMMYFUNCTION("""COMPUTED_VALUE"""),"")</f>
        <v/>
      </c>
      <c r="R614" s="78" t="str">
        <f>IFERROR(__xludf.DUMMYFUNCTION("""COMPUTED_VALUE"""),"")</f>
        <v/>
      </c>
      <c r="S614" s="80" t="str">
        <f>IFERROR(__xludf.DUMMYFUNCTION("""COMPUTED_VALUE"""),"")</f>
        <v/>
      </c>
      <c r="T614" s="80" t="str">
        <f>IFERROR(__xludf.DUMMYFUNCTION("""COMPUTED_VALUE"""),"")</f>
        <v/>
      </c>
      <c r="U614" s="71" t="str">
        <f>IFERROR(__xludf.DUMMYFUNCTION("""COMPUTED_VALUE"""),"")</f>
        <v/>
      </c>
      <c r="V614" s="78" t="str">
        <f>IFERROR(__xludf.DUMMYFUNCTION("""COMPUTED_VALUE"""),"")</f>
        <v/>
      </c>
      <c r="W614" s="62" t="str">
        <f>IFERROR(__xludf.DUMMYFUNCTION("""COMPUTED_VALUE"""),"")</f>
        <v/>
      </c>
      <c r="X614" s="80" t="str">
        <f>IFERROR(__xludf.DUMMYFUNCTION("""COMPUTED_VALUE"""),"")</f>
        <v/>
      </c>
      <c r="Y614" s="109" t="str">
        <f>IFERROR(__xludf.DUMMYFUNCTION("""COMPUTED_VALUE"""),"")</f>
        <v/>
      </c>
      <c r="Z614" s="71"/>
      <c r="AA614" s="71"/>
      <c r="AB614" s="71"/>
    </row>
    <row r="615">
      <c r="A615" s="71"/>
      <c r="B615" s="71"/>
      <c r="C615" s="71" t="str">
        <f>IFERROR(__xludf.DUMMYFUNCTION("""COMPUTED_VALUE"""),"")</f>
        <v/>
      </c>
      <c r="D615" s="71"/>
      <c r="E615" s="78"/>
      <c r="F615" s="71"/>
      <c r="G615" s="78" t="str">
        <f>IFERROR(__xludf.DUMMYFUNCTION("""COMPUTED_VALUE"""),"")</f>
        <v/>
      </c>
      <c r="H615" s="71"/>
      <c r="I615" s="80" t="str">
        <f>IFERROR(__xludf.DUMMYFUNCTION("""COMPUTED_VALUE"""),"")</f>
        <v/>
      </c>
      <c r="J615" s="71" t="str">
        <f>IFERROR(__xludf.DUMMYFUNCTION("""COMPUTED_VALUE"""),"")</f>
        <v/>
      </c>
      <c r="K615" s="71"/>
      <c r="L615" s="71" t="str">
        <f>IFERROR(__xludf.DUMMYFUNCTION("""COMPUTED_VALUE"""),"")</f>
        <v/>
      </c>
      <c r="M615" s="71"/>
      <c r="N615" s="109" t="str">
        <f>IFERROR(__xludf.DUMMYFUNCTION("""COMPUTED_VALUE"""),"")</f>
        <v/>
      </c>
      <c r="O615" s="71" t="str">
        <f>IFERROR(__xludf.DUMMYFUNCTION("""COMPUTED_VALUE"""),"")</f>
        <v/>
      </c>
      <c r="P615" s="71" t="str">
        <f>IFERROR(__xludf.DUMMYFUNCTION("""COMPUTED_VALUE"""),"")</f>
        <v/>
      </c>
      <c r="Q615" s="78" t="str">
        <f>IFERROR(__xludf.DUMMYFUNCTION("""COMPUTED_VALUE"""),"")</f>
        <v/>
      </c>
      <c r="R615" s="78" t="str">
        <f>IFERROR(__xludf.DUMMYFUNCTION("""COMPUTED_VALUE"""),"")</f>
        <v/>
      </c>
      <c r="S615" s="80" t="str">
        <f>IFERROR(__xludf.DUMMYFUNCTION("""COMPUTED_VALUE"""),"")</f>
        <v/>
      </c>
      <c r="T615" s="80" t="str">
        <f>IFERROR(__xludf.DUMMYFUNCTION("""COMPUTED_VALUE"""),"")</f>
        <v/>
      </c>
      <c r="U615" s="71" t="str">
        <f>IFERROR(__xludf.DUMMYFUNCTION("""COMPUTED_VALUE"""),"")</f>
        <v/>
      </c>
      <c r="V615" s="78" t="str">
        <f>IFERROR(__xludf.DUMMYFUNCTION("""COMPUTED_VALUE"""),"")</f>
        <v/>
      </c>
      <c r="W615" s="62" t="str">
        <f>IFERROR(__xludf.DUMMYFUNCTION("""COMPUTED_VALUE"""),"")</f>
        <v/>
      </c>
      <c r="X615" s="80" t="str">
        <f>IFERROR(__xludf.DUMMYFUNCTION("""COMPUTED_VALUE"""),"")</f>
        <v/>
      </c>
      <c r="Y615" s="109" t="str">
        <f>IFERROR(__xludf.DUMMYFUNCTION("""COMPUTED_VALUE"""),"")</f>
        <v/>
      </c>
      <c r="Z615" s="71"/>
      <c r="AA615" s="71"/>
      <c r="AB615" s="71"/>
    </row>
    <row r="616">
      <c r="A616" s="71"/>
      <c r="B616" s="71"/>
      <c r="C616" s="71" t="str">
        <f>IFERROR(__xludf.DUMMYFUNCTION("""COMPUTED_VALUE"""),"")</f>
        <v/>
      </c>
      <c r="D616" s="71"/>
      <c r="E616" s="78"/>
      <c r="F616" s="71"/>
      <c r="G616" s="78" t="str">
        <f>IFERROR(__xludf.DUMMYFUNCTION("""COMPUTED_VALUE"""),"")</f>
        <v/>
      </c>
      <c r="H616" s="71"/>
      <c r="I616" s="80" t="str">
        <f>IFERROR(__xludf.DUMMYFUNCTION("""COMPUTED_VALUE"""),"")</f>
        <v/>
      </c>
      <c r="J616" s="71" t="str">
        <f>IFERROR(__xludf.DUMMYFUNCTION("""COMPUTED_VALUE"""),"")</f>
        <v/>
      </c>
      <c r="K616" s="71"/>
      <c r="L616" s="71" t="str">
        <f>IFERROR(__xludf.DUMMYFUNCTION("""COMPUTED_VALUE"""),"")</f>
        <v/>
      </c>
      <c r="M616" s="71"/>
      <c r="N616" s="109" t="str">
        <f>IFERROR(__xludf.DUMMYFUNCTION("""COMPUTED_VALUE"""),"")</f>
        <v/>
      </c>
      <c r="O616" s="71" t="str">
        <f>IFERROR(__xludf.DUMMYFUNCTION("""COMPUTED_VALUE"""),"")</f>
        <v/>
      </c>
      <c r="P616" s="71" t="str">
        <f>IFERROR(__xludf.DUMMYFUNCTION("""COMPUTED_VALUE"""),"")</f>
        <v/>
      </c>
      <c r="Q616" s="78" t="str">
        <f>IFERROR(__xludf.DUMMYFUNCTION("""COMPUTED_VALUE"""),"")</f>
        <v/>
      </c>
      <c r="R616" s="78" t="str">
        <f>IFERROR(__xludf.DUMMYFUNCTION("""COMPUTED_VALUE"""),"")</f>
        <v/>
      </c>
      <c r="S616" s="80" t="str">
        <f>IFERROR(__xludf.DUMMYFUNCTION("""COMPUTED_VALUE"""),"")</f>
        <v/>
      </c>
      <c r="T616" s="80" t="str">
        <f>IFERROR(__xludf.DUMMYFUNCTION("""COMPUTED_VALUE"""),"")</f>
        <v/>
      </c>
      <c r="U616" s="71" t="str">
        <f>IFERROR(__xludf.DUMMYFUNCTION("""COMPUTED_VALUE"""),"")</f>
        <v/>
      </c>
      <c r="V616" s="78" t="str">
        <f>IFERROR(__xludf.DUMMYFUNCTION("""COMPUTED_VALUE"""),"")</f>
        <v/>
      </c>
      <c r="W616" s="62" t="str">
        <f>IFERROR(__xludf.DUMMYFUNCTION("""COMPUTED_VALUE"""),"")</f>
        <v/>
      </c>
      <c r="X616" s="80" t="str">
        <f>IFERROR(__xludf.DUMMYFUNCTION("""COMPUTED_VALUE"""),"")</f>
        <v/>
      </c>
      <c r="Y616" s="109" t="str">
        <f>IFERROR(__xludf.DUMMYFUNCTION("""COMPUTED_VALUE"""),"")</f>
        <v/>
      </c>
      <c r="Z616" s="71"/>
      <c r="AA616" s="71"/>
      <c r="AB616" s="71"/>
    </row>
    <row r="617">
      <c r="A617" s="71"/>
      <c r="B617" s="71"/>
      <c r="C617" s="71" t="str">
        <f>IFERROR(__xludf.DUMMYFUNCTION("""COMPUTED_VALUE"""),"")</f>
        <v/>
      </c>
      <c r="D617" s="71"/>
      <c r="E617" s="78"/>
      <c r="F617" s="71"/>
      <c r="G617" s="78" t="str">
        <f>IFERROR(__xludf.DUMMYFUNCTION("""COMPUTED_VALUE"""),"")</f>
        <v/>
      </c>
      <c r="H617" s="71"/>
      <c r="I617" s="80" t="str">
        <f>IFERROR(__xludf.DUMMYFUNCTION("""COMPUTED_VALUE"""),"")</f>
        <v/>
      </c>
      <c r="J617" s="71" t="str">
        <f>IFERROR(__xludf.DUMMYFUNCTION("""COMPUTED_VALUE"""),"")</f>
        <v/>
      </c>
      <c r="K617" s="71"/>
      <c r="L617" s="71" t="str">
        <f>IFERROR(__xludf.DUMMYFUNCTION("""COMPUTED_VALUE"""),"")</f>
        <v/>
      </c>
      <c r="M617" s="71"/>
      <c r="N617" s="109" t="str">
        <f>IFERROR(__xludf.DUMMYFUNCTION("""COMPUTED_VALUE"""),"")</f>
        <v/>
      </c>
      <c r="O617" s="71" t="str">
        <f>IFERROR(__xludf.DUMMYFUNCTION("""COMPUTED_VALUE"""),"")</f>
        <v/>
      </c>
      <c r="P617" s="71" t="str">
        <f>IFERROR(__xludf.DUMMYFUNCTION("""COMPUTED_VALUE"""),"")</f>
        <v/>
      </c>
      <c r="Q617" s="78" t="str">
        <f>IFERROR(__xludf.DUMMYFUNCTION("""COMPUTED_VALUE"""),"")</f>
        <v/>
      </c>
      <c r="R617" s="78" t="str">
        <f>IFERROR(__xludf.DUMMYFUNCTION("""COMPUTED_VALUE"""),"")</f>
        <v/>
      </c>
      <c r="S617" s="80" t="str">
        <f>IFERROR(__xludf.DUMMYFUNCTION("""COMPUTED_VALUE"""),"")</f>
        <v/>
      </c>
      <c r="T617" s="80" t="str">
        <f>IFERROR(__xludf.DUMMYFUNCTION("""COMPUTED_VALUE"""),"")</f>
        <v/>
      </c>
      <c r="U617" s="71" t="str">
        <f>IFERROR(__xludf.DUMMYFUNCTION("""COMPUTED_VALUE"""),"")</f>
        <v/>
      </c>
      <c r="V617" s="78" t="str">
        <f>IFERROR(__xludf.DUMMYFUNCTION("""COMPUTED_VALUE"""),"")</f>
        <v/>
      </c>
      <c r="W617" s="62" t="str">
        <f>IFERROR(__xludf.DUMMYFUNCTION("""COMPUTED_VALUE"""),"")</f>
        <v/>
      </c>
      <c r="X617" s="80" t="str">
        <f>IFERROR(__xludf.DUMMYFUNCTION("""COMPUTED_VALUE"""),"")</f>
        <v/>
      </c>
      <c r="Y617" s="109" t="str">
        <f>IFERROR(__xludf.DUMMYFUNCTION("""COMPUTED_VALUE"""),"")</f>
        <v/>
      </c>
      <c r="Z617" s="71"/>
      <c r="AA617" s="71"/>
      <c r="AB617" s="71"/>
    </row>
    <row r="618">
      <c r="A618" s="71"/>
      <c r="B618" s="71"/>
      <c r="C618" s="71" t="str">
        <f>IFERROR(__xludf.DUMMYFUNCTION("""COMPUTED_VALUE"""),"")</f>
        <v/>
      </c>
      <c r="D618" s="71"/>
      <c r="E618" s="78"/>
      <c r="F618" s="71"/>
      <c r="G618" s="78" t="str">
        <f>IFERROR(__xludf.DUMMYFUNCTION("""COMPUTED_VALUE"""),"")</f>
        <v/>
      </c>
      <c r="H618" s="71"/>
      <c r="I618" s="80" t="str">
        <f>IFERROR(__xludf.DUMMYFUNCTION("""COMPUTED_VALUE"""),"")</f>
        <v/>
      </c>
      <c r="J618" s="71" t="str">
        <f>IFERROR(__xludf.DUMMYFUNCTION("""COMPUTED_VALUE"""),"")</f>
        <v/>
      </c>
      <c r="K618" s="71"/>
      <c r="L618" s="71" t="str">
        <f>IFERROR(__xludf.DUMMYFUNCTION("""COMPUTED_VALUE"""),"")</f>
        <v/>
      </c>
      <c r="M618" s="71"/>
      <c r="N618" s="109" t="str">
        <f>IFERROR(__xludf.DUMMYFUNCTION("""COMPUTED_VALUE"""),"")</f>
        <v/>
      </c>
      <c r="O618" s="71" t="str">
        <f>IFERROR(__xludf.DUMMYFUNCTION("""COMPUTED_VALUE"""),"")</f>
        <v/>
      </c>
      <c r="P618" s="71" t="str">
        <f>IFERROR(__xludf.DUMMYFUNCTION("""COMPUTED_VALUE"""),"")</f>
        <v/>
      </c>
      <c r="Q618" s="78" t="str">
        <f>IFERROR(__xludf.DUMMYFUNCTION("""COMPUTED_VALUE"""),"")</f>
        <v/>
      </c>
      <c r="R618" s="78" t="str">
        <f>IFERROR(__xludf.DUMMYFUNCTION("""COMPUTED_VALUE"""),"")</f>
        <v/>
      </c>
      <c r="S618" s="80" t="str">
        <f>IFERROR(__xludf.DUMMYFUNCTION("""COMPUTED_VALUE"""),"")</f>
        <v/>
      </c>
      <c r="T618" s="80" t="str">
        <f>IFERROR(__xludf.DUMMYFUNCTION("""COMPUTED_VALUE"""),"")</f>
        <v/>
      </c>
      <c r="U618" s="71" t="str">
        <f>IFERROR(__xludf.DUMMYFUNCTION("""COMPUTED_VALUE"""),"")</f>
        <v/>
      </c>
      <c r="V618" s="78" t="str">
        <f>IFERROR(__xludf.DUMMYFUNCTION("""COMPUTED_VALUE"""),"")</f>
        <v/>
      </c>
      <c r="W618" s="62" t="str">
        <f>IFERROR(__xludf.DUMMYFUNCTION("""COMPUTED_VALUE"""),"")</f>
        <v/>
      </c>
      <c r="X618" s="80" t="str">
        <f>IFERROR(__xludf.DUMMYFUNCTION("""COMPUTED_VALUE"""),"")</f>
        <v/>
      </c>
      <c r="Y618" s="109" t="str">
        <f>IFERROR(__xludf.DUMMYFUNCTION("""COMPUTED_VALUE"""),"")</f>
        <v/>
      </c>
      <c r="Z618" s="71"/>
      <c r="AA618" s="71"/>
      <c r="AB618" s="71"/>
    </row>
    <row r="619">
      <c r="A619" s="71"/>
      <c r="B619" s="71"/>
      <c r="C619" s="71" t="str">
        <f>IFERROR(__xludf.DUMMYFUNCTION("""COMPUTED_VALUE"""),"")</f>
        <v/>
      </c>
      <c r="D619" s="71"/>
      <c r="E619" s="78"/>
      <c r="F619" s="71"/>
      <c r="G619" s="78" t="str">
        <f>IFERROR(__xludf.DUMMYFUNCTION("""COMPUTED_VALUE"""),"")</f>
        <v/>
      </c>
      <c r="H619" s="71"/>
      <c r="I619" s="80" t="str">
        <f>IFERROR(__xludf.DUMMYFUNCTION("""COMPUTED_VALUE"""),"")</f>
        <v/>
      </c>
      <c r="J619" s="71" t="str">
        <f>IFERROR(__xludf.DUMMYFUNCTION("""COMPUTED_VALUE"""),"")</f>
        <v/>
      </c>
      <c r="K619" s="71"/>
      <c r="L619" s="71" t="str">
        <f>IFERROR(__xludf.DUMMYFUNCTION("""COMPUTED_VALUE"""),"")</f>
        <v/>
      </c>
      <c r="M619" s="71"/>
      <c r="N619" s="109" t="str">
        <f>IFERROR(__xludf.DUMMYFUNCTION("""COMPUTED_VALUE"""),"")</f>
        <v/>
      </c>
      <c r="O619" s="71" t="str">
        <f>IFERROR(__xludf.DUMMYFUNCTION("""COMPUTED_VALUE"""),"")</f>
        <v/>
      </c>
      <c r="P619" s="71" t="str">
        <f>IFERROR(__xludf.DUMMYFUNCTION("""COMPUTED_VALUE"""),"")</f>
        <v/>
      </c>
      <c r="Q619" s="78" t="str">
        <f>IFERROR(__xludf.DUMMYFUNCTION("""COMPUTED_VALUE"""),"")</f>
        <v/>
      </c>
      <c r="R619" s="78" t="str">
        <f>IFERROR(__xludf.DUMMYFUNCTION("""COMPUTED_VALUE"""),"")</f>
        <v/>
      </c>
      <c r="S619" s="80" t="str">
        <f>IFERROR(__xludf.DUMMYFUNCTION("""COMPUTED_VALUE"""),"")</f>
        <v/>
      </c>
      <c r="T619" s="80" t="str">
        <f>IFERROR(__xludf.DUMMYFUNCTION("""COMPUTED_VALUE"""),"")</f>
        <v/>
      </c>
      <c r="U619" s="71" t="str">
        <f>IFERROR(__xludf.DUMMYFUNCTION("""COMPUTED_VALUE"""),"")</f>
        <v/>
      </c>
      <c r="V619" s="78" t="str">
        <f>IFERROR(__xludf.DUMMYFUNCTION("""COMPUTED_VALUE"""),"")</f>
        <v/>
      </c>
      <c r="W619" s="62" t="str">
        <f>IFERROR(__xludf.DUMMYFUNCTION("""COMPUTED_VALUE"""),"")</f>
        <v/>
      </c>
      <c r="X619" s="80" t="str">
        <f>IFERROR(__xludf.DUMMYFUNCTION("""COMPUTED_VALUE"""),"")</f>
        <v/>
      </c>
      <c r="Y619" s="109" t="str">
        <f>IFERROR(__xludf.DUMMYFUNCTION("""COMPUTED_VALUE"""),"")</f>
        <v/>
      </c>
      <c r="Z619" s="71"/>
      <c r="AA619" s="71"/>
      <c r="AB619" s="71"/>
    </row>
    <row r="620">
      <c r="A620" s="71"/>
      <c r="B620" s="71"/>
      <c r="C620" s="71" t="str">
        <f>IFERROR(__xludf.DUMMYFUNCTION("""COMPUTED_VALUE"""),"")</f>
        <v/>
      </c>
      <c r="D620" s="71"/>
      <c r="E620" s="78"/>
      <c r="F620" s="71"/>
      <c r="G620" s="78" t="str">
        <f>IFERROR(__xludf.DUMMYFUNCTION("""COMPUTED_VALUE"""),"")</f>
        <v/>
      </c>
      <c r="H620" s="71"/>
      <c r="I620" s="80" t="str">
        <f>IFERROR(__xludf.DUMMYFUNCTION("""COMPUTED_VALUE"""),"")</f>
        <v/>
      </c>
      <c r="J620" s="71" t="str">
        <f>IFERROR(__xludf.DUMMYFUNCTION("""COMPUTED_VALUE"""),"")</f>
        <v/>
      </c>
      <c r="K620" s="71"/>
      <c r="L620" s="71" t="str">
        <f>IFERROR(__xludf.DUMMYFUNCTION("""COMPUTED_VALUE"""),"")</f>
        <v/>
      </c>
      <c r="M620" s="71"/>
      <c r="N620" s="109" t="str">
        <f>IFERROR(__xludf.DUMMYFUNCTION("""COMPUTED_VALUE"""),"")</f>
        <v/>
      </c>
      <c r="O620" s="71" t="str">
        <f>IFERROR(__xludf.DUMMYFUNCTION("""COMPUTED_VALUE"""),"")</f>
        <v/>
      </c>
      <c r="P620" s="71" t="str">
        <f>IFERROR(__xludf.DUMMYFUNCTION("""COMPUTED_VALUE"""),"")</f>
        <v/>
      </c>
      <c r="Q620" s="78" t="str">
        <f>IFERROR(__xludf.DUMMYFUNCTION("""COMPUTED_VALUE"""),"")</f>
        <v/>
      </c>
      <c r="R620" s="78" t="str">
        <f>IFERROR(__xludf.DUMMYFUNCTION("""COMPUTED_VALUE"""),"")</f>
        <v/>
      </c>
      <c r="S620" s="80" t="str">
        <f>IFERROR(__xludf.DUMMYFUNCTION("""COMPUTED_VALUE"""),"")</f>
        <v/>
      </c>
      <c r="T620" s="80" t="str">
        <f>IFERROR(__xludf.DUMMYFUNCTION("""COMPUTED_VALUE"""),"")</f>
        <v/>
      </c>
      <c r="U620" s="71" t="str">
        <f>IFERROR(__xludf.DUMMYFUNCTION("""COMPUTED_VALUE"""),"")</f>
        <v/>
      </c>
      <c r="V620" s="78" t="str">
        <f>IFERROR(__xludf.DUMMYFUNCTION("""COMPUTED_VALUE"""),"")</f>
        <v/>
      </c>
      <c r="W620" s="62" t="str">
        <f>IFERROR(__xludf.DUMMYFUNCTION("""COMPUTED_VALUE"""),"")</f>
        <v/>
      </c>
      <c r="X620" s="80" t="str">
        <f>IFERROR(__xludf.DUMMYFUNCTION("""COMPUTED_VALUE"""),"")</f>
        <v/>
      </c>
      <c r="Y620" s="109" t="str">
        <f>IFERROR(__xludf.DUMMYFUNCTION("""COMPUTED_VALUE"""),"")</f>
        <v/>
      </c>
      <c r="Z620" s="71"/>
      <c r="AA620" s="71"/>
      <c r="AB620" s="71"/>
    </row>
    <row r="621">
      <c r="A621" s="71"/>
      <c r="B621" s="71"/>
      <c r="C621" s="71" t="str">
        <f>IFERROR(__xludf.DUMMYFUNCTION("""COMPUTED_VALUE"""),"")</f>
        <v/>
      </c>
      <c r="D621" s="71"/>
      <c r="E621" s="78"/>
      <c r="F621" s="71"/>
      <c r="G621" s="78" t="str">
        <f>IFERROR(__xludf.DUMMYFUNCTION("""COMPUTED_VALUE"""),"")</f>
        <v/>
      </c>
      <c r="H621" s="71"/>
      <c r="I621" s="80" t="str">
        <f>IFERROR(__xludf.DUMMYFUNCTION("""COMPUTED_VALUE"""),"")</f>
        <v/>
      </c>
      <c r="J621" s="71" t="str">
        <f>IFERROR(__xludf.DUMMYFUNCTION("""COMPUTED_VALUE"""),"")</f>
        <v/>
      </c>
      <c r="K621" s="71"/>
      <c r="L621" s="71" t="str">
        <f>IFERROR(__xludf.DUMMYFUNCTION("""COMPUTED_VALUE"""),"")</f>
        <v/>
      </c>
      <c r="M621" s="71"/>
      <c r="N621" s="109" t="str">
        <f>IFERROR(__xludf.DUMMYFUNCTION("""COMPUTED_VALUE"""),"")</f>
        <v/>
      </c>
      <c r="O621" s="71" t="str">
        <f>IFERROR(__xludf.DUMMYFUNCTION("""COMPUTED_VALUE"""),"")</f>
        <v/>
      </c>
      <c r="P621" s="71" t="str">
        <f>IFERROR(__xludf.DUMMYFUNCTION("""COMPUTED_VALUE"""),"")</f>
        <v/>
      </c>
      <c r="Q621" s="78" t="str">
        <f>IFERROR(__xludf.DUMMYFUNCTION("""COMPUTED_VALUE"""),"")</f>
        <v/>
      </c>
      <c r="R621" s="78" t="str">
        <f>IFERROR(__xludf.DUMMYFUNCTION("""COMPUTED_VALUE"""),"")</f>
        <v/>
      </c>
      <c r="S621" s="80" t="str">
        <f>IFERROR(__xludf.DUMMYFUNCTION("""COMPUTED_VALUE"""),"")</f>
        <v/>
      </c>
      <c r="T621" s="80" t="str">
        <f>IFERROR(__xludf.DUMMYFUNCTION("""COMPUTED_VALUE"""),"")</f>
        <v/>
      </c>
      <c r="U621" s="71" t="str">
        <f>IFERROR(__xludf.DUMMYFUNCTION("""COMPUTED_VALUE"""),"")</f>
        <v/>
      </c>
      <c r="V621" s="78" t="str">
        <f>IFERROR(__xludf.DUMMYFUNCTION("""COMPUTED_VALUE"""),"")</f>
        <v/>
      </c>
      <c r="W621" s="62" t="str">
        <f>IFERROR(__xludf.DUMMYFUNCTION("""COMPUTED_VALUE"""),"")</f>
        <v/>
      </c>
      <c r="X621" s="80" t="str">
        <f>IFERROR(__xludf.DUMMYFUNCTION("""COMPUTED_VALUE"""),"")</f>
        <v/>
      </c>
      <c r="Y621" s="109" t="str">
        <f>IFERROR(__xludf.DUMMYFUNCTION("""COMPUTED_VALUE"""),"")</f>
        <v/>
      </c>
      <c r="Z621" s="71"/>
      <c r="AA621" s="71"/>
      <c r="AB621" s="71"/>
    </row>
    <row r="622">
      <c r="A622" s="71"/>
      <c r="B622" s="71"/>
      <c r="C622" s="71" t="str">
        <f>IFERROR(__xludf.DUMMYFUNCTION("""COMPUTED_VALUE"""),"")</f>
        <v/>
      </c>
      <c r="D622" s="71"/>
      <c r="E622" s="78"/>
      <c r="F622" s="71"/>
      <c r="G622" s="78" t="str">
        <f>IFERROR(__xludf.DUMMYFUNCTION("""COMPUTED_VALUE"""),"")</f>
        <v/>
      </c>
      <c r="H622" s="71"/>
      <c r="I622" s="80" t="str">
        <f>IFERROR(__xludf.DUMMYFUNCTION("""COMPUTED_VALUE"""),"")</f>
        <v/>
      </c>
      <c r="J622" s="71" t="str">
        <f>IFERROR(__xludf.DUMMYFUNCTION("""COMPUTED_VALUE"""),"")</f>
        <v/>
      </c>
      <c r="K622" s="71"/>
      <c r="L622" s="71" t="str">
        <f>IFERROR(__xludf.DUMMYFUNCTION("""COMPUTED_VALUE"""),"")</f>
        <v/>
      </c>
      <c r="M622" s="71"/>
      <c r="N622" s="109" t="str">
        <f>IFERROR(__xludf.DUMMYFUNCTION("""COMPUTED_VALUE"""),"")</f>
        <v/>
      </c>
      <c r="O622" s="71" t="str">
        <f>IFERROR(__xludf.DUMMYFUNCTION("""COMPUTED_VALUE"""),"")</f>
        <v/>
      </c>
      <c r="P622" s="71" t="str">
        <f>IFERROR(__xludf.DUMMYFUNCTION("""COMPUTED_VALUE"""),"")</f>
        <v/>
      </c>
      <c r="Q622" s="78" t="str">
        <f>IFERROR(__xludf.DUMMYFUNCTION("""COMPUTED_VALUE"""),"")</f>
        <v/>
      </c>
      <c r="R622" s="78" t="str">
        <f>IFERROR(__xludf.DUMMYFUNCTION("""COMPUTED_VALUE"""),"")</f>
        <v/>
      </c>
      <c r="S622" s="80" t="str">
        <f>IFERROR(__xludf.DUMMYFUNCTION("""COMPUTED_VALUE"""),"")</f>
        <v/>
      </c>
      <c r="T622" s="80" t="str">
        <f>IFERROR(__xludf.DUMMYFUNCTION("""COMPUTED_VALUE"""),"")</f>
        <v/>
      </c>
      <c r="U622" s="71" t="str">
        <f>IFERROR(__xludf.DUMMYFUNCTION("""COMPUTED_VALUE"""),"")</f>
        <v/>
      </c>
      <c r="V622" s="78" t="str">
        <f>IFERROR(__xludf.DUMMYFUNCTION("""COMPUTED_VALUE"""),"")</f>
        <v/>
      </c>
      <c r="W622" s="62" t="str">
        <f>IFERROR(__xludf.DUMMYFUNCTION("""COMPUTED_VALUE"""),"")</f>
        <v/>
      </c>
      <c r="X622" s="80" t="str">
        <f>IFERROR(__xludf.DUMMYFUNCTION("""COMPUTED_VALUE"""),"")</f>
        <v/>
      </c>
      <c r="Y622" s="109" t="str">
        <f>IFERROR(__xludf.DUMMYFUNCTION("""COMPUTED_VALUE"""),"")</f>
        <v/>
      </c>
      <c r="Z622" s="71"/>
      <c r="AA622" s="71"/>
      <c r="AB622" s="71"/>
    </row>
    <row r="623">
      <c r="A623" s="71"/>
      <c r="B623" s="71"/>
      <c r="C623" s="71" t="str">
        <f>IFERROR(__xludf.DUMMYFUNCTION("""COMPUTED_VALUE"""),"")</f>
        <v/>
      </c>
      <c r="D623" s="71"/>
      <c r="E623" s="78"/>
      <c r="F623" s="71"/>
      <c r="G623" s="78" t="str">
        <f>IFERROR(__xludf.DUMMYFUNCTION("""COMPUTED_VALUE"""),"")</f>
        <v/>
      </c>
      <c r="H623" s="71"/>
      <c r="I623" s="80" t="str">
        <f>IFERROR(__xludf.DUMMYFUNCTION("""COMPUTED_VALUE"""),"")</f>
        <v/>
      </c>
      <c r="J623" s="71" t="str">
        <f>IFERROR(__xludf.DUMMYFUNCTION("""COMPUTED_VALUE"""),"")</f>
        <v/>
      </c>
      <c r="K623" s="71"/>
      <c r="L623" s="71" t="str">
        <f>IFERROR(__xludf.DUMMYFUNCTION("""COMPUTED_VALUE"""),"")</f>
        <v/>
      </c>
      <c r="M623" s="71"/>
      <c r="N623" s="109" t="str">
        <f>IFERROR(__xludf.DUMMYFUNCTION("""COMPUTED_VALUE"""),"")</f>
        <v/>
      </c>
      <c r="O623" s="71" t="str">
        <f>IFERROR(__xludf.DUMMYFUNCTION("""COMPUTED_VALUE"""),"")</f>
        <v/>
      </c>
      <c r="P623" s="71" t="str">
        <f>IFERROR(__xludf.DUMMYFUNCTION("""COMPUTED_VALUE"""),"")</f>
        <v/>
      </c>
      <c r="Q623" s="78" t="str">
        <f>IFERROR(__xludf.DUMMYFUNCTION("""COMPUTED_VALUE"""),"")</f>
        <v/>
      </c>
      <c r="R623" s="78" t="str">
        <f>IFERROR(__xludf.DUMMYFUNCTION("""COMPUTED_VALUE"""),"")</f>
        <v/>
      </c>
      <c r="S623" s="80" t="str">
        <f>IFERROR(__xludf.DUMMYFUNCTION("""COMPUTED_VALUE"""),"")</f>
        <v/>
      </c>
      <c r="T623" s="80" t="str">
        <f>IFERROR(__xludf.DUMMYFUNCTION("""COMPUTED_VALUE"""),"")</f>
        <v/>
      </c>
      <c r="U623" s="71" t="str">
        <f>IFERROR(__xludf.DUMMYFUNCTION("""COMPUTED_VALUE"""),"")</f>
        <v/>
      </c>
      <c r="V623" s="78" t="str">
        <f>IFERROR(__xludf.DUMMYFUNCTION("""COMPUTED_VALUE"""),"")</f>
        <v/>
      </c>
      <c r="W623" s="62" t="str">
        <f>IFERROR(__xludf.DUMMYFUNCTION("""COMPUTED_VALUE"""),"")</f>
        <v/>
      </c>
      <c r="X623" s="80" t="str">
        <f>IFERROR(__xludf.DUMMYFUNCTION("""COMPUTED_VALUE"""),"")</f>
        <v/>
      </c>
      <c r="Y623" s="109" t="str">
        <f>IFERROR(__xludf.DUMMYFUNCTION("""COMPUTED_VALUE"""),"")</f>
        <v/>
      </c>
      <c r="Z623" s="71"/>
      <c r="AA623" s="71"/>
      <c r="AB623" s="71"/>
    </row>
    <row r="624">
      <c r="A624" s="71"/>
      <c r="B624" s="71"/>
      <c r="C624" s="71" t="str">
        <f>IFERROR(__xludf.DUMMYFUNCTION("""COMPUTED_VALUE"""),"")</f>
        <v/>
      </c>
      <c r="D624" s="71"/>
      <c r="E624" s="78"/>
      <c r="F624" s="71"/>
      <c r="G624" s="78" t="str">
        <f>IFERROR(__xludf.DUMMYFUNCTION("""COMPUTED_VALUE"""),"")</f>
        <v/>
      </c>
      <c r="H624" s="71"/>
      <c r="I624" s="80" t="str">
        <f>IFERROR(__xludf.DUMMYFUNCTION("""COMPUTED_VALUE"""),"")</f>
        <v/>
      </c>
      <c r="J624" s="71" t="str">
        <f>IFERROR(__xludf.DUMMYFUNCTION("""COMPUTED_VALUE"""),"")</f>
        <v/>
      </c>
      <c r="K624" s="71"/>
      <c r="L624" s="71" t="str">
        <f>IFERROR(__xludf.DUMMYFUNCTION("""COMPUTED_VALUE"""),"")</f>
        <v/>
      </c>
      <c r="M624" s="71"/>
      <c r="N624" s="109" t="str">
        <f>IFERROR(__xludf.DUMMYFUNCTION("""COMPUTED_VALUE"""),"")</f>
        <v/>
      </c>
      <c r="O624" s="71" t="str">
        <f>IFERROR(__xludf.DUMMYFUNCTION("""COMPUTED_VALUE"""),"")</f>
        <v/>
      </c>
      <c r="P624" s="71" t="str">
        <f>IFERROR(__xludf.DUMMYFUNCTION("""COMPUTED_VALUE"""),"")</f>
        <v/>
      </c>
      <c r="Q624" s="78" t="str">
        <f>IFERROR(__xludf.DUMMYFUNCTION("""COMPUTED_VALUE"""),"")</f>
        <v/>
      </c>
      <c r="R624" s="78" t="str">
        <f>IFERROR(__xludf.DUMMYFUNCTION("""COMPUTED_VALUE"""),"")</f>
        <v/>
      </c>
      <c r="S624" s="80" t="str">
        <f>IFERROR(__xludf.DUMMYFUNCTION("""COMPUTED_VALUE"""),"")</f>
        <v/>
      </c>
      <c r="T624" s="80" t="str">
        <f>IFERROR(__xludf.DUMMYFUNCTION("""COMPUTED_VALUE"""),"")</f>
        <v/>
      </c>
      <c r="U624" s="71" t="str">
        <f>IFERROR(__xludf.DUMMYFUNCTION("""COMPUTED_VALUE"""),"")</f>
        <v/>
      </c>
      <c r="V624" s="78" t="str">
        <f>IFERROR(__xludf.DUMMYFUNCTION("""COMPUTED_VALUE"""),"")</f>
        <v/>
      </c>
      <c r="W624" s="62" t="str">
        <f>IFERROR(__xludf.DUMMYFUNCTION("""COMPUTED_VALUE"""),"")</f>
        <v/>
      </c>
      <c r="X624" s="80" t="str">
        <f>IFERROR(__xludf.DUMMYFUNCTION("""COMPUTED_VALUE"""),"")</f>
        <v/>
      </c>
      <c r="Y624" s="109" t="str">
        <f>IFERROR(__xludf.DUMMYFUNCTION("""COMPUTED_VALUE"""),"")</f>
        <v/>
      </c>
      <c r="Z624" s="71"/>
      <c r="AA624" s="71"/>
      <c r="AB624" s="71"/>
    </row>
    <row r="625">
      <c r="A625" s="71"/>
      <c r="B625" s="71"/>
      <c r="C625" s="71" t="str">
        <f>IFERROR(__xludf.DUMMYFUNCTION("""COMPUTED_VALUE"""),"")</f>
        <v/>
      </c>
      <c r="D625" s="71"/>
      <c r="E625" s="78"/>
      <c r="F625" s="71"/>
      <c r="G625" s="78" t="str">
        <f>IFERROR(__xludf.DUMMYFUNCTION("""COMPUTED_VALUE"""),"")</f>
        <v/>
      </c>
      <c r="H625" s="71"/>
      <c r="I625" s="80" t="str">
        <f>IFERROR(__xludf.DUMMYFUNCTION("""COMPUTED_VALUE"""),"")</f>
        <v/>
      </c>
      <c r="J625" s="71" t="str">
        <f>IFERROR(__xludf.DUMMYFUNCTION("""COMPUTED_VALUE"""),"")</f>
        <v/>
      </c>
      <c r="K625" s="71"/>
      <c r="L625" s="71" t="str">
        <f>IFERROR(__xludf.DUMMYFUNCTION("""COMPUTED_VALUE"""),"")</f>
        <v/>
      </c>
      <c r="M625" s="71"/>
      <c r="N625" s="109" t="str">
        <f>IFERROR(__xludf.DUMMYFUNCTION("""COMPUTED_VALUE"""),"")</f>
        <v/>
      </c>
      <c r="O625" s="71" t="str">
        <f>IFERROR(__xludf.DUMMYFUNCTION("""COMPUTED_VALUE"""),"")</f>
        <v/>
      </c>
      <c r="P625" s="71" t="str">
        <f>IFERROR(__xludf.DUMMYFUNCTION("""COMPUTED_VALUE"""),"")</f>
        <v/>
      </c>
      <c r="Q625" s="78" t="str">
        <f>IFERROR(__xludf.DUMMYFUNCTION("""COMPUTED_VALUE"""),"")</f>
        <v/>
      </c>
      <c r="R625" s="78" t="str">
        <f>IFERROR(__xludf.DUMMYFUNCTION("""COMPUTED_VALUE"""),"")</f>
        <v/>
      </c>
      <c r="S625" s="80" t="str">
        <f>IFERROR(__xludf.DUMMYFUNCTION("""COMPUTED_VALUE"""),"")</f>
        <v/>
      </c>
      <c r="T625" s="80" t="str">
        <f>IFERROR(__xludf.DUMMYFUNCTION("""COMPUTED_VALUE"""),"")</f>
        <v/>
      </c>
      <c r="U625" s="71" t="str">
        <f>IFERROR(__xludf.DUMMYFUNCTION("""COMPUTED_VALUE"""),"")</f>
        <v/>
      </c>
      <c r="V625" s="78" t="str">
        <f>IFERROR(__xludf.DUMMYFUNCTION("""COMPUTED_VALUE"""),"")</f>
        <v/>
      </c>
      <c r="W625" s="62" t="str">
        <f>IFERROR(__xludf.DUMMYFUNCTION("""COMPUTED_VALUE"""),"")</f>
        <v/>
      </c>
      <c r="X625" s="80" t="str">
        <f>IFERROR(__xludf.DUMMYFUNCTION("""COMPUTED_VALUE"""),"")</f>
        <v/>
      </c>
      <c r="Y625" s="109" t="str">
        <f>IFERROR(__xludf.DUMMYFUNCTION("""COMPUTED_VALUE"""),"")</f>
        <v/>
      </c>
      <c r="Z625" s="71"/>
      <c r="AA625" s="71"/>
      <c r="AB625" s="71"/>
    </row>
    <row r="626">
      <c r="A626" s="71"/>
      <c r="B626" s="71"/>
      <c r="C626" s="71" t="str">
        <f>IFERROR(__xludf.DUMMYFUNCTION("""COMPUTED_VALUE"""),"")</f>
        <v/>
      </c>
      <c r="D626" s="71"/>
      <c r="E626" s="78"/>
      <c r="F626" s="71"/>
      <c r="G626" s="78" t="str">
        <f>IFERROR(__xludf.DUMMYFUNCTION("""COMPUTED_VALUE"""),"")</f>
        <v/>
      </c>
      <c r="H626" s="71"/>
      <c r="I626" s="80" t="str">
        <f>IFERROR(__xludf.DUMMYFUNCTION("""COMPUTED_VALUE"""),"")</f>
        <v/>
      </c>
      <c r="J626" s="71" t="str">
        <f>IFERROR(__xludf.DUMMYFUNCTION("""COMPUTED_VALUE"""),"")</f>
        <v/>
      </c>
      <c r="K626" s="71"/>
      <c r="L626" s="71" t="str">
        <f>IFERROR(__xludf.DUMMYFUNCTION("""COMPUTED_VALUE"""),"")</f>
        <v/>
      </c>
      <c r="M626" s="71"/>
      <c r="N626" s="109" t="str">
        <f>IFERROR(__xludf.DUMMYFUNCTION("""COMPUTED_VALUE"""),"")</f>
        <v/>
      </c>
      <c r="O626" s="71" t="str">
        <f>IFERROR(__xludf.DUMMYFUNCTION("""COMPUTED_VALUE"""),"")</f>
        <v/>
      </c>
      <c r="P626" s="71" t="str">
        <f>IFERROR(__xludf.DUMMYFUNCTION("""COMPUTED_VALUE"""),"")</f>
        <v/>
      </c>
      <c r="Q626" s="78" t="str">
        <f>IFERROR(__xludf.DUMMYFUNCTION("""COMPUTED_VALUE"""),"")</f>
        <v/>
      </c>
      <c r="R626" s="78" t="str">
        <f>IFERROR(__xludf.DUMMYFUNCTION("""COMPUTED_VALUE"""),"")</f>
        <v/>
      </c>
      <c r="S626" s="80" t="str">
        <f>IFERROR(__xludf.DUMMYFUNCTION("""COMPUTED_VALUE"""),"")</f>
        <v/>
      </c>
      <c r="T626" s="80" t="str">
        <f>IFERROR(__xludf.DUMMYFUNCTION("""COMPUTED_VALUE"""),"")</f>
        <v/>
      </c>
      <c r="U626" s="71" t="str">
        <f>IFERROR(__xludf.DUMMYFUNCTION("""COMPUTED_VALUE"""),"")</f>
        <v/>
      </c>
      <c r="V626" s="78" t="str">
        <f>IFERROR(__xludf.DUMMYFUNCTION("""COMPUTED_VALUE"""),"")</f>
        <v/>
      </c>
      <c r="W626" s="62" t="str">
        <f>IFERROR(__xludf.DUMMYFUNCTION("""COMPUTED_VALUE"""),"")</f>
        <v/>
      </c>
      <c r="X626" s="80" t="str">
        <f>IFERROR(__xludf.DUMMYFUNCTION("""COMPUTED_VALUE"""),"")</f>
        <v/>
      </c>
      <c r="Y626" s="109" t="str">
        <f>IFERROR(__xludf.DUMMYFUNCTION("""COMPUTED_VALUE"""),"")</f>
        <v/>
      </c>
      <c r="Z626" s="71"/>
      <c r="AA626" s="71"/>
      <c r="AB626" s="71"/>
    </row>
    <row r="627">
      <c r="A627" s="71"/>
      <c r="B627" s="71"/>
      <c r="C627" s="71" t="str">
        <f>IFERROR(__xludf.DUMMYFUNCTION("""COMPUTED_VALUE"""),"")</f>
        <v/>
      </c>
      <c r="D627" s="71"/>
      <c r="E627" s="78"/>
      <c r="F627" s="71"/>
      <c r="G627" s="78" t="str">
        <f>IFERROR(__xludf.DUMMYFUNCTION("""COMPUTED_VALUE"""),"")</f>
        <v/>
      </c>
      <c r="H627" s="71"/>
      <c r="I627" s="80" t="str">
        <f>IFERROR(__xludf.DUMMYFUNCTION("""COMPUTED_VALUE"""),"")</f>
        <v/>
      </c>
      <c r="J627" s="71" t="str">
        <f>IFERROR(__xludf.DUMMYFUNCTION("""COMPUTED_VALUE"""),"")</f>
        <v/>
      </c>
      <c r="K627" s="71"/>
      <c r="L627" s="71" t="str">
        <f>IFERROR(__xludf.DUMMYFUNCTION("""COMPUTED_VALUE"""),"")</f>
        <v/>
      </c>
      <c r="M627" s="71"/>
      <c r="N627" s="109" t="str">
        <f>IFERROR(__xludf.DUMMYFUNCTION("""COMPUTED_VALUE"""),"")</f>
        <v/>
      </c>
      <c r="O627" s="71" t="str">
        <f>IFERROR(__xludf.DUMMYFUNCTION("""COMPUTED_VALUE"""),"")</f>
        <v/>
      </c>
      <c r="P627" s="71" t="str">
        <f>IFERROR(__xludf.DUMMYFUNCTION("""COMPUTED_VALUE"""),"")</f>
        <v/>
      </c>
      <c r="Q627" s="78" t="str">
        <f>IFERROR(__xludf.DUMMYFUNCTION("""COMPUTED_VALUE"""),"")</f>
        <v/>
      </c>
      <c r="R627" s="78" t="str">
        <f>IFERROR(__xludf.DUMMYFUNCTION("""COMPUTED_VALUE"""),"")</f>
        <v/>
      </c>
      <c r="S627" s="80" t="str">
        <f>IFERROR(__xludf.DUMMYFUNCTION("""COMPUTED_VALUE"""),"")</f>
        <v/>
      </c>
      <c r="T627" s="80" t="str">
        <f>IFERROR(__xludf.DUMMYFUNCTION("""COMPUTED_VALUE"""),"")</f>
        <v/>
      </c>
      <c r="U627" s="71" t="str">
        <f>IFERROR(__xludf.DUMMYFUNCTION("""COMPUTED_VALUE"""),"")</f>
        <v/>
      </c>
      <c r="V627" s="78" t="str">
        <f>IFERROR(__xludf.DUMMYFUNCTION("""COMPUTED_VALUE"""),"")</f>
        <v/>
      </c>
      <c r="W627" s="62" t="str">
        <f>IFERROR(__xludf.DUMMYFUNCTION("""COMPUTED_VALUE"""),"")</f>
        <v/>
      </c>
      <c r="X627" s="80" t="str">
        <f>IFERROR(__xludf.DUMMYFUNCTION("""COMPUTED_VALUE"""),"")</f>
        <v/>
      </c>
      <c r="Y627" s="109" t="str">
        <f>IFERROR(__xludf.DUMMYFUNCTION("""COMPUTED_VALUE"""),"")</f>
        <v/>
      </c>
      <c r="Z627" s="71"/>
      <c r="AA627" s="71"/>
      <c r="AB627" s="71"/>
    </row>
    <row r="628">
      <c r="A628" s="71"/>
      <c r="B628" s="71"/>
      <c r="C628" s="71" t="str">
        <f>IFERROR(__xludf.DUMMYFUNCTION("""COMPUTED_VALUE"""),"")</f>
        <v/>
      </c>
      <c r="D628" s="71"/>
      <c r="E628" s="78"/>
      <c r="F628" s="71"/>
      <c r="G628" s="78" t="str">
        <f>IFERROR(__xludf.DUMMYFUNCTION("""COMPUTED_VALUE"""),"")</f>
        <v/>
      </c>
      <c r="H628" s="71"/>
      <c r="I628" s="80" t="str">
        <f>IFERROR(__xludf.DUMMYFUNCTION("""COMPUTED_VALUE"""),"")</f>
        <v/>
      </c>
      <c r="J628" s="71" t="str">
        <f>IFERROR(__xludf.DUMMYFUNCTION("""COMPUTED_VALUE"""),"")</f>
        <v/>
      </c>
      <c r="K628" s="71"/>
      <c r="L628" s="71" t="str">
        <f>IFERROR(__xludf.DUMMYFUNCTION("""COMPUTED_VALUE"""),"")</f>
        <v/>
      </c>
      <c r="M628" s="71"/>
      <c r="N628" s="109" t="str">
        <f>IFERROR(__xludf.DUMMYFUNCTION("""COMPUTED_VALUE"""),"")</f>
        <v/>
      </c>
      <c r="O628" s="71" t="str">
        <f>IFERROR(__xludf.DUMMYFUNCTION("""COMPUTED_VALUE"""),"")</f>
        <v/>
      </c>
      <c r="P628" s="71" t="str">
        <f>IFERROR(__xludf.DUMMYFUNCTION("""COMPUTED_VALUE"""),"")</f>
        <v/>
      </c>
      <c r="Q628" s="78" t="str">
        <f>IFERROR(__xludf.DUMMYFUNCTION("""COMPUTED_VALUE"""),"")</f>
        <v/>
      </c>
      <c r="R628" s="78" t="str">
        <f>IFERROR(__xludf.DUMMYFUNCTION("""COMPUTED_VALUE"""),"")</f>
        <v/>
      </c>
      <c r="S628" s="80" t="str">
        <f>IFERROR(__xludf.DUMMYFUNCTION("""COMPUTED_VALUE"""),"")</f>
        <v/>
      </c>
      <c r="T628" s="80" t="str">
        <f>IFERROR(__xludf.DUMMYFUNCTION("""COMPUTED_VALUE"""),"")</f>
        <v/>
      </c>
      <c r="U628" s="71" t="str">
        <f>IFERROR(__xludf.DUMMYFUNCTION("""COMPUTED_VALUE"""),"")</f>
        <v/>
      </c>
      <c r="V628" s="78" t="str">
        <f>IFERROR(__xludf.DUMMYFUNCTION("""COMPUTED_VALUE"""),"")</f>
        <v/>
      </c>
      <c r="W628" s="62" t="str">
        <f>IFERROR(__xludf.DUMMYFUNCTION("""COMPUTED_VALUE"""),"")</f>
        <v/>
      </c>
      <c r="X628" s="80" t="str">
        <f>IFERROR(__xludf.DUMMYFUNCTION("""COMPUTED_VALUE"""),"")</f>
        <v/>
      </c>
      <c r="Y628" s="109" t="str">
        <f>IFERROR(__xludf.DUMMYFUNCTION("""COMPUTED_VALUE"""),"")</f>
        <v/>
      </c>
      <c r="Z628" s="71"/>
      <c r="AA628" s="71"/>
      <c r="AB628" s="71"/>
    </row>
    <row r="629">
      <c r="A629" s="71"/>
      <c r="B629" s="71"/>
      <c r="C629" s="71" t="str">
        <f>IFERROR(__xludf.DUMMYFUNCTION("""COMPUTED_VALUE"""),"")</f>
        <v/>
      </c>
      <c r="D629" s="71"/>
      <c r="E629" s="78"/>
      <c r="F629" s="71"/>
      <c r="G629" s="78" t="str">
        <f>IFERROR(__xludf.DUMMYFUNCTION("""COMPUTED_VALUE"""),"")</f>
        <v/>
      </c>
      <c r="H629" s="71"/>
      <c r="I629" s="80" t="str">
        <f>IFERROR(__xludf.DUMMYFUNCTION("""COMPUTED_VALUE"""),"")</f>
        <v/>
      </c>
      <c r="J629" s="71" t="str">
        <f>IFERROR(__xludf.DUMMYFUNCTION("""COMPUTED_VALUE"""),"")</f>
        <v/>
      </c>
      <c r="K629" s="71"/>
      <c r="L629" s="71" t="str">
        <f>IFERROR(__xludf.DUMMYFUNCTION("""COMPUTED_VALUE"""),"")</f>
        <v/>
      </c>
      <c r="M629" s="71"/>
      <c r="N629" s="109" t="str">
        <f>IFERROR(__xludf.DUMMYFUNCTION("""COMPUTED_VALUE"""),"")</f>
        <v/>
      </c>
      <c r="O629" s="71" t="str">
        <f>IFERROR(__xludf.DUMMYFUNCTION("""COMPUTED_VALUE"""),"")</f>
        <v/>
      </c>
      <c r="P629" s="71" t="str">
        <f>IFERROR(__xludf.DUMMYFUNCTION("""COMPUTED_VALUE"""),"")</f>
        <v/>
      </c>
      <c r="Q629" s="78" t="str">
        <f>IFERROR(__xludf.DUMMYFUNCTION("""COMPUTED_VALUE"""),"")</f>
        <v/>
      </c>
      <c r="R629" s="78" t="str">
        <f>IFERROR(__xludf.DUMMYFUNCTION("""COMPUTED_VALUE"""),"")</f>
        <v/>
      </c>
      <c r="S629" s="80" t="str">
        <f>IFERROR(__xludf.DUMMYFUNCTION("""COMPUTED_VALUE"""),"")</f>
        <v/>
      </c>
      <c r="T629" s="80" t="str">
        <f>IFERROR(__xludf.DUMMYFUNCTION("""COMPUTED_VALUE"""),"")</f>
        <v/>
      </c>
      <c r="U629" s="71" t="str">
        <f>IFERROR(__xludf.DUMMYFUNCTION("""COMPUTED_VALUE"""),"")</f>
        <v/>
      </c>
      <c r="V629" s="78" t="str">
        <f>IFERROR(__xludf.DUMMYFUNCTION("""COMPUTED_VALUE"""),"")</f>
        <v/>
      </c>
      <c r="W629" s="62" t="str">
        <f>IFERROR(__xludf.DUMMYFUNCTION("""COMPUTED_VALUE"""),"")</f>
        <v/>
      </c>
      <c r="X629" s="80" t="str">
        <f>IFERROR(__xludf.DUMMYFUNCTION("""COMPUTED_VALUE"""),"")</f>
        <v/>
      </c>
      <c r="Y629" s="109" t="str">
        <f>IFERROR(__xludf.DUMMYFUNCTION("""COMPUTED_VALUE"""),"")</f>
        <v/>
      </c>
      <c r="Z629" s="71"/>
      <c r="AA629" s="71"/>
      <c r="AB629" s="71"/>
    </row>
    <row r="630">
      <c r="A630" s="71"/>
      <c r="B630" s="71"/>
      <c r="C630" s="71" t="str">
        <f>IFERROR(__xludf.DUMMYFUNCTION("""COMPUTED_VALUE"""),"")</f>
        <v/>
      </c>
      <c r="D630" s="71"/>
      <c r="E630" s="78"/>
      <c r="F630" s="71"/>
      <c r="G630" s="78" t="str">
        <f>IFERROR(__xludf.DUMMYFUNCTION("""COMPUTED_VALUE"""),"")</f>
        <v/>
      </c>
      <c r="H630" s="71"/>
      <c r="I630" s="80" t="str">
        <f>IFERROR(__xludf.DUMMYFUNCTION("""COMPUTED_VALUE"""),"")</f>
        <v/>
      </c>
      <c r="J630" s="71" t="str">
        <f>IFERROR(__xludf.DUMMYFUNCTION("""COMPUTED_VALUE"""),"")</f>
        <v/>
      </c>
      <c r="K630" s="71"/>
      <c r="L630" s="71" t="str">
        <f>IFERROR(__xludf.DUMMYFUNCTION("""COMPUTED_VALUE"""),"")</f>
        <v/>
      </c>
      <c r="M630" s="71"/>
      <c r="N630" s="109" t="str">
        <f>IFERROR(__xludf.DUMMYFUNCTION("""COMPUTED_VALUE"""),"")</f>
        <v/>
      </c>
      <c r="O630" s="71" t="str">
        <f>IFERROR(__xludf.DUMMYFUNCTION("""COMPUTED_VALUE"""),"")</f>
        <v/>
      </c>
      <c r="P630" s="71" t="str">
        <f>IFERROR(__xludf.DUMMYFUNCTION("""COMPUTED_VALUE"""),"")</f>
        <v/>
      </c>
      <c r="Q630" s="78" t="str">
        <f>IFERROR(__xludf.DUMMYFUNCTION("""COMPUTED_VALUE"""),"")</f>
        <v/>
      </c>
      <c r="R630" s="78" t="str">
        <f>IFERROR(__xludf.DUMMYFUNCTION("""COMPUTED_VALUE"""),"")</f>
        <v/>
      </c>
      <c r="S630" s="80" t="str">
        <f>IFERROR(__xludf.DUMMYFUNCTION("""COMPUTED_VALUE"""),"")</f>
        <v/>
      </c>
      <c r="T630" s="80" t="str">
        <f>IFERROR(__xludf.DUMMYFUNCTION("""COMPUTED_VALUE"""),"")</f>
        <v/>
      </c>
      <c r="U630" s="71" t="str">
        <f>IFERROR(__xludf.DUMMYFUNCTION("""COMPUTED_VALUE"""),"")</f>
        <v/>
      </c>
      <c r="V630" s="78" t="str">
        <f>IFERROR(__xludf.DUMMYFUNCTION("""COMPUTED_VALUE"""),"")</f>
        <v/>
      </c>
      <c r="W630" s="62" t="str">
        <f>IFERROR(__xludf.DUMMYFUNCTION("""COMPUTED_VALUE"""),"")</f>
        <v/>
      </c>
      <c r="X630" s="80" t="str">
        <f>IFERROR(__xludf.DUMMYFUNCTION("""COMPUTED_VALUE"""),"")</f>
        <v/>
      </c>
      <c r="Y630" s="109" t="str">
        <f>IFERROR(__xludf.DUMMYFUNCTION("""COMPUTED_VALUE"""),"")</f>
        <v/>
      </c>
      <c r="Z630" s="71"/>
      <c r="AA630" s="71"/>
      <c r="AB630" s="71"/>
    </row>
    <row r="631">
      <c r="A631" s="71"/>
      <c r="B631" s="71"/>
      <c r="C631" s="71" t="str">
        <f>IFERROR(__xludf.DUMMYFUNCTION("""COMPUTED_VALUE"""),"")</f>
        <v/>
      </c>
      <c r="D631" s="71"/>
      <c r="E631" s="78"/>
      <c r="F631" s="71"/>
      <c r="G631" s="78" t="str">
        <f>IFERROR(__xludf.DUMMYFUNCTION("""COMPUTED_VALUE"""),"")</f>
        <v/>
      </c>
      <c r="H631" s="71"/>
      <c r="I631" s="80" t="str">
        <f>IFERROR(__xludf.DUMMYFUNCTION("""COMPUTED_VALUE"""),"")</f>
        <v/>
      </c>
      <c r="J631" s="71" t="str">
        <f>IFERROR(__xludf.DUMMYFUNCTION("""COMPUTED_VALUE"""),"")</f>
        <v/>
      </c>
      <c r="K631" s="71"/>
      <c r="L631" s="71" t="str">
        <f>IFERROR(__xludf.DUMMYFUNCTION("""COMPUTED_VALUE"""),"")</f>
        <v/>
      </c>
      <c r="M631" s="71"/>
      <c r="N631" s="109" t="str">
        <f>IFERROR(__xludf.DUMMYFUNCTION("""COMPUTED_VALUE"""),"")</f>
        <v/>
      </c>
      <c r="O631" s="71" t="str">
        <f>IFERROR(__xludf.DUMMYFUNCTION("""COMPUTED_VALUE"""),"")</f>
        <v/>
      </c>
      <c r="P631" s="71" t="str">
        <f>IFERROR(__xludf.DUMMYFUNCTION("""COMPUTED_VALUE"""),"")</f>
        <v/>
      </c>
      <c r="Q631" s="78" t="str">
        <f>IFERROR(__xludf.DUMMYFUNCTION("""COMPUTED_VALUE"""),"")</f>
        <v/>
      </c>
      <c r="R631" s="78" t="str">
        <f>IFERROR(__xludf.DUMMYFUNCTION("""COMPUTED_VALUE"""),"")</f>
        <v/>
      </c>
      <c r="S631" s="80" t="str">
        <f>IFERROR(__xludf.DUMMYFUNCTION("""COMPUTED_VALUE"""),"")</f>
        <v/>
      </c>
      <c r="T631" s="80" t="str">
        <f>IFERROR(__xludf.DUMMYFUNCTION("""COMPUTED_VALUE"""),"")</f>
        <v/>
      </c>
      <c r="U631" s="71" t="str">
        <f>IFERROR(__xludf.DUMMYFUNCTION("""COMPUTED_VALUE"""),"")</f>
        <v/>
      </c>
      <c r="V631" s="78" t="str">
        <f>IFERROR(__xludf.DUMMYFUNCTION("""COMPUTED_VALUE"""),"")</f>
        <v/>
      </c>
      <c r="W631" s="62" t="str">
        <f>IFERROR(__xludf.DUMMYFUNCTION("""COMPUTED_VALUE"""),"")</f>
        <v/>
      </c>
      <c r="X631" s="80" t="str">
        <f>IFERROR(__xludf.DUMMYFUNCTION("""COMPUTED_VALUE"""),"")</f>
        <v/>
      </c>
      <c r="Y631" s="109" t="str">
        <f>IFERROR(__xludf.DUMMYFUNCTION("""COMPUTED_VALUE"""),"")</f>
        <v/>
      </c>
      <c r="Z631" s="71"/>
      <c r="AA631" s="71"/>
      <c r="AB631" s="71"/>
    </row>
    <row r="632">
      <c r="A632" s="71"/>
      <c r="B632" s="71"/>
      <c r="C632" s="71" t="str">
        <f>IFERROR(__xludf.DUMMYFUNCTION("""COMPUTED_VALUE"""),"")</f>
        <v/>
      </c>
      <c r="D632" s="71"/>
      <c r="E632" s="78"/>
      <c r="F632" s="71"/>
      <c r="G632" s="78" t="str">
        <f>IFERROR(__xludf.DUMMYFUNCTION("""COMPUTED_VALUE"""),"")</f>
        <v/>
      </c>
      <c r="H632" s="71"/>
      <c r="I632" s="80" t="str">
        <f>IFERROR(__xludf.DUMMYFUNCTION("""COMPUTED_VALUE"""),"")</f>
        <v/>
      </c>
      <c r="J632" s="71" t="str">
        <f>IFERROR(__xludf.DUMMYFUNCTION("""COMPUTED_VALUE"""),"")</f>
        <v/>
      </c>
      <c r="K632" s="71"/>
      <c r="L632" s="71" t="str">
        <f>IFERROR(__xludf.DUMMYFUNCTION("""COMPUTED_VALUE"""),"")</f>
        <v/>
      </c>
      <c r="M632" s="71"/>
      <c r="N632" s="109" t="str">
        <f>IFERROR(__xludf.DUMMYFUNCTION("""COMPUTED_VALUE"""),"")</f>
        <v/>
      </c>
      <c r="O632" s="71" t="str">
        <f>IFERROR(__xludf.DUMMYFUNCTION("""COMPUTED_VALUE"""),"")</f>
        <v/>
      </c>
      <c r="P632" s="71" t="str">
        <f>IFERROR(__xludf.DUMMYFUNCTION("""COMPUTED_VALUE"""),"")</f>
        <v/>
      </c>
      <c r="Q632" s="78" t="str">
        <f>IFERROR(__xludf.DUMMYFUNCTION("""COMPUTED_VALUE"""),"")</f>
        <v/>
      </c>
      <c r="R632" s="78" t="str">
        <f>IFERROR(__xludf.DUMMYFUNCTION("""COMPUTED_VALUE"""),"")</f>
        <v/>
      </c>
      <c r="S632" s="80" t="str">
        <f>IFERROR(__xludf.DUMMYFUNCTION("""COMPUTED_VALUE"""),"")</f>
        <v/>
      </c>
      <c r="T632" s="80" t="str">
        <f>IFERROR(__xludf.DUMMYFUNCTION("""COMPUTED_VALUE"""),"")</f>
        <v/>
      </c>
      <c r="U632" s="71" t="str">
        <f>IFERROR(__xludf.DUMMYFUNCTION("""COMPUTED_VALUE"""),"")</f>
        <v/>
      </c>
      <c r="V632" s="78" t="str">
        <f>IFERROR(__xludf.DUMMYFUNCTION("""COMPUTED_VALUE"""),"")</f>
        <v/>
      </c>
      <c r="W632" s="62" t="str">
        <f>IFERROR(__xludf.DUMMYFUNCTION("""COMPUTED_VALUE"""),"")</f>
        <v/>
      </c>
      <c r="X632" s="80" t="str">
        <f>IFERROR(__xludf.DUMMYFUNCTION("""COMPUTED_VALUE"""),"")</f>
        <v/>
      </c>
      <c r="Y632" s="109" t="str">
        <f>IFERROR(__xludf.DUMMYFUNCTION("""COMPUTED_VALUE"""),"")</f>
        <v/>
      </c>
      <c r="Z632" s="71"/>
      <c r="AA632" s="71"/>
      <c r="AB632" s="71"/>
    </row>
    <row r="633">
      <c r="A633" s="71"/>
      <c r="B633" s="71"/>
      <c r="C633" s="71" t="str">
        <f>IFERROR(__xludf.DUMMYFUNCTION("""COMPUTED_VALUE"""),"")</f>
        <v/>
      </c>
      <c r="D633" s="71"/>
      <c r="E633" s="78"/>
      <c r="F633" s="71"/>
      <c r="G633" s="78" t="str">
        <f>IFERROR(__xludf.DUMMYFUNCTION("""COMPUTED_VALUE"""),"")</f>
        <v/>
      </c>
      <c r="H633" s="71"/>
      <c r="I633" s="80" t="str">
        <f>IFERROR(__xludf.DUMMYFUNCTION("""COMPUTED_VALUE"""),"")</f>
        <v/>
      </c>
      <c r="J633" s="71" t="str">
        <f>IFERROR(__xludf.DUMMYFUNCTION("""COMPUTED_VALUE"""),"")</f>
        <v/>
      </c>
      <c r="K633" s="71"/>
      <c r="L633" s="71" t="str">
        <f>IFERROR(__xludf.DUMMYFUNCTION("""COMPUTED_VALUE"""),"")</f>
        <v/>
      </c>
      <c r="M633" s="71"/>
      <c r="N633" s="109" t="str">
        <f>IFERROR(__xludf.DUMMYFUNCTION("""COMPUTED_VALUE"""),"")</f>
        <v/>
      </c>
      <c r="O633" s="71" t="str">
        <f>IFERROR(__xludf.DUMMYFUNCTION("""COMPUTED_VALUE"""),"")</f>
        <v/>
      </c>
      <c r="P633" s="71" t="str">
        <f>IFERROR(__xludf.DUMMYFUNCTION("""COMPUTED_VALUE"""),"")</f>
        <v/>
      </c>
      <c r="Q633" s="78" t="str">
        <f>IFERROR(__xludf.DUMMYFUNCTION("""COMPUTED_VALUE"""),"")</f>
        <v/>
      </c>
      <c r="R633" s="78" t="str">
        <f>IFERROR(__xludf.DUMMYFUNCTION("""COMPUTED_VALUE"""),"")</f>
        <v/>
      </c>
      <c r="S633" s="80" t="str">
        <f>IFERROR(__xludf.DUMMYFUNCTION("""COMPUTED_VALUE"""),"")</f>
        <v/>
      </c>
      <c r="T633" s="80" t="str">
        <f>IFERROR(__xludf.DUMMYFUNCTION("""COMPUTED_VALUE"""),"")</f>
        <v/>
      </c>
      <c r="U633" s="71" t="str">
        <f>IFERROR(__xludf.DUMMYFUNCTION("""COMPUTED_VALUE"""),"")</f>
        <v/>
      </c>
      <c r="V633" s="78" t="str">
        <f>IFERROR(__xludf.DUMMYFUNCTION("""COMPUTED_VALUE"""),"")</f>
        <v/>
      </c>
      <c r="W633" s="62" t="str">
        <f>IFERROR(__xludf.DUMMYFUNCTION("""COMPUTED_VALUE"""),"")</f>
        <v/>
      </c>
      <c r="X633" s="80" t="str">
        <f>IFERROR(__xludf.DUMMYFUNCTION("""COMPUTED_VALUE"""),"")</f>
        <v/>
      </c>
      <c r="Y633" s="109" t="str">
        <f>IFERROR(__xludf.DUMMYFUNCTION("""COMPUTED_VALUE"""),"")</f>
        <v/>
      </c>
      <c r="Z633" s="71"/>
      <c r="AA633" s="71"/>
      <c r="AB633" s="71"/>
    </row>
    <row r="634">
      <c r="A634" s="71"/>
      <c r="B634" s="71"/>
      <c r="C634" s="71" t="str">
        <f>IFERROR(__xludf.DUMMYFUNCTION("""COMPUTED_VALUE"""),"")</f>
        <v/>
      </c>
      <c r="D634" s="71"/>
      <c r="E634" s="78"/>
      <c r="F634" s="71"/>
      <c r="G634" s="78" t="str">
        <f>IFERROR(__xludf.DUMMYFUNCTION("""COMPUTED_VALUE"""),"")</f>
        <v/>
      </c>
      <c r="H634" s="71"/>
      <c r="I634" s="80" t="str">
        <f>IFERROR(__xludf.DUMMYFUNCTION("""COMPUTED_VALUE"""),"")</f>
        <v/>
      </c>
      <c r="J634" s="71" t="str">
        <f>IFERROR(__xludf.DUMMYFUNCTION("""COMPUTED_VALUE"""),"")</f>
        <v/>
      </c>
      <c r="K634" s="71"/>
      <c r="L634" s="71" t="str">
        <f>IFERROR(__xludf.DUMMYFUNCTION("""COMPUTED_VALUE"""),"")</f>
        <v/>
      </c>
      <c r="M634" s="71"/>
      <c r="N634" s="109" t="str">
        <f>IFERROR(__xludf.DUMMYFUNCTION("""COMPUTED_VALUE"""),"")</f>
        <v/>
      </c>
      <c r="O634" s="71" t="str">
        <f>IFERROR(__xludf.DUMMYFUNCTION("""COMPUTED_VALUE"""),"")</f>
        <v/>
      </c>
      <c r="P634" s="71" t="str">
        <f>IFERROR(__xludf.DUMMYFUNCTION("""COMPUTED_VALUE"""),"")</f>
        <v/>
      </c>
      <c r="Q634" s="78" t="str">
        <f>IFERROR(__xludf.DUMMYFUNCTION("""COMPUTED_VALUE"""),"")</f>
        <v/>
      </c>
      <c r="R634" s="78" t="str">
        <f>IFERROR(__xludf.DUMMYFUNCTION("""COMPUTED_VALUE"""),"")</f>
        <v/>
      </c>
      <c r="S634" s="80" t="str">
        <f>IFERROR(__xludf.DUMMYFUNCTION("""COMPUTED_VALUE"""),"")</f>
        <v/>
      </c>
      <c r="T634" s="80" t="str">
        <f>IFERROR(__xludf.DUMMYFUNCTION("""COMPUTED_VALUE"""),"")</f>
        <v/>
      </c>
      <c r="U634" s="71" t="str">
        <f>IFERROR(__xludf.DUMMYFUNCTION("""COMPUTED_VALUE"""),"")</f>
        <v/>
      </c>
      <c r="V634" s="78" t="str">
        <f>IFERROR(__xludf.DUMMYFUNCTION("""COMPUTED_VALUE"""),"")</f>
        <v/>
      </c>
      <c r="W634" s="62" t="str">
        <f>IFERROR(__xludf.DUMMYFUNCTION("""COMPUTED_VALUE"""),"")</f>
        <v/>
      </c>
      <c r="X634" s="80" t="str">
        <f>IFERROR(__xludf.DUMMYFUNCTION("""COMPUTED_VALUE"""),"")</f>
        <v/>
      </c>
      <c r="Y634" s="109" t="str">
        <f>IFERROR(__xludf.DUMMYFUNCTION("""COMPUTED_VALUE"""),"")</f>
        <v/>
      </c>
      <c r="Z634" s="71"/>
      <c r="AA634" s="71"/>
      <c r="AB634" s="71"/>
    </row>
    <row r="635">
      <c r="A635" s="71"/>
      <c r="B635" s="71"/>
      <c r="C635" s="71" t="str">
        <f>IFERROR(__xludf.DUMMYFUNCTION("""COMPUTED_VALUE"""),"")</f>
        <v/>
      </c>
      <c r="D635" s="71"/>
      <c r="E635" s="78"/>
      <c r="F635" s="71"/>
      <c r="G635" s="78" t="str">
        <f>IFERROR(__xludf.DUMMYFUNCTION("""COMPUTED_VALUE"""),"")</f>
        <v/>
      </c>
      <c r="H635" s="71"/>
      <c r="I635" s="80" t="str">
        <f>IFERROR(__xludf.DUMMYFUNCTION("""COMPUTED_VALUE"""),"")</f>
        <v/>
      </c>
      <c r="J635" s="71" t="str">
        <f>IFERROR(__xludf.DUMMYFUNCTION("""COMPUTED_VALUE"""),"")</f>
        <v/>
      </c>
      <c r="K635" s="71"/>
      <c r="L635" s="71" t="str">
        <f>IFERROR(__xludf.DUMMYFUNCTION("""COMPUTED_VALUE"""),"")</f>
        <v/>
      </c>
      <c r="M635" s="71"/>
      <c r="N635" s="109" t="str">
        <f>IFERROR(__xludf.DUMMYFUNCTION("""COMPUTED_VALUE"""),"")</f>
        <v/>
      </c>
      <c r="O635" s="71" t="str">
        <f>IFERROR(__xludf.DUMMYFUNCTION("""COMPUTED_VALUE"""),"")</f>
        <v/>
      </c>
      <c r="P635" s="71" t="str">
        <f>IFERROR(__xludf.DUMMYFUNCTION("""COMPUTED_VALUE"""),"")</f>
        <v/>
      </c>
      <c r="Q635" s="78" t="str">
        <f>IFERROR(__xludf.DUMMYFUNCTION("""COMPUTED_VALUE"""),"")</f>
        <v/>
      </c>
      <c r="R635" s="78" t="str">
        <f>IFERROR(__xludf.DUMMYFUNCTION("""COMPUTED_VALUE"""),"")</f>
        <v/>
      </c>
      <c r="S635" s="80" t="str">
        <f>IFERROR(__xludf.DUMMYFUNCTION("""COMPUTED_VALUE"""),"")</f>
        <v/>
      </c>
      <c r="T635" s="80" t="str">
        <f>IFERROR(__xludf.DUMMYFUNCTION("""COMPUTED_VALUE"""),"")</f>
        <v/>
      </c>
      <c r="U635" s="71" t="str">
        <f>IFERROR(__xludf.DUMMYFUNCTION("""COMPUTED_VALUE"""),"")</f>
        <v/>
      </c>
      <c r="V635" s="78" t="str">
        <f>IFERROR(__xludf.DUMMYFUNCTION("""COMPUTED_VALUE"""),"")</f>
        <v/>
      </c>
      <c r="W635" s="62" t="str">
        <f>IFERROR(__xludf.DUMMYFUNCTION("""COMPUTED_VALUE"""),"")</f>
        <v/>
      </c>
      <c r="X635" s="80" t="str">
        <f>IFERROR(__xludf.DUMMYFUNCTION("""COMPUTED_VALUE"""),"")</f>
        <v/>
      </c>
      <c r="Y635" s="109" t="str">
        <f>IFERROR(__xludf.DUMMYFUNCTION("""COMPUTED_VALUE"""),"")</f>
        <v/>
      </c>
      <c r="Z635" s="71"/>
      <c r="AA635" s="71"/>
      <c r="AB635" s="71"/>
    </row>
    <row r="636">
      <c r="A636" s="71"/>
      <c r="B636" s="71"/>
      <c r="C636" s="71" t="str">
        <f>IFERROR(__xludf.DUMMYFUNCTION("""COMPUTED_VALUE"""),"")</f>
        <v/>
      </c>
      <c r="D636" s="71"/>
      <c r="E636" s="78"/>
      <c r="F636" s="71"/>
      <c r="G636" s="78" t="str">
        <f>IFERROR(__xludf.DUMMYFUNCTION("""COMPUTED_VALUE"""),"")</f>
        <v/>
      </c>
      <c r="H636" s="71"/>
      <c r="I636" s="80" t="str">
        <f>IFERROR(__xludf.DUMMYFUNCTION("""COMPUTED_VALUE"""),"")</f>
        <v/>
      </c>
      <c r="J636" s="71" t="str">
        <f>IFERROR(__xludf.DUMMYFUNCTION("""COMPUTED_VALUE"""),"")</f>
        <v/>
      </c>
      <c r="K636" s="71"/>
      <c r="L636" s="71" t="str">
        <f>IFERROR(__xludf.DUMMYFUNCTION("""COMPUTED_VALUE"""),"")</f>
        <v/>
      </c>
      <c r="M636" s="71"/>
      <c r="N636" s="109" t="str">
        <f>IFERROR(__xludf.DUMMYFUNCTION("""COMPUTED_VALUE"""),"")</f>
        <v/>
      </c>
      <c r="O636" s="71" t="str">
        <f>IFERROR(__xludf.DUMMYFUNCTION("""COMPUTED_VALUE"""),"")</f>
        <v/>
      </c>
      <c r="P636" s="71" t="str">
        <f>IFERROR(__xludf.DUMMYFUNCTION("""COMPUTED_VALUE"""),"")</f>
        <v/>
      </c>
      <c r="Q636" s="78" t="str">
        <f>IFERROR(__xludf.DUMMYFUNCTION("""COMPUTED_VALUE"""),"")</f>
        <v/>
      </c>
      <c r="R636" s="78" t="str">
        <f>IFERROR(__xludf.DUMMYFUNCTION("""COMPUTED_VALUE"""),"")</f>
        <v/>
      </c>
      <c r="S636" s="80" t="str">
        <f>IFERROR(__xludf.DUMMYFUNCTION("""COMPUTED_VALUE"""),"")</f>
        <v/>
      </c>
      <c r="T636" s="80" t="str">
        <f>IFERROR(__xludf.DUMMYFUNCTION("""COMPUTED_VALUE"""),"")</f>
        <v/>
      </c>
      <c r="U636" s="71" t="str">
        <f>IFERROR(__xludf.DUMMYFUNCTION("""COMPUTED_VALUE"""),"")</f>
        <v/>
      </c>
      <c r="V636" s="78" t="str">
        <f>IFERROR(__xludf.DUMMYFUNCTION("""COMPUTED_VALUE"""),"")</f>
        <v/>
      </c>
      <c r="W636" s="62" t="str">
        <f>IFERROR(__xludf.DUMMYFUNCTION("""COMPUTED_VALUE"""),"")</f>
        <v/>
      </c>
      <c r="X636" s="80" t="str">
        <f>IFERROR(__xludf.DUMMYFUNCTION("""COMPUTED_VALUE"""),"")</f>
        <v/>
      </c>
      <c r="Y636" s="109" t="str">
        <f>IFERROR(__xludf.DUMMYFUNCTION("""COMPUTED_VALUE"""),"")</f>
        <v/>
      </c>
      <c r="Z636" s="71"/>
      <c r="AA636" s="71"/>
      <c r="AB636" s="71"/>
    </row>
    <row r="637">
      <c r="A637" s="71"/>
      <c r="B637" s="71"/>
      <c r="C637" s="71" t="str">
        <f>IFERROR(__xludf.DUMMYFUNCTION("""COMPUTED_VALUE"""),"")</f>
        <v/>
      </c>
      <c r="D637" s="71"/>
      <c r="E637" s="78"/>
      <c r="F637" s="71"/>
      <c r="G637" s="78" t="str">
        <f>IFERROR(__xludf.DUMMYFUNCTION("""COMPUTED_VALUE"""),"")</f>
        <v/>
      </c>
      <c r="H637" s="71"/>
      <c r="I637" s="80" t="str">
        <f>IFERROR(__xludf.DUMMYFUNCTION("""COMPUTED_VALUE"""),"")</f>
        <v/>
      </c>
      <c r="J637" s="71" t="str">
        <f>IFERROR(__xludf.DUMMYFUNCTION("""COMPUTED_VALUE"""),"")</f>
        <v/>
      </c>
      <c r="K637" s="71"/>
      <c r="L637" s="71" t="str">
        <f>IFERROR(__xludf.DUMMYFUNCTION("""COMPUTED_VALUE"""),"")</f>
        <v/>
      </c>
      <c r="M637" s="71"/>
      <c r="N637" s="109" t="str">
        <f>IFERROR(__xludf.DUMMYFUNCTION("""COMPUTED_VALUE"""),"")</f>
        <v/>
      </c>
      <c r="O637" s="71" t="str">
        <f>IFERROR(__xludf.DUMMYFUNCTION("""COMPUTED_VALUE"""),"")</f>
        <v/>
      </c>
      <c r="P637" s="71" t="str">
        <f>IFERROR(__xludf.DUMMYFUNCTION("""COMPUTED_VALUE"""),"")</f>
        <v/>
      </c>
      <c r="Q637" s="78" t="str">
        <f>IFERROR(__xludf.DUMMYFUNCTION("""COMPUTED_VALUE"""),"")</f>
        <v/>
      </c>
      <c r="R637" s="78" t="str">
        <f>IFERROR(__xludf.DUMMYFUNCTION("""COMPUTED_VALUE"""),"")</f>
        <v/>
      </c>
      <c r="S637" s="80" t="str">
        <f>IFERROR(__xludf.DUMMYFUNCTION("""COMPUTED_VALUE"""),"")</f>
        <v/>
      </c>
      <c r="T637" s="80" t="str">
        <f>IFERROR(__xludf.DUMMYFUNCTION("""COMPUTED_VALUE"""),"")</f>
        <v/>
      </c>
      <c r="U637" s="71" t="str">
        <f>IFERROR(__xludf.DUMMYFUNCTION("""COMPUTED_VALUE"""),"")</f>
        <v/>
      </c>
      <c r="V637" s="78" t="str">
        <f>IFERROR(__xludf.DUMMYFUNCTION("""COMPUTED_VALUE"""),"")</f>
        <v/>
      </c>
      <c r="W637" s="62" t="str">
        <f>IFERROR(__xludf.DUMMYFUNCTION("""COMPUTED_VALUE"""),"")</f>
        <v/>
      </c>
      <c r="X637" s="80" t="str">
        <f>IFERROR(__xludf.DUMMYFUNCTION("""COMPUTED_VALUE"""),"")</f>
        <v/>
      </c>
      <c r="Y637" s="109" t="str">
        <f>IFERROR(__xludf.DUMMYFUNCTION("""COMPUTED_VALUE"""),"")</f>
        <v/>
      </c>
      <c r="Z637" s="71"/>
      <c r="AA637" s="71"/>
      <c r="AB637" s="71"/>
    </row>
    <row r="638">
      <c r="A638" s="71"/>
      <c r="B638" s="71"/>
      <c r="C638" s="71" t="str">
        <f>IFERROR(__xludf.DUMMYFUNCTION("""COMPUTED_VALUE"""),"")</f>
        <v/>
      </c>
      <c r="D638" s="71"/>
      <c r="E638" s="78"/>
      <c r="F638" s="71"/>
      <c r="G638" s="78" t="str">
        <f>IFERROR(__xludf.DUMMYFUNCTION("""COMPUTED_VALUE"""),"")</f>
        <v/>
      </c>
      <c r="H638" s="71"/>
      <c r="I638" s="80" t="str">
        <f>IFERROR(__xludf.DUMMYFUNCTION("""COMPUTED_VALUE"""),"")</f>
        <v/>
      </c>
      <c r="J638" s="71" t="str">
        <f>IFERROR(__xludf.DUMMYFUNCTION("""COMPUTED_VALUE"""),"")</f>
        <v/>
      </c>
      <c r="K638" s="71"/>
      <c r="L638" s="71" t="str">
        <f>IFERROR(__xludf.DUMMYFUNCTION("""COMPUTED_VALUE"""),"")</f>
        <v/>
      </c>
      <c r="M638" s="71"/>
      <c r="N638" s="109" t="str">
        <f>IFERROR(__xludf.DUMMYFUNCTION("""COMPUTED_VALUE"""),"")</f>
        <v/>
      </c>
      <c r="O638" s="71" t="str">
        <f>IFERROR(__xludf.DUMMYFUNCTION("""COMPUTED_VALUE"""),"")</f>
        <v/>
      </c>
      <c r="P638" s="71" t="str">
        <f>IFERROR(__xludf.DUMMYFUNCTION("""COMPUTED_VALUE"""),"")</f>
        <v/>
      </c>
      <c r="Q638" s="78" t="str">
        <f>IFERROR(__xludf.DUMMYFUNCTION("""COMPUTED_VALUE"""),"")</f>
        <v/>
      </c>
      <c r="R638" s="78" t="str">
        <f>IFERROR(__xludf.DUMMYFUNCTION("""COMPUTED_VALUE"""),"")</f>
        <v/>
      </c>
      <c r="S638" s="80" t="str">
        <f>IFERROR(__xludf.DUMMYFUNCTION("""COMPUTED_VALUE"""),"")</f>
        <v/>
      </c>
      <c r="T638" s="80" t="str">
        <f>IFERROR(__xludf.DUMMYFUNCTION("""COMPUTED_VALUE"""),"")</f>
        <v/>
      </c>
      <c r="U638" s="71" t="str">
        <f>IFERROR(__xludf.DUMMYFUNCTION("""COMPUTED_VALUE"""),"")</f>
        <v/>
      </c>
      <c r="V638" s="78" t="str">
        <f>IFERROR(__xludf.DUMMYFUNCTION("""COMPUTED_VALUE"""),"")</f>
        <v/>
      </c>
      <c r="W638" s="62" t="str">
        <f>IFERROR(__xludf.DUMMYFUNCTION("""COMPUTED_VALUE"""),"")</f>
        <v/>
      </c>
      <c r="X638" s="80" t="str">
        <f>IFERROR(__xludf.DUMMYFUNCTION("""COMPUTED_VALUE"""),"")</f>
        <v/>
      </c>
      <c r="Y638" s="109" t="str">
        <f>IFERROR(__xludf.DUMMYFUNCTION("""COMPUTED_VALUE"""),"")</f>
        <v/>
      </c>
      <c r="Z638" s="71"/>
      <c r="AA638" s="71"/>
      <c r="AB638" s="71"/>
    </row>
    <row r="639">
      <c r="A639" s="71"/>
      <c r="B639" s="71"/>
      <c r="C639" s="71" t="str">
        <f>IFERROR(__xludf.DUMMYFUNCTION("""COMPUTED_VALUE"""),"")</f>
        <v/>
      </c>
      <c r="D639" s="71"/>
      <c r="E639" s="78"/>
      <c r="F639" s="71"/>
      <c r="G639" s="78" t="str">
        <f>IFERROR(__xludf.DUMMYFUNCTION("""COMPUTED_VALUE"""),"")</f>
        <v/>
      </c>
      <c r="H639" s="71"/>
      <c r="I639" s="80" t="str">
        <f>IFERROR(__xludf.DUMMYFUNCTION("""COMPUTED_VALUE"""),"")</f>
        <v/>
      </c>
      <c r="J639" s="71" t="str">
        <f>IFERROR(__xludf.DUMMYFUNCTION("""COMPUTED_VALUE"""),"")</f>
        <v/>
      </c>
      <c r="K639" s="71"/>
      <c r="L639" s="71" t="str">
        <f>IFERROR(__xludf.DUMMYFUNCTION("""COMPUTED_VALUE"""),"")</f>
        <v/>
      </c>
      <c r="M639" s="71"/>
      <c r="N639" s="109" t="str">
        <f>IFERROR(__xludf.DUMMYFUNCTION("""COMPUTED_VALUE"""),"")</f>
        <v/>
      </c>
      <c r="O639" s="71" t="str">
        <f>IFERROR(__xludf.DUMMYFUNCTION("""COMPUTED_VALUE"""),"")</f>
        <v/>
      </c>
      <c r="P639" s="71" t="str">
        <f>IFERROR(__xludf.DUMMYFUNCTION("""COMPUTED_VALUE"""),"")</f>
        <v/>
      </c>
      <c r="Q639" s="78" t="str">
        <f>IFERROR(__xludf.DUMMYFUNCTION("""COMPUTED_VALUE"""),"")</f>
        <v/>
      </c>
      <c r="R639" s="78" t="str">
        <f>IFERROR(__xludf.DUMMYFUNCTION("""COMPUTED_VALUE"""),"")</f>
        <v/>
      </c>
      <c r="S639" s="80" t="str">
        <f>IFERROR(__xludf.DUMMYFUNCTION("""COMPUTED_VALUE"""),"")</f>
        <v/>
      </c>
      <c r="T639" s="80" t="str">
        <f>IFERROR(__xludf.DUMMYFUNCTION("""COMPUTED_VALUE"""),"")</f>
        <v/>
      </c>
      <c r="U639" s="71" t="str">
        <f>IFERROR(__xludf.DUMMYFUNCTION("""COMPUTED_VALUE"""),"")</f>
        <v/>
      </c>
      <c r="V639" s="78" t="str">
        <f>IFERROR(__xludf.DUMMYFUNCTION("""COMPUTED_VALUE"""),"")</f>
        <v/>
      </c>
      <c r="W639" s="62" t="str">
        <f>IFERROR(__xludf.DUMMYFUNCTION("""COMPUTED_VALUE"""),"")</f>
        <v/>
      </c>
      <c r="X639" s="80" t="str">
        <f>IFERROR(__xludf.DUMMYFUNCTION("""COMPUTED_VALUE"""),"")</f>
        <v/>
      </c>
      <c r="Y639" s="109" t="str">
        <f>IFERROR(__xludf.DUMMYFUNCTION("""COMPUTED_VALUE"""),"")</f>
        <v/>
      </c>
      <c r="Z639" s="71"/>
      <c r="AA639" s="71"/>
      <c r="AB639" s="71"/>
    </row>
    <row r="640">
      <c r="A640" s="71"/>
      <c r="B640" s="71"/>
      <c r="C640" s="71" t="str">
        <f>IFERROR(__xludf.DUMMYFUNCTION("""COMPUTED_VALUE"""),"")</f>
        <v/>
      </c>
      <c r="D640" s="71"/>
      <c r="E640" s="78"/>
      <c r="F640" s="71"/>
      <c r="G640" s="78" t="str">
        <f>IFERROR(__xludf.DUMMYFUNCTION("""COMPUTED_VALUE"""),"")</f>
        <v/>
      </c>
      <c r="H640" s="71"/>
      <c r="I640" s="80" t="str">
        <f>IFERROR(__xludf.DUMMYFUNCTION("""COMPUTED_VALUE"""),"")</f>
        <v/>
      </c>
      <c r="J640" s="71" t="str">
        <f>IFERROR(__xludf.DUMMYFUNCTION("""COMPUTED_VALUE"""),"")</f>
        <v/>
      </c>
      <c r="K640" s="71"/>
      <c r="L640" s="71" t="str">
        <f>IFERROR(__xludf.DUMMYFUNCTION("""COMPUTED_VALUE"""),"")</f>
        <v/>
      </c>
      <c r="M640" s="71"/>
      <c r="N640" s="109" t="str">
        <f>IFERROR(__xludf.DUMMYFUNCTION("""COMPUTED_VALUE"""),"")</f>
        <v/>
      </c>
      <c r="O640" s="71" t="str">
        <f>IFERROR(__xludf.DUMMYFUNCTION("""COMPUTED_VALUE"""),"")</f>
        <v/>
      </c>
      <c r="P640" s="71" t="str">
        <f>IFERROR(__xludf.DUMMYFUNCTION("""COMPUTED_VALUE"""),"")</f>
        <v/>
      </c>
      <c r="Q640" s="78" t="str">
        <f>IFERROR(__xludf.DUMMYFUNCTION("""COMPUTED_VALUE"""),"")</f>
        <v/>
      </c>
      <c r="R640" s="78" t="str">
        <f>IFERROR(__xludf.DUMMYFUNCTION("""COMPUTED_VALUE"""),"")</f>
        <v/>
      </c>
      <c r="S640" s="80" t="str">
        <f>IFERROR(__xludf.DUMMYFUNCTION("""COMPUTED_VALUE"""),"")</f>
        <v/>
      </c>
      <c r="T640" s="80" t="str">
        <f>IFERROR(__xludf.DUMMYFUNCTION("""COMPUTED_VALUE"""),"")</f>
        <v/>
      </c>
      <c r="U640" s="71" t="str">
        <f>IFERROR(__xludf.DUMMYFUNCTION("""COMPUTED_VALUE"""),"")</f>
        <v/>
      </c>
      <c r="V640" s="78" t="str">
        <f>IFERROR(__xludf.DUMMYFUNCTION("""COMPUTED_VALUE"""),"")</f>
        <v/>
      </c>
      <c r="W640" s="62" t="str">
        <f>IFERROR(__xludf.DUMMYFUNCTION("""COMPUTED_VALUE"""),"")</f>
        <v/>
      </c>
      <c r="X640" s="80" t="str">
        <f>IFERROR(__xludf.DUMMYFUNCTION("""COMPUTED_VALUE"""),"")</f>
        <v/>
      </c>
      <c r="Y640" s="109" t="str">
        <f>IFERROR(__xludf.DUMMYFUNCTION("""COMPUTED_VALUE"""),"")</f>
        <v/>
      </c>
      <c r="Z640" s="71"/>
      <c r="AA640" s="71"/>
      <c r="AB640" s="71"/>
    </row>
    <row r="641">
      <c r="A641" s="71"/>
      <c r="B641" s="71"/>
      <c r="C641" s="71" t="str">
        <f>IFERROR(__xludf.DUMMYFUNCTION("""COMPUTED_VALUE"""),"")</f>
        <v/>
      </c>
      <c r="D641" s="71"/>
      <c r="E641" s="78"/>
      <c r="F641" s="71"/>
      <c r="G641" s="78" t="str">
        <f>IFERROR(__xludf.DUMMYFUNCTION("""COMPUTED_VALUE"""),"")</f>
        <v/>
      </c>
      <c r="H641" s="71"/>
      <c r="I641" s="80" t="str">
        <f>IFERROR(__xludf.DUMMYFUNCTION("""COMPUTED_VALUE"""),"")</f>
        <v/>
      </c>
      <c r="J641" s="71" t="str">
        <f>IFERROR(__xludf.DUMMYFUNCTION("""COMPUTED_VALUE"""),"")</f>
        <v/>
      </c>
      <c r="K641" s="71"/>
      <c r="L641" s="71" t="str">
        <f>IFERROR(__xludf.DUMMYFUNCTION("""COMPUTED_VALUE"""),"")</f>
        <v/>
      </c>
      <c r="M641" s="71"/>
      <c r="N641" s="109" t="str">
        <f>IFERROR(__xludf.DUMMYFUNCTION("""COMPUTED_VALUE"""),"")</f>
        <v/>
      </c>
      <c r="O641" s="71" t="str">
        <f>IFERROR(__xludf.DUMMYFUNCTION("""COMPUTED_VALUE"""),"")</f>
        <v/>
      </c>
      <c r="P641" s="71" t="str">
        <f>IFERROR(__xludf.DUMMYFUNCTION("""COMPUTED_VALUE"""),"")</f>
        <v/>
      </c>
      <c r="Q641" s="78" t="str">
        <f>IFERROR(__xludf.DUMMYFUNCTION("""COMPUTED_VALUE"""),"")</f>
        <v/>
      </c>
      <c r="R641" s="78" t="str">
        <f>IFERROR(__xludf.DUMMYFUNCTION("""COMPUTED_VALUE"""),"")</f>
        <v/>
      </c>
      <c r="S641" s="80" t="str">
        <f>IFERROR(__xludf.DUMMYFUNCTION("""COMPUTED_VALUE"""),"")</f>
        <v/>
      </c>
      <c r="T641" s="80" t="str">
        <f>IFERROR(__xludf.DUMMYFUNCTION("""COMPUTED_VALUE"""),"")</f>
        <v/>
      </c>
      <c r="U641" s="71" t="str">
        <f>IFERROR(__xludf.DUMMYFUNCTION("""COMPUTED_VALUE"""),"")</f>
        <v/>
      </c>
      <c r="V641" s="78" t="str">
        <f>IFERROR(__xludf.DUMMYFUNCTION("""COMPUTED_VALUE"""),"")</f>
        <v/>
      </c>
      <c r="W641" s="62" t="str">
        <f>IFERROR(__xludf.DUMMYFUNCTION("""COMPUTED_VALUE"""),"")</f>
        <v/>
      </c>
      <c r="X641" s="80" t="str">
        <f>IFERROR(__xludf.DUMMYFUNCTION("""COMPUTED_VALUE"""),"")</f>
        <v/>
      </c>
      <c r="Y641" s="109" t="str">
        <f>IFERROR(__xludf.DUMMYFUNCTION("""COMPUTED_VALUE"""),"")</f>
        <v/>
      </c>
      <c r="Z641" s="71"/>
      <c r="AA641" s="71"/>
      <c r="AB641" s="71"/>
    </row>
    <row r="642">
      <c r="A642" s="71"/>
      <c r="B642" s="71"/>
      <c r="C642" s="71" t="str">
        <f>IFERROR(__xludf.DUMMYFUNCTION("""COMPUTED_VALUE"""),"")</f>
        <v/>
      </c>
      <c r="D642" s="71"/>
      <c r="E642" s="78"/>
      <c r="F642" s="71"/>
      <c r="G642" s="78" t="str">
        <f>IFERROR(__xludf.DUMMYFUNCTION("""COMPUTED_VALUE"""),"")</f>
        <v/>
      </c>
      <c r="H642" s="71"/>
      <c r="I642" s="80" t="str">
        <f>IFERROR(__xludf.DUMMYFUNCTION("""COMPUTED_VALUE"""),"")</f>
        <v/>
      </c>
      <c r="J642" s="71" t="str">
        <f>IFERROR(__xludf.DUMMYFUNCTION("""COMPUTED_VALUE"""),"")</f>
        <v/>
      </c>
      <c r="K642" s="71"/>
      <c r="L642" s="71" t="str">
        <f>IFERROR(__xludf.DUMMYFUNCTION("""COMPUTED_VALUE"""),"")</f>
        <v/>
      </c>
      <c r="M642" s="71"/>
      <c r="N642" s="109" t="str">
        <f>IFERROR(__xludf.DUMMYFUNCTION("""COMPUTED_VALUE"""),"")</f>
        <v/>
      </c>
      <c r="O642" s="71" t="str">
        <f>IFERROR(__xludf.DUMMYFUNCTION("""COMPUTED_VALUE"""),"")</f>
        <v/>
      </c>
      <c r="P642" s="71" t="str">
        <f>IFERROR(__xludf.DUMMYFUNCTION("""COMPUTED_VALUE"""),"")</f>
        <v/>
      </c>
      <c r="Q642" s="78" t="str">
        <f>IFERROR(__xludf.DUMMYFUNCTION("""COMPUTED_VALUE"""),"")</f>
        <v/>
      </c>
      <c r="R642" s="78" t="str">
        <f>IFERROR(__xludf.DUMMYFUNCTION("""COMPUTED_VALUE"""),"")</f>
        <v/>
      </c>
      <c r="S642" s="80" t="str">
        <f>IFERROR(__xludf.DUMMYFUNCTION("""COMPUTED_VALUE"""),"")</f>
        <v/>
      </c>
      <c r="T642" s="80" t="str">
        <f>IFERROR(__xludf.DUMMYFUNCTION("""COMPUTED_VALUE"""),"")</f>
        <v/>
      </c>
      <c r="U642" s="71" t="str">
        <f>IFERROR(__xludf.DUMMYFUNCTION("""COMPUTED_VALUE"""),"")</f>
        <v/>
      </c>
      <c r="V642" s="78" t="str">
        <f>IFERROR(__xludf.DUMMYFUNCTION("""COMPUTED_VALUE"""),"")</f>
        <v/>
      </c>
      <c r="W642" s="62" t="str">
        <f>IFERROR(__xludf.DUMMYFUNCTION("""COMPUTED_VALUE"""),"")</f>
        <v/>
      </c>
      <c r="X642" s="80" t="str">
        <f>IFERROR(__xludf.DUMMYFUNCTION("""COMPUTED_VALUE"""),"")</f>
        <v/>
      </c>
      <c r="Y642" s="109" t="str">
        <f>IFERROR(__xludf.DUMMYFUNCTION("""COMPUTED_VALUE"""),"")</f>
        <v/>
      </c>
      <c r="Z642" s="71"/>
      <c r="AA642" s="71"/>
      <c r="AB642" s="71"/>
    </row>
    <row r="643">
      <c r="A643" s="71"/>
      <c r="B643" s="71"/>
      <c r="C643" s="71" t="str">
        <f>IFERROR(__xludf.DUMMYFUNCTION("""COMPUTED_VALUE"""),"")</f>
        <v/>
      </c>
      <c r="D643" s="71"/>
      <c r="E643" s="78"/>
      <c r="F643" s="71"/>
      <c r="G643" s="78" t="str">
        <f>IFERROR(__xludf.DUMMYFUNCTION("""COMPUTED_VALUE"""),"")</f>
        <v/>
      </c>
      <c r="H643" s="71"/>
      <c r="I643" s="80" t="str">
        <f>IFERROR(__xludf.DUMMYFUNCTION("""COMPUTED_VALUE"""),"")</f>
        <v/>
      </c>
      <c r="J643" s="71" t="str">
        <f>IFERROR(__xludf.DUMMYFUNCTION("""COMPUTED_VALUE"""),"")</f>
        <v/>
      </c>
      <c r="K643" s="71"/>
      <c r="L643" s="71" t="str">
        <f>IFERROR(__xludf.DUMMYFUNCTION("""COMPUTED_VALUE"""),"")</f>
        <v/>
      </c>
      <c r="M643" s="71"/>
      <c r="N643" s="109" t="str">
        <f>IFERROR(__xludf.DUMMYFUNCTION("""COMPUTED_VALUE"""),"")</f>
        <v/>
      </c>
      <c r="O643" s="71" t="str">
        <f>IFERROR(__xludf.DUMMYFUNCTION("""COMPUTED_VALUE"""),"")</f>
        <v/>
      </c>
      <c r="P643" s="71" t="str">
        <f>IFERROR(__xludf.DUMMYFUNCTION("""COMPUTED_VALUE"""),"")</f>
        <v/>
      </c>
      <c r="Q643" s="78" t="str">
        <f>IFERROR(__xludf.DUMMYFUNCTION("""COMPUTED_VALUE"""),"")</f>
        <v/>
      </c>
      <c r="R643" s="78" t="str">
        <f>IFERROR(__xludf.DUMMYFUNCTION("""COMPUTED_VALUE"""),"")</f>
        <v/>
      </c>
      <c r="S643" s="80" t="str">
        <f>IFERROR(__xludf.DUMMYFUNCTION("""COMPUTED_VALUE"""),"")</f>
        <v/>
      </c>
      <c r="T643" s="80" t="str">
        <f>IFERROR(__xludf.DUMMYFUNCTION("""COMPUTED_VALUE"""),"")</f>
        <v/>
      </c>
      <c r="U643" s="71" t="str">
        <f>IFERROR(__xludf.DUMMYFUNCTION("""COMPUTED_VALUE"""),"")</f>
        <v/>
      </c>
      <c r="V643" s="78" t="str">
        <f>IFERROR(__xludf.DUMMYFUNCTION("""COMPUTED_VALUE"""),"")</f>
        <v/>
      </c>
      <c r="W643" s="62" t="str">
        <f>IFERROR(__xludf.DUMMYFUNCTION("""COMPUTED_VALUE"""),"")</f>
        <v/>
      </c>
      <c r="X643" s="80" t="str">
        <f>IFERROR(__xludf.DUMMYFUNCTION("""COMPUTED_VALUE"""),"")</f>
        <v/>
      </c>
      <c r="Y643" s="109" t="str">
        <f>IFERROR(__xludf.DUMMYFUNCTION("""COMPUTED_VALUE"""),"")</f>
        <v/>
      </c>
      <c r="Z643" s="71"/>
      <c r="AA643" s="71"/>
      <c r="AB643" s="71"/>
    </row>
    <row r="644">
      <c r="A644" s="71"/>
      <c r="B644" s="71"/>
      <c r="C644" s="71" t="str">
        <f>IFERROR(__xludf.DUMMYFUNCTION("""COMPUTED_VALUE"""),"")</f>
        <v/>
      </c>
      <c r="D644" s="71"/>
      <c r="E644" s="78"/>
      <c r="F644" s="71"/>
      <c r="G644" s="78" t="str">
        <f>IFERROR(__xludf.DUMMYFUNCTION("""COMPUTED_VALUE"""),"")</f>
        <v/>
      </c>
      <c r="H644" s="71"/>
      <c r="I644" s="80" t="str">
        <f>IFERROR(__xludf.DUMMYFUNCTION("""COMPUTED_VALUE"""),"")</f>
        <v/>
      </c>
      <c r="J644" s="71" t="str">
        <f>IFERROR(__xludf.DUMMYFUNCTION("""COMPUTED_VALUE"""),"")</f>
        <v/>
      </c>
      <c r="K644" s="71"/>
      <c r="L644" s="71" t="str">
        <f>IFERROR(__xludf.DUMMYFUNCTION("""COMPUTED_VALUE"""),"")</f>
        <v/>
      </c>
      <c r="M644" s="71"/>
      <c r="N644" s="109" t="str">
        <f>IFERROR(__xludf.DUMMYFUNCTION("""COMPUTED_VALUE"""),"")</f>
        <v/>
      </c>
      <c r="O644" s="71" t="str">
        <f>IFERROR(__xludf.DUMMYFUNCTION("""COMPUTED_VALUE"""),"")</f>
        <v/>
      </c>
      <c r="P644" s="71" t="str">
        <f>IFERROR(__xludf.DUMMYFUNCTION("""COMPUTED_VALUE"""),"")</f>
        <v/>
      </c>
      <c r="Q644" s="78" t="str">
        <f>IFERROR(__xludf.DUMMYFUNCTION("""COMPUTED_VALUE"""),"")</f>
        <v/>
      </c>
      <c r="R644" s="78" t="str">
        <f>IFERROR(__xludf.DUMMYFUNCTION("""COMPUTED_VALUE"""),"")</f>
        <v/>
      </c>
      <c r="S644" s="80" t="str">
        <f>IFERROR(__xludf.DUMMYFUNCTION("""COMPUTED_VALUE"""),"")</f>
        <v/>
      </c>
      <c r="T644" s="80" t="str">
        <f>IFERROR(__xludf.DUMMYFUNCTION("""COMPUTED_VALUE"""),"")</f>
        <v/>
      </c>
      <c r="U644" s="71" t="str">
        <f>IFERROR(__xludf.DUMMYFUNCTION("""COMPUTED_VALUE"""),"")</f>
        <v/>
      </c>
      <c r="V644" s="78" t="str">
        <f>IFERROR(__xludf.DUMMYFUNCTION("""COMPUTED_VALUE"""),"")</f>
        <v/>
      </c>
      <c r="W644" s="62" t="str">
        <f>IFERROR(__xludf.DUMMYFUNCTION("""COMPUTED_VALUE"""),"")</f>
        <v/>
      </c>
      <c r="X644" s="80" t="str">
        <f>IFERROR(__xludf.DUMMYFUNCTION("""COMPUTED_VALUE"""),"")</f>
        <v/>
      </c>
      <c r="Y644" s="109" t="str">
        <f>IFERROR(__xludf.DUMMYFUNCTION("""COMPUTED_VALUE"""),"")</f>
        <v/>
      </c>
      <c r="Z644" s="71"/>
      <c r="AA644" s="71"/>
      <c r="AB644" s="71"/>
    </row>
    <row r="645">
      <c r="A645" s="71"/>
      <c r="B645" s="71"/>
      <c r="C645" s="71" t="str">
        <f>IFERROR(__xludf.DUMMYFUNCTION("""COMPUTED_VALUE"""),"")</f>
        <v/>
      </c>
      <c r="D645" s="71"/>
      <c r="E645" s="78"/>
      <c r="F645" s="71"/>
      <c r="G645" s="78" t="str">
        <f>IFERROR(__xludf.DUMMYFUNCTION("""COMPUTED_VALUE"""),"")</f>
        <v/>
      </c>
      <c r="H645" s="71"/>
      <c r="I645" s="80" t="str">
        <f>IFERROR(__xludf.DUMMYFUNCTION("""COMPUTED_VALUE"""),"")</f>
        <v/>
      </c>
      <c r="J645" s="71" t="str">
        <f>IFERROR(__xludf.DUMMYFUNCTION("""COMPUTED_VALUE"""),"")</f>
        <v/>
      </c>
      <c r="K645" s="71"/>
      <c r="L645" s="71" t="str">
        <f>IFERROR(__xludf.DUMMYFUNCTION("""COMPUTED_VALUE"""),"")</f>
        <v/>
      </c>
      <c r="M645" s="71"/>
      <c r="N645" s="109" t="str">
        <f>IFERROR(__xludf.DUMMYFUNCTION("""COMPUTED_VALUE"""),"")</f>
        <v/>
      </c>
      <c r="O645" s="71" t="str">
        <f>IFERROR(__xludf.DUMMYFUNCTION("""COMPUTED_VALUE"""),"")</f>
        <v/>
      </c>
      <c r="P645" s="71" t="str">
        <f>IFERROR(__xludf.DUMMYFUNCTION("""COMPUTED_VALUE"""),"")</f>
        <v/>
      </c>
      <c r="Q645" s="78" t="str">
        <f>IFERROR(__xludf.DUMMYFUNCTION("""COMPUTED_VALUE"""),"")</f>
        <v/>
      </c>
      <c r="R645" s="78" t="str">
        <f>IFERROR(__xludf.DUMMYFUNCTION("""COMPUTED_VALUE"""),"")</f>
        <v/>
      </c>
      <c r="S645" s="80" t="str">
        <f>IFERROR(__xludf.DUMMYFUNCTION("""COMPUTED_VALUE"""),"")</f>
        <v/>
      </c>
      <c r="T645" s="80" t="str">
        <f>IFERROR(__xludf.DUMMYFUNCTION("""COMPUTED_VALUE"""),"")</f>
        <v/>
      </c>
      <c r="U645" s="71" t="str">
        <f>IFERROR(__xludf.DUMMYFUNCTION("""COMPUTED_VALUE"""),"")</f>
        <v/>
      </c>
      <c r="V645" s="78" t="str">
        <f>IFERROR(__xludf.DUMMYFUNCTION("""COMPUTED_VALUE"""),"")</f>
        <v/>
      </c>
      <c r="W645" s="62" t="str">
        <f>IFERROR(__xludf.DUMMYFUNCTION("""COMPUTED_VALUE"""),"")</f>
        <v/>
      </c>
      <c r="X645" s="80" t="str">
        <f>IFERROR(__xludf.DUMMYFUNCTION("""COMPUTED_VALUE"""),"")</f>
        <v/>
      </c>
      <c r="Y645" s="109" t="str">
        <f>IFERROR(__xludf.DUMMYFUNCTION("""COMPUTED_VALUE"""),"")</f>
        <v/>
      </c>
      <c r="Z645" s="71"/>
      <c r="AA645" s="71"/>
      <c r="AB645" s="71"/>
    </row>
    <row r="646">
      <c r="A646" s="71"/>
      <c r="B646" s="71"/>
      <c r="C646" s="71" t="str">
        <f>IFERROR(__xludf.DUMMYFUNCTION("""COMPUTED_VALUE"""),"")</f>
        <v/>
      </c>
      <c r="D646" s="71"/>
      <c r="E646" s="78"/>
      <c r="F646" s="71"/>
      <c r="G646" s="78" t="str">
        <f>IFERROR(__xludf.DUMMYFUNCTION("""COMPUTED_VALUE"""),"")</f>
        <v/>
      </c>
      <c r="H646" s="71"/>
      <c r="I646" s="80" t="str">
        <f>IFERROR(__xludf.DUMMYFUNCTION("""COMPUTED_VALUE"""),"")</f>
        <v/>
      </c>
      <c r="J646" s="71" t="str">
        <f>IFERROR(__xludf.DUMMYFUNCTION("""COMPUTED_VALUE"""),"")</f>
        <v/>
      </c>
      <c r="K646" s="71"/>
      <c r="L646" s="71" t="str">
        <f>IFERROR(__xludf.DUMMYFUNCTION("""COMPUTED_VALUE"""),"")</f>
        <v/>
      </c>
      <c r="M646" s="71"/>
      <c r="N646" s="109" t="str">
        <f>IFERROR(__xludf.DUMMYFUNCTION("""COMPUTED_VALUE"""),"")</f>
        <v/>
      </c>
      <c r="O646" s="71" t="str">
        <f>IFERROR(__xludf.DUMMYFUNCTION("""COMPUTED_VALUE"""),"")</f>
        <v/>
      </c>
      <c r="P646" s="71" t="str">
        <f>IFERROR(__xludf.DUMMYFUNCTION("""COMPUTED_VALUE"""),"")</f>
        <v/>
      </c>
      <c r="Q646" s="78" t="str">
        <f>IFERROR(__xludf.DUMMYFUNCTION("""COMPUTED_VALUE"""),"")</f>
        <v/>
      </c>
      <c r="R646" s="78" t="str">
        <f>IFERROR(__xludf.DUMMYFUNCTION("""COMPUTED_VALUE"""),"")</f>
        <v/>
      </c>
      <c r="S646" s="80" t="str">
        <f>IFERROR(__xludf.DUMMYFUNCTION("""COMPUTED_VALUE"""),"")</f>
        <v/>
      </c>
      <c r="T646" s="80" t="str">
        <f>IFERROR(__xludf.DUMMYFUNCTION("""COMPUTED_VALUE"""),"")</f>
        <v/>
      </c>
      <c r="U646" s="71" t="str">
        <f>IFERROR(__xludf.DUMMYFUNCTION("""COMPUTED_VALUE"""),"")</f>
        <v/>
      </c>
      <c r="V646" s="78" t="str">
        <f>IFERROR(__xludf.DUMMYFUNCTION("""COMPUTED_VALUE"""),"")</f>
        <v/>
      </c>
      <c r="W646" s="62" t="str">
        <f>IFERROR(__xludf.DUMMYFUNCTION("""COMPUTED_VALUE"""),"")</f>
        <v/>
      </c>
      <c r="X646" s="80" t="str">
        <f>IFERROR(__xludf.DUMMYFUNCTION("""COMPUTED_VALUE"""),"")</f>
        <v/>
      </c>
      <c r="Y646" s="109" t="str">
        <f>IFERROR(__xludf.DUMMYFUNCTION("""COMPUTED_VALUE"""),"")</f>
        <v/>
      </c>
      <c r="Z646" s="71"/>
      <c r="AA646" s="71"/>
      <c r="AB646" s="71"/>
    </row>
    <row r="647">
      <c r="A647" s="71"/>
      <c r="B647" s="71"/>
      <c r="C647" s="71" t="str">
        <f>IFERROR(__xludf.DUMMYFUNCTION("""COMPUTED_VALUE"""),"")</f>
        <v/>
      </c>
      <c r="D647" s="71"/>
      <c r="E647" s="78"/>
      <c r="F647" s="71"/>
      <c r="G647" s="78" t="str">
        <f>IFERROR(__xludf.DUMMYFUNCTION("""COMPUTED_VALUE"""),"")</f>
        <v/>
      </c>
      <c r="H647" s="71"/>
      <c r="I647" s="80" t="str">
        <f>IFERROR(__xludf.DUMMYFUNCTION("""COMPUTED_VALUE"""),"")</f>
        <v/>
      </c>
      <c r="J647" s="71" t="str">
        <f>IFERROR(__xludf.DUMMYFUNCTION("""COMPUTED_VALUE"""),"")</f>
        <v/>
      </c>
      <c r="K647" s="71"/>
      <c r="L647" s="71" t="str">
        <f>IFERROR(__xludf.DUMMYFUNCTION("""COMPUTED_VALUE"""),"")</f>
        <v/>
      </c>
      <c r="M647" s="71"/>
      <c r="N647" s="109" t="str">
        <f>IFERROR(__xludf.DUMMYFUNCTION("""COMPUTED_VALUE"""),"")</f>
        <v/>
      </c>
      <c r="O647" s="71" t="str">
        <f>IFERROR(__xludf.DUMMYFUNCTION("""COMPUTED_VALUE"""),"")</f>
        <v/>
      </c>
      <c r="P647" s="71" t="str">
        <f>IFERROR(__xludf.DUMMYFUNCTION("""COMPUTED_VALUE"""),"")</f>
        <v/>
      </c>
      <c r="Q647" s="78" t="str">
        <f>IFERROR(__xludf.DUMMYFUNCTION("""COMPUTED_VALUE"""),"")</f>
        <v/>
      </c>
      <c r="R647" s="78" t="str">
        <f>IFERROR(__xludf.DUMMYFUNCTION("""COMPUTED_VALUE"""),"")</f>
        <v/>
      </c>
      <c r="S647" s="80" t="str">
        <f>IFERROR(__xludf.DUMMYFUNCTION("""COMPUTED_VALUE"""),"")</f>
        <v/>
      </c>
      <c r="T647" s="80" t="str">
        <f>IFERROR(__xludf.DUMMYFUNCTION("""COMPUTED_VALUE"""),"")</f>
        <v/>
      </c>
      <c r="U647" s="71" t="str">
        <f>IFERROR(__xludf.DUMMYFUNCTION("""COMPUTED_VALUE"""),"")</f>
        <v/>
      </c>
      <c r="V647" s="78" t="str">
        <f>IFERROR(__xludf.DUMMYFUNCTION("""COMPUTED_VALUE"""),"")</f>
        <v/>
      </c>
      <c r="W647" s="62" t="str">
        <f>IFERROR(__xludf.DUMMYFUNCTION("""COMPUTED_VALUE"""),"")</f>
        <v/>
      </c>
      <c r="X647" s="80" t="str">
        <f>IFERROR(__xludf.DUMMYFUNCTION("""COMPUTED_VALUE"""),"")</f>
        <v/>
      </c>
      <c r="Y647" s="109" t="str">
        <f>IFERROR(__xludf.DUMMYFUNCTION("""COMPUTED_VALUE"""),"")</f>
        <v/>
      </c>
      <c r="Z647" s="71"/>
      <c r="AA647" s="71"/>
      <c r="AB647" s="71"/>
    </row>
    <row r="648">
      <c r="A648" s="71"/>
      <c r="B648" s="71"/>
      <c r="C648" s="71" t="str">
        <f>IFERROR(__xludf.DUMMYFUNCTION("""COMPUTED_VALUE"""),"")</f>
        <v/>
      </c>
      <c r="D648" s="71"/>
      <c r="E648" s="78"/>
      <c r="F648" s="71"/>
      <c r="G648" s="78" t="str">
        <f>IFERROR(__xludf.DUMMYFUNCTION("""COMPUTED_VALUE"""),"")</f>
        <v/>
      </c>
      <c r="H648" s="71"/>
      <c r="I648" s="80" t="str">
        <f>IFERROR(__xludf.DUMMYFUNCTION("""COMPUTED_VALUE"""),"")</f>
        <v/>
      </c>
      <c r="J648" s="71" t="str">
        <f>IFERROR(__xludf.DUMMYFUNCTION("""COMPUTED_VALUE"""),"")</f>
        <v/>
      </c>
      <c r="K648" s="71"/>
      <c r="L648" s="71" t="str">
        <f>IFERROR(__xludf.DUMMYFUNCTION("""COMPUTED_VALUE"""),"")</f>
        <v/>
      </c>
      <c r="M648" s="71"/>
      <c r="N648" s="109" t="str">
        <f>IFERROR(__xludf.DUMMYFUNCTION("""COMPUTED_VALUE"""),"")</f>
        <v/>
      </c>
      <c r="O648" s="71" t="str">
        <f>IFERROR(__xludf.DUMMYFUNCTION("""COMPUTED_VALUE"""),"")</f>
        <v/>
      </c>
      <c r="P648" s="71" t="str">
        <f>IFERROR(__xludf.DUMMYFUNCTION("""COMPUTED_VALUE"""),"")</f>
        <v/>
      </c>
      <c r="Q648" s="78" t="str">
        <f>IFERROR(__xludf.DUMMYFUNCTION("""COMPUTED_VALUE"""),"")</f>
        <v/>
      </c>
      <c r="R648" s="78" t="str">
        <f>IFERROR(__xludf.DUMMYFUNCTION("""COMPUTED_VALUE"""),"")</f>
        <v/>
      </c>
      <c r="S648" s="80" t="str">
        <f>IFERROR(__xludf.DUMMYFUNCTION("""COMPUTED_VALUE"""),"")</f>
        <v/>
      </c>
      <c r="T648" s="80" t="str">
        <f>IFERROR(__xludf.DUMMYFUNCTION("""COMPUTED_VALUE"""),"")</f>
        <v/>
      </c>
      <c r="U648" s="71" t="str">
        <f>IFERROR(__xludf.DUMMYFUNCTION("""COMPUTED_VALUE"""),"")</f>
        <v/>
      </c>
      <c r="V648" s="78" t="str">
        <f>IFERROR(__xludf.DUMMYFUNCTION("""COMPUTED_VALUE"""),"")</f>
        <v/>
      </c>
      <c r="W648" s="62" t="str">
        <f>IFERROR(__xludf.DUMMYFUNCTION("""COMPUTED_VALUE"""),"")</f>
        <v/>
      </c>
      <c r="X648" s="80" t="str">
        <f>IFERROR(__xludf.DUMMYFUNCTION("""COMPUTED_VALUE"""),"")</f>
        <v/>
      </c>
      <c r="Y648" s="109" t="str">
        <f>IFERROR(__xludf.DUMMYFUNCTION("""COMPUTED_VALUE"""),"")</f>
        <v/>
      </c>
      <c r="Z648" s="71"/>
      <c r="AA648" s="71"/>
      <c r="AB648" s="71"/>
    </row>
    <row r="649">
      <c r="A649" s="71"/>
      <c r="B649" s="71"/>
      <c r="C649" s="71" t="str">
        <f>IFERROR(__xludf.DUMMYFUNCTION("""COMPUTED_VALUE"""),"")</f>
        <v/>
      </c>
      <c r="D649" s="71"/>
      <c r="E649" s="78"/>
      <c r="F649" s="71"/>
      <c r="G649" s="78" t="str">
        <f>IFERROR(__xludf.DUMMYFUNCTION("""COMPUTED_VALUE"""),"")</f>
        <v/>
      </c>
      <c r="H649" s="71"/>
      <c r="I649" s="80" t="str">
        <f>IFERROR(__xludf.DUMMYFUNCTION("""COMPUTED_VALUE"""),"")</f>
        <v/>
      </c>
      <c r="J649" s="71" t="str">
        <f>IFERROR(__xludf.DUMMYFUNCTION("""COMPUTED_VALUE"""),"")</f>
        <v/>
      </c>
      <c r="K649" s="71"/>
      <c r="L649" s="71" t="str">
        <f>IFERROR(__xludf.DUMMYFUNCTION("""COMPUTED_VALUE"""),"")</f>
        <v/>
      </c>
      <c r="M649" s="71"/>
      <c r="N649" s="109" t="str">
        <f>IFERROR(__xludf.DUMMYFUNCTION("""COMPUTED_VALUE"""),"")</f>
        <v/>
      </c>
      <c r="O649" s="71" t="str">
        <f>IFERROR(__xludf.DUMMYFUNCTION("""COMPUTED_VALUE"""),"")</f>
        <v/>
      </c>
      <c r="P649" s="71" t="str">
        <f>IFERROR(__xludf.DUMMYFUNCTION("""COMPUTED_VALUE"""),"")</f>
        <v/>
      </c>
      <c r="Q649" s="78" t="str">
        <f>IFERROR(__xludf.DUMMYFUNCTION("""COMPUTED_VALUE"""),"")</f>
        <v/>
      </c>
      <c r="R649" s="78" t="str">
        <f>IFERROR(__xludf.DUMMYFUNCTION("""COMPUTED_VALUE"""),"")</f>
        <v/>
      </c>
      <c r="S649" s="80" t="str">
        <f>IFERROR(__xludf.DUMMYFUNCTION("""COMPUTED_VALUE"""),"")</f>
        <v/>
      </c>
      <c r="T649" s="80" t="str">
        <f>IFERROR(__xludf.DUMMYFUNCTION("""COMPUTED_VALUE"""),"")</f>
        <v/>
      </c>
      <c r="U649" s="71" t="str">
        <f>IFERROR(__xludf.DUMMYFUNCTION("""COMPUTED_VALUE"""),"")</f>
        <v/>
      </c>
      <c r="V649" s="78" t="str">
        <f>IFERROR(__xludf.DUMMYFUNCTION("""COMPUTED_VALUE"""),"")</f>
        <v/>
      </c>
      <c r="W649" s="62" t="str">
        <f>IFERROR(__xludf.DUMMYFUNCTION("""COMPUTED_VALUE"""),"")</f>
        <v/>
      </c>
      <c r="X649" s="80" t="str">
        <f>IFERROR(__xludf.DUMMYFUNCTION("""COMPUTED_VALUE"""),"")</f>
        <v/>
      </c>
      <c r="Y649" s="109" t="str">
        <f>IFERROR(__xludf.DUMMYFUNCTION("""COMPUTED_VALUE"""),"")</f>
        <v/>
      </c>
      <c r="Z649" s="71"/>
      <c r="AA649" s="71"/>
      <c r="AB649" s="71"/>
    </row>
    <row r="650">
      <c r="A650" s="71"/>
      <c r="B650" s="71"/>
      <c r="C650" s="71" t="str">
        <f>IFERROR(__xludf.DUMMYFUNCTION("""COMPUTED_VALUE"""),"")</f>
        <v/>
      </c>
      <c r="D650" s="71"/>
      <c r="E650" s="78"/>
      <c r="F650" s="71"/>
      <c r="G650" s="78" t="str">
        <f>IFERROR(__xludf.DUMMYFUNCTION("""COMPUTED_VALUE"""),"")</f>
        <v/>
      </c>
      <c r="H650" s="71"/>
      <c r="I650" s="80" t="str">
        <f>IFERROR(__xludf.DUMMYFUNCTION("""COMPUTED_VALUE"""),"")</f>
        <v/>
      </c>
      <c r="J650" s="71" t="str">
        <f>IFERROR(__xludf.DUMMYFUNCTION("""COMPUTED_VALUE"""),"")</f>
        <v/>
      </c>
      <c r="K650" s="71"/>
      <c r="L650" s="71" t="str">
        <f>IFERROR(__xludf.DUMMYFUNCTION("""COMPUTED_VALUE"""),"")</f>
        <v/>
      </c>
      <c r="M650" s="71"/>
      <c r="N650" s="109" t="str">
        <f>IFERROR(__xludf.DUMMYFUNCTION("""COMPUTED_VALUE"""),"")</f>
        <v/>
      </c>
      <c r="O650" s="71" t="str">
        <f>IFERROR(__xludf.DUMMYFUNCTION("""COMPUTED_VALUE"""),"")</f>
        <v/>
      </c>
      <c r="P650" s="71" t="str">
        <f>IFERROR(__xludf.DUMMYFUNCTION("""COMPUTED_VALUE"""),"")</f>
        <v/>
      </c>
      <c r="Q650" s="78" t="str">
        <f>IFERROR(__xludf.DUMMYFUNCTION("""COMPUTED_VALUE"""),"")</f>
        <v/>
      </c>
      <c r="R650" s="78" t="str">
        <f>IFERROR(__xludf.DUMMYFUNCTION("""COMPUTED_VALUE"""),"")</f>
        <v/>
      </c>
      <c r="S650" s="80" t="str">
        <f>IFERROR(__xludf.DUMMYFUNCTION("""COMPUTED_VALUE"""),"")</f>
        <v/>
      </c>
      <c r="T650" s="80" t="str">
        <f>IFERROR(__xludf.DUMMYFUNCTION("""COMPUTED_VALUE"""),"")</f>
        <v/>
      </c>
      <c r="U650" s="71" t="str">
        <f>IFERROR(__xludf.DUMMYFUNCTION("""COMPUTED_VALUE"""),"")</f>
        <v/>
      </c>
      <c r="V650" s="78" t="str">
        <f>IFERROR(__xludf.DUMMYFUNCTION("""COMPUTED_VALUE"""),"")</f>
        <v/>
      </c>
      <c r="W650" s="62" t="str">
        <f>IFERROR(__xludf.DUMMYFUNCTION("""COMPUTED_VALUE"""),"")</f>
        <v/>
      </c>
      <c r="X650" s="80" t="str">
        <f>IFERROR(__xludf.DUMMYFUNCTION("""COMPUTED_VALUE"""),"")</f>
        <v/>
      </c>
      <c r="Y650" s="109" t="str">
        <f>IFERROR(__xludf.DUMMYFUNCTION("""COMPUTED_VALUE"""),"")</f>
        <v/>
      </c>
      <c r="Z650" s="71"/>
      <c r="AA650" s="71"/>
      <c r="AB650" s="71"/>
    </row>
    <row r="651">
      <c r="A651" s="71"/>
      <c r="B651" s="71"/>
      <c r="C651" s="71" t="str">
        <f>IFERROR(__xludf.DUMMYFUNCTION("""COMPUTED_VALUE"""),"")</f>
        <v/>
      </c>
      <c r="D651" s="71"/>
      <c r="E651" s="78"/>
      <c r="F651" s="71"/>
      <c r="G651" s="78" t="str">
        <f>IFERROR(__xludf.DUMMYFUNCTION("""COMPUTED_VALUE"""),"")</f>
        <v/>
      </c>
      <c r="H651" s="71"/>
      <c r="I651" s="80" t="str">
        <f>IFERROR(__xludf.DUMMYFUNCTION("""COMPUTED_VALUE"""),"")</f>
        <v/>
      </c>
      <c r="J651" s="71" t="str">
        <f>IFERROR(__xludf.DUMMYFUNCTION("""COMPUTED_VALUE"""),"")</f>
        <v/>
      </c>
      <c r="K651" s="71"/>
      <c r="L651" s="71" t="str">
        <f>IFERROR(__xludf.DUMMYFUNCTION("""COMPUTED_VALUE"""),"")</f>
        <v/>
      </c>
      <c r="M651" s="71"/>
      <c r="N651" s="109" t="str">
        <f>IFERROR(__xludf.DUMMYFUNCTION("""COMPUTED_VALUE"""),"")</f>
        <v/>
      </c>
      <c r="O651" s="71" t="str">
        <f>IFERROR(__xludf.DUMMYFUNCTION("""COMPUTED_VALUE"""),"")</f>
        <v/>
      </c>
      <c r="P651" s="71" t="str">
        <f>IFERROR(__xludf.DUMMYFUNCTION("""COMPUTED_VALUE"""),"")</f>
        <v/>
      </c>
      <c r="Q651" s="78" t="str">
        <f>IFERROR(__xludf.DUMMYFUNCTION("""COMPUTED_VALUE"""),"")</f>
        <v/>
      </c>
      <c r="R651" s="78" t="str">
        <f>IFERROR(__xludf.DUMMYFUNCTION("""COMPUTED_VALUE"""),"")</f>
        <v/>
      </c>
      <c r="S651" s="80" t="str">
        <f>IFERROR(__xludf.DUMMYFUNCTION("""COMPUTED_VALUE"""),"")</f>
        <v/>
      </c>
      <c r="T651" s="80" t="str">
        <f>IFERROR(__xludf.DUMMYFUNCTION("""COMPUTED_VALUE"""),"")</f>
        <v/>
      </c>
      <c r="U651" s="71" t="str">
        <f>IFERROR(__xludf.DUMMYFUNCTION("""COMPUTED_VALUE"""),"")</f>
        <v/>
      </c>
      <c r="V651" s="78" t="str">
        <f>IFERROR(__xludf.DUMMYFUNCTION("""COMPUTED_VALUE"""),"")</f>
        <v/>
      </c>
      <c r="W651" s="62" t="str">
        <f>IFERROR(__xludf.DUMMYFUNCTION("""COMPUTED_VALUE"""),"")</f>
        <v/>
      </c>
      <c r="X651" s="80" t="str">
        <f>IFERROR(__xludf.DUMMYFUNCTION("""COMPUTED_VALUE"""),"")</f>
        <v/>
      </c>
      <c r="Y651" s="109" t="str">
        <f>IFERROR(__xludf.DUMMYFUNCTION("""COMPUTED_VALUE"""),"")</f>
        <v/>
      </c>
      <c r="Z651" s="71"/>
      <c r="AA651" s="71"/>
      <c r="AB651" s="71"/>
    </row>
    <row r="652">
      <c r="A652" s="71"/>
      <c r="B652" s="71"/>
      <c r="C652" s="71" t="str">
        <f>IFERROR(__xludf.DUMMYFUNCTION("""COMPUTED_VALUE"""),"")</f>
        <v/>
      </c>
      <c r="D652" s="71"/>
      <c r="E652" s="78"/>
      <c r="F652" s="71"/>
      <c r="G652" s="78" t="str">
        <f>IFERROR(__xludf.DUMMYFUNCTION("""COMPUTED_VALUE"""),"")</f>
        <v/>
      </c>
      <c r="H652" s="71"/>
      <c r="I652" s="80" t="str">
        <f>IFERROR(__xludf.DUMMYFUNCTION("""COMPUTED_VALUE"""),"")</f>
        <v/>
      </c>
      <c r="J652" s="71" t="str">
        <f>IFERROR(__xludf.DUMMYFUNCTION("""COMPUTED_VALUE"""),"")</f>
        <v/>
      </c>
      <c r="K652" s="71"/>
      <c r="L652" s="71" t="str">
        <f>IFERROR(__xludf.DUMMYFUNCTION("""COMPUTED_VALUE"""),"")</f>
        <v/>
      </c>
      <c r="M652" s="71"/>
      <c r="N652" s="109" t="str">
        <f>IFERROR(__xludf.DUMMYFUNCTION("""COMPUTED_VALUE"""),"")</f>
        <v/>
      </c>
      <c r="O652" s="71" t="str">
        <f>IFERROR(__xludf.DUMMYFUNCTION("""COMPUTED_VALUE"""),"")</f>
        <v/>
      </c>
      <c r="P652" s="71" t="str">
        <f>IFERROR(__xludf.DUMMYFUNCTION("""COMPUTED_VALUE"""),"")</f>
        <v/>
      </c>
      <c r="Q652" s="78" t="str">
        <f>IFERROR(__xludf.DUMMYFUNCTION("""COMPUTED_VALUE"""),"")</f>
        <v/>
      </c>
      <c r="R652" s="78" t="str">
        <f>IFERROR(__xludf.DUMMYFUNCTION("""COMPUTED_VALUE"""),"")</f>
        <v/>
      </c>
      <c r="S652" s="80" t="str">
        <f>IFERROR(__xludf.DUMMYFUNCTION("""COMPUTED_VALUE"""),"")</f>
        <v/>
      </c>
      <c r="T652" s="80" t="str">
        <f>IFERROR(__xludf.DUMMYFUNCTION("""COMPUTED_VALUE"""),"")</f>
        <v/>
      </c>
      <c r="U652" s="71" t="str">
        <f>IFERROR(__xludf.DUMMYFUNCTION("""COMPUTED_VALUE"""),"")</f>
        <v/>
      </c>
      <c r="V652" s="78" t="str">
        <f>IFERROR(__xludf.DUMMYFUNCTION("""COMPUTED_VALUE"""),"")</f>
        <v/>
      </c>
      <c r="W652" s="62" t="str">
        <f>IFERROR(__xludf.DUMMYFUNCTION("""COMPUTED_VALUE"""),"")</f>
        <v/>
      </c>
      <c r="X652" s="80" t="str">
        <f>IFERROR(__xludf.DUMMYFUNCTION("""COMPUTED_VALUE"""),"")</f>
        <v/>
      </c>
      <c r="Y652" s="109" t="str">
        <f>IFERROR(__xludf.DUMMYFUNCTION("""COMPUTED_VALUE"""),"")</f>
        <v/>
      </c>
      <c r="Z652" s="71"/>
      <c r="AA652" s="71"/>
      <c r="AB652" s="71"/>
    </row>
    <row r="653">
      <c r="A653" s="71"/>
      <c r="B653" s="71"/>
      <c r="C653" s="71" t="str">
        <f>IFERROR(__xludf.DUMMYFUNCTION("""COMPUTED_VALUE"""),"")</f>
        <v/>
      </c>
      <c r="D653" s="71"/>
      <c r="E653" s="78"/>
      <c r="F653" s="71"/>
      <c r="G653" s="78" t="str">
        <f>IFERROR(__xludf.DUMMYFUNCTION("""COMPUTED_VALUE"""),"")</f>
        <v/>
      </c>
      <c r="H653" s="71"/>
      <c r="I653" s="80" t="str">
        <f>IFERROR(__xludf.DUMMYFUNCTION("""COMPUTED_VALUE"""),"")</f>
        <v/>
      </c>
      <c r="J653" s="71" t="str">
        <f>IFERROR(__xludf.DUMMYFUNCTION("""COMPUTED_VALUE"""),"")</f>
        <v/>
      </c>
      <c r="K653" s="71"/>
      <c r="L653" s="71" t="str">
        <f>IFERROR(__xludf.DUMMYFUNCTION("""COMPUTED_VALUE"""),"")</f>
        <v/>
      </c>
      <c r="M653" s="71"/>
      <c r="N653" s="109" t="str">
        <f>IFERROR(__xludf.DUMMYFUNCTION("""COMPUTED_VALUE"""),"")</f>
        <v/>
      </c>
      <c r="O653" s="71" t="str">
        <f>IFERROR(__xludf.DUMMYFUNCTION("""COMPUTED_VALUE"""),"")</f>
        <v/>
      </c>
      <c r="P653" s="71" t="str">
        <f>IFERROR(__xludf.DUMMYFUNCTION("""COMPUTED_VALUE"""),"")</f>
        <v/>
      </c>
      <c r="Q653" s="78" t="str">
        <f>IFERROR(__xludf.DUMMYFUNCTION("""COMPUTED_VALUE"""),"")</f>
        <v/>
      </c>
      <c r="R653" s="78" t="str">
        <f>IFERROR(__xludf.DUMMYFUNCTION("""COMPUTED_VALUE"""),"")</f>
        <v/>
      </c>
      <c r="S653" s="80" t="str">
        <f>IFERROR(__xludf.DUMMYFUNCTION("""COMPUTED_VALUE"""),"")</f>
        <v/>
      </c>
      <c r="T653" s="80" t="str">
        <f>IFERROR(__xludf.DUMMYFUNCTION("""COMPUTED_VALUE"""),"")</f>
        <v/>
      </c>
      <c r="U653" s="71" t="str">
        <f>IFERROR(__xludf.DUMMYFUNCTION("""COMPUTED_VALUE"""),"")</f>
        <v/>
      </c>
      <c r="V653" s="78" t="str">
        <f>IFERROR(__xludf.DUMMYFUNCTION("""COMPUTED_VALUE"""),"")</f>
        <v/>
      </c>
      <c r="W653" s="62" t="str">
        <f>IFERROR(__xludf.DUMMYFUNCTION("""COMPUTED_VALUE"""),"")</f>
        <v/>
      </c>
      <c r="X653" s="80" t="str">
        <f>IFERROR(__xludf.DUMMYFUNCTION("""COMPUTED_VALUE"""),"")</f>
        <v/>
      </c>
      <c r="Y653" s="109" t="str">
        <f>IFERROR(__xludf.DUMMYFUNCTION("""COMPUTED_VALUE"""),"")</f>
        <v/>
      </c>
      <c r="Z653" s="71"/>
      <c r="AA653" s="71"/>
      <c r="AB653" s="71"/>
    </row>
    <row r="654">
      <c r="A654" s="71"/>
      <c r="B654" s="71"/>
      <c r="C654" s="71" t="str">
        <f>IFERROR(__xludf.DUMMYFUNCTION("""COMPUTED_VALUE"""),"")</f>
        <v/>
      </c>
      <c r="D654" s="71"/>
      <c r="E654" s="78"/>
      <c r="F654" s="71"/>
      <c r="G654" s="78" t="str">
        <f>IFERROR(__xludf.DUMMYFUNCTION("""COMPUTED_VALUE"""),"")</f>
        <v/>
      </c>
      <c r="H654" s="71"/>
      <c r="I654" s="80" t="str">
        <f>IFERROR(__xludf.DUMMYFUNCTION("""COMPUTED_VALUE"""),"")</f>
        <v/>
      </c>
      <c r="J654" s="71" t="str">
        <f>IFERROR(__xludf.DUMMYFUNCTION("""COMPUTED_VALUE"""),"")</f>
        <v/>
      </c>
      <c r="K654" s="71"/>
      <c r="L654" s="71" t="str">
        <f>IFERROR(__xludf.DUMMYFUNCTION("""COMPUTED_VALUE"""),"")</f>
        <v/>
      </c>
      <c r="M654" s="71"/>
      <c r="N654" s="109" t="str">
        <f>IFERROR(__xludf.DUMMYFUNCTION("""COMPUTED_VALUE"""),"")</f>
        <v/>
      </c>
      <c r="O654" s="71" t="str">
        <f>IFERROR(__xludf.DUMMYFUNCTION("""COMPUTED_VALUE"""),"")</f>
        <v/>
      </c>
      <c r="P654" s="71" t="str">
        <f>IFERROR(__xludf.DUMMYFUNCTION("""COMPUTED_VALUE"""),"")</f>
        <v/>
      </c>
      <c r="Q654" s="78" t="str">
        <f>IFERROR(__xludf.DUMMYFUNCTION("""COMPUTED_VALUE"""),"")</f>
        <v/>
      </c>
      <c r="R654" s="78" t="str">
        <f>IFERROR(__xludf.DUMMYFUNCTION("""COMPUTED_VALUE"""),"")</f>
        <v/>
      </c>
      <c r="S654" s="80" t="str">
        <f>IFERROR(__xludf.DUMMYFUNCTION("""COMPUTED_VALUE"""),"")</f>
        <v/>
      </c>
      <c r="T654" s="80" t="str">
        <f>IFERROR(__xludf.DUMMYFUNCTION("""COMPUTED_VALUE"""),"")</f>
        <v/>
      </c>
      <c r="U654" s="71" t="str">
        <f>IFERROR(__xludf.DUMMYFUNCTION("""COMPUTED_VALUE"""),"")</f>
        <v/>
      </c>
      <c r="V654" s="78" t="str">
        <f>IFERROR(__xludf.DUMMYFUNCTION("""COMPUTED_VALUE"""),"")</f>
        <v/>
      </c>
      <c r="W654" s="62" t="str">
        <f>IFERROR(__xludf.DUMMYFUNCTION("""COMPUTED_VALUE"""),"")</f>
        <v/>
      </c>
      <c r="X654" s="80" t="str">
        <f>IFERROR(__xludf.DUMMYFUNCTION("""COMPUTED_VALUE"""),"")</f>
        <v/>
      </c>
      <c r="Y654" s="109" t="str">
        <f>IFERROR(__xludf.DUMMYFUNCTION("""COMPUTED_VALUE"""),"")</f>
        <v/>
      </c>
      <c r="Z654" s="71"/>
      <c r="AA654" s="71"/>
      <c r="AB654" s="71"/>
    </row>
    <row r="655">
      <c r="A655" s="71"/>
      <c r="B655" s="71"/>
      <c r="C655" s="71" t="str">
        <f>IFERROR(__xludf.DUMMYFUNCTION("""COMPUTED_VALUE"""),"")</f>
        <v/>
      </c>
      <c r="D655" s="71"/>
      <c r="E655" s="78"/>
      <c r="F655" s="71"/>
      <c r="G655" s="78" t="str">
        <f>IFERROR(__xludf.DUMMYFUNCTION("""COMPUTED_VALUE"""),"")</f>
        <v/>
      </c>
      <c r="H655" s="71"/>
      <c r="I655" s="80" t="str">
        <f>IFERROR(__xludf.DUMMYFUNCTION("""COMPUTED_VALUE"""),"")</f>
        <v/>
      </c>
      <c r="J655" s="71" t="str">
        <f>IFERROR(__xludf.DUMMYFUNCTION("""COMPUTED_VALUE"""),"")</f>
        <v/>
      </c>
      <c r="K655" s="71"/>
      <c r="L655" s="71" t="str">
        <f>IFERROR(__xludf.DUMMYFUNCTION("""COMPUTED_VALUE"""),"")</f>
        <v/>
      </c>
      <c r="M655" s="71"/>
      <c r="N655" s="109" t="str">
        <f>IFERROR(__xludf.DUMMYFUNCTION("""COMPUTED_VALUE"""),"")</f>
        <v/>
      </c>
      <c r="O655" s="71" t="str">
        <f>IFERROR(__xludf.DUMMYFUNCTION("""COMPUTED_VALUE"""),"")</f>
        <v/>
      </c>
      <c r="P655" s="71" t="str">
        <f>IFERROR(__xludf.DUMMYFUNCTION("""COMPUTED_VALUE"""),"")</f>
        <v/>
      </c>
      <c r="Q655" s="78" t="str">
        <f>IFERROR(__xludf.DUMMYFUNCTION("""COMPUTED_VALUE"""),"")</f>
        <v/>
      </c>
      <c r="R655" s="78" t="str">
        <f>IFERROR(__xludf.DUMMYFUNCTION("""COMPUTED_VALUE"""),"")</f>
        <v/>
      </c>
      <c r="S655" s="80" t="str">
        <f>IFERROR(__xludf.DUMMYFUNCTION("""COMPUTED_VALUE"""),"")</f>
        <v/>
      </c>
      <c r="T655" s="80" t="str">
        <f>IFERROR(__xludf.DUMMYFUNCTION("""COMPUTED_VALUE"""),"")</f>
        <v/>
      </c>
      <c r="U655" s="71" t="str">
        <f>IFERROR(__xludf.DUMMYFUNCTION("""COMPUTED_VALUE"""),"")</f>
        <v/>
      </c>
      <c r="V655" s="78" t="str">
        <f>IFERROR(__xludf.DUMMYFUNCTION("""COMPUTED_VALUE"""),"")</f>
        <v/>
      </c>
      <c r="W655" s="62" t="str">
        <f>IFERROR(__xludf.DUMMYFUNCTION("""COMPUTED_VALUE"""),"")</f>
        <v/>
      </c>
      <c r="X655" s="80" t="str">
        <f>IFERROR(__xludf.DUMMYFUNCTION("""COMPUTED_VALUE"""),"")</f>
        <v/>
      </c>
      <c r="Y655" s="109" t="str">
        <f>IFERROR(__xludf.DUMMYFUNCTION("""COMPUTED_VALUE"""),"")</f>
        <v/>
      </c>
      <c r="Z655" s="71"/>
      <c r="AA655" s="71"/>
      <c r="AB655" s="71"/>
    </row>
    <row r="656">
      <c r="A656" s="71"/>
      <c r="B656" s="71"/>
      <c r="C656" s="71" t="str">
        <f>IFERROR(__xludf.DUMMYFUNCTION("""COMPUTED_VALUE"""),"")</f>
        <v/>
      </c>
      <c r="D656" s="71"/>
      <c r="E656" s="78"/>
      <c r="F656" s="71"/>
      <c r="G656" s="78" t="str">
        <f>IFERROR(__xludf.DUMMYFUNCTION("""COMPUTED_VALUE"""),"")</f>
        <v/>
      </c>
      <c r="H656" s="71"/>
      <c r="I656" s="80" t="str">
        <f>IFERROR(__xludf.DUMMYFUNCTION("""COMPUTED_VALUE"""),"")</f>
        <v/>
      </c>
      <c r="J656" s="71" t="str">
        <f>IFERROR(__xludf.DUMMYFUNCTION("""COMPUTED_VALUE"""),"")</f>
        <v/>
      </c>
      <c r="K656" s="71"/>
      <c r="L656" s="71" t="str">
        <f>IFERROR(__xludf.DUMMYFUNCTION("""COMPUTED_VALUE"""),"")</f>
        <v/>
      </c>
      <c r="M656" s="71"/>
      <c r="N656" s="109" t="str">
        <f>IFERROR(__xludf.DUMMYFUNCTION("""COMPUTED_VALUE"""),"")</f>
        <v/>
      </c>
      <c r="O656" s="71" t="str">
        <f>IFERROR(__xludf.DUMMYFUNCTION("""COMPUTED_VALUE"""),"")</f>
        <v/>
      </c>
      <c r="P656" s="71" t="str">
        <f>IFERROR(__xludf.DUMMYFUNCTION("""COMPUTED_VALUE"""),"")</f>
        <v/>
      </c>
      <c r="Q656" s="78" t="str">
        <f>IFERROR(__xludf.DUMMYFUNCTION("""COMPUTED_VALUE"""),"")</f>
        <v/>
      </c>
      <c r="R656" s="78" t="str">
        <f>IFERROR(__xludf.DUMMYFUNCTION("""COMPUTED_VALUE"""),"")</f>
        <v/>
      </c>
      <c r="S656" s="80" t="str">
        <f>IFERROR(__xludf.DUMMYFUNCTION("""COMPUTED_VALUE"""),"")</f>
        <v/>
      </c>
      <c r="T656" s="80" t="str">
        <f>IFERROR(__xludf.DUMMYFUNCTION("""COMPUTED_VALUE"""),"")</f>
        <v/>
      </c>
      <c r="U656" s="71" t="str">
        <f>IFERROR(__xludf.DUMMYFUNCTION("""COMPUTED_VALUE"""),"")</f>
        <v/>
      </c>
      <c r="V656" s="78" t="str">
        <f>IFERROR(__xludf.DUMMYFUNCTION("""COMPUTED_VALUE"""),"")</f>
        <v/>
      </c>
      <c r="W656" s="62" t="str">
        <f>IFERROR(__xludf.DUMMYFUNCTION("""COMPUTED_VALUE"""),"")</f>
        <v/>
      </c>
      <c r="X656" s="80" t="str">
        <f>IFERROR(__xludf.DUMMYFUNCTION("""COMPUTED_VALUE"""),"")</f>
        <v/>
      </c>
      <c r="Y656" s="109" t="str">
        <f>IFERROR(__xludf.DUMMYFUNCTION("""COMPUTED_VALUE"""),"")</f>
        <v/>
      </c>
      <c r="Z656" s="71"/>
      <c r="AA656" s="71"/>
      <c r="AB656" s="71"/>
    </row>
    <row r="657">
      <c r="A657" s="71"/>
      <c r="B657" s="71"/>
      <c r="C657" s="71" t="str">
        <f>IFERROR(__xludf.DUMMYFUNCTION("""COMPUTED_VALUE"""),"")</f>
        <v/>
      </c>
      <c r="D657" s="71"/>
      <c r="E657" s="78"/>
      <c r="F657" s="71"/>
      <c r="G657" s="78" t="str">
        <f>IFERROR(__xludf.DUMMYFUNCTION("""COMPUTED_VALUE"""),"")</f>
        <v/>
      </c>
      <c r="H657" s="71"/>
      <c r="I657" s="80" t="str">
        <f>IFERROR(__xludf.DUMMYFUNCTION("""COMPUTED_VALUE"""),"")</f>
        <v/>
      </c>
      <c r="J657" s="71" t="str">
        <f>IFERROR(__xludf.DUMMYFUNCTION("""COMPUTED_VALUE"""),"")</f>
        <v/>
      </c>
      <c r="K657" s="71"/>
      <c r="L657" s="71" t="str">
        <f>IFERROR(__xludf.DUMMYFUNCTION("""COMPUTED_VALUE"""),"")</f>
        <v/>
      </c>
      <c r="M657" s="71"/>
      <c r="N657" s="109" t="str">
        <f>IFERROR(__xludf.DUMMYFUNCTION("""COMPUTED_VALUE"""),"")</f>
        <v/>
      </c>
      <c r="O657" s="71" t="str">
        <f>IFERROR(__xludf.DUMMYFUNCTION("""COMPUTED_VALUE"""),"")</f>
        <v/>
      </c>
      <c r="P657" s="71" t="str">
        <f>IFERROR(__xludf.DUMMYFUNCTION("""COMPUTED_VALUE"""),"")</f>
        <v/>
      </c>
      <c r="Q657" s="78" t="str">
        <f>IFERROR(__xludf.DUMMYFUNCTION("""COMPUTED_VALUE"""),"")</f>
        <v/>
      </c>
      <c r="R657" s="78" t="str">
        <f>IFERROR(__xludf.DUMMYFUNCTION("""COMPUTED_VALUE"""),"")</f>
        <v/>
      </c>
      <c r="S657" s="80" t="str">
        <f>IFERROR(__xludf.DUMMYFUNCTION("""COMPUTED_VALUE"""),"")</f>
        <v/>
      </c>
      <c r="T657" s="80" t="str">
        <f>IFERROR(__xludf.DUMMYFUNCTION("""COMPUTED_VALUE"""),"")</f>
        <v/>
      </c>
      <c r="U657" s="71" t="str">
        <f>IFERROR(__xludf.DUMMYFUNCTION("""COMPUTED_VALUE"""),"")</f>
        <v/>
      </c>
      <c r="V657" s="78" t="str">
        <f>IFERROR(__xludf.DUMMYFUNCTION("""COMPUTED_VALUE"""),"")</f>
        <v/>
      </c>
      <c r="W657" s="62" t="str">
        <f>IFERROR(__xludf.DUMMYFUNCTION("""COMPUTED_VALUE"""),"")</f>
        <v/>
      </c>
      <c r="X657" s="80" t="str">
        <f>IFERROR(__xludf.DUMMYFUNCTION("""COMPUTED_VALUE"""),"")</f>
        <v/>
      </c>
      <c r="Y657" s="109" t="str">
        <f>IFERROR(__xludf.DUMMYFUNCTION("""COMPUTED_VALUE"""),"")</f>
        <v/>
      </c>
      <c r="Z657" s="71"/>
      <c r="AA657" s="71"/>
      <c r="AB657" s="71"/>
    </row>
    <row r="658">
      <c r="A658" s="71"/>
      <c r="B658" s="71"/>
      <c r="C658" s="71" t="str">
        <f>IFERROR(__xludf.DUMMYFUNCTION("""COMPUTED_VALUE"""),"")</f>
        <v/>
      </c>
      <c r="D658" s="71"/>
      <c r="E658" s="78"/>
      <c r="F658" s="71"/>
      <c r="G658" s="78" t="str">
        <f>IFERROR(__xludf.DUMMYFUNCTION("""COMPUTED_VALUE"""),"")</f>
        <v/>
      </c>
      <c r="H658" s="71"/>
      <c r="I658" s="80" t="str">
        <f>IFERROR(__xludf.DUMMYFUNCTION("""COMPUTED_VALUE"""),"")</f>
        <v/>
      </c>
      <c r="J658" s="71" t="str">
        <f>IFERROR(__xludf.DUMMYFUNCTION("""COMPUTED_VALUE"""),"")</f>
        <v/>
      </c>
      <c r="K658" s="71"/>
      <c r="L658" s="71" t="str">
        <f>IFERROR(__xludf.DUMMYFUNCTION("""COMPUTED_VALUE"""),"")</f>
        <v/>
      </c>
      <c r="M658" s="71"/>
      <c r="N658" s="109" t="str">
        <f>IFERROR(__xludf.DUMMYFUNCTION("""COMPUTED_VALUE"""),"")</f>
        <v/>
      </c>
      <c r="O658" s="71" t="str">
        <f>IFERROR(__xludf.DUMMYFUNCTION("""COMPUTED_VALUE"""),"")</f>
        <v/>
      </c>
      <c r="P658" s="71" t="str">
        <f>IFERROR(__xludf.DUMMYFUNCTION("""COMPUTED_VALUE"""),"")</f>
        <v/>
      </c>
      <c r="Q658" s="78" t="str">
        <f>IFERROR(__xludf.DUMMYFUNCTION("""COMPUTED_VALUE"""),"")</f>
        <v/>
      </c>
      <c r="R658" s="78" t="str">
        <f>IFERROR(__xludf.DUMMYFUNCTION("""COMPUTED_VALUE"""),"")</f>
        <v/>
      </c>
      <c r="S658" s="80" t="str">
        <f>IFERROR(__xludf.DUMMYFUNCTION("""COMPUTED_VALUE"""),"")</f>
        <v/>
      </c>
      <c r="T658" s="80" t="str">
        <f>IFERROR(__xludf.DUMMYFUNCTION("""COMPUTED_VALUE"""),"")</f>
        <v/>
      </c>
      <c r="U658" s="71" t="str">
        <f>IFERROR(__xludf.DUMMYFUNCTION("""COMPUTED_VALUE"""),"")</f>
        <v/>
      </c>
      <c r="V658" s="78" t="str">
        <f>IFERROR(__xludf.DUMMYFUNCTION("""COMPUTED_VALUE"""),"")</f>
        <v/>
      </c>
      <c r="W658" s="62" t="str">
        <f>IFERROR(__xludf.DUMMYFUNCTION("""COMPUTED_VALUE"""),"")</f>
        <v/>
      </c>
      <c r="X658" s="80" t="str">
        <f>IFERROR(__xludf.DUMMYFUNCTION("""COMPUTED_VALUE"""),"")</f>
        <v/>
      </c>
      <c r="Y658" s="109" t="str">
        <f>IFERROR(__xludf.DUMMYFUNCTION("""COMPUTED_VALUE"""),"")</f>
        <v/>
      </c>
      <c r="Z658" s="71"/>
      <c r="AA658" s="71"/>
      <c r="AB658" s="71"/>
    </row>
    <row r="659">
      <c r="A659" s="71"/>
      <c r="B659" s="71"/>
      <c r="C659" s="71" t="str">
        <f>IFERROR(__xludf.DUMMYFUNCTION("""COMPUTED_VALUE"""),"")</f>
        <v/>
      </c>
      <c r="D659" s="71"/>
      <c r="E659" s="78"/>
      <c r="F659" s="71"/>
      <c r="G659" s="78" t="str">
        <f>IFERROR(__xludf.DUMMYFUNCTION("""COMPUTED_VALUE"""),"")</f>
        <v/>
      </c>
      <c r="H659" s="71"/>
      <c r="I659" s="80" t="str">
        <f>IFERROR(__xludf.DUMMYFUNCTION("""COMPUTED_VALUE"""),"")</f>
        <v/>
      </c>
      <c r="J659" s="71" t="str">
        <f>IFERROR(__xludf.DUMMYFUNCTION("""COMPUTED_VALUE"""),"")</f>
        <v/>
      </c>
      <c r="K659" s="71"/>
      <c r="L659" s="71" t="str">
        <f>IFERROR(__xludf.DUMMYFUNCTION("""COMPUTED_VALUE"""),"")</f>
        <v/>
      </c>
      <c r="M659" s="71"/>
      <c r="N659" s="109" t="str">
        <f>IFERROR(__xludf.DUMMYFUNCTION("""COMPUTED_VALUE"""),"")</f>
        <v/>
      </c>
      <c r="O659" s="71" t="str">
        <f>IFERROR(__xludf.DUMMYFUNCTION("""COMPUTED_VALUE"""),"")</f>
        <v/>
      </c>
      <c r="P659" s="71" t="str">
        <f>IFERROR(__xludf.DUMMYFUNCTION("""COMPUTED_VALUE"""),"")</f>
        <v/>
      </c>
      <c r="Q659" s="78" t="str">
        <f>IFERROR(__xludf.DUMMYFUNCTION("""COMPUTED_VALUE"""),"")</f>
        <v/>
      </c>
      <c r="R659" s="78" t="str">
        <f>IFERROR(__xludf.DUMMYFUNCTION("""COMPUTED_VALUE"""),"")</f>
        <v/>
      </c>
      <c r="S659" s="80" t="str">
        <f>IFERROR(__xludf.DUMMYFUNCTION("""COMPUTED_VALUE"""),"")</f>
        <v/>
      </c>
      <c r="T659" s="80" t="str">
        <f>IFERROR(__xludf.DUMMYFUNCTION("""COMPUTED_VALUE"""),"")</f>
        <v/>
      </c>
      <c r="U659" s="71" t="str">
        <f>IFERROR(__xludf.DUMMYFUNCTION("""COMPUTED_VALUE"""),"")</f>
        <v/>
      </c>
      <c r="V659" s="78" t="str">
        <f>IFERROR(__xludf.DUMMYFUNCTION("""COMPUTED_VALUE"""),"")</f>
        <v/>
      </c>
      <c r="W659" s="62" t="str">
        <f>IFERROR(__xludf.DUMMYFUNCTION("""COMPUTED_VALUE"""),"")</f>
        <v/>
      </c>
      <c r="X659" s="80" t="str">
        <f>IFERROR(__xludf.DUMMYFUNCTION("""COMPUTED_VALUE"""),"")</f>
        <v/>
      </c>
      <c r="Y659" s="109" t="str">
        <f>IFERROR(__xludf.DUMMYFUNCTION("""COMPUTED_VALUE"""),"")</f>
        <v/>
      </c>
      <c r="Z659" s="71"/>
      <c r="AA659" s="71"/>
      <c r="AB659" s="71"/>
    </row>
    <row r="660">
      <c r="A660" s="71"/>
      <c r="B660" s="71"/>
      <c r="C660" s="71" t="str">
        <f>IFERROR(__xludf.DUMMYFUNCTION("""COMPUTED_VALUE"""),"")</f>
        <v/>
      </c>
      <c r="D660" s="71"/>
      <c r="E660" s="78"/>
      <c r="F660" s="71"/>
      <c r="G660" s="78" t="str">
        <f>IFERROR(__xludf.DUMMYFUNCTION("""COMPUTED_VALUE"""),"")</f>
        <v/>
      </c>
      <c r="H660" s="71"/>
      <c r="I660" s="80" t="str">
        <f>IFERROR(__xludf.DUMMYFUNCTION("""COMPUTED_VALUE"""),"")</f>
        <v/>
      </c>
      <c r="J660" s="71" t="str">
        <f>IFERROR(__xludf.DUMMYFUNCTION("""COMPUTED_VALUE"""),"")</f>
        <v/>
      </c>
      <c r="K660" s="71"/>
      <c r="L660" s="71" t="str">
        <f>IFERROR(__xludf.DUMMYFUNCTION("""COMPUTED_VALUE"""),"")</f>
        <v/>
      </c>
      <c r="M660" s="71"/>
      <c r="N660" s="109" t="str">
        <f>IFERROR(__xludf.DUMMYFUNCTION("""COMPUTED_VALUE"""),"")</f>
        <v/>
      </c>
      <c r="O660" s="71" t="str">
        <f>IFERROR(__xludf.DUMMYFUNCTION("""COMPUTED_VALUE"""),"")</f>
        <v/>
      </c>
      <c r="P660" s="71" t="str">
        <f>IFERROR(__xludf.DUMMYFUNCTION("""COMPUTED_VALUE"""),"")</f>
        <v/>
      </c>
      <c r="Q660" s="78" t="str">
        <f>IFERROR(__xludf.DUMMYFUNCTION("""COMPUTED_VALUE"""),"")</f>
        <v/>
      </c>
      <c r="R660" s="78" t="str">
        <f>IFERROR(__xludf.DUMMYFUNCTION("""COMPUTED_VALUE"""),"")</f>
        <v/>
      </c>
      <c r="S660" s="80" t="str">
        <f>IFERROR(__xludf.DUMMYFUNCTION("""COMPUTED_VALUE"""),"")</f>
        <v/>
      </c>
      <c r="T660" s="80" t="str">
        <f>IFERROR(__xludf.DUMMYFUNCTION("""COMPUTED_VALUE"""),"")</f>
        <v/>
      </c>
      <c r="U660" s="71" t="str">
        <f>IFERROR(__xludf.DUMMYFUNCTION("""COMPUTED_VALUE"""),"")</f>
        <v/>
      </c>
      <c r="V660" s="78" t="str">
        <f>IFERROR(__xludf.DUMMYFUNCTION("""COMPUTED_VALUE"""),"")</f>
        <v/>
      </c>
      <c r="W660" s="62" t="str">
        <f>IFERROR(__xludf.DUMMYFUNCTION("""COMPUTED_VALUE"""),"")</f>
        <v/>
      </c>
      <c r="X660" s="80" t="str">
        <f>IFERROR(__xludf.DUMMYFUNCTION("""COMPUTED_VALUE"""),"")</f>
        <v/>
      </c>
      <c r="Y660" s="109" t="str">
        <f>IFERROR(__xludf.DUMMYFUNCTION("""COMPUTED_VALUE"""),"")</f>
        <v/>
      </c>
      <c r="Z660" s="71"/>
      <c r="AA660" s="71"/>
      <c r="AB660" s="71"/>
    </row>
    <row r="661">
      <c r="A661" s="71"/>
      <c r="B661" s="71"/>
      <c r="C661" s="71" t="str">
        <f>IFERROR(__xludf.DUMMYFUNCTION("""COMPUTED_VALUE"""),"")</f>
        <v/>
      </c>
      <c r="D661" s="71"/>
      <c r="E661" s="78"/>
      <c r="F661" s="71"/>
      <c r="G661" s="78" t="str">
        <f>IFERROR(__xludf.DUMMYFUNCTION("""COMPUTED_VALUE"""),"")</f>
        <v/>
      </c>
      <c r="H661" s="71"/>
      <c r="I661" s="80" t="str">
        <f>IFERROR(__xludf.DUMMYFUNCTION("""COMPUTED_VALUE"""),"")</f>
        <v/>
      </c>
      <c r="J661" s="71" t="str">
        <f>IFERROR(__xludf.DUMMYFUNCTION("""COMPUTED_VALUE"""),"")</f>
        <v/>
      </c>
      <c r="K661" s="71"/>
      <c r="L661" s="71" t="str">
        <f>IFERROR(__xludf.DUMMYFUNCTION("""COMPUTED_VALUE"""),"")</f>
        <v/>
      </c>
      <c r="M661" s="71"/>
      <c r="N661" s="109" t="str">
        <f>IFERROR(__xludf.DUMMYFUNCTION("""COMPUTED_VALUE"""),"")</f>
        <v/>
      </c>
      <c r="O661" s="71" t="str">
        <f>IFERROR(__xludf.DUMMYFUNCTION("""COMPUTED_VALUE"""),"")</f>
        <v/>
      </c>
      <c r="P661" s="71" t="str">
        <f>IFERROR(__xludf.DUMMYFUNCTION("""COMPUTED_VALUE"""),"")</f>
        <v/>
      </c>
      <c r="Q661" s="78" t="str">
        <f>IFERROR(__xludf.DUMMYFUNCTION("""COMPUTED_VALUE"""),"")</f>
        <v/>
      </c>
      <c r="R661" s="78" t="str">
        <f>IFERROR(__xludf.DUMMYFUNCTION("""COMPUTED_VALUE"""),"")</f>
        <v/>
      </c>
      <c r="S661" s="80" t="str">
        <f>IFERROR(__xludf.DUMMYFUNCTION("""COMPUTED_VALUE"""),"")</f>
        <v/>
      </c>
      <c r="T661" s="80" t="str">
        <f>IFERROR(__xludf.DUMMYFUNCTION("""COMPUTED_VALUE"""),"")</f>
        <v/>
      </c>
      <c r="U661" s="71" t="str">
        <f>IFERROR(__xludf.DUMMYFUNCTION("""COMPUTED_VALUE"""),"")</f>
        <v/>
      </c>
      <c r="V661" s="78" t="str">
        <f>IFERROR(__xludf.DUMMYFUNCTION("""COMPUTED_VALUE"""),"")</f>
        <v/>
      </c>
      <c r="W661" s="62" t="str">
        <f>IFERROR(__xludf.DUMMYFUNCTION("""COMPUTED_VALUE"""),"")</f>
        <v/>
      </c>
      <c r="X661" s="80" t="str">
        <f>IFERROR(__xludf.DUMMYFUNCTION("""COMPUTED_VALUE"""),"")</f>
        <v/>
      </c>
      <c r="Y661" s="109" t="str">
        <f>IFERROR(__xludf.DUMMYFUNCTION("""COMPUTED_VALUE"""),"")</f>
        <v/>
      </c>
      <c r="Z661" s="71"/>
      <c r="AA661" s="71"/>
      <c r="AB661" s="71"/>
    </row>
    <row r="662">
      <c r="A662" s="71"/>
      <c r="B662" s="71"/>
      <c r="C662" s="71" t="str">
        <f>IFERROR(__xludf.DUMMYFUNCTION("""COMPUTED_VALUE"""),"")</f>
        <v/>
      </c>
      <c r="D662" s="71"/>
      <c r="E662" s="78"/>
      <c r="F662" s="71"/>
      <c r="G662" s="78" t="str">
        <f>IFERROR(__xludf.DUMMYFUNCTION("""COMPUTED_VALUE"""),"")</f>
        <v/>
      </c>
      <c r="H662" s="71"/>
      <c r="I662" s="80" t="str">
        <f>IFERROR(__xludf.DUMMYFUNCTION("""COMPUTED_VALUE"""),"")</f>
        <v/>
      </c>
      <c r="J662" s="71" t="str">
        <f>IFERROR(__xludf.DUMMYFUNCTION("""COMPUTED_VALUE"""),"")</f>
        <v/>
      </c>
      <c r="K662" s="71"/>
      <c r="L662" s="71" t="str">
        <f>IFERROR(__xludf.DUMMYFUNCTION("""COMPUTED_VALUE"""),"")</f>
        <v/>
      </c>
      <c r="M662" s="71"/>
      <c r="N662" s="109" t="str">
        <f>IFERROR(__xludf.DUMMYFUNCTION("""COMPUTED_VALUE"""),"")</f>
        <v/>
      </c>
      <c r="O662" s="71" t="str">
        <f>IFERROR(__xludf.DUMMYFUNCTION("""COMPUTED_VALUE"""),"")</f>
        <v/>
      </c>
      <c r="P662" s="71" t="str">
        <f>IFERROR(__xludf.DUMMYFUNCTION("""COMPUTED_VALUE"""),"")</f>
        <v/>
      </c>
      <c r="Q662" s="78" t="str">
        <f>IFERROR(__xludf.DUMMYFUNCTION("""COMPUTED_VALUE"""),"")</f>
        <v/>
      </c>
      <c r="R662" s="78" t="str">
        <f>IFERROR(__xludf.DUMMYFUNCTION("""COMPUTED_VALUE"""),"")</f>
        <v/>
      </c>
      <c r="S662" s="80" t="str">
        <f>IFERROR(__xludf.DUMMYFUNCTION("""COMPUTED_VALUE"""),"")</f>
        <v/>
      </c>
      <c r="T662" s="80" t="str">
        <f>IFERROR(__xludf.DUMMYFUNCTION("""COMPUTED_VALUE"""),"")</f>
        <v/>
      </c>
      <c r="U662" s="71" t="str">
        <f>IFERROR(__xludf.DUMMYFUNCTION("""COMPUTED_VALUE"""),"")</f>
        <v/>
      </c>
      <c r="V662" s="78" t="str">
        <f>IFERROR(__xludf.DUMMYFUNCTION("""COMPUTED_VALUE"""),"")</f>
        <v/>
      </c>
      <c r="W662" s="62" t="str">
        <f>IFERROR(__xludf.DUMMYFUNCTION("""COMPUTED_VALUE"""),"")</f>
        <v/>
      </c>
      <c r="X662" s="80" t="str">
        <f>IFERROR(__xludf.DUMMYFUNCTION("""COMPUTED_VALUE"""),"")</f>
        <v/>
      </c>
      <c r="Y662" s="109" t="str">
        <f>IFERROR(__xludf.DUMMYFUNCTION("""COMPUTED_VALUE"""),"")</f>
        <v/>
      </c>
      <c r="Z662" s="71"/>
      <c r="AA662" s="71"/>
      <c r="AB662" s="71"/>
    </row>
    <row r="663">
      <c r="A663" s="71"/>
      <c r="B663" s="71"/>
      <c r="C663" s="71" t="str">
        <f>IFERROR(__xludf.DUMMYFUNCTION("""COMPUTED_VALUE"""),"")</f>
        <v/>
      </c>
      <c r="D663" s="71"/>
      <c r="E663" s="78"/>
      <c r="F663" s="71"/>
      <c r="G663" s="78" t="str">
        <f>IFERROR(__xludf.DUMMYFUNCTION("""COMPUTED_VALUE"""),"")</f>
        <v/>
      </c>
      <c r="H663" s="71"/>
      <c r="I663" s="80" t="str">
        <f>IFERROR(__xludf.DUMMYFUNCTION("""COMPUTED_VALUE"""),"")</f>
        <v/>
      </c>
      <c r="J663" s="71" t="str">
        <f>IFERROR(__xludf.DUMMYFUNCTION("""COMPUTED_VALUE"""),"")</f>
        <v/>
      </c>
      <c r="K663" s="71"/>
      <c r="L663" s="71" t="str">
        <f>IFERROR(__xludf.DUMMYFUNCTION("""COMPUTED_VALUE"""),"")</f>
        <v/>
      </c>
      <c r="M663" s="71"/>
      <c r="N663" s="109" t="str">
        <f>IFERROR(__xludf.DUMMYFUNCTION("""COMPUTED_VALUE"""),"")</f>
        <v/>
      </c>
      <c r="O663" s="71" t="str">
        <f>IFERROR(__xludf.DUMMYFUNCTION("""COMPUTED_VALUE"""),"")</f>
        <v/>
      </c>
      <c r="P663" s="71" t="str">
        <f>IFERROR(__xludf.DUMMYFUNCTION("""COMPUTED_VALUE"""),"")</f>
        <v/>
      </c>
      <c r="Q663" s="78" t="str">
        <f>IFERROR(__xludf.DUMMYFUNCTION("""COMPUTED_VALUE"""),"")</f>
        <v/>
      </c>
      <c r="R663" s="78" t="str">
        <f>IFERROR(__xludf.DUMMYFUNCTION("""COMPUTED_VALUE"""),"")</f>
        <v/>
      </c>
      <c r="S663" s="80" t="str">
        <f>IFERROR(__xludf.DUMMYFUNCTION("""COMPUTED_VALUE"""),"")</f>
        <v/>
      </c>
      <c r="T663" s="80" t="str">
        <f>IFERROR(__xludf.DUMMYFUNCTION("""COMPUTED_VALUE"""),"")</f>
        <v/>
      </c>
      <c r="U663" s="71" t="str">
        <f>IFERROR(__xludf.DUMMYFUNCTION("""COMPUTED_VALUE"""),"")</f>
        <v/>
      </c>
      <c r="V663" s="78" t="str">
        <f>IFERROR(__xludf.DUMMYFUNCTION("""COMPUTED_VALUE"""),"")</f>
        <v/>
      </c>
      <c r="W663" s="62" t="str">
        <f>IFERROR(__xludf.DUMMYFUNCTION("""COMPUTED_VALUE"""),"")</f>
        <v/>
      </c>
      <c r="X663" s="80" t="str">
        <f>IFERROR(__xludf.DUMMYFUNCTION("""COMPUTED_VALUE"""),"")</f>
        <v/>
      </c>
      <c r="Y663" s="109" t="str">
        <f>IFERROR(__xludf.DUMMYFUNCTION("""COMPUTED_VALUE"""),"")</f>
        <v/>
      </c>
      <c r="Z663" s="71"/>
      <c r="AA663" s="71"/>
      <c r="AB663" s="71"/>
    </row>
    <row r="664">
      <c r="A664" s="71"/>
      <c r="B664" s="71"/>
      <c r="C664" s="71" t="str">
        <f>IFERROR(__xludf.DUMMYFUNCTION("""COMPUTED_VALUE"""),"")</f>
        <v/>
      </c>
      <c r="D664" s="71"/>
      <c r="E664" s="78"/>
      <c r="F664" s="71"/>
      <c r="G664" s="78" t="str">
        <f>IFERROR(__xludf.DUMMYFUNCTION("""COMPUTED_VALUE"""),"")</f>
        <v/>
      </c>
      <c r="H664" s="71"/>
      <c r="I664" s="80" t="str">
        <f>IFERROR(__xludf.DUMMYFUNCTION("""COMPUTED_VALUE"""),"")</f>
        <v/>
      </c>
      <c r="J664" s="71" t="str">
        <f>IFERROR(__xludf.DUMMYFUNCTION("""COMPUTED_VALUE"""),"")</f>
        <v/>
      </c>
      <c r="K664" s="71"/>
      <c r="L664" s="71" t="str">
        <f>IFERROR(__xludf.DUMMYFUNCTION("""COMPUTED_VALUE"""),"")</f>
        <v/>
      </c>
      <c r="M664" s="71"/>
      <c r="N664" s="109" t="str">
        <f>IFERROR(__xludf.DUMMYFUNCTION("""COMPUTED_VALUE"""),"")</f>
        <v/>
      </c>
      <c r="O664" s="71" t="str">
        <f>IFERROR(__xludf.DUMMYFUNCTION("""COMPUTED_VALUE"""),"")</f>
        <v/>
      </c>
      <c r="P664" s="71" t="str">
        <f>IFERROR(__xludf.DUMMYFUNCTION("""COMPUTED_VALUE"""),"")</f>
        <v/>
      </c>
      <c r="Q664" s="78" t="str">
        <f>IFERROR(__xludf.DUMMYFUNCTION("""COMPUTED_VALUE"""),"")</f>
        <v/>
      </c>
      <c r="R664" s="78" t="str">
        <f>IFERROR(__xludf.DUMMYFUNCTION("""COMPUTED_VALUE"""),"")</f>
        <v/>
      </c>
      <c r="S664" s="80" t="str">
        <f>IFERROR(__xludf.DUMMYFUNCTION("""COMPUTED_VALUE"""),"")</f>
        <v/>
      </c>
      <c r="T664" s="80" t="str">
        <f>IFERROR(__xludf.DUMMYFUNCTION("""COMPUTED_VALUE"""),"")</f>
        <v/>
      </c>
      <c r="U664" s="71" t="str">
        <f>IFERROR(__xludf.DUMMYFUNCTION("""COMPUTED_VALUE"""),"")</f>
        <v/>
      </c>
      <c r="V664" s="78" t="str">
        <f>IFERROR(__xludf.DUMMYFUNCTION("""COMPUTED_VALUE"""),"")</f>
        <v/>
      </c>
      <c r="W664" s="62" t="str">
        <f>IFERROR(__xludf.DUMMYFUNCTION("""COMPUTED_VALUE"""),"")</f>
        <v/>
      </c>
      <c r="X664" s="80" t="str">
        <f>IFERROR(__xludf.DUMMYFUNCTION("""COMPUTED_VALUE"""),"")</f>
        <v/>
      </c>
      <c r="Y664" s="109" t="str">
        <f>IFERROR(__xludf.DUMMYFUNCTION("""COMPUTED_VALUE"""),"")</f>
        <v/>
      </c>
      <c r="Z664" s="71"/>
      <c r="AA664" s="71"/>
      <c r="AB664" s="71"/>
    </row>
    <row r="665">
      <c r="A665" s="71"/>
      <c r="B665" s="71"/>
      <c r="C665" s="71" t="str">
        <f>IFERROR(__xludf.DUMMYFUNCTION("""COMPUTED_VALUE"""),"")</f>
        <v/>
      </c>
      <c r="D665" s="71"/>
      <c r="E665" s="78"/>
      <c r="F665" s="71"/>
      <c r="G665" s="78" t="str">
        <f>IFERROR(__xludf.DUMMYFUNCTION("""COMPUTED_VALUE"""),"")</f>
        <v/>
      </c>
      <c r="H665" s="71"/>
      <c r="I665" s="80" t="str">
        <f>IFERROR(__xludf.DUMMYFUNCTION("""COMPUTED_VALUE"""),"")</f>
        <v/>
      </c>
      <c r="J665" s="71" t="str">
        <f>IFERROR(__xludf.DUMMYFUNCTION("""COMPUTED_VALUE"""),"")</f>
        <v/>
      </c>
      <c r="K665" s="71"/>
      <c r="L665" s="71" t="str">
        <f>IFERROR(__xludf.DUMMYFUNCTION("""COMPUTED_VALUE"""),"")</f>
        <v/>
      </c>
      <c r="M665" s="71"/>
      <c r="N665" s="109" t="str">
        <f>IFERROR(__xludf.DUMMYFUNCTION("""COMPUTED_VALUE"""),"")</f>
        <v/>
      </c>
      <c r="O665" s="71" t="str">
        <f>IFERROR(__xludf.DUMMYFUNCTION("""COMPUTED_VALUE"""),"")</f>
        <v/>
      </c>
      <c r="P665" s="71" t="str">
        <f>IFERROR(__xludf.DUMMYFUNCTION("""COMPUTED_VALUE"""),"")</f>
        <v/>
      </c>
      <c r="Q665" s="78" t="str">
        <f>IFERROR(__xludf.DUMMYFUNCTION("""COMPUTED_VALUE"""),"")</f>
        <v/>
      </c>
      <c r="R665" s="78" t="str">
        <f>IFERROR(__xludf.DUMMYFUNCTION("""COMPUTED_VALUE"""),"")</f>
        <v/>
      </c>
      <c r="S665" s="80" t="str">
        <f>IFERROR(__xludf.DUMMYFUNCTION("""COMPUTED_VALUE"""),"")</f>
        <v/>
      </c>
      <c r="T665" s="80" t="str">
        <f>IFERROR(__xludf.DUMMYFUNCTION("""COMPUTED_VALUE"""),"")</f>
        <v/>
      </c>
      <c r="U665" s="71" t="str">
        <f>IFERROR(__xludf.DUMMYFUNCTION("""COMPUTED_VALUE"""),"")</f>
        <v/>
      </c>
      <c r="V665" s="78" t="str">
        <f>IFERROR(__xludf.DUMMYFUNCTION("""COMPUTED_VALUE"""),"")</f>
        <v/>
      </c>
      <c r="W665" s="62" t="str">
        <f>IFERROR(__xludf.DUMMYFUNCTION("""COMPUTED_VALUE"""),"")</f>
        <v/>
      </c>
      <c r="X665" s="80" t="str">
        <f>IFERROR(__xludf.DUMMYFUNCTION("""COMPUTED_VALUE"""),"")</f>
        <v/>
      </c>
      <c r="Y665" s="109" t="str">
        <f>IFERROR(__xludf.DUMMYFUNCTION("""COMPUTED_VALUE"""),"")</f>
        <v/>
      </c>
      <c r="Z665" s="71"/>
      <c r="AA665" s="71"/>
      <c r="AB665" s="71"/>
    </row>
    <row r="666">
      <c r="A666" s="71"/>
      <c r="B666" s="71"/>
      <c r="C666" s="71" t="str">
        <f>IFERROR(__xludf.DUMMYFUNCTION("""COMPUTED_VALUE"""),"")</f>
        <v/>
      </c>
      <c r="D666" s="71"/>
      <c r="E666" s="78"/>
      <c r="F666" s="71"/>
      <c r="G666" s="78" t="str">
        <f>IFERROR(__xludf.DUMMYFUNCTION("""COMPUTED_VALUE"""),"")</f>
        <v/>
      </c>
      <c r="H666" s="71"/>
      <c r="I666" s="80" t="str">
        <f>IFERROR(__xludf.DUMMYFUNCTION("""COMPUTED_VALUE"""),"")</f>
        <v/>
      </c>
      <c r="J666" s="71" t="str">
        <f>IFERROR(__xludf.DUMMYFUNCTION("""COMPUTED_VALUE"""),"")</f>
        <v/>
      </c>
      <c r="K666" s="71"/>
      <c r="L666" s="71" t="str">
        <f>IFERROR(__xludf.DUMMYFUNCTION("""COMPUTED_VALUE"""),"")</f>
        <v/>
      </c>
      <c r="M666" s="71"/>
      <c r="N666" s="109" t="str">
        <f>IFERROR(__xludf.DUMMYFUNCTION("""COMPUTED_VALUE"""),"")</f>
        <v/>
      </c>
      <c r="O666" s="71" t="str">
        <f>IFERROR(__xludf.DUMMYFUNCTION("""COMPUTED_VALUE"""),"")</f>
        <v/>
      </c>
      <c r="P666" s="71" t="str">
        <f>IFERROR(__xludf.DUMMYFUNCTION("""COMPUTED_VALUE"""),"")</f>
        <v/>
      </c>
      <c r="Q666" s="78" t="str">
        <f>IFERROR(__xludf.DUMMYFUNCTION("""COMPUTED_VALUE"""),"")</f>
        <v/>
      </c>
      <c r="R666" s="78" t="str">
        <f>IFERROR(__xludf.DUMMYFUNCTION("""COMPUTED_VALUE"""),"")</f>
        <v/>
      </c>
      <c r="S666" s="80" t="str">
        <f>IFERROR(__xludf.DUMMYFUNCTION("""COMPUTED_VALUE"""),"")</f>
        <v/>
      </c>
      <c r="T666" s="80" t="str">
        <f>IFERROR(__xludf.DUMMYFUNCTION("""COMPUTED_VALUE"""),"")</f>
        <v/>
      </c>
      <c r="U666" s="71" t="str">
        <f>IFERROR(__xludf.DUMMYFUNCTION("""COMPUTED_VALUE"""),"")</f>
        <v/>
      </c>
      <c r="V666" s="78" t="str">
        <f>IFERROR(__xludf.DUMMYFUNCTION("""COMPUTED_VALUE"""),"")</f>
        <v/>
      </c>
      <c r="W666" s="62" t="str">
        <f>IFERROR(__xludf.DUMMYFUNCTION("""COMPUTED_VALUE"""),"")</f>
        <v/>
      </c>
      <c r="X666" s="80" t="str">
        <f>IFERROR(__xludf.DUMMYFUNCTION("""COMPUTED_VALUE"""),"")</f>
        <v/>
      </c>
      <c r="Y666" s="109" t="str">
        <f>IFERROR(__xludf.DUMMYFUNCTION("""COMPUTED_VALUE"""),"")</f>
        <v/>
      </c>
      <c r="Z666" s="71"/>
      <c r="AA666" s="71"/>
      <c r="AB666" s="71"/>
    </row>
    <row r="667">
      <c r="A667" s="71"/>
      <c r="B667" s="71"/>
      <c r="C667" s="71" t="str">
        <f>IFERROR(__xludf.DUMMYFUNCTION("""COMPUTED_VALUE"""),"")</f>
        <v/>
      </c>
      <c r="D667" s="71"/>
      <c r="E667" s="78"/>
      <c r="F667" s="71"/>
      <c r="G667" s="78" t="str">
        <f>IFERROR(__xludf.DUMMYFUNCTION("""COMPUTED_VALUE"""),"")</f>
        <v/>
      </c>
      <c r="H667" s="71"/>
      <c r="I667" s="80" t="str">
        <f>IFERROR(__xludf.DUMMYFUNCTION("""COMPUTED_VALUE"""),"")</f>
        <v/>
      </c>
      <c r="J667" s="71" t="str">
        <f>IFERROR(__xludf.DUMMYFUNCTION("""COMPUTED_VALUE"""),"")</f>
        <v/>
      </c>
      <c r="K667" s="71"/>
      <c r="L667" s="71" t="str">
        <f>IFERROR(__xludf.DUMMYFUNCTION("""COMPUTED_VALUE"""),"")</f>
        <v/>
      </c>
      <c r="M667" s="71"/>
      <c r="N667" s="109" t="str">
        <f>IFERROR(__xludf.DUMMYFUNCTION("""COMPUTED_VALUE"""),"")</f>
        <v/>
      </c>
      <c r="O667" s="71" t="str">
        <f>IFERROR(__xludf.DUMMYFUNCTION("""COMPUTED_VALUE"""),"")</f>
        <v/>
      </c>
      <c r="P667" s="71" t="str">
        <f>IFERROR(__xludf.DUMMYFUNCTION("""COMPUTED_VALUE"""),"")</f>
        <v/>
      </c>
      <c r="Q667" s="78" t="str">
        <f>IFERROR(__xludf.DUMMYFUNCTION("""COMPUTED_VALUE"""),"")</f>
        <v/>
      </c>
      <c r="R667" s="78" t="str">
        <f>IFERROR(__xludf.DUMMYFUNCTION("""COMPUTED_VALUE"""),"")</f>
        <v/>
      </c>
      <c r="S667" s="80" t="str">
        <f>IFERROR(__xludf.DUMMYFUNCTION("""COMPUTED_VALUE"""),"")</f>
        <v/>
      </c>
      <c r="T667" s="80" t="str">
        <f>IFERROR(__xludf.DUMMYFUNCTION("""COMPUTED_VALUE"""),"")</f>
        <v/>
      </c>
      <c r="U667" s="71" t="str">
        <f>IFERROR(__xludf.DUMMYFUNCTION("""COMPUTED_VALUE"""),"")</f>
        <v/>
      </c>
      <c r="V667" s="78" t="str">
        <f>IFERROR(__xludf.DUMMYFUNCTION("""COMPUTED_VALUE"""),"")</f>
        <v/>
      </c>
      <c r="W667" s="62" t="str">
        <f>IFERROR(__xludf.DUMMYFUNCTION("""COMPUTED_VALUE"""),"")</f>
        <v/>
      </c>
      <c r="X667" s="80" t="str">
        <f>IFERROR(__xludf.DUMMYFUNCTION("""COMPUTED_VALUE"""),"")</f>
        <v/>
      </c>
      <c r="Y667" s="109" t="str">
        <f>IFERROR(__xludf.DUMMYFUNCTION("""COMPUTED_VALUE"""),"")</f>
        <v/>
      </c>
      <c r="Z667" s="71"/>
      <c r="AA667" s="71"/>
      <c r="AB667" s="71"/>
    </row>
    <row r="668">
      <c r="A668" s="71"/>
      <c r="B668" s="71"/>
      <c r="C668" s="71" t="str">
        <f>IFERROR(__xludf.DUMMYFUNCTION("""COMPUTED_VALUE"""),"")</f>
        <v/>
      </c>
      <c r="D668" s="71"/>
      <c r="E668" s="78"/>
      <c r="F668" s="71"/>
      <c r="G668" s="78" t="str">
        <f>IFERROR(__xludf.DUMMYFUNCTION("""COMPUTED_VALUE"""),"")</f>
        <v/>
      </c>
      <c r="H668" s="71"/>
      <c r="I668" s="80" t="str">
        <f>IFERROR(__xludf.DUMMYFUNCTION("""COMPUTED_VALUE"""),"")</f>
        <v/>
      </c>
      <c r="J668" s="71" t="str">
        <f>IFERROR(__xludf.DUMMYFUNCTION("""COMPUTED_VALUE"""),"")</f>
        <v/>
      </c>
      <c r="K668" s="71"/>
      <c r="L668" s="71" t="str">
        <f>IFERROR(__xludf.DUMMYFUNCTION("""COMPUTED_VALUE"""),"")</f>
        <v/>
      </c>
      <c r="M668" s="71"/>
      <c r="N668" s="109" t="str">
        <f>IFERROR(__xludf.DUMMYFUNCTION("""COMPUTED_VALUE"""),"")</f>
        <v/>
      </c>
      <c r="O668" s="71" t="str">
        <f>IFERROR(__xludf.DUMMYFUNCTION("""COMPUTED_VALUE"""),"")</f>
        <v/>
      </c>
      <c r="P668" s="71" t="str">
        <f>IFERROR(__xludf.DUMMYFUNCTION("""COMPUTED_VALUE"""),"")</f>
        <v/>
      </c>
      <c r="Q668" s="78" t="str">
        <f>IFERROR(__xludf.DUMMYFUNCTION("""COMPUTED_VALUE"""),"")</f>
        <v/>
      </c>
      <c r="R668" s="78" t="str">
        <f>IFERROR(__xludf.DUMMYFUNCTION("""COMPUTED_VALUE"""),"")</f>
        <v/>
      </c>
      <c r="S668" s="80" t="str">
        <f>IFERROR(__xludf.DUMMYFUNCTION("""COMPUTED_VALUE"""),"")</f>
        <v/>
      </c>
      <c r="T668" s="80" t="str">
        <f>IFERROR(__xludf.DUMMYFUNCTION("""COMPUTED_VALUE"""),"")</f>
        <v/>
      </c>
      <c r="U668" s="71" t="str">
        <f>IFERROR(__xludf.DUMMYFUNCTION("""COMPUTED_VALUE"""),"")</f>
        <v/>
      </c>
      <c r="V668" s="78" t="str">
        <f>IFERROR(__xludf.DUMMYFUNCTION("""COMPUTED_VALUE"""),"")</f>
        <v/>
      </c>
      <c r="W668" s="62" t="str">
        <f>IFERROR(__xludf.DUMMYFUNCTION("""COMPUTED_VALUE"""),"")</f>
        <v/>
      </c>
      <c r="X668" s="80" t="str">
        <f>IFERROR(__xludf.DUMMYFUNCTION("""COMPUTED_VALUE"""),"")</f>
        <v/>
      </c>
      <c r="Y668" s="109" t="str">
        <f>IFERROR(__xludf.DUMMYFUNCTION("""COMPUTED_VALUE"""),"")</f>
        <v/>
      </c>
      <c r="Z668" s="71"/>
      <c r="AA668" s="71"/>
      <c r="AB668" s="71"/>
    </row>
    <row r="669">
      <c r="A669" s="71"/>
      <c r="B669" s="71"/>
      <c r="C669" s="71" t="str">
        <f>IFERROR(__xludf.DUMMYFUNCTION("""COMPUTED_VALUE"""),"")</f>
        <v/>
      </c>
      <c r="D669" s="71"/>
      <c r="E669" s="78"/>
      <c r="F669" s="71"/>
      <c r="G669" s="78" t="str">
        <f>IFERROR(__xludf.DUMMYFUNCTION("""COMPUTED_VALUE"""),"")</f>
        <v/>
      </c>
      <c r="H669" s="71"/>
      <c r="I669" s="80" t="str">
        <f>IFERROR(__xludf.DUMMYFUNCTION("""COMPUTED_VALUE"""),"")</f>
        <v/>
      </c>
      <c r="J669" s="71" t="str">
        <f>IFERROR(__xludf.DUMMYFUNCTION("""COMPUTED_VALUE"""),"")</f>
        <v/>
      </c>
      <c r="K669" s="71"/>
      <c r="L669" s="71" t="str">
        <f>IFERROR(__xludf.DUMMYFUNCTION("""COMPUTED_VALUE"""),"")</f>
        <v/>
      </c>
      <c r="M669" s="71"/>
      <c r="N669" s="109" t="str">
        <f>IFERROR(__xludf.DUMMYFUNCTION("""COMPUTED_VALUE"""),"")</f>
        <v/>
      </c>
      <c r="O669" s="71" t="str">
        <f>IFERROR(__xludf.DUMMYFUNCTION("""COMPUTED_VALUE"""),"")</f>
        <v/>
      </c>
      <c r="P669" s="71" t="str">
        <f>IFERROR(__xludf.DUMMYFUNCTION("""COMPUTED_VALUE"""),"")</f>
        <v/>
      </c>
      <c r="Q669" s="78" t="str">
        <f>IFERROR(__xludf.DUMMYFUNCTION("""COMPUTED_VALUE"""),"")</f>
        <v/>
      </c>
      <c r="R669" s="78" t="str">
        <f>IFERROR(__xludf.DUMMYFUNCTION("""COMPUTED_VALUE"""),"")</f>
        <v/>
      </c>
      <c r="S669" s="80" t="str">
        <f>IFERROR(__xludf.DUMMYFUNCTION("""COMPUTED_VALUE"""),"")</f>
        <v/>
      </c>
      <c r="T669" s="80" t="str">
        <f>IFERROR(__xludf.DUMMYFUNCTION("""COMPUTED_VALUE"""),"")</f>
        <v/>
      </c>
      <c r="U669" s="71" t="str">
        <f>IFERROR(__xludf.DUMMYFUNCTION("""COMPUTED_VALUE"""),"")</f>
        <v/>
      </c>
      <c r="V669" s="78" t="str">
        <f>IFERROR(__xludf.DUMMYFUNCTION("""COMPUTED_VALUE"""),"")</f>
        <v/>
      </c>
      <c r="W669" s="62" t="str">
        <f>IFERROR(__xludf.DUMMYFUNCTION("""COMPUTED_VALUE"""),"")</f>
        <v/>
      </c>
      <c r="X669" s="80" t="str">
        <f>IFERROR(__xludf.DUMMYFUNCTION("""COMPUTED_VALUE"""),"")</f>
        <v/>
      </c>
      <c r="Y669" s="109" t="str">
        <f>IFERROR(__xludf.DUMMYFUNCTION("""COMPUTED_VALUE"""),"")</f>
        <v/>
      </c>
      <c r="Z669" s="71"/>
      <c r="AA669" s="71"/>
      <c r="AB669" s="71"/>
    </row>
    <row r="670">
      <c r="A670" s="71"/>
      <c r="B670" s="71"/>
      <c r="C670" s="71" t="str">
        <f>IFERROR(__xludf.DUMMYFUNCTION("""COMPUTED_VALUE"""),"")</f>
        <v/>
      </c>
      <c r="D670" s="71"/>
      <c r="E670" s="78"/>
      <c r="F670" s="71"/>
      <c r="G670" s="78" t="str">
        <f>IFERROR(__xludf.DUMMYFUNCTION("""COMPUTED_VALUE"""),"")</f>
        <v/>
      </c>
      <c r="H670" s="71"/>
      <c r="I670" s="80" t="str">
        <f>IFERROR(__xludf.DUMMYFUNCTION("""COMPUTED_VALUE"""),"")</f>
        <v/>
      </c>
      <c r="J670" s="71" t="str">
        <f>IFERROR(__xludf.DUMMYFUNCTION("""COMPUTED_VALUE"""),"")</f>
        <v/>
      </c>
      <c r="K670" s="71"/>
      <c r="L670" s="71" t="str">
        <f>IFERROR(__xludf.DUMMYFUNCTION("""COMPUTED_VALUE"""),"")</f>
        <v/>
      </c>
      <c r="M670" s="71"/>
      <c r="N670" s="109" t="str">
        <f>IFERROR(__xludf.DUMMYFUNCTION("""COMPUTED_VALUE"""),"")</f>
        <v/>
      </c>
      <c r="O670" s="71" t="str">
        <f>IFERROR(__xludf.DUMMYFUNCTION("""COMPUTED_VALUE"""),"")</f>
        <v/>
      </c>
      <c r="P670" s="71" t="str">
        <f>IFERROR(__xludf.DUMMYFUNCTION("""COMPUTED_VALUE"""),"")</f>
        <v/>
      </c>
      <c r="Q670" s="78" t="str">
        <f>IFERROR(__xludf.DUMMYFUNCTION("""COMPUTED_VALUE"""),"")</f>
        <v/>
      </c>
      <c r="R670" s="78" t="str">
        <f>IFERROR(__xludf.DUMMYFUNCTION("""COMPUTED_VALUE"""),"")</f>
        <v/>
      </c>
      <c r="S670" s="80" t="str">
        <f>IFERROR(__xludf.DUMMYFUNCTION("""COMPUTED_VALUE"""),"")</f>
        <v/>
      </c>
      <c r="T670" s="80" t="str">
        <f>IFERROR(__xludf.DUMMYFUNCTION("""COMPUTED_VALUE"""),"")</f>
        <v/>
      </c>
      <c r="U670" s="71" t="str">
        <f>IFERROR(__xludf.DUMMYFUNCTION("""COMPUTED_VALUE"""),"")</f>
        <v/>
      </c>
      <c r="V670" s="78" t="str">
        <f>IFERROR(__xludf.DUMMYFUNCTION("""COMPUTED_VALUE"""),"")</f>
        <v/>
      </c>
      <c r="W670" s="62" t="str">
        <f>IFERROR(__xludf.DUMMYFUNCTION("""COMPUTED_VALUE"""),"")</f>
        <v/>
      </c>
      <c r="X670" s="80" t="str">
        <f>IFERROR(__xludf.DUMMYFUNCTION("""COMPUTED_VALUE"""),"")</f>
        <v/>
      </c>
      <c r="Y670" s="109" t="str">
        <f>IFERROR(__xludf.DUMMYFUNCTION("""COMPUTED_VALUE"""),"")</f>
        <v/>
      </c>
      <c r="Z670" s="71"/>
      <c r="AA670" s="71"/>
      <c r="AB670" s="71"/>
    </row>
    <row r="671">
      <c r="A671" s="71"/>
      <c r="B671" s="71"/>
      <c r="C671" s="71" t="str">
        <f>IFERROR(__xludf.DUMMYFUNCTION("""COMPUTED_VALUE"""),"")</f>
        <v/>
      </c>
      <c r="D671" s="71"/>
      <c r="E671" s="78"/>
      <c r="F671" s="71"/>
      <c r="G671" s="78" t="str">
        <f>IFERROR(__xludf.DUMMYFUNCTION("""COMPUTED_VALUE"""),"")</f>
        <v/>
      </c>
      <c r="H671" s="71"/>
      <c r="I671" s="80" t="str">
        <f>IFERROR(__xludf.DUMMYFUNCTION("""COMPUTED_VALUE"""),"")</f>
        <v/>
      </c>
      <c r="J671" s="71" t="str">
        <f>IFERROR(__xludf.DUMMYFUNCTION("""COMPUTED_VALUE"""),"")</f>
        <v/>
      </c>
      <c r="K671" s="71"/>
      <c r="L671" s="71" t="str">
        <f>IFERROR(__xludf.DUMMYFUNCTION("""COMPUTED_VALUE"""),"")</f>
        <v/>
      </c>
      <c r="M671" s="71"/>
      <c r="N671" s="109" t="str">
        <f>IFERROR(__xludf.DUMMYFUNCTION("""COMPUTED_VALUE"""),"")</f>
        <v/>
      </c>
      <c r="O671" s="71" t="str">
        <f>IFERROR(__xludf.DUMMYFUNCTION("""COMPUTED_VALUE"""),"")</f>
        <v/>
      </c>
      <c r="P671" s="71" t="str">
        <f>IFERROR(__xludf.DUMMYFUNCTION("""COMPUTED_VALUE"""),"")</f>
        <v/>
      </c>
      <c r="Q671" s="78" t="str">
        <f>IFERROR(__xludf.DUMMYFUNCTION("""COMPUTED_VALUE"""),"")</f>
        <v/>
      </c>
      <c r="R671" s="78" t="str">
        <f>IFERROR(__xludf.DUMMYFUNCTION("""COMPUTED_VALUE"""),"")</f>
        <v/>
      </c>
      <c r="S671" s="80" t="str">
        <f>IFERROR(__xludf.DUMMYFUNCTION("""COMPUTED_VALUE"""),"")</f>
        <v/>
      </c>
      <c r="T671" s="80" t="str">
        <f>IFERROR(__xludf.DUMMYFUNCTION("""COMPUTED_VALUE"""),"")</f>
        <v/>
      </c>
      <c r="U671" s="71" t="str">
        <f>IFERROR(__xludf.DUMMYFUNCTION("""COMPUTED_VALUE"""),"")</f>
        <v/>
      </c>
      <c r="V671" s="78" t="str">
        <f>IFERROR(__xludf.DUMMYFUNCTION("""COMPUTED_VALUE"""),"")</f>
        <v/>
      </c>
      <c r="W671" s="62" t="str">
        <f>IFERROR(__xludf.DUMMYFUNCTION("""COMPUTED_VALUE"""),"")</f>
        <v/>
      </c>
      <c r="X671" s="80" t="str">
        <f>IFERROR(__xludf.DUMMYFUNCTION("""COMPUTED_VALUE"""),"")</f>
        <v/>
      </c>
      <c r="Y671" s="109" t="str">
        <f>IFERROR(__xludf.DUMMYFUNCTION("""COMPUTED_VALUE"""),"")</f>
        <v/>
      </c>
      <c r="Z671" s="71"/>
      <c r="AA671" s="71"/>
      <c r="AB671" s="71"/>
    </row>
    <row r="672">
      <c r="A672" s="71"/>
      <c r="B672" s="71"/>
      <c r="C672" s="71" t="str">
        <f>IFERROR(__xludf.DUMMYFUNCTION("""COMPUTED_VALUE"""),"")</f>
        <v/>
      </c>
      <c r="D672" s="71"/>
      <c r="E672" s="78"/>
      <c r="F672" s="71"/>
      <c r="G672" s="78" t="str">
        <f>IFERROR(__xludf.DUMMYFUNCTION("""COMPUTED_VALUE"""),"")</f>
        <v/>
      </c>
      <c r="H672" s="71"/>
      <c r="I672" s="80" t="str">
        <f>IFERROR(__xludf.DUMMYFUNCTION("""COMPUTED_VALUE"""),"")</f>
        <v/>
      </c>
      <c r="J672" s="71" t="str">
        <f>IFERROR(__xludf.DUMMYFUNCTION("""COMPUTED_VALUE"""),"")</f>
        <v/>
      </c>
      <c r="K672" s="71"/>
      <c r="L672" s="71" t="str">
        <f>IFERROR(__xludf.DUMMYFUNCTION("""COMPUTED_VALUE"""),"")</f>
        <v/>
      </c>
      <c r="M672" s="71"/>
      <c r="N672" s="109" t="str">
        <f>IFERROR(__xludf.DUMMYFUNCTION("""COMPUTED_VALUE"""),"")</f>
        <v/>
      </c>
      <c r="O672" s="71" t="str">
        <f>IFERROR(__xludf.DUMMYFUNCTION("""COMPUTED_VALUE"""),"")</f>
        <v/>
      </c>
      <c r="P672" s="71" t="str">
        <f>IFERROR(__xludf.DUMMYFUNCTION("""COMPUTED_VALUE"""),"")</f>
        <v/>
      </c>
      <c r="Q672" s="78" t="str">
        <f>IFERROR(__xludf.DUMMYFUNCTION("""COMPUTED_VALUE"""),"")</f>
        <v/>
      </c>
      <c r="R672" s="78" t="str">
        <f>IFERROR(__xludf.DUMMYFUNCTION("""COMPUTED_VALUE"""),"")</f>
        <v/>
      </c>
      <c r="S672" s="80" t="str">
        <f>IFERROR(__xludf.DUMMYFUNCTION("""COMPUTED_VALUE"""),"")</f>
        <v/>
      </c>
      <c r="T672" s="80" t="str">
        <f>IFERROR(__xludf.DUMMYFUNCTION("""COMPUTED_VALUE"""),"")</f>
        <v/>
      </c>
      <c r="U672" s="71" t="str">
        <f>IFERROR(__xludf.DUMMYFUNCTION("""COMPUTED_VALUE"""),"")</f>
        <v/>
      </c>
      <c r="V672" s="78" t="str">
        <f>IFERROR(__xludf.DUMMYFUNCTION("""COMPUTED_VALUE"""),"")</f>
        <v/>
      </c>
      <c r="W672" s="62" t="str">
        <f>IFERROR(__xludf.DUMMYFUNCTION("""COMPUTED_VALUE"""),"")</f>
        <v/>
      </c>
      <c r="X672" s="80" t="str">
        <f>IFERROR(__xludf.DUMMYFUNCTION("""COMPUTED_VALUE"""),"")</f>
        <v/>
      </c>
      <c r="Y672" s="109" t="str">
        <f>IFERROR(__xludf.DUMMYFUNCTION("""COMPUTED_VALUE"""),"")</f>
        <v/>
      </c>
      <c r="Z672" s="71"/>
      <c r="AA672" s="71"/>
      <c r="AB672" s="71"/>
    </row>
    <row r="673">
      <c r="A673" s="71"/>
      <c r="B673" s="71"/>
      <c r="C673" s="71" t="str">
        <f>IFERROR(__xludf.DUMMYFUNCTION("""COMPUTED_VALUE"""),"")</f>
        <v/>
      </c>
      <c r="D673" s="71"/>
      <c r="E673" s="78"/>
      <c r="F673" s="71"/>
      <c r="G673" s="78" t="str">
        <f>IFERROR(__xludf.DUMMYFUNCTION("""COMPUTED_VALUE"""),"")</f>
        <v/>
      </c>
      <c r="H673" s="71"/>
      <c r="I673" s="80" t="str">
        <f>IFERROR(__xludf.DUMMYFUNCTION("""COMPUTED_VALUE"""),"")</f>
        <v/>
      </c>
      <c r="J673" s="71" t="str">
        <f>IFERROR(__xludf.DUMMYFUNCTION("""COMPUTED_VALUE"""),"")</f>
        <v/>
      </c>
      <c r="K673" s="71"/>
      <c r="L673" s="71" t="str">
        <f>IFERROR(__xludf.DUMMYFUNCTION("""COMPUTED_VALUE"""),"")</f>
        <v/>
      </c>
      <c r="M673" s="71"/>
      <c r="N673" s="109" t="str">
        <f>IFERROR(__xludf.DUMMYFUNCTION("""COMPUTED_VALUE"""),"")</f>
        <v/>
      </c>
      <c r="O673" s="71" t="str">
        <f>IFERROR(__xludf.DUMMYFUNCTION("""COMPUTED_VALUE"""),"")</f>
        <v/>
      </c>
      <c r="P673" s="71" t="str">
        <f>IFERROR(__xludf.DUMMYFUNCTION("""COMPUTED_VALUE"""),"")</f>
        <v/>
      </c>
      <c r="Q673" s="78" t="str">
        <f>IFERROR(__xludf.DUMMYFUNCTION("""COMPUTED_VALUE"""),"")</f>
        <v/>
      </c>
      <c r="R673" s="78" t="str">
        <f>IFERROR(__xludf.DUMMYFUNCTION("""COMPUTED_VALUE"""),"")</f>
        <v/>
      </c>
      <c r="S673" s="80" t="str">
        <f>IFERROR(__xludf.DUMMYFUNCTION("""COMPUTED_VALUE"""),"")</f>
        <v/>
      </c>
      <c r="T673" s="80" t="str">
        <f>IFERROR(__xludf.DUMMYFUNCTION("""COMPUTED_VALUE"""),"")</f>
        <v/>
      </c>
      <c r="U673" s="71" t="str">
        <f>IFERROR(__xludf.DUMMYFUNCTION("""COMPUTED_VALUE"""),"")</f>
        <v/>
      </c>
      <c r="V673" s="78" t="str">
        <f>IFERROR(__xludf.DUMMYFUNCTION("""COMPUTED_VALUE"""),"")</f>
        <v/>
      </c>
      <c r="W673" s="62" t="str">
        <f>IFERROR(__xludf.DUMMYFUNCTION("""COMPUTED_VALUE"""),"")</f>
        <v/>
      </c>
      <c r="X673" s="80" t="str">
        <f>IFERROR(__xludf.DUMMYFUNCTION("""COMPUTED_VALUE"""),"")</f>
        <v/>
      </c>
      <c r="Y673" s="109" t="str">
        <f>IFERROR(__xludf.DUMMYFUNCTION("""COMPUTED_VALUE"""),"")</f>
        <v/>
      </c>
      <c r="Z673" s="71"/>
      <c r="AA673" s="71"/>
      <c r="AB673" s="71"/>
    </row>
    <row r="674">
      <c r="A674" s="71"/>
      <c r="B674" s="71"/>
      <c r="C674" s="71" t="str">
        <f>IFERROR(__xludf.DUMMYFUNCTION("""COMPUTED_VALUE"""),"")</f>
        <v/>
      </c>
      <c r="D674" s="71"/>
      <c r="E674" s="78"/>
      <c r="F674" s="71"/>
      <c r="G674" s="78" t="str">
        <f>IFERROR(__xludf.DUMMYFUNCTION("""COMPUTED_VALUE"""),"")</f>
        <v/>
      </c>
      <c r="H674" s="71"/>
      <c r="I674" s="80" t="str">
        <f>IFERROR(__xludf.DUMMYFUNCTION("""COMPUTED_VALUE"""),"")</f>
        <v/>
      </c>
      <c r="J674" s="71" t="str">
        <f>IFERROR(__xludf.DUMMYFUNCTION("""COMPUTED_VALUE"""),"")</f>
        <v/>
      </c>
      <c r="K674" s="71"/>
      <c r="L674" s="71" t="str">
        <f>IFERROR(__xludf.DUMMYFUNCTION("""COMPUTED_VALUE"""),"")</f>
        <v/>
      </c>
      <c r="M674" s="71"/>
      <c r="N674" s="109" t="str">
        <f>IFERROR(__xludf.DUMMYFUNCTION("""COMPUTED_VALUE"""),"")</f>
        <v/>
      </c>
      <c r="O674" s="71" t="str">
        <f>IFERROR(__xludf.DUMMYFUNCTION("""COMPUTED_VALUE"""),"")</f>
        <v/>
      </c>
      <c r="P674" s="71" t="str">
        <f>IFERROR(__xludf.DUMMYFUNCTION("""COMPUTED_VALUE"""),"")</f>
        <v/>
      </c>
      <c r="Q674" s="78" t="str">
        <f>IFERROR(__xludf.DUMMYFUNCTION("""COMPUTED_VALUE"""),"")</f>
        <v/>
      </c>
      <c r="R674" s="78" t="str">
        <f>IFERROR(__xludf.DUMMYFUNCTION("""COMPUTED_VALUE"""),"")</f>
        <v/>
      </c>
      <c r="S674" s="80" t="str">
        <f>IFERROR(__xludf.DUMMYFUNCTION("""COMPUTED_VALUE"""),"")</f>
        <v/>
      </c>
      <c r="T674" s="80" t="str">
        <f>IFERROR(__xludf.DUMMYFUNCTION("""COMPUTED_VALUE"""),"")</f>
        <v/>
      </c>
      <c r="U674" s="71" t="str">
        <f>IFERROR(__xludf.DUMMYFUNCTION("""COMPUTED_VALUE"""),"")</f>
        <v/>
      </c>
      <c r="V674" s="78" t="str">
        <f>IFERROR(__xludf.DUMMYFUNCTION("""COMPUTED_VALUE"""),"")</f>
        <v/>
      </c>
      <c r="W674" s="62" t="str">
        <f>IFERROR(__xludf.DUMMYFUNCTION("""COMPUTED_VALUE"""),"")</f>
        <v/>
      </c>
      <c r="X674" s="80" t="str">
        <f>IFERROR(__xludf.DUMMYFUNCTION("""COMPUTED_VALUE"""),"")</f>
        <v/>
      </c>
      <c r="Y674" s="109" t="str">
        <f>IFERROR(__xludf.DUMMYFUNCTION("""COMPUTED_VALUE"""),"")</f>
        <v/>
      </c>
      <c r="Z674" s="71"/>
      <c r="AA674" s="71"/>
      <c r="AB674" s="71"/>
    </row>
    <row r="675">
      <c r="A675" s="71"/>
      <c r="B675" s="71"/>
      <c r="C675" s="71" t="str">
        <f>IFERROR(__xludf.DUMMYFUNCTION("""COMPUTED_VALUE"""),"")</f>
        <v/>
      </c>
      <c r="D675" s="71"/>
      <c r="E675" s="78"/>
      <c r="F675" s="71"/>
      <c r="G675" s="78" t="str">
        <f>IFERROR(__xludf.DUMMYFUNCTION("""COMPUTED_VALUE"""),"")</f>
        <v/>
      </c>
      <c r="H675" s="71"/>
      <c r="I675" s="80" t="str">
        <f>IFERROR(__xludf.DUMMYFUNCTION("""COMPUTED_VALUE"""),"")</f>
        <v/>
      </c>
      <c r="J675" s="71" t="str">
        <f>IFERROR(__xludf.DUMMYFUNCTION("""COMPUTED_VALUE"""),"")</f>
        <v/>
      </c>
      <c r="K675" s="71"/>
      <c r="L675" s="71" t="str">
        <f>IFERROR(__xludf.DUMMYFUNCTION("""COMPUTED_VALUE"""),"")</f>
        <v/>
      </c>
      <c r="M675" s="71"/>
      <c r="N675" s="109" t="str">
        <f>IFERROR(__xludf.DUMMYFUNCTION("""COMPUTED_VALUE"""),"")</f>
        <v/>
      </c>
      <c r="O675" s="71" t="str">
        <f>IFERROR(__xludf.DUMMYFUNCTION("""COMPUTED_VALUE"""),"")</f>
        <v/>
      </c>
      <c r="P675" s="71" t="str">
        <f>IFERROR(__xludf.DUMMYFUNCTION("""COMPUTED_VALUE"""),"")</f>
        <v/>
      </c>
      <c r="Q675" s="78" t="str">
        <f>IFERROR(__xludf.DUMMYFUNCTION("""COMPUTED_VALUE"""),"")</f>
        <v/>
      </c>
      <c r="R675" s="78" t="str">
        <f>IFERROR(__xludf.DUMMYFUNCTION("""COMPUTED_VALUE"""),"")</f>
        <v/>
      </c>
      <c r="S675" s="80" t="str">
        <f>IFERROR(__xludf.DUMMYFUNCTION("""COMPUTED_VALUE"""),"")</f>
        <v/>
      </c>
      <c r="T675" s="80" t="str">
        <f>IFERROR(__xludf.DUMMYFUNCTION("""COMPUTED_VALUE"""),"")</f>
        <v/>
      </c>
      <c r="U675" s="71" t="str">
        <f>IFERROR(__xludf.DUMMYFUNCTION("""COMPUTED_VALUE"""),"")</f>
        <v/>
      </c>
      <c r="V675" s="78" t="str">
        <f>IFERROR(__xludf.DUMMYFUNCTION("""COMPUTED_VALUE"""),"")</f>
        <v/>
      </c>
      <c r="W675" s="62" t="str">
        <f>IFERROR(__xludf.DUMMYFUNCTION("""COMPUTED_VALUE"""),"")</f>
        <v/>
      </c>
      <c r="X675" s="80" t="str">
        <f>IFERROR(__xludf.DUMMYFUNCTION("""COMPUTED_VALUE"""),"")</f>
        <v/>
      </c>
      <c r="Y675" s="109" t="str">
        <f>IFERROR(__xludf.DUMMYFUNCTION("""COMPUTED_VALUE"""),"")</f>
        <v/>
      </c>
      <c r="Z675" s="71"/>
      <c r="AA675" s="71"/>
      <c r="AB675" s="71"/>
    </row>
    <row r="676">
      <c r="A676" s="71"/>
      <c r="B676" s="71"/>
      <c r="C676" s="71" t="str">
        <f>IFERROR(__xludf.DUMMYFUNCTION("""COMPUTED_VALUE"""),"")</f>
        <v/>
      </c>
      <c r="D676" s="71"/>
      <c r="E676" s="78"/>
      <c r="F676" s="71"/>
      <c r="G676" s="78" t="str">
        <f>IFERROR(__xludf.DUMMYFUNCTION("""COMPUTED_VALUE"""),"")</f>
        <v/>
      </c>
      <c r="H676" s="71"/>
      <c r="I676" s="80" t="str">
        <f>IFERROR(__xludf.DUMMYFUNCTION("""COMPUTED_VALUE"""),"")</f>
        <v/>
      </c>
      <c r="J676" s="71" t="str">
        <f>IFERROR(__xludf.DUMMYFUNCTION("""COMPUTED_VALUE"""),"")</f>
        <v/>
      </c>
      <c r="K676" s="71"/>
      <c r="L676" s="71" t="str">
        <f>IFERROR(__xludf.DUMMYFUNCTION("""COMPUTED_VALUE"""),"")</f>
        <v/>
      </c>
      <c r="M676" s="71"/>
      <c r="N676" s="109" t="str">
        <f>IFERROR(__xludf.DUMMYFUNCTION("""COMPUTED_VALUE"""),"")</f>
        <v/>
      </c>
      <c r="O676" s="71" t="str">
        <f>IFERROR(__xludf.DUMMYFUNCTION("""COMPUTED_VALUE"""),"")</f>
        <v/>
      </c>
      <c r="P676" s="71" t="str">
        <f>IFERROR(__xludf.DUMMYFUNCTION("""COMPUTED_VALUE"""),"")</f>
        <v/>
      </c>
      <c r="Q676" s="78" t="str">
        <f>IFERROR(__xludf.DUMMYFUNCTION("""COMPUTED_VALUE"""),"")</f>
        <v/>
      </c>
      <c r="R676" s="78" t="str">
        <f>IFERROR(__xludf.DUMMYFUNCTION("""COMPUTED_VALUE"""),"")</f>
        <v/>
      </c>
      <c r="S676" s="80" t="str">
        <f>IFERROR(__xludf.DUMMYFUNCTION("""COMPUTED_VALUE"""),"")</f>
        <v/>
      </c>
      <c r="T676" s="80" t="str">
        <f>IFERROR(__xludf.DUMMYFUNCTION("""COMPUTED_VALUE"""),"")</f>
        <v/>
      </c>
      <c r="U676" s="71" t="str">
        <f>IFERROR(__xludf.DUMMYFUNCTION("""COMPUTED_VALUE"""),"")</f>
        <v/>
      </c>
      <c r="V676" s="78" t="str">
        <f>IFERROR(__xludf.DUMMYFUNCTION("""COMPUTED_VALUE"""),"")</f>
        <v/>
      </c>
      <c r="W676" s="62" t="str">
        <f>IFERROR(__xludf.DUMMYFUNCTION("""COMPUTED_VALUE"""),"")</f>
        <v/>
      </c>
      <c r="X676" s="80" t="str">
        <f>IFERROR(__xludf.DUMMYFUNCTION("""COMPUTED_VALUE"""),"")</f>
        <v/>
      </c>
      <c r="Y676" s="109" t="str">
        <f>IFERROR(__xludf.DUMMYFUNCTION("""COMPUTED_VALUE"""),"")</f>
        <v/>
      </c>
      <c r="Z676" s="71"/>
      <c r="AA676" s="71"/>
      <c r="AB676" s="71"/>
    </row>
    <row r="677">
      <c r="A677" s="71"/>
      <c r="B677" s="71"/>
      <c r="C677" s="71" t="str">
        <f>IFERROR(__xludf.DUMMYFUNCTION("""COMPUTED_VALUE"""),"")</f>
        <v/>
      </c>
      <c r="D677" s="71"/>
      <c r="E677" s="78"/>
      <c r="F677" s="71"/>
      <c r="G677" s="78" t="str">
        <f>IFERROR(__xludf.DUMMYFUNCTION("""COMPUTED_VALUE"""),"")</f>
        <v/>
      </c>
      <c r="H677" s="71"/>
      <c r="I677" s="80" t="str">
        <f>IFERROR(__xludf.DUMMYFUNCTION("""COMPUTED_VALUE"""),"")</f>
        <v/>
      </c>
      <c r="J677" s="71" t="str">
        <f>IFERROR(__xludf.DUMMYFUNCTION("""COMPUTED_VALUE"""),"")</f>
        <v/>
      </c>
      <c r="K677" s="71"/>
      <c r="L677" s="71" t="str">
        <f>IFERROR(__xludf.DUMMYFUNCTION("""COMPUTED_VALUE"""),"")</f>
        <v/>
      </c>
      <c r="M677" s="71"/>
      <c r="N677" s="109" t="str">
        <f>IFERROR(__xludf.DUMMYFUNCTION("""COMPUTED_VALUE"""),"")</f>
        <v/>
      </c>
      <c r="O677" s="71" t="str">
        <f>IFERROR(__xludf.DUMMYFUNCTION("""COMPUTED_VALUE"""),"")</f>
        <v/>
      </c>
      <c r="P677" s="71" t="str">
        <f>IFERROR(__xludf.DUMMYFUNCTION("""COMPUTED_VALUE"""),"")</f>
        <v/>
      </c>
      <c r="Q677" s="78" t="str">
        <f>IFERROR(__xludf.DUMMYFUNCTION("""COMPUTED_VALUE"""),"")</f>
        <v/>
      </c>
      <c r="R677" s="78" t="str">
        <f>IFERROR(__xludf.DUMMYFUNCTION("""COMPUTED_VALUE"""),"")</f>
        <v/>
      </c>
      <c r="S677" s="80" t="str">
        <f>IFERROR(__xludf.DUMMYFUNCTION("""COMPUTED_VALUE"""),"")</f>
        <v/>
      </c>
      <c r="T677" s="80" t="str">
        <f>IFERROR(__xludf.DUMMYFUNCTION("""COMPUTED_VALUE"""),"")</f>
        <v/>
      </c>
      <c r="U677" s="71" t="str">
        <f>IFERROR(__xludf.DUMMYFUNCTION("""COMPUTED_VALUE"""),"")</f>
        <v/>
      </c>
      <c r="V677" s="78" t="str">
        <f>IFERROR(__xludf.DUMMYFUNCTION("""COMPUTED_VALUE"""),"")</f>
        <v/>
      </c>
      <c r="W677" s="62" t="str">
        <f>IFERROR(__xludf.DUMMYFUNCTION("""COMPUTED_VALUE"""),"")</f>
        <v/>
      </c>
      <c r="X677" s="80" t="str">
        <f>IFERROR(__xludf.DUMMYFUNCTION("""COMPUTED_VALUE"""),"")</f>
        <v/>
      </c>
      <c r="Y677" s="109" t="str">
        <f>IFERROR(__xludf.DUMMYFUNCTION("""COMPUTED_VALUE"""),"")</f>
        <v/>
      </c>
      <c r="Z677" s="71"/>
      <c r="AA677" s="71"/>
      <c r="AB677" s="71"/>
    </row>
    <row r="678">
      <c r="A678" s="71"/>
      <c r="B678" s="71"/>
      <c r="C678" s="71" t="str">
        <f>IFERROR(__xludf.DUMMYFUNCTION("""COMPUTED_VALUE"""),"")</f>
        <v/>
      </c>
      <c r="D678" s="71"/>
      <c r="E678" s="78"/>
      <c r="F678" s="71"/>
      <c r="G678" s="78" t="str">
        <f>IFERROR(__xludf.DUMMYFUNCTION("""COMPUTED_VALUE"""),"")</f>
        <v/>
      </c>
      <c r="H678" s="71"/>
      <c r="I678" s="80" t="str">
        <f>IFERROR(__xludf.DUMMYFUNCTION("""COMPUTED_VALUE"""),"")</f>
        <v/>
      </c>
      <c r="J678" s="71" t="str">
        <f>IFERROR(__xludf.DUMMYFUNCTION("""COMPUTED_VALUE"""),"")</f>
        <v/>
      </c>
      <c r="K678" s="71"/>
      <c r="L678" s="71" t="str">
        <f>IFERROR(__xludf.DUMMYFUNCTION("""COMPUTED_VALUE"""),"")</f>
        <v/>
      </c>
      <c r="M678" s="71"/>
      <c r="N678" s="109" t="str">
        <f>IFERROR(__xludf.DUMMYFUNCTION("""COMPUTED_VALUE"""),"")</f>
        <v/>
      </c>
      <c r="O678" s="71" t="str">
        <f>IFERROR(__xludf.DUMMYFUNCTION("""COMPUTED_VALUE"""),"")</f>
        <v/>
      </c>
      <c r="P678" s="71" t="str">
        <f>IFERROR(__xludf.DUMMYFUNCTION("""COMPUTED_VALUE"""),"")</f>
        <v/>
      </c>
      <c r="Q678" s="78" t="str">
        <f>IFERROR(__xludf.DUMMYFUNCTION("""COMPUTED_VALUE"""),"")</f>
        <v/>
      </c>
      <c r="R678" s="78" t="str">
        <f>IFERROR(__xludf.DUMMYFUNCTION("""COMPUTED_VALUE"""),"")</f>
        <v/>
      </c>
      <c r="S678" s="80" t="str">
        <f>IFERROR(__xludf.DUMMYFUNCTION("""COMPUTED_VALUE"""),"")</f>
        <v/>
      </c>
      <c r="T678" s="80" t="str">
        <f>IFERROR(__xludf.DUMMYFUNCTION("""COMPUTED_VALUE"""),"")</f>
        <v/>
      </c>
      <c r="U678" s="71" t="str">
        <f>IFERROR(__xludf.DUMMYFUNCTION("""COMPUTED_VALUE"""),"")</f>
        <v/>
      </c>
      <c r="V678" s="78" t="str">
        <f>IFERROR(__xludf.DUMMYFUNCTION("""COMPUTED_VALUE"""),"")</f>
        <v/>
      </c>
      <c r="W678" s="62" t="str">
        <f>IFERROR(__xludf.DUMMYFUNCTION("""COMPUTED_VALUE"""),"")</f>
        <v/>
      </c>
      <c r="X678" s="80" t="str">
        <f>IFERROR(__xludf.DUMMYFUNCTION("""COMPUTED_VALUE"""),"")</f>
        <v/>
      </c>
      <c r="Y678" s="109" t="str">
        <f>IFERROR(__xludf.DUMMYFUNCTION("""COMPUTED_VALUE"""),"")</f>
        <v/>
      </c>
      <c r="Z678" s="71"/>
      <c r="AA678" s="71"/>
      <c r="AB678" s="71"/>
    </row>
    <row r="679">
      <c r="A679" s="71"/>
      <c r="B679" s="71"/>
      <c r="C679" s="71" t="str">
        <f>IFERROR(__xludf.DUMMYFUNCTION("""COMPUTED_VALUE"""),"")</f>
        <v/>
      </c>
      <c r="D679" s="71"/>
      <c r="E679" s="78"/>
      <c r="F679" s="71"/>
      <c r="G679" s="78" t="str">
        <f>IFERROR(__xludf.DUMMYFUNCTION("""COMPUTED_VALUE"""),"")</f>
        <v/>
      </c>
      <c r="H679" s="71"/>
      <c r="I679" s="80" t="str">
        <f>IFERROR(__xludf.DUMMYFUNCTION("""COMPUTED_VALUE"""),"")</f>
        <v/>
      </c>
      <c r="J679" s="71" t="str">
        <f>IFERROR(__xludf.DUMMYFUNCTION("""COMPUTED_VALUE"""),"")</f>
        <v/>
      </c>
      <c r="K679" s="71"/>
      <c r="L679" s="71" t="str">
        <f>IFERROR(__xludf.DUMMYFUNCTION("""COMPUTED_VALUE"""),"")</f>
        <v/>
      </c>
      <c r="M679" s="71"/>
      <c r="N679" s="109" t="str">
        <f>IFERROR(__xludf.DUMMYFUNCTION("""COMPUTED_VALUE"""),"")</f>
        <v/>
      </c>
      <c r="O679" s="71" t="str">
        <f>IFERROR(__xludf.DUMMYFUNCTION("""COMPUTED_VALUE"""),"")</f>
        <v/>
      </c>
      <c r="P679" s="71" t="str">
        <f>IFERROR(__xludf.DUMMYFUNCTION("""COMPUTED_VALUE"""),"")</f>
        <v/>
      </c>
      <c r="Q679" s="78" t="str">
        <f>IFERROR(__xludf.DUMMYFUNCTION("""COMPUTED_VALUE"""),"")</f>
        <v/>
      </c>
      <c r="R679" s="78" t="str">
        <f>IFERROR(__xludf.DUMMYFUNCTION("""COMPUTED_VALUE"""),"")</f>
        <v/>
      </c>
      <c r="S679" s="80" t="str">
        <f>IFERROR(__xludf.DUMMYFUNCTION("""COMPUTED_VALUE"""),"")</f>
        <v/>
      </c>
      <c r="T679" s="80" t="str">
        <f>IFERROR(__xludf.DUMMYFUNCTION("""COMPUTED_VALUE"""),"")</f>
        <v/>
      </c>
      <c r="U679" s="71" t="str">
        <f>IFERROR(__xludf.DUMMYFUNCTION("""COMPUTED_VALUE"""),"")</f>
        <v/>
      </c>
      <c r="V679" s="78" t="str">
        <f>IFERROR(__xludf.DUMMYFUNCTION("""COMPUTED_VALUE"""),"")</f>
        <v/>
      </c>
      <c r="W679" s="62" t="str">
        <f>IFERROR(__xludf.DUMMYFUNCTION("""COMPUTED_VALUE"""),"")</f>
        <v/>
      </c>
      <c r="X679" s="80" t="str">
        <f>IFERROR(__xludf.DUMMYFUNCTION("""COMPUTED_VALUE"""),"")</f>
        <v/>
      </c>
      <c r="Y679" s="109" t="str">
        <f>IFERROR(__xludf.DUMMYFUNCTION("""COMPUTED_VALUE"""),"")</f>
        <v/>
      </c>
      <c r="Z679" s="71"/>
      <c r="AA679" s="71"/>
      <c r="AB679" s="71"/>
    </row>
    <row r="680">
      <c r="A680" s="71"/>
      <c r="B680" s="71"/>
      <c r="C680" s="71" t="str">
        <f>IFERROR(__xludf.DUMMYFUNCTION("""COMPUTED_VALUE"""),"")</f>
        <v/>
      </c>
      <c r="D680" s="71"/>
      <c r="E680" s="78"/>
      <c r="F680" s="71"/>
      <c r="G680" s="78" t="str">
        <f>IFERROR(__xludf.DUMMYFUNCTION("""COMPUTED_VALUE"""),"")</f>
        <v/>
      </c>
      <c r="H680" s="71"/>
      <c r="I680" s="80" t="str">
        <f>IFERROR(__xludf.DUMMYFUNCTION("""COMPUTED_VALUE"""),"")</f>
        <v/>
      </c>
      <c r="J680" s="71" t="str">
        <f>IFERROR(__xludf.DUMMYFUNCTION("""COMPUTED_VALUE"""),"")</f>
        <v/>
      </c>
      <c r="K680" s="71"/>
      <c r="L680" s="71" t="str">
        <f>IFERROR(__xludf.DUMMYFUNCTION("""COMPUTED_VALUE"""),"")</f>
        <v/>
      </c>
      <c r="M680" s="71"/>
      <c r="N680" s="109" t="str">
        <f>IFERROR(__xludf.DUMMYFUNCTION("""COMPUTED_VALUE"""),"")</f>
        <v/>
      </c>
      <c r="O680" s="71" t="str">
        <f>IFERROR(__xludf.DUMMYFUNCTION("""COMPUTED_VALUE"""),"")</f>
        <v/>
      </c>
      <c r="P680" s="71" t="str">
        <f>IFERROR(__xludf.DUMMYFUNCTION("""COMPUTED_VALUE"""),"")</f>
        <v/>
      </c>
      <c r="Q680" s="78" t="str">
        <f>IFERROR(__xludf.DUMMYFUNCTION("""COMPUTED_VALUE"""),"")</f>
        <v/>
      </c>
      <c r="R680" s="78" t="str">
        <f>IFERROR(__xludf.DUMMYFUNCTION("""COMPUTED_VALUE"""),"")</f>
        <v/>
      </c>
      <c r="S680" s="80" t="str">
        <f>IFERROR(__xludf.DUMMYFUNCTION("""COMPUTED_VALUE"""),"")</f>
        <v/>
      </c>
      <c r="T680" s="80" t="str">
        <f>IFERROR(__xludf.DUMMYFUNCTION("""COMPUTED_VALUE"""),"")</f>
        <v/>
      </c>
      <c r="U680" s="71" t="str">
        <f>IFERROR(__xludf.DUMMYFUNCTION("""COMPUTED_VALUE"""),"")</f>
        <v/>
      </c>
      <c r="V680" s="78" t="str">
        <f>IFERROR(__xludf.DUMMYFUNCTION("""COMPUTED_VALUE"""),"")</f>
        <v/>
      </c>
      <c r="W680" s="62" t="str">
        <f>IFERROR(__xludf.DUMMYFUNCTION("""COMPUTED_VALUE"""),"")</f>
        <v/>
      </c>
      <c r="X680" s="80" t="str">
        <f>IFERROR(__xludf.DUMMYFUNCTION("""COMPUTED_VALUE"""),"")</f>
        <v/>
      </c>
      <c r="Y680" s="109" t="str">
        <f>IFERROR(__xludf.DUMMYFUNCTION("""COMPUTED_VALUE"""),"")</f>
        <v/>
      </c>
      <c r="Z680" s="71"/>
      <c r="AA680" s="71"/>
      <c r="AB680" s="71"/>
    </row>
    <row r="681">
      <c r="A681" s="71"/>
      <c r="B681" s="71"/>
      <c r="C681" s="71" t="str">
        <f>IFERROR(__xludf.DUMMYFUNCTION("""COMPUTED_VALUE"""),"")</f>
        <v/>
      </c>
      <c r="D681" s="71"/>
      <c r="E681" s="78"/>
      <c r="F681" s="71"/>
      <c r="G681" s="78" t="str">
        <f>IFERROR(__xludf.DUMMYFUNCTION("""COMPUTED_VALUE"""),"")</f>
        <v/>
      </c>
      <c r="H681" s="71"/>
      <c r="I681" s="80" t="str">
        <f>IFERROR(__xludf.DUMMYFUNCTION("""COMPUTED_VALUE"""),"")</f>
        <v/>
      </c>
      <c r="J681" s="71" t="str">
        <f>IFERROR(__xludf.DUMMYFUNCTION("""COMPUTED_VALUE"""),"")</f>
        <v/>
      </c>
      <c r="K681" s="71"/>
      <c r="L681" s="71" t="str">
        <f>IFERROR(__xludf.DUMMYFUNCTION("""COMPUTED_VALUE"""),"")</f>
        <v/>
      </c>
      <c r="M681" s="71"/>
      <c r="N681" s="109" t="str">
        <f>IFERROR(__xludf.DUMMYFUNCTION("""COMPUTED_VALUE"""),"")</f>
        <v/>
      </c>
      <c r="O681" s="71" t="str">
        <f>IFERROR(__xludf.DUMMYFUNCTION("""COMPUTED_VALUE"""),"")</f>
        <v/>
      </c>
      <c r="P681" s="71" t="str">
        <f>IFERROR(__xludf.DUMMYFUNCTION("""COMPUTED_VALUE"""),"")</f>
        <v/>
      </c>
      <c r="Q681" s="78" t="str">
        <f>IFERROR(__xludf.DUMMYFUNCTION("""COMPUTED_VALUE"""),"")</f>
        <v/>
      </c>
      <c r="R681" s="78" t="str">
        <f>IFERROR(__xludf.DUMMYFUNCTION("""COMPUTED_VALUE"""),"")</f>
        <v/>
      </c>
      <c r="S681" s="80" t="str">
        <f>IFERROR(__xludf.DUMMYFUNCTION("""COMPUTED_VALUE"""),"")</f>
        <v/>
      </c>
      <c r="T681" s="80" t="str">
        <f>IFERROR(__xludf.DUMMYFUNCTION("""COMPUTED_VALUE"""),"")</f>
        <v/>
      </c>
      <c r="U681" s="71" t="str">
        <f>IFERROR(__xludf.DUMMYFUNCTION("""COMPUTED_VALUE"""),"")</f>
        <v/>
      </c>
      <c r="V681" s="78" t="str">
        <f>IFERROR(__xludf.DUMMYFUNCTION("""COMPUTED_VALUE"""),"")</f>
        <v/>
      </c>
      <c r="W681" s="62" t="str">
        <f>IFERROR(__xludf.DUMMYFUNCTION("""COMPUTED_VALUE"""),"")</f>
        <v/>
      </c>
      <c r="X681" s="80" t="str">
        <f>IFERROR(__xludf.DUMMYFUNCTION("""COMPUTED_VALUE"""),"")</f>
        <v/>
      </c>
      <c r="Y681" s="109" t="str">
        <f>IFERROR(__xludf.DUMMYFUNCTION("""COMPUTED_VALUE"""),"")</f>
        <v/>
      </c>
      <c r="Z681" s="71"/>
      <c r="AA681" s="71"/>
      <c r="AB681" s="71"/>
    </row>
    <row r="682">
      <c r="A682" s="71"/>
      <c r="B682" s="71"/>
      <c r="C682" s="71" t="str">
        <f>IFERROR(__xludf.DUMMYFUNCTION("""COMPUTED_VALUE"""),"")</f>
        <v/>
      </c>
      <c r="D682" s="71"/>
      <c r="E682" s="78"/>
      <c r="F682" s="71"/>
      <c r="G682" s="78" t="str">
        <f>IFERROR(__xludf.DUMMYFUNCTION("""COMPUTED_VALUE"""),"")</f>
        <v/>
      </c>
      <c r="H682" s="71"/>
      <c r="I682" s="80" t="str">
        <f>IFERROR(__xludf.DUMMYFUNCTION("""COMPUTED_VALUE"""),"")</f>
        <v/>
      </c>
      <c r="J682" s="71" t="str">
        <f>IFERROR(__xludf.DUMMYFUNCTION("""COMPUTED_VALUE"""),"")</f>
        <v/>
      </c>
      <c r="K682" s="71"/>
      <c r="L682" s="71" t="str">
        <f>IFERROR(__xludf.DUMMYFUNCTION("""COMPUTED_VALUE"""),"")</f>
        <v/>
      </c>
      <c r="M682" s="71"/>
      <c r="N682" s="109" t="str">
        <f>IFERROR(__xludf.DUMMYFUNCTION("""COMPUTED_VALUE"""),"")</f>
        <v/>
      </c>
      <c r="O682" s="71" t="str">
        <f>IFERROR(__xludf.DUMMYFUNCTION("""COMPUTED_VALUE"""),"")</f>
        <v/>
      </c>
      <c r="P682" s="71" t="str">
        <f>IFERROR(__xludf.DUMMYFUNCTION("""COMPUTED_VALUE"""),"")</f>
        <v/>
      </c>
      <c r="Q682" s="78" t="str">
        <f>IFERROR(__xludf.DUMMYFUNCTION("""COMPUTED_VALUE"""),"")</f>
        <v/>
      </c>
      <c r="R682" s="78" t="str">
        <f>IFERROR(__xludf.DUMMYFUNCTION("""COMPUTED_VALUE"""),"")</f>
        <v/>
      </c>
      <c r="S682" s="80" t="str">
        <f>IFERROR(__xludf.DUMMYFUNCTION("""COMPUTED_VALUE"""),"")</f>
        <v/>
      </c>
      <c r="T682" s="80" t="str">
        <f>IFERROR(__xludf.DUMMYFUNCTION("""COMPUTED_VALUE"""),"")</f>
        <v/>
      </c>
      <c r="U682" s="71" t="str">
        <f>IFERROR(__xludf.DUMMYFUNCTION("""COMPUTED_VALUE"""),"")</f>
        <v/>
      </c>
      <c r="V682" s="78" t="str">
        <f>IFERROR(__xludf.DUMMYFUNCTION("""COMPUTED_VALUE"""),"")</f>
        <v/>
      </c>
      <c r="W682" s="62" t="str">
        <f>IFERROR(__xludf.DUMMYFUNCTION("""COMPUTED_VALUE"""),"")</f>
        <v/>
      </c>
      <c r="X682" s="80" t="str">
        <f>IFERROR(__xludf.DUMMYFUNCTION("""COMPUTED_VALUE"""),"")</f>
        <v/>
      </c>
      <c r="Y682" s="109" t="str">
        <f>IFERROR(__xludf.DUMMYFUNCTION("""COMPUTED_VALUE"""),"")</f>
        <v/>
      </c>
      <c r="Z682" s="71"/>
      <c r="AA682" s="71"/>
      <c r="AB682" s="71"/>
    </row>
    <row r="683">
      <c r="A683" s="71"/>
      <c r="B683" s="71"/>
      <c r="C683" s="71" t="str">
        <f>IFERROR(__xludf.DUMMYFUNCTION("""COMPUTED_VALUE"""),"")</f>
        <v/>
      </c>
      <c r="D683" s="71"/>
      <c r="E683" s="78"/>
      <c r="F683" s="71"/>
      <c r="G683" s="78" t="str">
        <f>IFERROR(__xludf.DUMMYFUNCTION("""COMPUTED_VALUE"""),"")</f>
        <v/>
      </c>
      <c r="H683" s="71"/>
      <c r="I683" s="80" t="str">
        <f>IFERROR(__xludf.DUMMYFUNCTION("""COMPUTED_VALUE"""),"")</f>
        <v/>
      </c>
      <c r="J683" s="71" t="str">
        <f>IFERROR(__xludf.DUMMYFUNCTION("""COMPUTED_VALUE"""),"")</f>
        <v/>
      </c>
      <c r="K683" s="71"/>
      <c r="L683" s="71" t="str">
        <f>IFERROR(__xludf.DUMMYFUNCTION("""COMPUTED_VALUE"""),"")</f>
        <v/>
      </c>
      <c r="M683" s="71"/>
      <c r="N683" s="109" t="str">
        <f>IFERROR(__xludf.DUMMYFUNCTION("""COMPUTED_VALUE"""),"")</f>
        <v/>
      </c>
      <c r="O683" s="71" t="str">
        <f>IFERROR(__xludf.DUMMYFUNCTION("""COMPUTED_VALUE"""),"")</f>
        <v/>
      </c>
      <c r="P683" s="71" t="str">
        <f>IFERROR(__xludf.DUMMYFUNCTION("""COMPUTED_VALUE"""),"")</f>
        <v/>
      </c>
      <c r="Q683" s="78" t="str">
        <f>IFERROR(__xludf.DUMMYFUNCTION("""COMPUTED_VALUE"""),"")</f>
        <v/>
      </c>
      <c r="R683" s="78" t="str">
        <f>IFERROR(__xludf.DUMMYFUNCTION("""COMPUTED_VALUE"""),"")</f>
        <v/>
      </c>
      <c r="S683" s="80" t="str">
        <f>IFERROR(__xludf.DUMMYFUNCTION("""COMPUTED_VALUE"""),"")</f>
        <v/>
      </c>
      <c r="T683" s="80" t="str">
        <f>IFERROR(__xludf.DUMMYFUNCTION("""COMPUTED_VALUE"""),"")</f>
        <v/>
      </c>
      <c r="U683" s="71" t="str">
        <f>IFERROR(__xludf.DUMMYFUNCTION("""COMPUTED_VALUE"""),"")</f>
        <v/>
      </c>
      <c r="V683" s="78" t="str">
        <f>IFERROR(__xludf.DUMMYFUNCTION("""COMPUTED_VALUE"""),"")</f>
        <v/>
      </c>
      <c r="W683" s="62" t="str">
        <f>IFERROR(__xludf.DUMMYFUNCTION("""COMPUTED_VALUE"""),"")</f>
        <v/>
      </c>
      <c r="X683" s="80" t="str">
        <f>IFERROR(__xludf.DUMMYFUNCTION("""COMPUTED_VALUE"""),"")</f>
        <v/>
      </c>
      <c r="Y683" s="109" t="str">
        <f>IFERROR(__xludf.DUMMYFUNCTION("""COMPUTED_VALUE"""),"")</f>
        <v/>
      </c>
      <c r="Z683" s="71"/>
      <c r="AA683" s="71"/>
      <c r="AB683" s="71"/>
    </row>
    <row r="684">
      <c r="A684" s="71"/>
      <c r="B684" s="71"/>
      <c r="C684" s="71" t="str">
        <f>IFERROR(__xludf.DUMMYFUNCTION("""COMPUTED_VALUE"""),"")</f>
        <v/>
      </c>
      <c r="D684" s="71"/>
      <c r="E684" s="78"/>
      <c r="F684" s="71"/>
      <c r="G684" s="78" t="str">
        <f>IFERROR(__xludf.DUMMYFUNCTION("""COMPUTED_VALUE"""),"")</f>
        <v/>
      </c>
      <c r="H684" s="71"/>
      <c r="I684" s="80" t="str">
        <f>IFERROR(__xludf.DUMMYFUNCTION("""COMPUTED_VALUE"""),"")</f>
        <v/>
      </c>
      <c r="J684" s="71" t="str">
        <f>IFERROR(__xludf.DUMMYFUNCTION("""COMPUTED_VALUE"""),"")</f>
        <v/>
      </c>
      <c r="K684" s="71"/>
      <c r="L684" s="71" t="str">
        <f>IFERROR(__xludf.DUMMYFUNCTION("""COMPUTED_VALUE"""),"")</f>
        <v/>
      </c>
      <c r="M684" s="71"/>
      <c r="N684" s="109" t="str">
        <f>IFERROR(__xludf.DUMMYFUNCTION("""COMPUTED_VALUE"""),"")</f>
        <v/>
      </c>
      <c r="O684" s="71" t="str">
        <f>IFERROR(__xludf.DUMMYFUNCTION("""COMPUTED_VALUE"""),"")</f>
        <v/>
      </c>
      <c r="P684" s="71" t="str">
        <f>IFERROR(__xludf.DUMMYFUNCTION("""COMPUTED_VALUE"""),"")</f>
        <v/>
      </c>
      <c r="Q684" s="78" t="str">
        <f>IFERROR(__xludf.DUMMYFUNCTION("""COMPUTED_VALUE"""),"")</f>
        <v/>
      </c>
      <c r="R684" s="78" t="str">
        <f>IFERROR(__xludf.DUMMYFUNCTION("""COMPUTED_VALUE"""),"")</f>
        <v/>
      </c>
      <c r="S684" s="80" t="str">
        <f>IFERROR(__xludf.DUMMYFUNCTION("""COMPUTED_VALUE"""),"")</f>
        <v/>
      </c>
      <c r="T684" s="80" t="str">
        <f>IFERROR(__xludf.DUMMYFUNCTION("""COMPUTED_VALUE"""),"")</f>
        <v/>
      </c>
      <c r="U684" s="71" t="str">
        <f>IFERROR(__xludf.DUMMYFUNCTION("""COMPUTED_VALUE"""),"")</f>
        <v/>
      </c>
      <c r="V684" s="78" t="str">
        <f>IFERROR(__xludf.DUMMYFUNCTION("""COMPUTED_VALUE"""),"")</f>
        <v/>
      </c>
      <c r="W684" s="62" t="str">
        <f>IFERROR(__xludf.DUMMYFUNCTION("""COMPUTED_VALUE"""),"")</f>
        <v/>
      </c>
      <c r="X684" s="80" t="str">
        <f>IFERROR(__xludf.DUMMYFUNCTION("""COMPUTED_VALUE"""),"")</f>
        <v/>
      </c>
      <c r="Y684" s="109" t="str">
        <f>IFERROR(__xludf.DUMMYFUNCTION("""COMPUTED_VALUE"""),"")</f>
        <v/>
      </c>
      <c r="Z684" s="71"/>
      <c r="AA684" s="71"/>
      <c r="AB684" s="71"/>
    </row>
    <row r="685">
      <c r="A685" s="71"/>
      <c r="B685" s="71"/>
      <c r="C685" s="71" t="str">
        <f>IFERROR(__xludf.DUMMYFUNCTION("""COMPUTED_VALUE"""),"")</f>
        <v/>
      </c>
      <c r="D685" s="71"/>
      <c r="E685" s="78"/>
      <c r="F685" s="71"/>
      <c r="G685" s="78" t="str">
        <f>IFERROR(__xludf.DUMMYFUNCTION("""COMPUTED_VALUE"""),"")</f>
        <v/>
      </c>
      <c r="H685" s="71"/>
      <c r="I685" s="80" t="str">
        <f>IFERROR(__xludf.DUMMYFUNCTION("""COMPUTED_VALUE"""),"")</f>
        <v/>
      </c>
      <c r="J685" s="71" t="str">
        <f>IFERROR(__xludf.DUMMYFUNCTION("""COMPUTED_VALUE"""),"")</f>
        <v/>
      </c>
      <c r="K685" s="71"/>
      <c r="L685" s="71" t="str">
        <f>IFERROR(__xludf.DUMMYFUNCTION("""COMPUTED_VALUE"""),"")</f>
        <v/>
      </c>
      <c r="M685" s="71"/>
      <c r="N685" s="109" t="str">
        <f>IFERROR(__xludf.DUMMYFUNCTION("""COMPUTED_VALUE"""),"")</f>
        <v/>
      </c>
      <c r="O685" s="71" t="str">
        <f>IFERROR(__xludf.DUMMYFUNCTION("""COMPUTED_VALUE"""),"")</f>
        <v/>
      </c>
      <c r="P685" s="71" t="str">
        <f>IFERROR(__xludf.DUMMYFUNCTION("""COMPUTED_VALUE"""),"")</f>
        <v/>
      </c>
      <c r="Q685" s="78" t="str">
        <f>IFERROR(__xludf.DUMMYFUNCTION("""COMPUTED_VALUE"""),"")</f>
        <v/>
      </c>
      <c r="R685" s="78" t="str">
        <f>IFERROR(__xludf.DUMMYFUNCTION("""COMPUTED_VALUE"""),"")</f>
        <v/>
      </c>
      <c r="S685" s="80" t="str">
        <f>IFERROR(__xludf.DUMMYFUNCTION("""COMPUTED_VALUE"""),"")</f>
        <v/>
      </c>
      <c r="T685" s="80" t="str">
        <f>IFERROR(__xludf.DUMMYFUNCTION("""COMPUTED_VALUE"""),"")</f>
        <v/>
      </c>
      <c r="U685" s="71" t="str">
        <f>IFERROR(__xludf.DUMMYFUNCTION("""COMPUTED_VALUE"""),"")</f>
        <v/>
      </c>
      <c r="V685" s="78" t="str">
        <f>IFERROR(__xludf.DUMMYFUNCTION("""COMPUTED_VALUE"""),"")</f>
        <v/>
      </c>
      <c r="W685" s="62" t="str">
        <f>IFERROR(__xludf.DUMMYFUNCTION("""COMPUTED_VALUE"""),"")</f>
        <v/>
      </c>
      <c r="X685" s="80" t="str">
        <f>IFERROR(__xludf.DUMMYFUNCTION("""COMPUTED_VALUE"""),"")</f>
        <v/>
      </c>
      <c r="Y685" s="109" t="str">
        <f>IFERROR(__xludf.DUMMYFUNCTION("""COMPUTED_VALUE"""),"")</f>
        <v/>
      </c>
      <c r="Z685" s="71"/>
      <c r="AA685" s="71"/>
      <c r="AB685" s="71"/>
    </row>
    <row r="686">
      <c r="A686" s="71"/>
      <c r="B686" s="71"/>
      <c r="C686" s="71" t="str">
        <f>IFERROR(__xludf.DUMMYFUNCTION("""COMPUTED_VALUE"""),"")</f>
        <v/>
      </c>
      <c r="D686" s="71"/>
      <c r="E686" s="78"/>
      <c r="F686" s="71"/>
      <c r="G686" s="78" t="str">
        <f>IFERROR(__xludf.DUMMYFUNCTION("""COMPUTED_VALUE"""),"")</f>
        <v/>
      </c>
      <c r="H686" s="71"/>
      <c r="I686" s="80" t="str">
        <f>IFERROR(__xludf.DUMMYFUNCTION("""COMPUTED_VALUE"""),"")</f>
        <v/>
      </c>
      <c r="J686" s="71" t="str">
        <f>IFERROR(__xludf.DUMMYFUNCTION("""COMPUTED_VALUE"""),"")</f>
        <v/>
      </c>
      <c r="K686" s="71"/>
      <c r="L686" s="71" t="str">
        <f>IFERROR(__xludf.DUMMYFUNCTION("""COMPUTED_VALUE"""),"")</f>
        <v/>
      </c>
      <c r="M686" s="71"/>
      <c r="N686" s="109" t="str">
        <f>IFERROR(__xludf.DUMMYFUNCTION("""COMPUTED_VALUE"""),"")</f>
        <v/>
      </c>
      <c r="O686" s="71" t="str">
        <f>IFERROR(__xludf.DUMMYFUNCTION("""COMPUTED_VALUE"""),"")</f>
        <v/>
      </c>
      <c r="P686" s="71" t="str">
        <f>IFERROR(__xludf.DUMMYFUNCTION("""COMPUTED_VALUE"""),"")</f>
        <v/>
      </c>
      <c r="Q686" s="78" t="str">
        <f>IFERROR(__xludf.DUMMYFUNCTION("""COMPUTED_VALUE"""),"")</f>
        <v/>
      </c>
      <c r="R686" s="78" t="str">
        <f>IFERROR(__xludf.DUMMYFUNCTION("""COMPUTED_VALUE"""),"")</f>
        <v/>
      </c>
      <c r="S686" s="80" t="str">
        <f>IFERROR(__xludf.DUMMYFUNCTION("""COMPUTED_VALUE"""),"")</f>
        <v/>
      </c>
      <c r="T686" s="80" t="str">
        <f>IFERROR(__xludf.DUMMYFUNCTION("""COMPUTED_VALUE"""),"")</f>
        <v/>
      </c>
      <c r="U686" s="71" t="str">
        <f>IFERROR(__xludf.DUMMYFUNCTION("""COMPUTED_VALUE"""),"")</f>
        <v/>
      </c>
      <c r="V686" s="78" t="str">
        <f>IFERROR(__xludf.DUMMYFUNCTION("""COMPUTED_VALUE"""),"")</f>
        <v/>
      </c>
      <c r="W686" s="62" t="str">
        <f>IFERROR(__xludf.DUMMYFUNCTION("""COMPUTED_VALUE"""),"")</f>
        <v/>
      </c>
      <c r="X686" s="80" t="str">
        <f>IFERROR(__xludf.DUMMYFUNCTION("""COMPUTED_VALUE"""),"")</f>
        <v/>
      </c>
      <c r="Y686" s="109" t="str">
        <f>IFERROR(__xludf.DUMMYFUNCTION("""COMPUTED_VALUE"""),"")</f>
        <v/>
      </c>
      <c r="Z686" s="71"/>
      <c r="AA686" s="71"/>
      <c r="AB686" s="71"/>
    </row>
    <row r="687">
      <c r="A687" s="71"/>
      <c r="B687" s="71"/>
      <c r="C687" s="71" t="str">
        <f>IFERROR(__xludf.DUMMYFUNCTION("""COMPUTED_VALUE"""),"")</f>
        <v/>
      </c>
      <c r="D687" s="71"/>
      <c r="E687" s="78"/>
      <c r="F687" s="71"/>
      <c r="G687" s="78" t="str">
        <f>IFERROR(__xludf.DUMMYFUNCTION("""COMPUTED_VALUE"""),"")</f>
        <v/>
      </c>
      <c r="H687" s="71"/>
      <c r="I687" s="80" t="str">
        <f>IFERROR(__xludf.DUMMYFUNCTION("""COMPUTED_VALUE"""),"")</f>
        <v/>
      </c>
      <c r="J687" s="71" t="str">
        <f>IFERROR(__xludf.DUMMYFUNCTION("""COMPUTED_VALUE"""),"")</f>
        <v/>
      </c>
      <c r="K687" s="71"/>
      <c r="L687" s="71" t="str">
        <f>IFERROR(__xludf.DUMMYFUNCTION("""COMPUTED_VALUE"""),"")</f>
        <v/>
      </c>
      <c r="M687" s="71"/>
      <c r="N687" s="109" t="str">
        <f>IFERROR(__xludf.DUMMYFUNCTION("""COMPUTED_VALUE"""),"")</f>
        <v/>
      </c>
      <c r="O687" s="71" t="str">
        <f>IFERROR(__xludf.DUMMYFUNCTION("""COMPUTED_VALUE"""),"")</f>
        <v/>
      </c>
      <c r="P687" s="71" t="str">
        <f>IFERROR(__xludf.DUMMYFUNCTION("""COMPUTED_VALUE"""),"")</f>
        <v/>
      </c>
      <c r="Q687" s="78" t="str">
        <f>IFERROR(__xludf.DUMMYFUNCTION("""COMPUTED_VALUE"""),"")</f>
        <v/>
      </c>
      <c r="R687" s="78" t="str">
        <f>IFERROR(__xludf.DUMMYFUNCTION("""COMPUTED_VALUE"""),"")</f>
        <v/>
      </c>
      <c r="S687" s="80" t="str">
        <f>IFERROR(__xludf.DUMMYFUNCTION("""COMPUTED_VALUE"""),"")</f>
        <v/>
      </c>
      <c r="T687" s="80" t="str">
        <f>IFERROR(__xludf.DUMMYFUNCTION("""COMPUTED_VALUE"""),"")</f>
        <v/>
      </c>
      <c r="U687" s="71" t="str">
        <f>IFERROR(__xludf.DUMMYFUNCTION("""COMPUTED_VALUE"""),"")</f>
        <v/>
      </c>
      <c r="V687" s="78" t="str">
        <f>IFERROR(__xludf.DUMMYFUNCTION("""COMPUTED_VALUE"""),"")</f>
        <v/>
      </c>
      <c r="W687" s="62" t="str">
        <f>IFERROR(__xludf.DUMMYFUNCTION("""COMPUTED_VALUE"""),"")</f>
        <v/>
      </c>
      <c r="X687" s="80" t="str">
        <f>IFERROR(__xludf.DUMMYFUNCTION("""COMPUTED_VALUE"""),"")</f>
        <v/>
      </c>
      <c r="Y687" s="109" t="str">
        <f>IFERROR(__xludf.DUMMYFUNCTION("""COMPUTED_VALUE"""),"")</f>
        <v/>
      </c>
      <c r="Z687" s="71"/>
      <c r="AA687" s="71"/>
      <c r="AB687" s="71"/>
    </row>
    <row r="688">
      <c r="A688" s="71"/>
      <c r="B688" s="71"/>
      <c r="C688" s="71" t="str">
        <f>IFERROR(__xludf.DUMMYFUNCTION("""COMPUTED_VALUE"""),"")</f>
        <v/>
      </c>
      <c r="D688" s="71"/>
      <c r="E688" s="78"/>
      <c r="F688" s="71"/>
      <c r="G688" s="78" t="str">
        <f>IFERROR(__xludf.DUMMYFUNCTION("""COMPUTED_VALUE"""),"")</f>
        <v/>
      </c>
      <c r="H688" s="71"/>
      <c r="I688" s="80" t="str">
        <f>IFERROR(__xludf.DUMMYFUNCTION("""COMPUTED_VALUE"""),"")</f>
        <v/>
      </c>
      <c r="J688" s="71" t="str">
        <f>IFERROR(__xludf.DUMMYFUNCTION("""COMPUTED_VALUE"""),"")</f>
        <v/>
      </c>
      <c r="K688" s="71"/>
      <c r="L688" s="71" t="str">
        <f>IFERROR(__xludf.DUMMYFUNCTION("""COMPUTED_VALUE"""),"")</f>
        <v/>
      </c>
      <c r="M688" s="71"/>
      <c r="N688" s="109" t="str">
        <f>IFERROR(__xludf.DUMMYFUNCTION("""COMPUTED_VALUE"""),"")</f>
        <v/>
      </c>
      <c r="O688" s="71" t="str">
        <f>IFERROR(__xludf.DUMMYFUNCTION("""COMPUTED_VALUE"""),"")</f>
        <v/>
      </c>
      <c r="P688" s="71" t="str">
        <f>IFERROR(__xludf.DUMMYFUNCTION("""COMPUTED_VALUE"""),"")</f>
        <v/>
      </c>
      <c r="Q688" s="78" t="str">
        <f>IFERROR(__xludf.DUMMYFUNCTION("""COMPUTED_VALUE"""),"")</f>
        <v/>
      </c>
      <c r="R688" s="78" t="str">
        <f>IFERROR(__xludf.DUMMYFUNCTION("""COMPUTED_VALUE"""),"")</f>
        <v/>
      </c>
      <c r="S688" s="80" t="str">
        <f>IFERROR(__xludf.DUMMYFUNCTION("""COMPUTED_VALUE"""),"")</f>
        <v/>
      </c>
      <c r="T688" s="80" t="str">
        <f>IFERROR(__xludf.DUMMYFUNCTION("""COMPUTED_VALUE"""),"")</f>
        <v/>
      </c>
      <c r="U688" s="71" t="str">
        <f>IFERROR(__xludf.DUMMYFUNCTION("""COMPUTED_VALUE"""),"")</f>
        <v/>
      </c>
      <c r="V688" s="78" t="str">
        <f>IFERROR(__xludf.DUMMYFUNCTION("""COMPUTED_VALUE"""),"")</f>
        <v/>
      </c>
      <c r="W688" s="62" t="str">
        <f>IFERROR(__xludf.DUMMYFUNCTION("""COMPUTED_VALUE"""),"")</f>
        <v/>
      </c>
      <c r="X688" s="80" t="str">
        <f>IFERROR(__xludf.DUMMYFUNCTION("""COMPUTED_VALUE"""),"")</f>
        <v/>
      </c>
      <c r="Y688" s="109" t="str">
        <f>IFERROR(__xludf.DUMMYFUNCTION("""COMPUTED_VALUE"""),"")</f>
        <v/>
      </c>
      <c r="Z688" s="71"/>
      <c r="AA688" s="71"/>
      <c r="AB688" s="71"/>
    </row>
    <row r="689">
      <c r="A689" s="71"/>
      <c r="B689" s="71"/>
      <c r="C689" s="71" t="str">
        <f>IFERROR(__xludf.DUMMYFUNCTION("""COMPUTED_VALUE"""),"")</f>
        <v/>
      </c>
      <c r="D689" s="71"/>
      <c r="E689" s="78"/>
      <c r="F689" s="71"/>
      <c r="G689" s="78" t="str">
        <f>IFERROR(__xludf.DUMMYFUNCTION("""COMPUTED_VALUE"""),"")</f>
        <v/>
      </c>
      <c r="H689" s="71"/>
      <c r="I689" s="80" t="str">
        <f>IFERROR(__xludf.DUMMYFUNCTION("""COMPUTED_VALUE"""),"")</f>
        <v/>
      </c>
      <c r="J689" s="71" t="str">
        <f>IFERROR(__xludf.DUMMYFUNCTION("""COMPUTED_VALUE"""),"")</f>
        <v/>
      </c>
      <c r="K689" s="71"/>
      <c r="L689" s="71" t="str">
        <f>IFERROR(__xludf.DUMMYFUNCTION("""COMPUTED_VALUE"""),"")</f>
        <v/>
      </c>
      <c r="M689" s="71"/>
      <c r="N689" s="109" t="str">
        <f>IFERROR(__xludf.DUMMYFUNCTION("""COMPUTED_VALUE"""),"")</f>
        <v/>
      </c>
      <c r="O689" s="71" t="str">
        <f>IFERROR(__xludf.DUMMYFUNCTION("""COMPUTED_VALUE"""),"")</f>
        <v/>
      </c>
      <c r="P689" s="71" t="str">
        <f>IFERROR(__xludf.DUMMYFUNCTION("""COMPUTED_VALUE"""),"")</f>
        <v/>
      </c>
      <c r="Q689" s="78" t="str">
        <f>IFERROR(__xludf.DUMMYFUNCTION("""COMPUTED_VALUE"""),"")</f>
        <v/>
      </c>
      <c r="R689" s="78" t="str">
        <f>IFERROR(__xludf.DUMMYFUNCTION("""COMPUTED_VALUE"""),"")</f>
        <v/>
      </c>
      <c r="S689" s="80" t="str">
        <f>IFERROR(__xludf.DUMMYFUNCTION("""COMPUTED_VALUE"""),"")</f>
        <v/>
      </c>
      <c r="T689" s="80" t="str">
        <f>IFERROR(__xludf.DUMMYFUNCTION("""COMPUTED_VALUE"""),"")</f>
        <v/>
      </c>
      <c r="U689" s="71" t="str">
        <f>IFERROR(__xludf.DUMMYFUNCTION("""COMPUTED_VALUE"""),"")</f>
        <v/>
      </c>
      <c r="V689" s="78" t="str">
        <f>IFERROR(__xludf.DUMMYFUNCTION("""COMPUTED_VALUE"""),"")</f>
        <v/>
      </c>
      <c r="W689" s="62" t="str">
        <f>IFERROR(__xludf.DUMMYFUNCTION("""COMPUTED_VALUE"""),"")</f>
        <v/>
      </c>
      <c r="X689" s="80" t="str">
        <f>IFERROR(__xludf.DUMMYFUNCTION("""COMPUTED_VALUE"""),"")</f>
        <v/>
      </c>
      <c r="Y689" s="109" t="str">
        <f>IFERROR(__xludf.DUMMYFUNCTION("""COMPUTED_VALUE"""),"")</f>
        <v/>
      </c>
      <c r="Z689" s="71"/>
      <c r="AA689" s="71"/>
      <c r="AB689" s="71"/>
    </row>
    <row r="690">
      <c r="A690" s="71"/>
      <c r="B690" s="71"/>
      <c r="C690" s="71" t="str">
        <f>IFERROR(__xludf.DUMMYFUNCTION("""COMPUTED_VALUE"""),"")</f>
        <v/>
      </c>
      <c r="D690" s="71"/>
      <c r="E690" s="78"/>
      <c r="F690" s="71"/>
      <c r="G690" s="78" t="str">
        <f>IFERROR(__xludf.DUMMYFUNCTION("""COMPUTED_VALUE"""),"")</f>
        <v/>
      </c>
      <c r="H690" s="71"/>
      <c r="I690" s="80" t="str">
        <f>IFERROR(__xludf.DUMMYFUNCTION("""COMPUTED_VALUE"""),"")</f>
        <v/>
      </c>
      <c r="J690" s="71" t="str">
        <f>IFERROR(__xludf.DUMMYFUNCTION("""COMPUTED_VALUE"""),"")</f>
        <v/>
      </c>
      <c r="K690" s="71"/>
      <c r="L690" s="71" t="str">
        <f>IFERROR(__xludf.DUMMYFUNCTION("""COMPUTED_VALUE"""),"")</f>
        <v/>
      </c>
      <c r="M690" s="71"/>
      <c r="N690" s="109" t="str">
        <f>IFERROR(__xludf.DUMMYFUNCTION("""COMPUTED_VALUE"""),"")</f>
        <v/>
      </c>
      <c r="O690" s="71" t="str">
        <f>IFERROR(__xludf.DUMMYFUNCTION("""COMPUTED_VALUE"""),"")</f>
        <v/>
      </c>
      <c r="P690" s="71" t="str">
        <f>IFERROR(__xludf.DUMMYFUNCTION("""COMPUTED_VALUE"""),"")</f>
        <v/>
      </c>
      <c r="Q690" s="78" t="str">
        <f>IFERROR(__xludf.DUMMYFUNCTION("""COMPUTED_VALUE"""),"")</f>
        <v/>
      </c>
      <c r="R690" s="78" t="str">
        <f>IFERROR(__xludf.DUMMYFUNCTION("""COMPUTED_VALUE"""),"")</f>
        <v/>
      </c>
      <c r="S690" s="80" t="str">
        <f>IFERROR(__xludf.DUMMYFUNCTION("""COMPUTED_VALUE"""),"")</f>
        <v/>
      </c>
      <c r="T690" s="80" t="str">
        <f>IFERROR(__xludf.DUMMYFUNCTION("""COMPUTED_VALUE"""),"")</f>
        <v/>
      </c>
      <c r="U690" s="71" t="str">
        <f>IFERROR(__xludf.DUMMYFUNCTION("""COMPUTED_VALUE"""),"")</f>
        <v/>
      </c>
      <c r="V690" s="78" t="str">
        <f>IFERROR(__xludf.DUMMYFUNCTION("""COMPUTED_VALUE"""),"")</f>
        <v/>
      </c>
      <c r="W690" s="62" t="str">
        <f>IFERROR(__xludf.DUMMYFUNCTION("""COMPUTED_VALUE"""),"")</f>
        <v/>
      </c>
      <c r="X690" s="80" t="str">
        <f>IFERROR(__xludf.DUMMYFUNCTION("""COMPUTED_VALUE"""),"")</f>
        <v/>
      </c>
      <c r="Y690" s="109" t="str">
        <f>IFERROR(__xludf.DUMMYFUNCTION("""COMPUTED_VALUE"""),"")</f>
        <v/>
      </c>
      <c r="Z690" s="71"/>
      <c r="AA690" s="71"/>
      <c r="AB690" s="71"/>
    </row>
    <row r="691">
      <c r="A691" s="71"/>
      <c r="B691" s="71"/>
      <c r="C691" s="71" t="str">
        <f>IFERROR(__xludf.DUMMYFUNCTION("""COMPUTED_VALUE"""),"")</f>
        <v/>
      </c>
      <c r="D691" s="71"/>
      <c r="E691" s="78"/>
      <c r="F691" s="71"/>
      <c r="G691" s="78" t="str">
        <f>IFERROR(__xludf.DUMMYFUNCTION("""COMPUTED_VALUE"""),"")</f>
        <v/>
      </c>
      <c r="H691" s="71"/>
      <c r="I691" s="80" t="str">
        <f>IFERROR(__xludf.DUMMYFUNCTION("""COMPUTED_VALUE"""),"")</f>
        <v/>
      </c>
      <c r="J691" s="71" t="str">
        <f>IFERROR(__xludf.DUMMYFUNCTION("""COMPUTED_VALUE"""),"")</f>
        <v/>
      </c>
      <c r="K691" s="71"/>
      <c r="L691" s="71" t="str">
        <f>IFERROR(__xludf.DUMMYFUNCTION("""COMPUTED_VALUE"""),"")</f>
        <v/>
      </c>
      <c r="M691" s="71"/>
      <c r="N691" s="109" t="str">
        <f>IFERROR(__xludf.DUMMYFUNCTION("""COMPUTED_VALUE"""),"")</f>
        <v/>
      </c>
      <c r="O691" s="71" t="str">
        <f>IFERROR(__xludf.DUMMYFUNCTION("""COMPUTED_VALUE"""),"")</f>
        <v/>
      </c>
      <c r="P691" s="71" t="str">
        <f>IFERROR(__xludf.DUMMYFUNCTION("""COMPUTED_VALUE"""),"")</f>
        <v/>
      </c>
      <c r="Q691" s="78" t="str">
        <f>IFERROR(__xludf.DUMMYFUNCTION("""COMPUTED_VALUE"""),"")</f>
        <v/>
      </c>
      <c r="R691" s="78" t="str">
        <f>IFERROR(__xludf.DUMMYFUNCTION("""COMPUTED_VALUE"""),"")</f>
        <v/>
      </c>
      <c r="S691" s="80" t="str">
        <f>IFERROR(__xludf.DUMMYFUNCTION("""COMPUTED_VALUE"""),"")</f>
        <v/>
      </c>
      <c r="T691" s="80" t="str">
        <f>IFERROR(__xludf.DUMMYFUNCTION("""COMPUTED_VALUE"""),"")</f>
        <v/>
      </c>
      <c r="U691" s="71" t="str">
        <f>IFERROR(__xludf.DUMMYFUNCTION("""COMPUTED_VALUE"""),"")</f>
        <v/>
      </c>
      <c r="V691" s="78" t="str">
        <f>IFERROR(__xludf.DUMMYFUNCTION("""COMPUTED_VALUE"""),"")</f>
        <v/>
      </c>
      <c r="W691" s="62" t="str">
        <f>IFERROR(__xludf.DUMMYFUNCTION("""COMPUTED_VALUE"""),"")</f>
        <v/>
      </c>
      <c r="X691" s="80" t="str">
        <f>IFERROR(__xludf.DUMMYFUNCTION("""COMPUTED_VALUE"""),"")</f>
        <v/>
      </c>
      <c r="Y691" s="109" t="str">
        <f>IFERROR(__xludf.DUMMYFUNCTION("""COMPUTED_VALUE"""),"")</f>
        <v/>
      </c>
      <c r="Z691" s="71"/>
      <c r="AA691" s="71"/>
      <c r="AB691" s="71"/>
    </row>
    <row r="692">
      <c r="A692" s="71"/>
      <c r="B692" s="71"/>
      <c r="C692" s="71" t="str">
        <f>IFERROR(__xludf.DUMMYFUNCTION("""COMPUTED_VALUE"""),"")</f>
        <v/>
      </c>
      <c r="D692" s="71"/>
      <c r="E692" s="78"/>
      <c r="F692" s="71"/>
      <c r="G692" s="78" t="str">
        <f>IFERROR(__xludf.DUMMYFUNCTION("""COMPUTED_VALUE"""),"")</f>
        <v/>
      </c>
      <c r="H692" s="71"/>
      <c r="I692" s="80" t="str">
        <f>IFERROR(__xludf.DUMMYFUNCTION("""COMPUTED_VALUE"""),"")</f>
        <v/>
      </c>
      <c r="J692" s="71" t="str">
        <f>IFERROR(__xludf.DUMMYFUNCTION("""COMPUTED_VALUE"""),"")</f>
        <v/>
      </c>
      <c r="K692" s="71"/>
      <c r="L692" s="71" t="str">
        <f>IFERROR(__xludf.DUMMYFUNCTION("""COMPUTED_VALUE"""),"")</f>
        <v/>
      </c>
      <c r="M692" s="71"/>
      <c r="N692" s="109" t="str">
        <f>IFERROR(__xludf.DUMMYFUNCTION("""COMPUTED_VALUE"""),"")</f>
        <v/>
      </c>
      <c r="O692" s="71" t="str">
        <f>IFERROR(__xludf.DUMMYFUNCTION("""COMPUTED_VALUE"""),"")</f>
        <v/>
      </c>
      <c r="P692" s="71" t="str">
        <f>IFERROR(__xludf.DUMMYFUNCTION("""COMPUTED_VALUE"""),"")</f>
        <v/>
      </c>
      <c r="Q692" s="78" t="str">
        <f>IFERROR(__xludf.DUMMYFUNCTION("""COMPUTED_VALUE"""),"")</f>
        <v/>
      </c>
      <c r="R692" s="78" t="str">
        <f>IFERROR(__xludf.DUMMYFUNCTION("""COMPUTED_VALUE"""),"")</f>
        <v/>
      </c>
      <c r="S692" s="80" t="str">
        <f>IFERROR(__xludf.DUMMYFUNCTION("""COMPUTED_VALUE"""),"")</f>
        <v/>
      </c>
      <c r="T692" s="80" t="str">
        <f>IFERROR(__xludf.DUMMYFUNCTION("""COMPUTED_VALUE"""),"")</f>
        <v/>
      </c>
      <c r="U692" s="71" t="str">
        <f>IFERROR(__xludf.DUMMYFUNCTION("""COMPUTED_VALUE"""),"")</f>
        <v/>
      </c>
      <c r="V692" s="78" t="str">
        <f>IFERROR(__xludf.DUMMYFUNCTION("""COMPUTED_VALUE"""),"")</f>
        <v/>
      </c>
      <c r="W692" s="62" t="str">
        <f>IFERROR(__xludf.DUMMYFUNCTION("""COMPUTED_VALUE"""),"")</f>
        <v/>
      </c>
      <c r="X692" s="80" t="str">
        <f>IFERROR(__xludf.DUMMYFUNCTION("""COMPUTED_VALUE"""),"")</f>
        <v/>
      </c>
      <c r="Y692" s="109" t="str">
        <f>IFERROR(__xludf.DUMMYFUNCTION("""COMPUTED_VALUE"""),"")</f>
        <v/>
      </c>
      <c r="Z692" s="71"/>
      <c r="AA692" s="71"/>
      <c r="AB692" s="71"/>
    </row>
    <row r="693">
      <c r="A693" s="71"/>
      <c r="B693" s="71"/>
      <c r="C693" s="71" t="str">
        <f>IFERROR(__xludf.DUMMYFUNCTION("""COMPUTED_VALUE"""),"")</f>
        <v/>
      </c>
      <c r="D693" s="71"/>
      <c r="E693" s="78"/>
      <c r="F693" s="71"/>
      <c r="G693" s="78" t="str">
        <f>IFERROR(__xludf.DUMMYFUNCTION("""COMPUTED_VALUE"""),"")</f>
        <v/>
      </c>
      <c r="H693" s="71"/>
      <c r="I693" s="80" t="str">
        <f>IFERROR(__xludf.DUMMYFUNCTION("""COMPUTED_VALUE"""),"")</f>
        <v/>
      </c>
      <c r="J693" s="71" t="str">
        <f>IFERROR(__xludf.DUMMYFUNCTION("""COMPUTED_VALUE"""),"")</f>
        <v/>
      </c>
      <c r="K693" s="71"/>
      <c r="L693" s="71" t="str">
        <f>IFERROR(__xludf.DUMMYFUNCTION("""COMPUTED_VALUE"""),"")</f>
        <v/>
      </c>
      <c r="M693" s="71"/>
      <c r="N693" s="109" t="str">
        <f>IFERROR(__xludf.DUMMYFUNCTION("""COMPUTED_VALUE"""),"")</f>
        <v/>
      </c>
      <c r="O693" s="71" t="str">
        <f>IFERROR(__xludf.DUMMYFUNCTION("""COMPUTED_VALUE"""),"")</f>
        <v/>
      </c>
      <c r="P693" s="71" t="str">
        <f>IFERROR(__xludf.DUMMYFUNCTION("""COMPUTED_VALUE"""),"")</f>
        <v/>
      </c>
      <c r="Q693" s="78" t="str">
        <f>IFERROR(__xludf.DUMMYFUNCTION("""COMPUTED_VALUE"""),"")</f>
        <v/>
      </c>
      <c r="R693" s="78" t="str">
        <f>IFERROR(__xludf.DUMMYFUNCTION("""COMPUTED_VALUE"""),"")</f>
        <v/>
      </c>
      <c r="S693" s="80" t="str">
        <f>IFERROR(__xludf.DUMMYFUNCTION("""COMPUTED_VALUE"""),"")</f>
        <v/>
      </c>
      <c r="T693" s="80" t="str">
        <f>IFERROR(__xludf.DUMMYFUNCTION("""COMPUTED_VALUE"""),"")</f>
        <v/>
      </c>
      <c r="U693" s="71" t="str">
        <f>IFERROR(__xludf.DUMMYFUNCTION("""COMPUTED_VALUE"""),"")</f>
        <v/>
      </c>
      <c r="V693" s="78" t="str">
        <f>IFERROR(__xludf.DUMMYFUNCTION("""COMPUTED_VALUE"""),"")</f>
        <v/>
      </c>
      <c r="W693" s="62" t="str">
        <f>IFERROR(__xludf.DUMMYFUNCTION("""COMPUTED_VALUE"""),"")</f>
        <v/>
      </c>
      <c r="X693" s="80" t="str">
        <f>IFERROR(__xludf.DUMMYFUNCTION("""COMPUTED_VALUE"""),"")</f>
        <v/>
      </c>
      <c r="Y693" s="109" t="str">
        <f>IFERROR(__xludf.DUMMYFUNCTION("""COMPUTED_VALUE"""),"")</f>
        <v/>
      </c>
      <c r="Z693" s="71"/>
      <c r="AA693" s="71"/>
      <c r="AB693" s="71"/>
    </row>
    <row r="694">
      <c r="A694" s="71"/>
      <c r="B694" s="71"/>
      <c r="C694" s="71" t="str">
        <f>IFERROR(__xludf.DUMMYFUNCTION("""COMPUTED_VALUE"""),"")</f>
        <v/>
      </c>
      <c r="D694" s="71"/>
      <c r="E694" s="78"/>
      <c r="F694" s="71"/>
      <c r="G694" s="78" t="str">
        <f>IFERROR(__xludf.DUMMYFUNCTION("""COMPUTED_VALUE"""),"")</f>
        <v/>
      </c>
      <c r="H694" s="71"/>
      <c r="I694" s="80" t="str">
        <f>IFERROR(__xludf.DUMMYFUNCTION("""COMPUTED_VALUE"""),"")</f>
        <v/>
      </c>
      <c r="J694" s="71" t="str">
        <f>IFERROR(__xludf.DUMMYFUNCTION("""COMPUTED_VALUE"""),"")</f>
        <v/>
      </c>
      <c r="K694" s="71"/>
      <c r="L694" s="71" t="str">
        <f>IFERROR(__xludf.DUMMYFUNCTION("""COMPUTED_VALUE"""),"")</f>
        <v/>
      </c>
      <c r="M694" s="71"/>
      <c r="N694" s="109" t="str">
        <f>IFERROR(__xludf.DUMMYFUNCTION("""COMPUTED_VALUE"""),"")</f>
        <v/>
      </c>
      <c r="O694" s="71" t="str">
        <f>IFERROR(__xludf.DUMMYFUNCTION("""COMPUTED_VALUE"""),"")</f>
        <v/>
      </c>
      <c r="P694" s="71" t="str">
        <f>IFERROR(__xludf.DUMMYFUNCTION("""COMPUTED_VALUE"""),"")</f>
        <v/>
      </c>
      <c r="Q694" s="78" t="str">
        <f>IFERROR(__xludf.DUMMYFUNCTION("""COMPUTED_VALUE"""),"")</f>
        <v/>
      </c>
      <c r="R694" s="78" t="str">
        <f>IFERROR(__xludf.DUMMYFUNCTION("""COMPUTED_VALUE"""),"")</f>
        <v/>
      </c>
      <c r="S694" s="80" t="str">
        <f>IFERROR(__xludf.DUMMYFUNCTION("""COMPUTED_VALUE"""),"")</f>
        <v/>
      </c>
      <c r="T694" s="80" t="str">
        <f>IFERROR(__xludf.DUMMYFUNCTION("""COMPUTED_VALUE"""),"")</f>
        <v/>
      </c>
      <c r="U694" s="71" t="str">
        <f>IFERROR(__xludf.DUMMYFUNCTION("""COMPUTED_VALUE"""),"")</f>
        <v/>
      </c>
      <c r="V694" s="78" t="str">
        <f>IFERROR(__xludf.DUMMYFUNCTION("""COMPUTED_VALUE"""),"")</f>
        <v/>
      </c>
      <c r="W694" s="62" t="str">
        <f>IFERROR(__xludf.DUMMYFUNCTION("""COMPUTED_VALUE"""),"")</f>
        <v/>
      </c>
      <c r="X694" s="80" t="str">
        <f>IFERROR(__xludf.DUMMYFUNCTION("""COMPUTED_VALUE"""),"")</f>
        <v/>
      </c>
      <c r="Y694" s="109" t="str">
        <f>IFERROR(__xludf.DUMMYFUNCTION("""COMPUTED_VALUE"""),"")</f>
        <v/>
      </c>
      <c r="Z694" s="71"/>
      <c r="AA694" s="71"/>
      <c r="AB694" s="71"/>
    </row>
    <row r="695">
      <c r="A695" s="71"/>
      <c r="B695" s="71"/>
      <c r="C695" s="71" t="str">
        <f>IFERROR(__xludf.DUMMYFUNCTION("""COMPUTED_VALUE"""),"")</f>
        <v/>
      </c>
      <c r="D695" s="71"/>
      <c r="E695" s="78"/>
      <c r="F695" s="71"/>
      <c r="G695" s="78" t="str">
        <f>IFERROR(__xludf.DUMMYFUNCTION("""COMPUTED_VALUE"""),"")</f>
        <v/>
      </c>
      <c r="H695" s="71"/>
      <c r="I695" s="80" t="str">
        <f>IFERROR(__xludf.DUMMYFUNCTION("""COMPUTED_VALUE"""),"")</f>
        <v/>
      </c>
      <c r="J695" s="71" t="str">
        <f>IFERROR(__xludf.DUMMYFUNCTION("""COMPUTED_VALUE"""),"")</f>
        <v/>
      </c>
      <c r="K695" s="71"/>
      <c r="L695" s="71" t="str">
        <f>IFERROR(__xludf.DUMMYFUNCTION("""COMPUTED_VALUE"""),"")</f>
        <v/>
      </c>
      <c r="M695" s="71"/>
      <c r="N695" s="109" t="str">
        <f>IFERROR(__xludf.DUMMYFUNCTION("""COMPUTED_VALUE"""),"")</f>
        <v/>
      </c>
      <c r="O695" s="71" t="str">
        <f>IFERROR(__xludf.DUMMYFUNCTION("""COMPUTED_VALUE"""),"")</f>
        <v/>
      </c>
      <c r="P695" s="71" t="str">
        <f>IFERROR(__xludf.DUMMYFUNCTION("""COMPUTED_VALUE"""),"")</f>
        <v/>
      </c>
      <c r="Q695" s="78" t="str">
        <f>IFERROR(__xludf.DUMMYFUNCTION("""COMPUTED_VALUE"""),"")</f>
        <v/>
      </c>
      <c r="R695" s="78" t="str">
        <f>IFERROR(__xludf.DUMMYFUNCTION("""COMPUTED_VALUE"""),"")</f>
        <v/>
      </c>
      <c r="S695" s="80" t="str">
        <f>IFERROR(__xludf.DUMMYFUNCTION("""COMPUTED_VALUE"""),"")</f>
        <v/>
      </c>
      <c r="T695" s="80" t="str">
        <f>IFERROR(__xludf.DUMMYFUNCTION("""COMPUTED_VALUE"""),"")</f>
        <v/>
      </c>
      <c r="U695" s="71" t="str">
        <f>IFERROR(__xludf.DUMMYFUNCTION("""COMPUTED_VALUE"""),"")</f>
        <v/>
      </c>
      <c r="V695" s="78" t="str">
        <f>IFERROR(__xludf.DUMMYFUNCTION("""COMPUTED_VALUE"""),"")</f>
        <v/>
      </c>
      <c r="W695" s="62" t="str">
        <f>IFERROR(__xludf.DUMMYFUNCTION("""COMPUTED_VALUE"""),"")</f>
        <v/>
      </c>
      <c r="X695" s="80" t="str">
        <f>IFERROR(__xludf.DUMMYFUNCTION("""COMPUTED_VALUE"""),"")</f>
        <v/>
      </c>
      <c r="Y695" s="109" t="str">
        <f>IFERROR(__xludf.DUMMYFUNCTION("""COMPUTED_VALUE"""),"")</f>
        <v/>
      </c>
      <c r="Z695" s="71"/>
      <c r="AA695" s="71"/>
      <c r="AB695" s="71"/>
    </row>
    <row r="696">
      <c r="A696" s="71"/>
      <c r="B696" s="71"/>
      <c r="C696" s="71" t="str">
        <f>IFERROR(__xludf.DUMMYFUNCTION("""COMPUTED_VALUE"""),"")</f>
        <v/>
      </c>
      <c r="D696" s="71"/>
      <c r="E696" s="78"/>
      <c r="F696" s="71"/>
      <c r="G696" s="78" t="str">
        <f>IFERROR(__xludf.DUMMYFUNCTION("""COMPUTED_VALUE"""),"")</f>
        <v/>
      </c>
      <c r="H696" s="71"/>
      <c r="I696" s="80" t="str">
        <f>IFERROR(__xludf.DUMMYFUNCTION("""COMPUTED_VALUE"""),"")</f>
        <v/>
      </c>
      <c r="J696" s="71" t="str">
        <f>IFERROR(__xludf.DUMMYFUNCTION("""COMPUTED_VALUE"""),"")</f>
        <v/>
      </c>
      <c r="K696" s="71"/>
      <c r="L696" s="71" t="str">
        <f>IFERROR(__xludf.DUMMYFUNCTION("""COMPUTED_VALUE"""),"")</f>
        <v/>
      </c>
      <c r="M696" s="71"/>
      <c r="N696" s="109" t="str">
        <f>IFERROR(__xludf.DUMMYFUNCTION("""COMPUTED_VALUE"""),"")</f>
        <v/>
      </c>
      <c r="O696" s="71" t="str">
        <f>IFERROR(__xludf.DUMMYFUNCTION("""COMPUTED_VALUE"""),"")</f>
        <v/>
      </c>
      <c r="P696" s="71" t="str">
        <f>IFERROR(__xludf.DUMMYFUNCTION("""COMPUTED_VALUE"""),"")</f>
        <v/>
      </c>
      <c r="Q696" s="78" t="str">
        <f>IFERROR(__xludf.DUMMYFUNCTION("""COMPUTED_VALUE"""),"")</f>
        <v/>
      </c>
      <c r="R696" s="78" t="str">
        <f>IFERROR(__xludf.DUMMYFUNCTION("""COMPUTED_VALUE"""),"")</f>
        <v/>
      </c>
      <c r="S696" s="80" t="str">
        <f>IFERROR(__xludf.DUMMYFUNCTION("""COMPUTED_VALUE"""),"")</f>
        <v/>
      </c>
      <c r="T696" s="80" t="str">
        <f>IFERROR(__xludf.DUMMYFUNCTION("""COMPUTED_VALUE"""),"")</f>
        <v/>
      </c>
      <c r="U696" s="71" t="str">
        <f>IFERROR(__xludf.DUMMYFUNCTION("""COMPUTED_VALUE"""),"")</f>
        <v/>
      </c>
      <c r="V696" s="78" t="str">
        <f>IFERROR(__xludf.DUMMYFUNCTION("""COMPUTED_VALUE"""),"")</f>
        <v/>
      </c>
      <c r="W696" s="62" t="str">
        <f>IFERROR(__xludf.DUMMYFUNCTION("""COMPUTED_VALUE"""),"")</f>
        <v/>
      </c>
      <c r="X696" s="80" t="str">
        <f>IFERROR(__xludf.DUMMYFUNCTION("""COMPUTED_VALUE"""),"")</f>
        <v/>
      </c>
      <c r="Y696" s="109" t="str">
        <f>IFERROR(__xludf.DUMMYFUNCTION("""COMPUTED_VALUE"""),"")</f>
        <v/>
      </c>
      <c r="Z696" s="71"/>
      <c r="AA696" s="71"/>
      <c r="AB696" s="71"/>
    </row>
    <row r="697">
      <c r="A697" s="71"/>
      <c r="B697" s="71"/>
      <c r="C697" s="71" t="str">
        <f>IFERROR(__xludf.DUMMYFUNCTION("""COMPUTED_VALUE"""),"")</f>
        <v/>
      </c>
      <c r="D697" s="71"/>
      <c r="E697" s="78"/>
      <c r="F697" s="71"/>
      <c r="G697" s="78" t="str">
        <f>IFERROR(__xludf.DUMMYFUNCTION("""COMPUTED_VALUE"""),"")</f>
        <v/>
      </c>
      <c r="H697" s="71"/>
      <c r="I697" s="80" t="str">
        <f>IFERROR(__xludf.DUMMYFUNCTION("""COMPUTED_VALUE"""),"")</f>
        <v/>
      </c>
      <c r="J697" s="71" t="str">
        <f>IFERROR(__xludf.DUMMYFUNCTION("""COMPUTED_VALUE"""),"")</f>
        <v/>
      </c>
      <c r="K697" s="71"/>
      <c r="L697" s="71" t="str">
        <f>IFERROR(__xludf.DUMMYFUNCTION("""COMPUTED_VALUE"""),"")</f>
        <v/>
      </c>
      <c r="M697" s="71"/>
      <c r="N697" s="109" t="str">
        <f>IFERROR(__xludf.DUMMYFUNCTION("""COMPUTED_VALUE"""),"")</f>
        <v/>
      </c>
      <c r="O697" s="71" t="str">
        <f>IFERROR(__xludf.DUMMYFUNCTION("""COMPUTED_VALUE"""),"")</f>
        <v/>
      </c>
      <c r="P697" s="71" t="str">
        <f>IFERROR(__xludf.DUMMYFUNCTION("""COMPUTED_VALUE"""),"")</f>
        <v/>
      </c>
      <c r="Q697" s="78" t="str">
        <f>IFERROR(__xludf.DUMMYFUNCTION("""COMPUTED_VALUE"""),"")</f>
        <v/>
      </c>
      <c r="R697" s="78" t="str">
        <f>IFERROR(__xludf.DUMMYFUNCTION("""COMPUTED_VALUE"""),"")</f>
        <v/>
      </c>
      <c r="S697" s="80" t="str">
        <f>IFERROR(__xludf.DUMMYFUNCTION("""COMPUTED_VALUE"""),"")</f>
        <v/>
      </c>
      <c r="T697" s="80" t="str">
        <f>IFERROR(__xludf.DUMMYFUNCTION("""COMPUTED_VALUE"""),"")</f>
        <v/>
      </c>
      <c r="U697" s="71" t="str">
        <f>IFERROR(__xludf.DUMMYFUNCTION("""COMPUTED_VALUE"""),"")</f>
        <v/>
      </c>
      <c r="V697" s="78" t="str">
        <f>IFERROR(__xludf.DUMMYFUNCTION("""COMPUTED_VALUE"""),"")</f>
        <v/>
      </c>
      <c r="W697" s="62" t="str">
        <f>IFERROR(__xludf.DUMMYFUNCTION("""COMPUTED_VALUE"""),"")</f>
        <v/>
      </c>
      <c r="X697" s="80" t="str">
        <f>IFERROR(__xludf.DUMMYFUNCTION("""COMPUTED_VALUE"""),"")</f>
        <v/>
      </c>
      <c r="Y697" s="109" t="str">
        <f>IFERROR(__xludf.DUMMYFUNCTION("""COMPUTED_VALUE"""),"")</f>
        <v/>
      </c>
      <c r="Z697" s="71"/>
      <c r="AA697" s="71"/>
      <c r="AB697" s="71"/>
    </row>
    <row r="698">
      <c r="A698" s="71"/>
      <c r="B698" s="71"/>
      <c r="C698" s="71" t="str">
        <f>IFERROR(__xludf.DUMMYFUNCTION("""COMPUTED_VALUE"""),"")</f>
        <v/>
      </c>
      <c r="D698" s="71"/>
      <c r="E698" s="78"/>
      <c r="F698" s="71"/>
      <c r="G698" s="78" t="str">
        <f>IFERROR(__xludf.DUMMYFUNCTION("""COMPUTED_VALUE"""),"")</f>
        <v/>
      </c>
      <c r="H698" s="71"/>
      <c r="I698" s="80" t="str">
        <f>IFERROR(__xludf.DUMMYFUNCTION("""COMPUTED_VALUE"""),"")</f>
        <v/>
      </c>
      <c r="J698" s="71" t="str">
        <f>IFERROR(__xludf.DUMMYFUNCTION("""COMPUTED_VALUE"""),"")</f>
        <v/>
      </c>
      <c r="K698" s="71"/>
      <c r="L698" s="71" t="str">
        <f>IFERROR(__xludf.DUMMYFUNCTION("""COMPUTED_VALUE"""),"")</f>
        <v/>
      </c>
      <c r="M698" s="71"/>
      <c r="N698" s="109" t="str">
        <f>IFERROR(__xludf.DUMMYFUNCTION("""COMPUTED_VALUE"""),"")</f>
        <v/>
      </c>
      <c r="O698" s="71" t="str">
        <f>IFERROR(__xludf.DUMMYFUNCTION("""COMPUTED_VALUE"""),"")</f>
        <v/>
      </c>
      <c r="P698" s="71" t="str">
        <f>IFERROR(__xludf.DUMMYFUNCTION("""COMPUTED_VALUE"""),"")</f>
        <v/>
      </c>
      <c r="Q698" s="78" t="str">
        <f>IFERROR(__xludf.DUMMYFUNCTION("""COMPUTED_VALUE"""),"")</f>
        <v/>
      </c>
      <c r="R698" s="78" t="str">
        <f>IFERROR(__xludf.DUMMYFUNCTION("""COMPUTED_VALUE"""),"")</f>
        <v/>
      </c>
      <c r="S698" s="80" t="str">
        <f>IFERROR(__xludf.DUMMYFUNCTION("""COMPUTED_VALUE"""),"")</f>
        <v/>
      </c>
      <c r="T698" s="80" t="str">
        <f>IFERROR(__xludf.DUMMYFUNCTION("""COMPUTED_VALUE"""),"")</f>
        <v/>
      </c>
      <c r="U698" s="71" t="str">
        <f>IFERROR(__xludf.DUMMYFUNCTION("""COMPUTED_VALUE"""),"")</f>
        <v/>
      </c>
      <c r="V698" s="78" t="str">
        <f>IFERROR(__xludf.DUMMYFUNCTION("""COMPUTED_VALUE"""),"")</f>
        <v/>
      </c>
      <c r="W698" s="62" t="str">
        <f>IFERROR(__xludf.DUMMYFUNCTION("""COMPUTED_VALUE"""),"")</f>
        <v/>
      </c>
      <c r="X698" s="80" t="str">
        <f>IFERROR(__xludf.DUMMYFUNCTION("""COMPUTED_VALUE"""),"")</f>
        <v/>
      </c>
      <c r="Y698" s="109" t="str">
        <f>IFERROR(__xludf.DUMMYFUNCTION("""COMPUTED_VALUE"""),"")</f>
        <v/>
      </c>
      <c r="Z698" s="71"/>
      <c r="AA698" s="71"/>
      <c r="AB698" s="71"/>
    </row>
    <row r="699">
      <c r="A699" s="71"/>
      <c r="B699" s="71"/>
      <c r="C699" s="71" t="str">
        <f>IFERROR(__xludf.DUMMYFUNCTION("""COMPUTED_VALUE"""),"")</f>
        <v/>
      </c>
      <c r="D699" s="71"/>
      <c r="E699" s="78"/>
      <c r="F699" s="71"/>
      <c r="G699" s="78" t="str">
        <f>IFERROR(__xludf.DUMMYFUNCTION("""COMPUTED_VALUE"""),"")</f>
        <v/>
      </c>
      <c r="H699" s="71"/>
      <c r="I699" s="80" t="str">
        <f>IFERROR(__xludf.DUMMYFUNCTION("""COMPUTED_VALUE"""),"")</f>
        <v/>
      </c>
      <c r="J699" s="71" t="str">
        <f>IFERROR(__xludf.DUMMYFUNCTION("""COMPUTED_VALUE"""),"")</f>
        <v/>
      </c>
      <c r="K699" s="71"/>
      <c r="L699" s="71" t="str">
        <f>IFERROR(__xludf.DUMMYFUNCTION("""COMPUTED_VALUE"""),"")</f>
        <v/>
      </c>
      <c r="M699" s="71"/>
      <c r="N699" s="109" t="str">
        <f>IFERROR(__xludf.DUMMYFUNCTION("""COMPUTED_VALUE"""),"")</f>
        <v/>
      </c>
      <c r="O699" s="71" t="str">
        <f>IFERROR(__xludf.DUMMYFUNCTION("""COMPUTED_VALUE"""),"")</f>
        <v/>
      </c>
      <c r="P699" s="71" t="str">
        <f>IFERROR(__xludf.DUMMYFUNCTION("""COMPUTED_VALUE"""),"")</f>
        <v/>
      </c>
      <c r="Q699" s="78" t="str">
        <f>IFERROR(__xludf.DUMMYFUNCTION("""COMPUTED_VALUE"""),"")</f>
        <v/>
      </c>
      <c r="R699" s="78" t="str">
        <f>IFERROR(__xludf.DUMMYFUNCTION("""COMPUTED_VALUE"""),"")</f>
        <v/>
      </c>
      <c r="S699" s="80" t="str">
        <f>IFERROR(__xludf.DUMMYFUNCTION("""COMPUTED_VALUE"""),"")</f>
        <v/>
      </c>
      <c r="T699" s="80" t="str">
        <f>IFERROR(__xludf.DUMMYFUNCTION("""COMPUTED_VALUE"""),"")</f>
        <v/>
      </c>
      <c r="U699" s="71" t="str">
        <f>IFERROR(__xludf.DUMMYFUNCTION("""COMPUTED_VALUE"""),"")</f>
        <v/>
      </c>
      <c r="V699" s="78" t="str">
        <f>IFERROR(__xludf.DUMMYFUNCTION("""COMPUTED_VALUE"""),"")</f>
        <v/>
      </c>
      <c r="W699" s="62" t="str">
        <f>IFERROR(__xludf.DUMMYFUNCTION("""COMPUTED_VALUE"""),"")</f>
        <v/>
      </c>
      <c r="X699" s="80" t="str">
        <f>IFERROR(__xludf.DUMMYFUNCTION("""COMPUTED_VALUE"""),"")</f>
        <v/>
      </c>
      <c r="Y699" s="109" t="str">
        <f>IFERROR(__xludf.DUMMYFUNCTION("""COMPUTED_VALUE"""),"")</f>
        <v/>
      </c>
      <c r="Z699" s="71"/>
      <c r="AA699" s="71"/>
      <c r="AB699" s="71"/>
    </row>
    <row r="700">
      <c r="A700" s="71"/>
      <c r="B700" s="71"/>
      <c r="C700" s="71" t="str">
        <f>IFERROR(__xludf.DUMMYFUNCTION("""COMPUTED_VALUE"""),"")</f>
        <v/>
      </c>
      <c r="D700" s="71"/>
      <c r="E700" s="78"/>
      <c r="F700" s="71"/>
      <c r="G700" s="78" t="str">
        <f>IFERROR(__xludf.DUMMYFUNCTION("""COMPUTED_VALUE"""),"")</f>
        <v/>
      </c>
      <c r="H700" s="71"/>
      <c r="I700" s="80" t="str">
        <f>IFERROR(__xludf.DUMMYFUNCTION("""COMPUTED_VALUE"""),"")</f>
        <v/>
      </c>
      <c r="J700" s="71" t="str">
        <f>IFERROR(__xludf.DUMMYFUNCTION("""COMPUTED_VALUE"""),"")</f>
        <v/>
      </c>
      <c r="K700" s="71"/>
      <c r="L700" s="71" t="str">
        <f>IFERROR(__xludf.DUMMYFUNCTION("""COMPUTED_VALUE"""),"")</f>
        <v/>
      </c>
      <c r="M700" s="71"/>
      <c r="N700" s="109" t="str">
        <f>IFERROR(__xludf.DUMMYFUNCTION("""COMPUTED_VALUE"""),"")</f>
        <v/>
      </c>
      <c r="O700" s="71" t="str">
        <f>IFERROR(__xludf.DUMMYFUNCTION("""COMPUTED_VALUE"""),"")</f>
        <v/>
      </c>
      <c r="P700" s="71" t="str">
        <f>IFERROR(__xludf.DUMMYFUNCTION("""COMPUTED_VALUE"""),"")</f>
        <v/>
      </c>
      <c r="Q700" s="78" t="str">
        <f>IFERROR(__xludf.DUMMYFUNCTION("""COMPUTED_VALUE"""),"")</f>
        <v/>
      </c>
      <c r="R700" s="78" t="str">
        <f>IFERROR(__xludf.DUMMYFUNCTION("""COMPUTED_VALUE"""),"")</f>
        <v/>
      </c>
      <c r="S700" s="80" t="str">
        <f>IFERROR(__xludf.DUMMYFUNCTION("""COMPUTED_VALUE"""),"")</f>
        <v/>
      </c>
      <c r="T700" s="80" t="str">
        <f>IFERROR(__xludf.DUMMYFUNCTION("""COMPUTED_VALUE"""),"")</f>
        <v/>
      </c>
      <c r="U700" s="71" t="str">
        <f>IFERROR(__xludf.DUMMYFUNCTION("""COMPUTED_VALUE"""),"")</f>
        <v/>
      </c>
      <c r="V700" s="78" t="str">
        <f>IFERROR(__xludf.DUMMYFUNCTION("""COMPUTED_VALUE"""),"")</f>
        <v/>
      </c>
      <c r="W700" s="62" t="str">
        <f>IFERROR(__xludf.DUMMYFUNCTION("""COMPUTED_VALUE"""),"")</f>
        <v/>
      </c>
      <c r="X700" s="80" t="str">
        <f>IFERROR(__xludf.DUMMYFUNCTION("""COMPUTED_VALUE"""),"")</f>
        <v/>
      </c>
      <c r="Y700" s="109" t="str">
        <f>IFERROR(__xludf.DUMMYFUNCTION("""COMPUTED_VALUE"""),"")</f>
        <v/>
      </c>
      <c r="Z700" s="71"/>
      <c r="AA700" s="71"/>
      <c r="AB700" s="71"/>
    </row>
    <row r="701">
      <c r="A701" s="71"/>
      <c r="B701" s="71"/>
      <c r="C701" s="71" t="str">
        <f>IFERROR(__xludf.DUMMYFUNCTION("""COMPUTED_VALUE"""),"")</f>
        <v/>
      </c>
      <c r="D701" s="71"/>
      <c r="E701" s="78"/>
      <c r="F701" s="71"/>
      <c r="G701" s="78" t="str">
        <f>IFERROR(__xludf.DUMMYFUNCTION("""COMPUTED_VALUE"""),"")</f>
        <v/>
      </c>
      <c r="H701" s="71"/>
      <c r="I701" s="80" t="str">
        <f>IFERROR(__xludf.DUMMYFUNCTION("""COMPUTED_VALUE"""),"")</f>
        <v/>
      </c>
      <c r="J701" s="71" t="str">
        <f>IFERROR(__xludf.DUMMYFUNCTION("""COMPUTED_VALUE"""),"")</f>
        <v/>
      </c>
      <c r="K701" s="71"/>
      <c r="L701" s="71" t="str">
        <f>IFERROR(__xludf.DUMMYFUNCTION("""COMPUTED_VALUE"""),"")</f>
        <v/>
      </c>
      <c r="M701" s="71"/>
      <c r="N701" s="109" t="str">
        <f>IFERROR(__xludf.DUMMYFUNCTION("""COMPUTED_VALUE"""),"")</f>
        <v/>
      </c>
      <c r="O701" s="71" t="str">
        <f>IFERROR(__xludf.DUMMYFUNCTION("""COMPUTED_VALUE"""),"")</f>
        <v/>
      </c>
      <c r="P701" s="71" t="str">
        <f>IFERROR(__xludf.DUMMYFUNCTION("""COMPUTED_VALUE"""),"")</f>
        <v/>
      </c>
      <c r="Q701" s="78" t="str">
        <f>IFERROR(__xludf.DUMMYFUNCTION("""COMPUTED_VALUE"""),"")</f>
        <v/>
      </c>
      <c r="R701" s="78" t="str">
        <f>IFERROR(__xludf.DUMMYFUNCTION("""COMPUTED_VALUE"""),"")</f>
        <v/>
      </c>
      <c r="S701" s="80" t="str">
        <f>IFERROR(__xludf.DUMMYFUNCTION("""COMPUTED_VALUE"""),"")</f>
        <v/>
      </c>
      <c r="T701" s="80" t="str">
        <f>IFERROR(__xludf.DUMMYFUNCTION("""COMPUTED_VALUE"""),"")</f>
        <v/>
      </c>
      <c r="U701" s="71" t="str">
        <f>IFERROR(__xludf.DUMMYFUNCTION("""COMPUTED_VALUE"""),"")</f>
        <v/>
      </c>
      <c r="V701" s="78" t="str">
        <f>IFERROR(__xludf.DUMMYFUNCTION("""COMPUTED_VALUE"""),"")</f>
        <v/>
      </c>
      <c r="W701" s="62" t="str">
        <f>IFERROR(__xludf.DUMMYFUNCTION("""COMPUTED_VALUE"""),"")</f>
        <v/>
      </c>
      <c r="X701" s="80" t="str">
        <f>IFERROR(__xludf.DUMMYFUNCTION("""COMPUTED_VALUE"""),"")</f>
        <v/>
      </c>
      <c r="Y701" s="109" t="str">
        <f>IFERROR(__xludf.DUMMYFUNCTION("""COMPUTED_VALUE"""),"")</f>
        <v/>
      </c>
      <c r="Z701" s="71"/>
      <c r="AA701" s="71"/>
      <c r="AB701" s="71"/>
    </row>
    <row r="702">
      <c r="A702" s="71"/>
      <c r="B702" s="71"/>
      <c r="C702" s="71" t="str">
        <f>IFERROR(__xludf.DUMMYFUNCTION("""COMPUTED_VALUE"""),"")</f>
        <v/>
      </c>
      <c r="D702" s="71"/>
      <c r="E702" s="78"/>
      <c r="F702" s="71"/>
      <c r="G702" s="78" t="str">
        <f>IFERROR(__xludf.DUMMYFUNCTION("""COMPUTED_VALUE"""),"")</f>
        <v/>
      </c>
      <c r="H702" s="71"/>
      <c r="I702" s="80" t="str">
        <f>IFERROR(__xludf.DUMMYFUNCTION("""COMPUTED_VALUE"""),"")</f>
        <v/>
      </c>
      <c r="J702" s="71" t="str">
        <f>IFERROR(__xludf.DUMMYFUNCTION("""COMPUTED_VALUE"""),"")</f>
        <v/>
      </c>
      <c r="K702" s="71"/>
      <c r="L702" s="71" t="str">
        <f>IFERROR(__xludf.DUMMYFUNCTION("""COMPUTED_VALUE"""),"")</f>
        <v/>
      </c>
      <c r="M702" s="71"/>
      <c r="N702" s="109" t="str">
        <f>IFERROR(__xludf.DUMMYFUNCTION("""COMPUTED_VALUE"""),"")</f>
        <v/>
      </c>
      <c r="O702" s="71" t="str">
        <f>IFERROR(__xludf.DUMMYFUNCTION("""COMPUTED_VALUE"""),"")</f>
        <v/>
      </c>
      <c r="P702" s="71" t="str">
        <f>IFERROR(__xludf.DUMMYFUNCTION("""COMPUTED_VALUE"""),"")</f>
        <v/>
      </c>
      <c r="Q702" s="78" t="str">
        <f>IFERROR(__xludf.DUMMYFUNCTION("""COMPUTED_VALUE"""),"")</f>
        <v/>
      </c>
      <c r="R702" s="78" t="str">
        <f>IFERROR(__xludf.DUMMYFUNCTION("""COMPUTED_VALUE"""),"")</f>
        <v/>
      </c>
      <c r="S702" s="80" t="str">
        <f>IFERROR(__xludf.DUMMYFUNCTION("""COMPUTED_VALUE"""),"")</f>
        <v/>
      </c>
      <c r="T702" s="80" t="str">
        <f>IFERROR(__xludf.DUMMYFUNCTION("""COMPUTED_VALUE"""),"")</f>
        <v/>
      </c>
      <c r="U702" s="71" t="str">
        <f>IFERROR(__xludf.DUMMYFUNCTION("""COMPUTED_VALUE"""),"")</f>
        <v/>
      </c>
      <c r="V702" s="78" t="str">
        <f>IFERROR(__xludf.DUMMYFUNCTION("""COMPUTED_VALUE"""),"")</f>
        <v/>
      </c>
      <c r="W702" s="62" t="str">
        <f>IFERROR(__xludf.DUMMYFUNCTION("""COMPUTED_VALUE"""),"")</f>
        <v/>
      </c>
      <c r="X702" s="80" t="str">
        <f>IFERROR(__xludf.DUMMYFUNCTION("""COMPUTED_VALUE"""),"")</f>
        <v/>
      </c>
      <c r="Y702" s="109" t="str">
        <f>IFERROR(__xludf.DUMMYFUNCTION("""COMPUTED_VALUE"""),"")</f>
        <v/>
      </c>
      <c r="Z702" s="71"/>
      <c r="AA702" s="71"/>
      <c r="AB702" s="71"/>
    </row>
    <row r="703">
      <c r="A703" s="71"/>
      <c r="B703" s="71"/>
      <c r="C703" s="71" t="str">
        <f>IFERROR(__xludf.DUMMYFUNCTION("""COMPUTED_VALUE"""),"")</f>
        <v/>
      </c>
      <c r="D703" s="71"/>
      <c r="E703" s="78"/>
      <c r="F703" s="71"/>
      <c r="G703" s="78" t="str">
        <f>IFERROR(__xludf.DUMMYFUNCTION("""COMPUTED_VALUE"""),"")</f>
        <v/>
      </c>
      <c r="H703" s="71"/>
      <c r="I703" s="80" t="str">
        <f>IFERROR(__xludf.DUMMYFUNCTION("""COMPUTED_VALUE"""),"")</f>
        <v/>
      </c>
      <c r="J703" s="71" t="str">
        <f>IFERROR(__xludf.DUMMYFUNCTION("""COMPUTED_VALUE"""),"")</f>
        <v/>
      </c>
      <c r="K703" s="71"/>
      <c r="L703" s="71" t="str">
        <f>IFERROR(__xludf.DUMMYFUNCTION("""COMPUTED_VALUE"""),"")</f>
        <v/>
      </c>
      <c r="M703" s="71"/>
      <c r="N703" s="109" t="str">
        <f>IFERROR(__xludf.DUMMYFUNCTION("""COMPUTED_VALUE"""),"")</f>
        <v/>
      </c>
      <c r="O703" s="71" t="str">
        <f>IFERROR(__xludf.DUMMYFUNCTION("""COMPUTED_VALUE"""),"")</f>
        <v/>
      </c>
      <c r="P703" s="71" t="str">
        <f>IFERROR(__xludf.DUMMYFUNCTION("""COMPUTED_VALUE"""),"")</f>
        <v/>
      </c>
      <c r="Q703" s="78" t="str">
        <f>IFERROR(__xludf.DUMMYFUNCTION("""COMPUTED_VALUE"""),"")</f>
        <v/>
      </c>
      <c r="R703" s="78" t="str">
        <f>IFERROR(__xludf.DUMMYFUNCTION("""COMPUTED_VALUE"""),"")</f>
        <v/>
      </c>
      <c r="S703" s="80" t="str">
        <f>IFERROR(__xludf.DUMMYFUNCTION("""COMPUTED_VALUE"""),"")</f>
        <v/>
      </c>
      <c r="T703" s="80" t="str">
        <f>IFERROR(__xludf.DUMMYFUNCTION("""COMPUTED_VALUE"""),"")</f>
        <v/>
      </c>
      <c r="U703" s="71" t="str">
        <f>IFERROR(__xludf.DUMMYFUNCTION("""COMPUTED_VALUE"""),"")</f>
        <v/>
      </c>
      <c r="V703" s="78" t="str">
        <f>IFERROR(__xludf.DUMMYFUNCTION("""COMPUTED_VALUE"""),"")</f>
        <v/>
      </c>
      <c r="W703" s="62" t="str">
        <f>IFERROR(__xludf.DUMMYFUNCTION("""COMPUTED_VALUE"""),"")</f>
        <v/>
      </c>
      <c r="X703" s="80" t="str">
        <f>IFERROR(__xludf.DUMMYFUNCTION("""COMPUTED_VALUE"""),"")</f>
        <v/>
      </c>
      <c r="Y703" s="109" t="str">
        <f>IFERROR(__xludf.DUMMYFUNCTION("""COMPUTED_VALUE"""),"")</f>
        <v/>
      </c>
      <c r="Z703" s="71"/>
      <c r="AA703" s="71"/>
      <c r="AB703" s="71"/>
    </row>
    <row r="704">
      <c r="A704" s="71"/>
      <c r="B704" s="71"/>
      <c r="C704" s="71" t="str">
        <f>IFERROR(__xludf.DUMMYFUNCTION("""COMPUTED_VALUE"""),"")</f>
        <v/>
      </c>
      <c r="D704" s="71"/>
      <c r="E704" s="78"/>
      <c r="F704" s="71"/>
      <c r="G704" s="78" t="str">
        <f>IFERROR(__xludf.DUMMYFUNCTION("""COMPUTED_VALUE"""),"")</f>
        <v/>
      </c>
      <c r="H704" s="71"/>
      <c r="I704" s="80" t="str">
        <f>IFERROR(__xludf.DUMMYFUNCTION("""COMPUTED_VALUE"""),"")</f>
        <v/>
      </c>
      <c r="J704" s="71" t="str">
        <f>IFERROR(__xludf.DUMMYFUNCTION("""COMPUTED_VALUE"""),"")</f>
        <v/>
      </c>
      <c r="K704" s="71"/>
      <c r="L704" s="71" t="str">
        <f>IFERROR(__xludf.DUMMYFUNCTION("""COMPUTED_VALUE"""),"")</f>
        <v/>
      </c>
      <c r="M704" s="71"/>
      <c r="N704" s="109" t="str">
        <f>IFERROR(__xludf.DUMMYFUNCTION("""COMPUTED_VALUE"""),"")</f>
        <v/>
      </c>
      <c r="O704" s="71" t="str">
        <f>IFERROR(__xludf.DUMMYFUNCTION("""COMPUTED_VALUE"""),"")</f>
        <v/>
      </c>
      <c r="P704" s="71" t="str">
        <f>IFERROR(__xludf.DUMMYFUNCTION("""COMPUTED_VALUE"""),"")</f>
        <v/>
      </c>
      <c r="Q704" s="78" t="str">
        <f>IFERROR(__xludf.DUMMYFUNCTION("""COMPUTED_VALUE"""),"")</f>
        <v/>
      </c>
      <c r="R704" s="78" t="str">
        <f>IFERROR(__xludf.DUMMYFUNCTION("""COMPUTED_VALUE"""),"")</f>
        <v/>
      </c>
      <c r="S704" s="80" t="str">
        <f>IFERROR(__xludf.DUMMYFUNCTION("""COMPUTED_VALUE"""),"")</f>
        <v/>
      </c>
      <c r="T704" s="80" t="str">
        <f>IFERROR(__xludf.DUMMYFUNCTION("""COMPUTED_VALUE"""),"")</f>
        <v/>
      </c>
      <c r="U704" s="71" t="str">
        <f>IFERROR(__xludf.DUMMYFUNCTION("""COMPUTED_VALUE"""),"")</f>
        <v/>
      </c>
      <c r="V704" s="78" t="str">
        <f>IFERROR(__xludf.DUMMYFUNCTION("""COMPUTED_VALUE"""),"")</f>
        <v/>
      </c>
      <c r="W704" s="62" t="str">
        <f>IFERROR(__xludf.DUMMYFUNCTION("""COMPUTED_VALUE"""),"")</f>
        <v/>
      </c>
      <c r="X704" s="80" t="str">
        <f>IFERROR(__xludf.DUMMYFUNCTION("""COMPUTED_VALUE"""),"")</f>
        <v/>
      </c>
      <c r="Y704" s="109" t="str">
        <f>IFERROR(__xludf.DUMMYFUNCTION("""COMPUTED_VALUE"""),"")</f>
        <v/>
      </c>
      <c r="Z704" s="71"/>
      <c r="AA704" s="71"/>
      <c r="AB704" s="71"/>
    </row>
    <row r="705">
      <c r="A705" s="71"/>
      <c r="B705" s="71"/>
      <c r="C705" s="71" t="str">
        <f>IFERROR(__xludf.DUMMYFUNCTION("""COMPUTED_VALUE"""),"")</f>
        <v/>
      </c>
      <c r="D705" s="71"/>
      <c r="E705" s="78"/>
      <c r="F705" s="71"/>
      <c r="G705" s="78" t="str">
        <f>IFERROR(__xludf.DUMMYFUNCTION("""COMPUTED_VALUE"""),"")</f>
        <v/>
      </c>
      <c r="H705" s="71"/>
      <c r="I705" s="80" t="str">
        <f>IFERROR(__xludf.DUMMYFUNCTION("""COMPUTED_VALUE"""),"")</f>
        <v/>
      </c>
      <c r="J705" s="71" t="str">
        <f>IFERROR(__xludf.DUMMYFUNCTION("""COMPUTED_VALUE"""),"")</f>
        <v/>
      </c>
      <c r="K705" s="71"/>
      <c r="L705" s="71" t="str">
        <f>IFERROR(__xludf.DUMMYFUNCTION("""COMPUTED_VALUE"""),"")</f>
        <v/>
      </c>
      <c r="M705" s="71"/>
      <c r="N705" s="109" t="str">
        <f>IFERROR(__xludf.DUMMYFUNCTION("""COMPUTED_VALUE"""),"")</f>
        <v/>
      </c>
      <c r="O705" s="71" t="str">
        <f>IFERROR(__xludf.DUMMYFUNCTION("""COMPUTED_VALUE"""),"")</f>
        <v/>
      </c>
      <c r="P705" s="71" t="str">
        <f>IFERROR(__xludf.DUMMYFUNCTION("""COMPUTED_VALUE"""),"")</f>
        <v/>
      </c>
      <c r="Q705" s="78" t="str">
        <f>IFERROR(__xludf.DUMMYFUNCTION("""COMPUTED_VALUE"""),"")</f>
        <v/>
      </c>
      <c r="R705" s="78" t="str">
        <f>IFERROR(__xludf.DUMMYFUNCTION("""COMPUTED_VALUE"""),"")</f>
        <v/>
      </c>
      <c r="S705" s="80" t="str">
        <f>IFERROR(__xludf.DUMMYFUNCTION("""COMPUTED_VALUE"""),"")</f>
        <v/>
      </c>
      <c r="T705" s="80" t="str">
        <f>IFERROR(__xludf.DUMMYFUNCTION("""COMPUTED_VALUE"""),"")</f>
        <v/>
      </c>
      <c r="U705" s="71" t="str">
        <f>IFERROR(__xludf.DUMMYFUNCTION("""COMPUTED_VALUE"""),"")</f>
        <v/>
      </c>
      <c r="V705" s="78" t="str">
        <f>IFERROR(__xludf.DUMMYFUNCTION("""COMPUTED_VALUE"""),"")</f>
        <v/>
      </c>
      <c r="W705" s="62" t="str">
        <f>IFERROR(__xludf.DUMMYFUNCTION("""COMPUTED_VALUE"""),"")</f>
        <v/>
      </c>
      <c r="X705" s="80" t="str">
        <f>IFERROR(__xludf.DUMMYFUNCTION("""COMPUTED_VALUE"""),"")</f>
        <v/>
      </c>
      <c r="Y705" s="109" t="str">
        <f>IFERROR(__xludf.DUMMYFUNCTION("""COMPUTED_VALUE"""),"")</f>
        <v/>
      </c>
      <c r="Z705" s="71"/>
      <c r="AA705" s="71"/>
      <c r="AB705" s="71"/>
    </row>
    <row r="706">
      <c r="A706" s="71"/>
      <c r="B706" s="71"/>
      <c r="C706" s="71" t="str">
        <f>IFERROR(__xludf.DUMMYFUNCTION("""COMPUTED_VALUE"""),"")</f>
        <v/>
      </c>
      <c r="D706" s="71"/>
      <c r="E706" s="78"/>
      <c r="F706" s="71"/>
      <c r="G706" s="78" t="str">
        <f>IFERROR(__xludf.DUMMYFUNCTION("""COMPUTED_VALUE"""),"")</f>
        <v/>
      </c>
      <c r="H706" s="71"/>
      <c r="I706" s="80" t="str">
        <f>IFERROR(__xludf.DUMMYFUNCTION("""COMPUTED_VALUE"""),"")</f>
        <v/>
      </c>
      <c r="J706" s="71" t="str">
        <f>IFERROR(__xludf.DUMMYFUNCTION("""COMPUTED_VALUE"""),"")</f>
        <v/>
      </c>
      <c r="K706" s="71"/>
      <c r="L706" s="71" t="str">
        <f>IFERROR(__xludf.DUMMYFUNCTION("""COMPUTED_VALUE"""),"")</f>
        <v/>
      </c>
      <c r="M706" s="71"/>
      <c r="N706" s="109" t="str">
        <f>IFERROR(__xludf.DUMMYFUNCTION("""COMPUTED_VALUE"""),"")</f>
        <v/>
      </c>
      <c r="O706" s="71" t="str">
        <f>IFERROR(__xludf.DUMMYFUNCTION("""COMPUTED_VALUE"""),"")</f>
        <v/>
      </c>
      <c r="P706" s="71" t="str">
        <f>IFERROR(__xludf.DUMMYFUNCTION("""COMPUTED_VALUE"""),"")</f>
        <v/>
      </c>
      <c r="Q706" s="78" t="str">
        <f>IFERROR(__xludf.DUMMYFUNCTION("""COMPUTED_VALUE"""),"")</f>
        <v/>
      </c>
      <c r="R706" s="78" t="str">
        <f>IFERROR(__xludf.DUMMYFUNCTION("""COMPUTED_VALUE"""),"")</f>
        <v/>
      </c>
      <c r="S706" s="80" t="str">
        <f>IFERROR(__xludf.DUMMYFUNCTION("""COMPUTED_VALUE"""),"")</f>
        <v/>
      </c>
      <c r="T706" s="80" t="str">
        <f>IFERROR(__xludf.DUMMYFUNCTION("""COMPUTED_VALUE"""),"")</f>
        <v/>
      </c>
      <c r="U706" s="71" t="str">
        <f>IFERROR(__xludf.DUMMYFUNCTION("""COMPUTED_VALUE"""),"")</f>
        <v/>
      </c>
      <c r="V706" s="78" t="str">
        <f>IFERROR(__xludf.DUMMYFUNCTION("""COMPUTED_VALUE"""),"")</f>
        <v/>
      </c>
      <c r="W706" s="62" t="str">
        <f>IFERROR(__xludf.DUMMYFUNCTION("""COMPUTED_VALUE"""),"")</f>
        <v/>
      </c>
      <c r="X706" s="80" t="str">
        <f>IFERROR(__xludf.DUMMYFUNCTION("""COMPUTED_VALUE"""),"")</f>
        <v/>
      </c>
      <c r="Y706" s="109" t="str">
        <f>IFERROR(__xludf.DUMMYFUNCTION("""COMPUTED_VALUE"""),"")</f>
        <v/>
      </c>
      <c r="Z706" s="71"/>
      <c r="AA706" s="71"/>
      <c r="AB706" s="71"/>
    </row>
    <row r="707">
      <c r="A707" s="71"/>
      <c r="B707" s="71"/>
      <c r="C707" s="71" t="str">
        <f>IFERROR(__xludf.DUMMYFUNCTION("""COMPUTED_VALUE"""),"")</f>
        <v/>
      </c>
      <c r="D707" s="71"/>
      <c r="E707" s="78"/>
      <c r="F707" s="71"/>
      <c r="G707" s="78" t="str">
        <f>IFERROR(__xludf.DUMMYFUNCTION("""COMPUTED_VALUE"""),"")</f>
        <v/>
      </c>
      <c r="H707" s="71"/>
      <c r="I707" s="80" t="str">
        <f>IFERROR(__xludf.DUMMYFUNCTION("""COMPUTED_VALUE"""),"")</f>
        <v/>
      </c>
      <c r="J707" s="71" t="str">
        <f>IFERROR(__xludf.DUMMYFUNCTION("""COMPUTED_VALUE"""),"")</f>
        <v/>
      </c>
      <c r="K707" s="71"/>
      <c r="L707" s="71" t="str">
        <f>IFERROR(__xludf.DUMMYFUNCTION("""COMPUTED_VALUE"""),"")</f>
        <v/>
      </c>
      <c r="M707" s="71"/>
      <c r="N707" s="109" t="str">
        <f>IFERROR(__xludf.DUMMYFUNCTION("""COMPUTED_VALUE"""),"")</f>
        <v/>
      </c>
      <c r="O707" s="71" t="str">
        <f>IFERROR(__xludf.DUMMYFUNCTION("""COMPUTED_VALUE"""),"")</f>
        <v/>
      </c>
      <c r="P707" s="71" t="str">
        <f>IFERROR(__xludf.DUMMYFUNCTION("""COMPUTED_VALUE"""),"")</f>
        <v/>
      </c>
      <c r="Q707" s="78" t="str">
        <f>IFERROR(__xludf.DUMMYFUNCTION("""COMPUTED_VALUE"""),"")</f>
        <v/>
      </c>
      <c r="R707" s="78" t="str">
        <f>IFERROR(__xludf.DUMMYFUNCTION("""COMPUTED_VALUE"""),"")</f>
        <v/>
      </c>
      <c r="S707" s="80" t="str">
        <f>IFERROR(__xludf.DUMMYFUNCTION("""COMPUTED_VALUE"""),"")</f>
        <v/>
      </c>
      <c r="T707" s="80" t="str">
        <f>IFERROR(__xludf.DUMMYFUNCTION("""COMPUTED_VALUE"""),"")</f>
        <v/>
      </c>
      <c r="U707" s="71" t="str">
        <f>IFERROR(__xludf.DUMMYFUNCTION("""COMPUTED_VALUE"""),"")</f>
        <v/>
      </c>
      <c r="V707" s="78" t="str">
        <f>IFERROR(__xludf.DUMMYFUNCTION("""COMPUTED_VALUE"""),"")</f>
        <v/>
      </c>
      <c r="W707" s="62" t="str">
        <f>IFERROR(__xludf.DUMMYFUNCTION("""COMPUTED_VALUE"""),"")</f>
        <v/>
      </c>
      <c r="X707" s="80" t="str">
        <f>IFERROR(__xludf.DUMMYFUNCTION("""COMPUTED_VALUE"""),"")</f>
        <v/>
      </c>
      <c r="Y707" s="109" t="str">
        <f>IFERROR(__xludf.DUMMYFUNCTION("""COMPUTED_VALUE"""),"")</f>
        <v/>
      </c>
      <c r="Z707" s="71"/>
      <c r="AA707" s="71"/>
      <c r="AB707" s="71"/>
    </row>
    <row r="708">
      <c r="A708" s="71"/>
      <c r="B708" s="71"/>
      <c r="C708" s="71" t="str">
        <f>IFERROR(__xludf.DUMMYFUNCTION("""COMPUTED_VALUE"""),"")</f>
        <v/>
      </c>
      <c r="D708" s="71"/>
      <c r="E708" s="78"/>
      <c r="F708" s="71"/>
      <c r="G708" s="78" t="str">
        <f>IFERROR(__xludf.DUMMYFUNCTION("""COMPUTED_VALUE"""),"")</f>
        <v/>
      </c>
      <c r="H708" s="71"/>
      <c r="I708" s="80" t="str">
        <f>IFERROR(__xludf.DUMMYFUNCTION("""COMPUTED_VALUE"""),"")</f>
        <v/>
      </c>
      <c r="J708" s="71" t="str">
        <f>IFERROR(__xludf.DUMMYFUNCTION("""COMPUTED_VALUE"""),"")</f>
        <v/>
      </c>
      <c r="K708" s="71"/>
      <c r="L708" s="71" t="str">
        <f>IFERROR(__xludf.DUMMYFUNCTION("""COMPUTED_VALUE"""),"")</f>
        <v/>
      </c>
      <c r="M708" s="71"/>
      <c r="N708" s="109" t="str">
        <f>IFERROR(__xludf.DUMMYFUNCTION("""COMPUTED_VALUE"""),"")</f>
        <v/>
      </c>
      <c r="O708" s="71" t="str">
        <f>IFERROR(__xludf.DUMMYFUNCTION("""COMPUTED_VALUE"""),"")</f>
        <v/>
      </c>
      <c r="P708" s="71" t="str">
        <f>IFERROR(__xludf.DUMMYFUNCTION("""COMPUTED_VALUE"""),"")</f>
        <v/>
      </c>
      <c r="Q708" s="78" t="str">
        <f>IFERROR(__xludf.DUMMYFUNCTION("""COMPUTED_VALUE"""),"")</f>
        <v/>
      </c>
      <c r="R708" s="78" t="str">
        <f>IFERROR(__xludf.DUMMYFUNCTION("""COMPUTED_VALUE"""),"")</f>
        <v/>
      </c>
      <c r="S708" s="80" t="str">
        <f>IFERROR(__xludf.DUMMYFUNCTION("""COMPUTED_VALUE"""),"")</f>
        <v/>
      </c>
      <c r="T708" s="80" t="str">
        <f>IFERROR(__xludf.DUMMYFUNCTION("""COMPUTED_VALUE"""),"")</f>
        <v/>
      </c>
      <c r="U708" s="71" t="str">
        <f>IFERROR(__xludf.DUMMYFUNCTION("""COMPUTED_VALUE"""),"")</f>
        <v/>
      </c>
      <c r="V708" s="78" t="str">
        <f>IFERROR(__xludf.DUMMYFUNCTION("""COMPUTED_VALUE"""),"")</f>
        <v/>
      </c>
      <c r="W708" s="62" t="str">
        <f>IFERROR(__xludf.DUMMYFUNCTION("""COMPUTED_VALUE"""),"")</f>
        <v/>
      </c>
      <c r="X708" s="80" t="str">
        <f>IFERROR(__xludf.DUMMYFUNCTION("""COMPUTED_VALUE"""),"")</f>
        <v/>
      </c>
      <c r="Y708" s="109" t="str">
        <f>IFERROR(__xludf.DUMMYFUNCTION("""COMPUTED_VALUE"""),"")</f>
        <v/>
      </c>
      <c r="Z708" s="71"/>
      <c r="AA708" s="71"/>
      <c r="AB708" s="71"/>
    </row>
    <row r="709">
      <c r="A709" s="71"/>
      <c r="B709" s="71"/>
      <c r="C709" s="71" t="str">
        <f>IFERROR(__xludf.DUMMYFUNCTION("""COMPUTED_VALUE"""),"")</f>
        <v/>
      </c>
      <c r="D709" s="71"/>
      <c r="E709" s="78"/>
      <c r="F709" s="71"/>
      <c r="G709" s="78" t="str">
        <f>IFERROR(__xludf.DUMMYFUNCTION("""COMPUTED_VALUE"""),"")</f>
        <v/>
      </c>
      <c r="H709" s="71"/>
      <c r="I709" s="80" t="str">
        <f>IFERROR(__xludf.DUMMYFUNCTION("""COMPUTED_VALUE"""),"")</f>
        <v/>
      </c>
      <c r="J709" s="71" t="str">
        <f>IFERROR(__xludf.DUMMYFUNCTION("""COMPUTED_VALUE"""),"")</f>
        <v/>
      </c>
      <c r="K709" s="71"/>
      <c r="L709" s="71" t="str">
        <f>IFERROR(__xludf.DUMMYFUNCTION("""COMPUTED_VALUE"""),"")</f>
        <v/>
      </c>
      <c r="M709" s="71"/>
      <c r="N709" s="109" t="str">
        <f>IFERROR(__xludf.DUMMYFUNCTION("""COMPUTED_VALUE"""),"")</f>
        <v/>
      </c>
      <c r="O709" s="71" t="str">
        <f>IFERROR(__xludf.DUMMYFUNCTION("""COMPUTED_VALUE"""),"")</f>
        <v/>
      </c>
      <c r="P709" s="71" t="str">
        <f>IFERROR(__xludf.DUMMYFUNCTION("""COMPUTED_VALUE"""),"")</f>
        <v/>
      </c>
      <c r="Q709" s="78" t="str">
        <f>IFERROR(__xludf.DUMMYFUNCTION("""COMPUTED_VALUE"""),"")</f>
        <v/>
      </c>
      <c r="R709" s="78" t="str">
        <f>IFERROR(__xludf.DUMMYFUNCTION("""COMPUTED_VALUE"""),"")</f>
        <v/>
      </c>
      <c r="S709" s="80" t="str">
        <f>IFERROR(__xludf.DUMMYFUNCTION("""COMPUTED_VALUE"""),"")</f>
        <v/>
      </c>
      <c r="T709" s="80" t="str">
        <f>IFERROR(__xludf.DUMMYFUNCTION("""COMPUTED_VALUE"""),"")</f>
        <v/>
      </c>
      <c r="U709" s="71" t="str">
        <f>IFERROR(__xludf.DUMMYFUNCTION("""COMPUTED_VALUE"""),"")</f>
        <v/>
      </c>
      <c r="V709" s="78" t="str">
        <f>IFERROR(__xludf.DUMMYFUNCTION("""COMPUTED_VALUE"""),"")</f>
        <v/>
      </c>
      <c r="W709" s="62" t="str">
        <f>IFERROR(__xludf.DUMMYFUNCTION("""COMPUTED_VALUE"""),"")</f>
        <v/>
      </c>
      <c r="X709" s="80" t="str">
        <f>IFERROR(__xludf.DUMMYFUNCTION("""COMPUTED_VALUE"""),"")</f>
        <v/>
      </c>
      <c r="Y709" s="109" t="str">
        <f>IFERROR(__xludf.DUMMYFUNCTION("""COMPUTED_VALUE"""),"")</f>
        <v/>
      </c>
      <c r="Z709" s="71"/>
      <c r="AA709" s="71"/>
      <c r="AB709" s="71"/>
    </row>
    <row r="710">
      <c r="A710" s="71"/>
      <c r="B710" s="71"/>
      <c r="C710" s="71" t="str">
        <f>IFERROR(__xludf.DUMMYFUNCTION("""COMPUTED_VALUE"""),"")</f>
        <v/>
      </c>
      <c r="D710" s="71"/>
      <c r="E710" s="78"/>
      <c r="F710" s="71"/>
      <c r="G710" s="78" t="str">
        <f>IFERROR(__xludf.DUMMYFUNCTION("""COMPUTED_VALUE"""),"")</f>
        <v/>
      </c>
      <c r="H710" s="71"/>
      <c r="I710" s="80" t="str">
        <f>IFERROR(__xludf.DUMMYFUNCTION("""COMPUTED_VALUE"""),"")</f>
        <v/>
      </c>
      <c r="J710" s="71" t="str">
        <f>IFERROR(__xludf.DUMMYFUNCTION("""COMPUTED_VALUE"""),"")</f>
        <v/>
      </c>
      <c r="K710" s="71"/>
      <c r="L710" s="71" t="str">
        <f>IFERROR(__xludf.DUMMYFUNCTION("""COMPUTED_VALUE"""),"")</f>
        <v/>
      </c>
      <c r="M710" s="71"/>
      <c r="N710" s="109" t="str">
        <f>IFERROR(__xludf.DUMMYFUNCTION("""COMPUTED_VALUE"""),"")</f>
        <v/>
      </c>
      <c r="O710" s="71" t="str">
        <f>IFERROR(__xludf.DUMMYFUNCTION("""COMPUTED_VALUE"""),"")</f>
        <v/>
      </c>
      <c r="P710" s="71" t="str">
        <f>IFERROR(__xludf.DUMMYFUNCTION("""COMPUTED_VALUE"""),"")</f>
        <v/>
      </c>
      <c r="Q710" s="78" t="str">
        <f>IFERROR(__xludf.DUMMYFUNCTION("""COMPUTED_VALUE"""),"")</f>
        <v/>
      </c>
      <c r="R710" s="78" t="str">
        <f>IFERROR(__xludf.DUMMYFUNCTION("""COMPUTED_VALUE"""),"")</f>
        <v/>
      </c>
      <c r="S710" s="80" t="str">
        <f>IFERROR(__xludf.DUMMYFUNCTION("""COMPUTED_VALUE"""),"")</f>
        <v/>
      </c>
      <c r="T710" s="80" t="str">
        <f>IFERROR(__xludf.DUMMYFUNCTION("""COMPUTED_VALUE"""),"")</f>
        <v/>
      </c>
      <c r="U710" s="71" t="str">
        <f>IFERROR(__xludf.DUMMYFUNCTION("""COMPUTED_VALUE"""),"")</f>
        <v/>
      </c>
      <c r="V710" s="78" t="str">
        <f>IFERROR(__xludf.DUMMYFUNCTION("""COMPUTED_VALUE"""),"")</f>
        <v/>
      </c>
      <c r="W710" s="62" t="str">
        <f>IFERROR(__xludf.DUMMYFUNCTION("""COMPUTED_VALUE"""),"")</f>
        <v/>
      </c>
      <c r="X710" s="80" t="str">
        <f>IFERROR(__xludf.DUMMYFUNCTION("""COMPUTED_VALUE"""),"")</f>
        <v/>
      </c>
      <c r="Y710" s="109" t="str">
        <f>IFERROR(__xludf.DUMMYFUNCTION("""COMPUTED_VALUE"""),"")</f>
        <v/>
      </c>
      <c r="Z710" s="71"/>
      <c r="AA710" s="71"/>
      <c r="AB710" s="71"/>
    </row>
    <row r="711">
      <c r="A711" s="71"/>
      <c r="B711" s="71"/>
      <c r="C711" s="71" t="str">
        <f>IFERROR(__xludf.DUMMYFUNCTION("""COMPUTED_VALUE"""),"")</f>
        <v/>
      </c>
      <c r="D711" s="71"/>
      <c r="E711" s="78"/>
      <c r="F711" s="71"/>
      <c r="G711" s="78" t="str">
        <f>IFERROR(__xludf.DUMMYFUNCTION("""COMPUTED_VALUE"""),"")</f>
        <v/>
      </c>
      <c r="H711" s="71"/>
      <c r="I711" s="80" t="str">
        <f>IFERROR(__xludf.DUMMYFUNCTION("""COMPUTED_VALUE"""),"")</f>
        <v/>
      </c>
      <c r="J711" s="71" t="str">
        <f>IFERROR(__xludf.DUMMYFUNCTION("""COMPUTED_VALUE"""),"")</f>
        <v/>
      </c>
      <c r="K711" s="71"/>
      <c r="L711" s="71" t="str">
        <f>IFERROR(__xludf.DUMMYFUNCTION("""COMPUTED_VALUE"""),"")</f>
        <v/>
      </c>
      <c r="M711" s="71"/>
      <c r="N711" s="109" t="str">
        <f>IFERROR(__xludf.DUMMYFUNCTION("""COMPUTED_VALUE"""),"")</f>
        <v/>
      </c>
      <c r="O711" s="71" t="str">
        <f>IFERROR(__xludf.DUMMYFUNCTION("""COMPUTED_VALUE"""),"")</f>
        <v/>
      </c>
      <c r="P711" s="71" t="str">
        <f>IFERROR(__xludf.DUMMYFUNCTION("""COMPUTED_VALUE"""),"")</f>
        <v/>
      </c>
      <c r="Q711" s="78" t="str">
        <f>IFERROR(__xludf.DUMMYFUNCTION("""COMPUTED_VALUE"""),"")</f>
        <v/>
      </c>
      <c r="R711" s="78" t="str">
        <f>IFERROR(__xludf.DUMMYFUNCTION("""COMPUTED_VALUE"""),"")</f>
        <v/>
      </c>
      <c r="S711" s="80" t="str">
        <f>IFERROR(__xludf.DUMMYFUNCTION("""COMPUTED_VALUE"""),"")</f>
        <v/>
      </c>
      <c r="T711" s="80" t="str">
        <f>IFERROR(__xludf.DUMMYFUNCTION("""COMPUTED_VALUE"""),"")</f>
        <v/>
      </c>
      <c r="U711" s="71" t="str">
        <f>IFERROR(__xludf.DUMMYFUNCTION("""COMPUTED_VALUE"""),"")</f>
        <v/>
      </c>
      <c r="V711" s="78" t="str">
        <f>IFERROR(__xludf.DUMMYFUNCTION("""COMPUTED_VALUE"""),"")</f>
        <v/>
      </c>
      <c r="W711" s="62" t="str">
        <f>IFERROR(__xludf.DUMMYFUNCTION("""COMPUTED_VALUE"""),"")</f>
        <v/>
      </c>
      <c r="X711" s="80" t="str">
        <f>IFERROR(__xludf.DUMMYFUNCTION("""COMPUTED_VALUE"""),"")</f>
        <v/>
      </c>
      <c r="Y711" s="109" t="str">
        <f>IFERROR(__xludf.DUMMYFUNCTION("""COMPUTED_VALUE"""),"")</f>
        <v/>
      </c>
      <c r="Z711" s="71"/>
      <c r="AA711" s="71"/>
      <c r="AB711" s="71"/>
    </row>
    <row r="712">
      <c r="A712" s="71"/>
      <c r="B712" s="71"/>
      <c r="C712" s="71" t="str">
        <f>IFERROR(__xludf.DUMMYFUNCTION("""COMPUTED_VALUE"""),"")</f>
        <v/>
      </c>
      <c r="D712" s="71"/>
      <c r="E712" s="78"/>
      <c r="F712" s="71"/>
      <c r="G712" s="78" t="str">
        <f>IFERROR(__xludf.DUMMYFUNCTION("""COMPUTED_VALUE"""),"")</f>
        <v/>
      </c>
      <c r="H712" s="71"/>
      <c r="I712" s="80" t="str">
        <f>IFERROR(__xludf.DUMMYFUNCTION("""COMPUTED_VALUE"""),"")</f>
        <v/>
      </c>
      <c r="J712" s="71" t="str">
        <f>IFERROR(__xludf.DUMMYFUNCTION("""COMPUTED_VALUE"""),"")</f>
        <v/>
      </c>
      <c r="K712" s="71"/>
      <c r="L712" s="71" t="str">
        <f>IFERROR(__xludf.DUMMYFUNCTION("""COMPUTED_VALUE"""),"")</f>
        <v/>
      </c>
      <c r="M712" s="71"/>
      <c r="N712" s="109" t="str">
        <f>IFERROR(__xludf.DUMMYFUNCTION("""COMPUTED_VALUE"""),"")</f>
        <v/>
      </c>
      <c r="O712" s="71" t="str">
        <f>IFERROR(__xludf.DUMMYFUNCTION("""COMPUTED_VALUE"""),"")</f>
        <v/>
      </c>
      <c r="P712" s="71" t="str">
        <f>IFERROR(__xludf.DUMMYFUNCTION("""COMPUTED_VALUE"""),"")</f>
        <v/>
      </c>
      <c r="Q712" s="78" t="str">
        <f>IFERROR(__xludf.DUMMYFUNCTION("""COMPUTED_VALUE"""),"")</f>
        <v/>
      </c>
      <c r="R712" s="78" t="str">
        <f>IFERROR(__xludf.DUMMYFUNCTION("""COMPUTED_VALUE"""),"")</f>
        <v/>
      </c>
      <c r="S712" s="80" t="str">
        <f>IFERROR(__xludf.DUMMYFUNCTION("""COMPUTED_VALUE"""),"")</f>
        <v/>
      </c>
      <c r="T712" s="80" t="str">
        <f>IFERROR(__xludf.DUMMYFUNCTION("""COMPUTED_VALUE"""),"")</f>
        <v/>
      </c>
      <c r="U712" s="71" t="str">
        <f>IFERROR(__xludf.DUMMYFUNCTION("""COMPUTED_VALUE"""),"")</f>
        <v/>
      </c>
      <c r="V712" s="78" t="str">
        <f>IFERROR(__xludf.DUMMYFUNCTION("""COMPUTED_VALUE"""),"")</f>
        <v/>
      </c>
      <c r="W712" s="62" t="str">
        <f>IFERROR(__xludf.DUMMYFUNCTION("""COMPUTED_VALUE"""),"")</f>
        <v/>
      </c>
      <c r="X712" s="80" t="str">
        <f>IFERROR(__xludf.DUMMYFUNCTION("""COMPUTED_VALUE"""),"")</f>
        <v/>
      </c>
      <c r="Y712" s="109" t="str">
        <f>IFERROR(__xludf.DUMMYFUNCTION("""COMPUTED_VALUE"""),"")</f>
        <v/>
      </c>
      <c r="Z712" s="71"/>
      <c r="AA712" s="71"/>
      <c r="AB712" s="71"/>
    </row>
    <row r="713">
      <c r="A713" s="71"/>
      <c r="B713" s="71"/>
      <c r="C713" s="71" t="str">
        <f>IFERROR(__xludf.DUMMYFUNCTION("""COMPUTED_VALUE"""),"")</f>
        <v/>
      </c>
      <c r="D713" s="71"/>
      <c r="E713" s="78"/>
      <c r="F713" s="71"/>
      <c r="G713" s="78" t="str">
        <f>IFERROR(__xludf.DUMMYFUNCTION("""COMPUTED_VALUE"""),"")</f>
        <v/>
      </c>
      <c r="H713" s="71"/>
      <c r="I713" s="80" t="str">
        <f>IFERROR(__xludf.DUMMYFUNCTION("""COMPUTED_VALUE"""),"")</f>
        <v/>
      </c>
      <c r="J713" s="71" t="str">
        <f>IFERROR(__xludf.DUMMYFUNCTION("""COMPUTED_VALUE"""),"")</f>
        <v/>
      </c>
      <c r="K713" s="71"/>
      <c r="L713" s="71" t="str">
        <f>IFERROR(__xludf.DUMMYFUNCTION("""COMPUTED_VALUE"""),"")</f>
        <v/>
      </c>
      <c r="M713" s="71"/>
      <c r="N713" s="109" t="str">
        <f>IFERROR(__xludf.DUMMYFUNCTION("""COMPUTED_VALUE"""),"")</f>
        <v/>
      </c>
      <c r="O713" s="71" t="str">
        <f>IFERROR(__xludf.DUMMYFUNCTION("""COMPUTED_VALUE"""),"")</f>
        <v/>
      </c>
      <c r="P713" s="71" t="str">
        <f>IFERROR(__xludf.DUMMYFUNCTION("""COMPUTED_VALUE"""),"")</f>
        <v/>
      </c>
      <c r="Q713" s="78" t="str">
        <f>IFERROR(__xludf.DUMMYFUNCTION("""COMPUTED_VALUE"""),"")</f>
        <v/>
      </c>
      <c r="R713" s="78" t="str">
        <f>IFERROR(__xludf.DUMMYFUNCTION("""COMPUTED_VALUE"""),"")</f>
        <v/>
      </c>
      <c r="S713" s="80" t="str">
        <f>IFERROR(__xludf.DUMMYFUNCTION("""COMPUTED_VALUE"""),"")</f>
        <v/>
      </c>
      <c r="T713" s="80" t="str">
        <f>IFERROR(__xludf.DUMMYFUNCTION("""COMPUTED_VALUE"""),"")</f>
        <v/>
      </c>
      <c r="U713" s="71" t="str">
        <f>IFERROR(__xludf.DUMMYFUNCTION("""COMPUTED_VALUE"""),"")</f>
        <v/>
      </c>
      <c r="V713" s="78" t="str">
        <f>IFERROR(__xludf.DUMMYFUNCTION("""COMPUTED_VALUE"""),"")</f>
        <v/>
      </c>
      <c r="W713" s="62" t="str">
        <f>IFERROR(__xludf.DUMMYFUNCTION("""COMPUTED_VALUE"""),"")</f>
        <v/>
      </c>
      <c r="X713" s="80" t="str">
        <f>IFERROR(__xludf.DUMMYFUNCTION("""COMPUTED_VALUE"""),"")</f>
        <v/>
      </c>
      <c r="Y713" s="109" t="str">
        <f>IFERROR(__xludf.DUMMYFUNCTION("""COMPUTED_VALUE"""),"")</f>
        <v/>
      </c>
      <c r="Z713" s="71"/>
      <c r="AA713" s="71"/>
      <c r="AB713" s="71"/>
    </row>
    <row r="714">
      <c r="A714" s="71"/>
      <c r="B714" s="71"/>
      <c r="C714" s="71" t="str">
        <f>IFERROR(__xludf.DUMMYFUNCTION("""COMPUTED_VALUE"""),"")</f>
        <v/>
      </c>
      <c r="D714" s="71"/>
      <c r="E714" s="78"/>
      <c r="F714" s="71"/>
      <c r="G714" s="78" t="str">
        <f>IFERROR(__xludf.DUMMYFUNCTION("""COMPUTED_VALUE"""),"")</f>
        <v/>
      </c>
      <c r="H714" s="71"/>
      <c r="I714" s="80" t="str">
        <f>IFERROR(__xludf.DUMMYFUNCTION("""COMPUTED_VALUE"""),"")</f>
        <v/>
      </c>
      <c r="J714" s="71" t="str">
        <f>IFERROR(__xludf.DUMMYFUNCTION("""COMPUTED_VALUE"""),"")</f>
        <v/>
      </c>
      <c r="K714" s="71"/>
      <c r="L714" s="71" t="str">
        <f>IFERROR(__xludf.DUMMYFUNCTION("""COMPUTED_VALUE"""),"")</f>
        <v/>
      </c>
      <c r="M714" s="71"/>
      <c r="N714" s="109" t="str">
        <f>IFERROR(__xludf.DUMMYFUNCTION("""COMPUTED_VALUE"""),"")</f>
        <v/>
      </c>
      <c r="O714" s="71" t="str">
        <f>IFERROR(__xludf.DUMMYFUNCTION("""COMPUTED_VALUE"""),"")</f>
        <v/>
      </c>
      <c r="P714" s="71" t="str">
        <f>IFERROR(__xludf.DUMMYFUNCTION("""COMPUTED_VALUE"""),"")</f>
        <v/>
      </c>
      <c r="Q714" s="78" t="str">
        <f>IFERROR(__xludf.DUMMYFUNCTION("""COMPUTED_VALUE"""),"")</f>
        <v/>
      </c>
      <c r="R714" s="78" t="str">
        <f>IFERROR(__xludf.DUMMYFUNCTION("""COMPUTED_VALUE"""),"")</f>
        <v/>
      </c>
      <c r="S714" s="80" t="str">
        <f>IFERROR(__xludf.DUMMYFUNCTION("""COMPUTED_VALUE"""),"")</f>
        <v/>
      </c>
      <c r="T714" s="80" t="str">
        <f>IFERROR(__xludf.DUMMYFUNCTION("""COMPUTED_VALUE"""),"")</f>
        <v/>
      </c>
      <c r="U714" s="71" t="str">
        <f>IFERROR(__xludf.DUMMYFUNCTION("""COMPUTED_VALUE"""),"")</f>
        <v/>
      </c>
      <c r="V714" s="78" t="str">
        <f>IFERROR(__xludf.DUMMYFUNCTION("""COMPUTED_VALUE"""),"")</f>
        <v/>
      </c>
      <c r="W714" s="62" t="str">
        <f>IFERROR(__xludf.DUMMYFUNCTION("""COMPUTED_VALUE"""),"")</f>
        <v/>
      </c>
      <c r="X714" s="80" t="str">
        <f>IFERROR(__xludf.DUMMYFUNCTION("""COMPUTED_VALUE"""),"")</f>
        <v/>
      </c>
      <c r="Y714" s="109" t="str">
        <f>IFERROR(__xludf.DUMMYFUNCTION("""COMPUTED_VALUE"""),"")</f>
        <v/>
      </c>
      <c r="Z714" s="71"/>
      <c r="AA714" s="71"/>
      <c r="AB714" s="71"/>
    </row>
    <row r="715">
      <c r="A715" s="71"/>
      <c r="B715" s="71"/>
      <c r="C715" s="71" t="str">
        <f>IFERROR(__xludf.DUMMYFUNCTION("""COMPUTED_VALUE"""),"")</f>
        <v/>
      </c>
      <c r="D715" s="71"/>
      <c r="E715" s="78"/>
      <c r="F715" s="71"/>
      <c r="G715" s="78" t="str">
        <f>IFERROR(__xludf.DUMMYFUNCTION("""COMPUTED_VALUE"""),"")</f>
        <v/>
      </c>
      <c r="H715" s="71"/>
      <c r="I715" s="80" t="str">
        <f>IFERROR(__xludf.DUMMYFUNCTION("""COMPUTED_VALUE"""),"")</f>
        <v/>
      </c>
      <c r="J715" s="71" t="str">
        <f>IFERROR(__xludf.DUMMYFUNCTION("""COMPUTED_VALUE"""),"")</f>
        <v/>
      </c>
      <c r="K715" s="71"/>
      <c r="L715" s="71" t="str">
        <f>IFERROR(__xludf.DUMMYFUNCTION("""COMPUTED_VALUE"""),"")</f>
        <v/>
      </c>
      <c r="M715" s="71"/>
      <c r="N715" s="109" t="str">
        <f>IFERROR(__xludf.DUMMYFUNCTION("""COMPUTED_VALUE"""),"")</f>
        <v/>
      </c>
      <c r="O715" s="71" t="str">
        <f>IFERROR(__xludf.DUMMYFUNCTION("""COMPUTED_VALUE"""),"")</f>
        <v/>
      </c>
      <c r="P715" s="71" t="str">
        <f>IFERROR(__xludf.DUMMYFUNCTION("""COMPUTED_VALUE"""),"")</f>
        <v/>
      </c>
      <c r="Q715" s="78" t="str">
        <f>IFERROR(__xludf.DUMMYFUNCTION("""COMPUTED_VALUE"""),"")</f>
        <v/>
      </c>
      <c r="R715" s="78" t="str">
        <f>IFERROR(__xludf.DUMMYFUNCTION("""COMPUTED_VALUE"""),"")</f>
        <v/>
      </c>
      <c r="S715" s="80" t="str">
        <f>IFERROR(__xludf.DUMMYFUNCTION("""COMPUTED_VALUE"""),"")</f>
        <v/>
      </c>
      <c r="T715" s="80" t="str">
        <f>IFERROR(__xludf.DUMMYFUNCTION("""COMPUTED_VALUE"""),"")</f>
        <v/>
      </c>
      <c r="U715" s="71" t="str">
        <f>IFERROR(__xludf.DUMMYFUNCTION("""COMPUTED_VALUE"""),"")</f>
        <v/>
      </c>
      <c r="V715" s="78" t="str">
        <f>IFERROR(__xludf.DUMMYFUNCTION("""COMPUTED_VALUE"""),"")</f>
        <v/>
      </c>
      <c r="W715" s="62" t="str">
        <f>IFERROR(__xludf.DUMMYFUNCTION("""COMPUTED_VALUE"""),"")</f>
        <v/>
      </c>
      <c r="X715" s="80" t="str">
        <f>IFERROR(__xludf.DUMMYFUNCTION("""COMPUTED_VALUE"""),"")</f>
        <v/>
      </c>
      <c r="Y715" s="109" t="str">
        <f>IFERROR(__xludf.DUMMYFUNCTION("""COMPUTED_VALUE"""),"")</f>
        <v/>
      </c>
      <c r="Z715" s="71"/>
      <c r="AA715" s="71"/>
      <c r="AB715" s="71"/>
    </row>
    <row r="716">
      <c r="A716" s="71"/>
      <c r="B716" s="71"/>
      <c r="C716" s="71" t="str">
        <f>IFERROR(__xludf.DUMMYFUNCTION("""COMPUTED_VALUE"""),"")</f>
        <v/>
      </c>
      <c r="D716" s="71"/>
      <c r="E716" s="78"/>
      <c r="F716" s="71"/>
      <c r="G716" s="78" t="str">
        <f>IFERROR(__xludf.DUMMYFUNCTION("""COMPUTED_VALUE"""),"")</f>
        <v/>
      </c>
      <c r="H716" s="71"/>
      <c r="I716" s="80" t="str">
        <f>IFERROR(__xludf.DUMMYFUNCTION("""COMPUTED_VALUE"""),"")</f>
        <v/>
      </c>
      <c r="J716" s="71" t="str">
        <f>IFERROR(__xludf.DUMMYFUNCTION("""COMPUTED_VALUE"""),"")</f>
        <v/>
      </c>
      <c r="K716" s="71"/>
      <c r="L716" s="71" t="str">
        <f>IFERROR(__xludf.DUMMYFUNCTION("""COMPUTED_VALUE"""),"")</f>
        <v/>
      </c>
      <c r="M716" s="71"/>
      <c r="N716" s="109" t="str">
        <f>IFERROR(__xludf.DUMMYFUNCTION("""COMPUTED_VALUE"""),"")</f>
        <v/>
      </c>
      <c r="O716" s="71" t="str">
        <f>IFERROR(__xludf.DUMMYFUNCTION("""COMPUTED_VALUE"""),"")</f>
        <v/>
      </c>
      <c r="P716" s="71" t="str">
        <f>IFERROR(__xludf.DUMMYFUNCTION("""COMPUTED_VALUE"""),"")</f>
        <v/>
      </c>
      <c r="Q716" s="78" t="str">
        <f>IFERROR(__xludf.DUMMYFUNCTION("""COMPUTED_VALUE"""),"")</f>
        <v/>
      </c>
      <c r="R716" s="78" t="str">
        <f>IFERROR(__xludf.DUMMYFUNCTION("""COMPUTED_VALUE"""),"")</f>
        <v/>
      </c>
      <c r="S716" s="80" t="str">
        <f>IFERROR(__xludf.DUMMYFUNCTION("""COMPUTED_VALUE"""),"")</f>
        <v/>
      </c>
      <c r="T716" s="80" t="str">
        <f>IFERROR(__xludf.DUMMYFUNCTION("""COMPUTED_VALUE"""),"")</f>
        <v/>
      </c>
      <c r="U716" s="71" t="str">
        <f>IFERROR(__xludf.DUMMYFUNCTION("""COMPUTED_VALUE"""),"")</f>
        <v/>
      </c>
      <c r="V716" s="78" t="str">
        <f>IFERROR(__xludf.DUMMYFUNCTION("""COMPUTED_VALUE"""),"")</f>
        <v/>
      </c>
      <c r="W716" s="62" t="str">
        <f>IFERROR(__xludf.DUMMYFUNCTION("""COMPUTED_VALUE"""),"")</f>
        <v/>
      </c>
      <c r="X716" s="80" t="str">
        <f>IFERROR(__xludf.DUMMYFUNCTION("""COMPUTED_VALUE"""),"")</f>
        <v/>
      </c>
      <c r="Y716" s="109" t="str">
        <f>IFERROR(__xludf.DUMMYFUNCTION("""COMPUTED_VALUE"""),"")</f>
        <v/>
      </c>
      <c r="Z716" s="71"/>
      <c r="AA716" s="71"/>
      <c r="AB716" s="71"/>
    </row>
    <row r="717">
      <c r="A717" s="71"/>
      <c r="B717" s="71"/>
      <c r="C717" s="71" t="str">
        <f>IFERROR(__xludf.DUMMYFUNCTION("""COMPUTED_VALUE"""),"")</f>
        <v/>
      </c>
      <c r="D717" s="71"/>
      <c r="E717" s="78"/>
      <c r="F717" s="71"/>
      <c r="G717" s="78" t="str">
        <f>IFERROR(__xludf.DUMMYFUNCTION("""COMPUTED_VALUE"""),"")</f>
        <v/>
      </c>
      <c r="H717" s="71"/>
      <c r="I717" s="80" t="str">
        <f>IFERROR(__xludf.DUMMYFUNCTION("""COMPUTED_VALUE"""),"")</f>
        <v/>
      </c>
      <c r="J717" s="71" t="str">
        <f>IFERROR(__xludf.DUMMYFUNCTION("""COMPUTED_VALUE"""),"")</f>
        <v/>
      </c>
      <c r="K717" s="71"/>
      <c r="L717" s="71" t="str">
        <f>IFERROR(__xludf.DUMMYFUNCTION("""COMPUTED_VALUE"""),"")</f>
        <v/>
      </c>
      <c r="M717" s="71"/>
      <c r="N717" s="109" t="str">
        <f>IFERROR(__xludf.DUMMYFUNCTION("""COMPUTED_VALUE"""),"")</f>
        <v/>
      </c>
      <c r="O717" s="71" t="str">
        <f>IFERROR(__xludf.DUMMYFUNCTION("""COMPUTED_VALUE"""),"")</f>
        <v/>
      </c>
      <c r="P717" s="71" t="str">
        <f>IFERROR(__xludf.DUMMYFUNCTION("""COMPUTED_VALUE"""),"")</f>
        <v/>
      </c>
      <c r="Q717" s="78" t="str">
        <f>IFERROR(__xludf.DUMMYFUNCTION("""COMPUTED_VALUE"""),"")</f>
        <v/>
      </c>
      <c r="R717" s="78" t="str">
        <f>IFERROR(__xludf.DUMMYFUNCTION("""COMPUTED_VALUE"""),"")</f>
        <v/>
      </c>
      <c r="S717" s="80" t="str">
        <f>IFERROR(__xludf.DUMMYFUNCTION("""COMPUTED_VALUE"""),"")</f>
        <v/>
      </c>
      <c r="T717" s="80" t="str">
        <f>IFERROR(__xludf.DUMMYFUNCTION("""COMPUTED_VALUE"""),"")</f>
        <v/>
      </c>
      <c r="U717" s="71" t="str">
        <f>IFERROR(__xludf.DUMMYFUNCTION("""COMPUTED_VALUE"""),"")</f>
        <v/>
      </c>
      <c r="V717" s="78" t="str">
        <f>IFERROR(__xludf.DUMMYFUNCTION("""COMPUTED_VALUE"""),"")</f>
        <v/>
      </c>
      <c r="W717" s="62" t="str">
        <f>IFERROR(__xludf.DUMMYFUNCTION("""COMPUTED_VALUE"""),"")</f>
        <v/>
      </c>
      <c r="X717" s="80" t="str">
        <f>IFERROR(__xludf.DUMMYFUNCTION("""COMPUTED_VALUE"""),"")</f>
        <v/>
      </c>
      <c r="Y717" s="109" t="str">
        <f>IFERROR(__xludf.DUMMYFUNCTION("""COMPUTED_VALUE"""),"")</f>
        <v/>
      </c>
      <c r="Z717" s="71"/>
      <c r="AA717" s="71"/>
      <c r="AB717" s="71"/>
    </row>
    <row r="718">
      <c r="A718" s="71"/>
      <c r="B718" s="71"/>
      <c r="C718" s="71" t="str">
        <f>IFERROR(__xludf.DUMMYFUNCTION("""COMPUTED_VALUE"""),"")</f>
        <v/>
      </c>
      <c r="D718" s="71"/>
      <c r="E718" s="78"/>
      <c r="F718" s="71"/>
      <c r="G718" s="78" t="str">
        <f>IFERROR(__xludf.DUMMYFUNCTION("""COMPUTED_VALUE"""),"")</f>
        <v/>
      </c>
      <c r="H718" s="71"/>
      <c r="I718" s="80" t="str">
        <f>IFERROR(__xludf.DUMMYFUNCTION("""COMPUTED_VALUE"""),"")</f>
        <v/>
      </c>
      <c r="J718" s="71" t="str">
        <f>IFERROR(__xludf.DUMMYFUNCTION("""COMPUTED_VALUE"""),"")</f>
        <v/>
      </c>
      <c r="K718" s="71"/>
      <c r="L718" s="71" t="str">
        <f>IFERROR(__xludf.DUMMYFUNCTION("""COMPUTED_VALUE"""),"")</f>
        <v/>
      </c>
      <c r="M718" s="71"/>
      <c r="N718" s="109" t="str">
        <f>IFERROR(__xludf.DUMMYFUNCTION("""COMPUTED_VALUE"""),"")</f>
        <v/>
      </c>
      <c r="O718" s="71" t="str">
        <f>IFERROR(__xludf.DUMMYFUNCTION("""COMPUTED_VALUE"""),"")</f>
        <v/>
      </c>
      <c r="P718" s="71" t="str">
        <f>IFERROR(__xludf.DUMMYFUNCTION("""COMPUTED_VALUE"""),"")</f>
        <v/>
      </c>
      <c r="Q718" s="78" t="str">
        <f>IFERROR(__xludf.DUMMYFUNCTION("""COMPUTED_VALUE"""),"")</f>
        <v/>
      </c>
      <c r="R718" s="78" t="str">
        <f>IFERROR(__xludf.DUMMYFUNCTION("""COMPUTED_VALUE"""),"")</f>
        <v/>
      </c>
      <c r="S718" s="80" t="str">
        <f>IFERROR(__xludf.DUMMYFUNCTION("""COMPUTED_VALUE"""),"")</f>
        <v/>
      </c>
      <c r="T718" s="80" t="str">
        <f>IFERROR(__xludf.DUMMYFUNCTION("""COMPUTED_VALUE"""),"")</f>
        <v/>
      </c>
      <c r="U718" s="71" t="str">
        <f>IFERROR(__xludf.DUMMYFUNCTION("""COMPUTED_VALUE"""),"")</f>
        <v/>
      </c>
      <c r="V718" s="78" t="str">
        <f>IFERROR(__xludf.DUMMYFUNCTION("""COMPUTED_VALUE"""),"")</f>
        <v/>
      </c>
      <c r="W718" s="62" t="str">
        <f>IFERROR(__xludf.DUMMYFUNCTION("""COMPUTED_VALUE"""),"")</f>
        <v/>
      </c>
      <c r="X718" s="80" t="str">
        <f>IFERROR(__xludf.DUMMYFUNCTION("""COMPUTED_VALUE"""),"")</f>
        <v/>
      </c>
      <c r="Y718" s="109" t="str">
        <f>IFERROR(__xludf.DUMMYFUNCTION("""COMPUTED_VALUE"""),"")</f>
        <v/>
      </c>
      <c r="Z718" s="71"/>
      <c r="AA718" s="71"/>
      <c r="AB718" s="71"/>
    </row>
    <row r="719">
      <c r="A719" s="71"/>
      <c r="B719" s="71"/>
      <c r="C719" s="71" t="str">
        <f>IFERROR(__xludf.DUMMYFUNCTION("""COMPUTED_VALUE"""),"")</f>
        <v/>
      </c>
      <c r="D719" s="71"/>
      <c r="E719" s="78"/>
      <c r="F719" s="71"/>
      <c r="G719" s="78" t="str">
        <f>IFERROR(__xludf.DUMMYFUNCTION("""COMPUTED_VALUE"""),"")</f>
        <v/>
      </c>
      <c r="H719" s="71"/>
      <c r="I719" s="80" t="str">
        <f>IFERROR(__xludf.DUMMYFUNCTION("""COMPUTED_VALUE"""),"")</f>
        <v/>
      </c>
      <c r="J719" s="71" t="str">
        <f>IFERROR(__xludf.DUMMYFUNCTION("""COMPUTED_VALUE"""),"")</f>
        <v/>
      </c>
      <c r="K719" s="71"/>
      <c r="L719" s="71" t="str">
        <f>IFERROR(__xludf.DUMMYFUNCTION("""COMPUTED_VALUE"""),"")</f>
        <v/>
      </c>
      <c r="M719" s="71"/>
      <c r="N719" s="109" t="str">
        <f>IFERROR(__xludf.DUMMYFUNCTION("""COMPUTED_VALUE"""),"")</f>
        <v/>
      </c>
      <c r="O719" s="71" t="str">
        <f>IFERROR(__xludf.DUMMYFUNCTION("""COMPUTED_VALUE"""),"")</f>
        <v/>
      </c>
      <c r="P719" s="71" t="str">
        <f>IFERROR(__xludf.DUMMYFUNCTION("""COMPUTED_VALUE"""),"")</f>
        <v/>
      </c>
      <c r="Q719" s="78" t="str">
        <f>IFERROR(__xludf.DUMMYFUNCTION("""COMPUTED_VALUE"""),"")</f>
        <v/>
      </c>
      <c r="R719" s="78" t="str">
        <f>IFERROR(__xludf.DUMMYFUNCTION("""COMPUTED_VALUE"""),"")</f>
        <v/>
      </c>
      <c r="S719" s="80" t="str">
        <f>IFERROR(__xludf.DUMMYFUNCTION("""COMPUTED_VALUE"""),"")</f>
        <v/>
      </c>
      <c r="T719" s="80" t="str">
        <f>IFERROR(__xludf.DUMMYFUNCTION("""COMPUTED_VALUE"""),"")</f>
        <v/>
      </c>
      <c r="U719" s="71" t="str">
        <f>IFERROR(__xludf.DUMMYFUNCTION("""COMPUTED_VALUE"""),"")</f>
        <v/>
      </c>
      <c r="V719" s="78" t="str">
        <f>IFERROR(__xludf.DUMMYFUNCTION("""COMPUTED_VALUE"""),"")</f>
        <v/>
      </c>
      <c r="W719" s="62" t="str">
        <f>IFERROR(__xludf.DUMMYFUNCTION("""COMPUTED_VALUE"""),"")</f>
        <v/>
      </c>
      <c r="X719" s="80" t="str">
        <f>IFERROR(__xludf.DUMMYFUNCTION("""COMPUTED_VALUE"""),"")</f>
        <v/>
      </c>
      <c r="Y719" s="109" t="str">
        <f>IFERROR(__xludf.DUMMYFUNCTION("""COMPUTED_VALUE"""),"")</f>
        <v/>
      </c>
      <c r="Z719" s="71"/>
      <c r="AA719" s="71"/>
      <c r="AB719" s="71"/>
    </row>
    <row r="720">
      <c r="A720" s="71"/>
      <c r="B720" s="71"/>
      <c r="C720" s="71" t="str">
        <f>IFERROR(__xludf.DUMMYFUNCTION("""COMPUTED_VALUE"""),"")</f>
        <v/>
      </c>
      <c r="D720" s="71"/>
      <c r="E720" s="78"/>
      <c r="F720" s="71"/>
      <c r="G720" s="78" t="str">
        <f>IFERROR(__xludf.DUMMYFUNCTION("""COMPUTED_VALUE"""),"")</f>
        <v/>
      </c>
      <c r="H720" s="71"/>
      <c r="I720" s="80" t="str">
        <f>IFERROR(__xludf.DUMMYFUNCTION("""COMPUTED_VALUE"""),"")</f>
        <v/>
      </c>
      <c r="J720" s="71" t="str">
        <f>IFERROR(__xludf.DUMMYFUNCTION("""COMPUTED_VALUE"""),"")</f>
        <v/>
      </c>
      <c r="K720" s="71"/>
      <c r="L720" s="71" t="str">
        <f>IFERROR(__xludf.DUMMYFUNCTION("""COMPUTED_VALUE"""),"")</f>
        <v/>
      </c>
      <c r="M720" s="71"/>
      <c r="N720" s="109" t="str">
        <f>IFERROR(__xludf.DUMMYFUNCTION("""COMPUTED_VALUE"""),"")</f>
        <v/>
      </c>
      <c r="O720" s="71" t="str">
        <f>IFERROR(__xludf.DUMMYFUNCTION("""COMPUTED_VALUE"""),"")</f>
        <v/>
      </c>
      <c r="P720" s="71" t="str">
        <f>IFERROR(__xludf.DUMMYFUNCTION("""COMPUTED_VALUE"""),"")</f>
        <v/>
      </c>
      <c r="Q720" s="78" t="str">
        <f>IFERROR(__xludf.DUMMYFUNCTION("""COMPUTED_VALUE"""),"")</f>
        <v/>
      </c>
      <c r="R720" s="78" t="str">
        <f>IFERROR(__xludf.DUMMYFUNCTION("""COMPUTED_VALUE"""),"")</f>
        <v/>
      </c>
      <c r="S720" s="80" t="str">
        <f>IFERROR(__xludf.DUMMYFUNCTION("""COMPUTED_VALUE"""),"")</f>
        <v/>
      </c>
      <c r="T720" s="80" t="str">
        <f>IFERROR(__xludf.DUMMYFUNCTION("""COMPUTED_VALUE"""),"")</f>
        <v/>
      </c>
      <c r="U720" s="71" t="str">
        <f>IFERROR(__xludf.DUMMYFUNCTION("""COMPUTED_VALUE"""),"")</f>
        <v/>
      </c>
      <c r="V720" s="78" t="str">
        <f>IFERROR(__xludf.DUMMYFUNCTION("""COMPUTED_VALUE"""),"")</f>
        <v/>
      </c>
      <c r="W720" s="62" t="str">
        <f>IFERROR(__xludf.DUMMYFUNCTION("""COMPUTED_VALUE"""),"")</f>
        <v/>
      </c>
      <c r="X720" s="80" t="str">
        <f>IFERROR(__xludf.DUMMYFUNCTION("""COMPUTED_VALUE"""),"")</f>
        <v/>
      </c>
      <c r="Y720" s="109" t="str">
        <f>IFERROR(__xludf.DUMMYFUNCTION("""COMPUTED_VALUE"""),"")</f>
        <v/>
      </c>
      <c r="Z720" s="71"/>
      <c r="AA720" s="71"/>
      <c r="AB720" s="71"/>
    </row>
    <row r="721">
      <c r="A721" s="71"/>
      <c r="B721" s="71"/>
      <c r="C721" s="71" t="str">
        <f>IFERROR(__xludf.DUMMYFUNCTION("""COMPUTED_VALUE"""),"")</f>
        <v/>
      </c>
      <c r="D721" s="71"/>
      <c r="E721" s="78"/>
      <c r="F721" s="71"/>
      <c r="G721" s="78" t="str">
        <f>IFERROR(__xludf.DUMMYFUNCTION("""COMPUTED_VALUE"""),"")</f>
        <v/>
      </c>
      <c r="H721" s="71"/>
      <c r="I721" s="80" t="str">
        <f>IFERROR(__xludf.DUMMYFUNCTION("""COMPUTED_VALUE"""),"")</f>
        <v/>
      </c>
      <c r="J721" s="71" t="str">
        <f>IFERROR(__xludf.DUMMYFUNCTION("""COMPUTED_VALUE"""),"")</f>
        <v/>
      </c>
      <c r="K721" s="71"/>
      <c r="L721" s="71" t="str">
        <f>IFERROR(__xludf.DUMMYFUNCTION("""COMPUTED_VALUE"""),"")</f>
        <v/>
      </c>
      <c r="M721" s="71"/>
      <c r="N721" s="109" t="str">
        <f>IFERROR(__xludf.DUMMYFUNCTION("""COMPUTED_VALUE"""),"")</f>
        <v/>
      </c>
      <c r="O721" s="71" t="str">
        <f>IFERROR(__xludf.DUMMYFUNCTION("""COMPUTED_VALUE"""),"")</f>
        <v/>
      </c>
      <c r="P721" s="71" t="str">
        <f>IFERROR(__xludf.DUMMYFUNCTION("""COMPUTED_VALUE"""),"")</f>
        <v/>
      </c>
      <c r="Q721" s="78" t="str">
        <f>IFERROR(__xludf.DUMMYFUNCTION("""COMPUTED_VALUE"""),"")</f>
        <v/>
      </c>
      <c r="R721" s="78" t="str">
        <f>IFERROR(__xludf.DUMMYFUNCTION("""COMPUTED_VALUE"""),"")</f>
        <v/>
      </c>
      <c r="S721" s="80" t="str">
        <f>IFERROR(__xludf.DUMMYFUNCTION("""COMPUTED_VALUE"""),"")</f>
        <v/>
      </c>
      <c r="T721" s="80" t="str">
        <f>IFERROR(__xludf.DUMMYFUNCTION("""COMPUTED_VALUE"""),"")</f>
        <v/>
      </c>
      <c r="U721" s="71" t="str">
        <f>IFERROR(__xludf.DUMMYFUNCTION("""COMPUTED_VALUE"""),"")</f>
        <v/>
      </c>
      <c r="V721" s="78" t="str">
        <f>IFERROR(__xludf.DUMMYFUNCTION("""COMPUTED_VALUE"""),"")</f>
        <v/>
      </c>
      <c r="W721" s="62" t="str">
        <f>IFERROR(__xludf.DUMMYFUNCTION("""COMPUTED_VALUE"""),"")</f>
        <v/>
      </c>
      <c r="X721" s="80" t="str">
        <f>IFERROR(__xludf.DUMMYFUNCTION("""COMPUTED_VALUE"""),"")</f>
        <v/>
      </c>
      <c r="Y721" s="109" t="str">
        <f>IFERROR(__xludf.DUMMYFUNCTION("""COMPUTED_VALUE"""),"")</f>
        <v/>
      </c>
      <c r="Z721" s="71"/>
      <c r="AA721" s="71"/>
      <c r="AB721" s="71"/>
    </row>
    <row r="722">
      <c r="A722" s="71"/>
      <c r="B722" s="71"/>
      <c r="C722" s="71" t="str">
        <f>IFERROR(__xludf.DUMMYFUNCTION("""COMPUTED_VALUE"""),"")</f>
        <v/>
      </c>
      <c r="D722" s="71"/>
      <c r="E722" s="78"/>
      <c r="F722" s="71"/>
      <c r="G722" s="78" t="str">
        <f>IFERROR(__xludf.DUMMYFUNCTION("""COMPUTED_VALUE"""),"")</f>
        <v/>
      </c>
      <c r="H722" s="71"/>
      <c r="I722" s="80" t="str">
        <f>IFERROR(__xludf.DUMMYFUNCTION("""COMPUTED_VALUE"""),"")</f>
        <v/>
      </c>
      <c r="J722" s="71" t="str">
        <f>IFERROR(__xludf.DUMMYFUNCTION("""COMPUTED_VALUE"""),"")</f>
        <v/>
      </c>
      <c r="K722" s="71"/>
      <c r="L722" s="71" t="str">
        <f>IFERROR(__xludf.DUMMYFUNCTION("""COMPUTED_VALUE"""),"")</f>
        <v/>
      </c>
      <c r="M722" s="71"/>
      <c r="N722" s="109" t="str">
        <f>IFERROR(__xludf.DUMMYFUNCTION("""COMPUTED_VALUE"""),"")</f>
        <v/>
      </c>
      <c r="O722" s="71" t="str">
        <f>IFERROR(__xludf.DUMMYFUNCTION("""COMPUTED_VALUE"""),"")</f>
        <v/>
      </c>
      <c r="P722" s="71" t="str">
        <f>IFERROR(__xludf.DUMMYFUNCTION("""COMPUTED_VALUE"""),"")</f>
        <v/>
      </c>
      <c r="Q722" s="78" t="str">
        <f>IFERROR(__xludf.DUMMYFUNCTION("""COMPUTED_VALUE"""),"")</f>
        <v/>
      </c>
      <c r="R722" s="78" t="str">
        <f>IFERROR(__xludf.DUMMYFUNCTION("""COMPUTED_VALUE"""),"")</f>
        <v/>
      </c>
      <c r="S722" s="80" t="str">
        <f>IFERROR(__xludf.DUMMYFUNCTION("""COMPUTED_VALUE"""),"")</f>
        <v/>
      </c>
      <c r="T722" s="80" t="str">
        <f>IFERROR(__xludf.DUMMYFUNCTION("""COMPUTED_VALUE"""),"")</f>
        <v/>
      </c>
      <c r="U722" s="71" t="str">
        <f>IFERROR(__xludf.DUMMYFUNCTION("""COMPUTED_VALUE"""),"")</f>
        <v/>
      </c>
      <c r="V722" s="78" t="str">
        <f>IFERROR(__xludf.DUMMYFUNCTION("""COMPUTED_VALUE"""),"")</f>
        <v/>
      </c>
      <c r="W722" s="62" t="str">
        <f>IFERROR(__xludf.DUMMYFUNCTION("""COMPUTED_VALUE"""),"")</f>
        <v/>
      </c>
      <c r="X722" s="80" t="str">
        <f>IFERROR(__xludf.DUMMYFUNCTION("""COMPUTED_VALUE"""),"")</f>
        <v/>
      </c>
      <c r="Y722" s="109" t="str">
        <f>IFERROR(__xludf.DUMMYFUNCTION("""COMPUTED_VALUE"""),"")</f>
        <v/>
      </c>
      <c r="Z722" s="71"/>
      <c r="AA722" s="71"/>
      <c r="AB722" s="71"/>
    </row>
    <row r="723">
      <c r="A723" s="71"/>
      <c r="B723" s="71"/>
      <c r="C723" s="71" t="str">
        <f>IFERROR(__xludf.DUMMYFUNCTION("""COMPUTED_VALUE"""),"")</f>
        <v/>
      </c>
      <c r="D723" s="71"/>
      <c r="E723" s="78"/>
      <c r="F723" s="71"/>
      <c r="G723" s="78" t="str">
        <f>IFERROR(__xludf.DUMMYFUNCTION("""COMPUTED_VALUE"""),"")</f>
        <v/>
      </c>
      <c r="H723" s="71"/>
      <c r="I723" s="80" t="str">
        <f>IFERROR(__xludf.DUMMYFUNCTION("""COMPUTED_VALUE"""),"")</f>
        <v/>
      </c>
      <c r="J723" s="71" t="str">
        <f>IFERROR(__xludf.DUMMYFUNCTION("""COMPUTED_VALUE"""),"")</f>
        <v/>
      </c>
      <c r="K723" s="71"/>
      <c r="L723" s="71" t="str">
        <f>IFERROR(__xludf.DUMMYFUNCTION("""COMPUTED_VALUE"""),"")</f>
        <v/>
      </c>
      <c r="M723" s="71"/>
      <c r="N723" s="109" t="str">
        <f>IFERROR(__xludf.DUMMYFUNCTION("""COMPUTED_VALUE"""),"")</f>
        <v/>
      </c>
      <c r="O723" s="71" t="str">
        <f>IFERROR(__xludf.DUMMYFUNCTION("""COMPUTED_VALUE"""),"")</f>
        <v/>
      </c>
      <c r="P723" s="71" t="str">
        <f>IFERROR(__xludf.DUMMYFUNCTION("""COMPUTED_VALUE"""),"")</f>
        <v/>
      </c>
      <c r="Q723" s="78" t="str">
        <f>IFERROR(__xludf.DUMMYFUNCTION("""COMPUTED_VALUE"""),"")</f>
        <v/>
      </c>
      <c r="R723" s="78" t="str">
        <f>IFERROR(__xludf.DUMMYFUNCTION("""COMPUTED_VALUE"""),"")</f>
        <v/>
      </c>
      <c r="S723" s="80" t="str">
        <f>IFERROR(__xludf.DUMMYFUNCTION("""COMPUTED_VALUE"""),"")</f>
        <v/>
      </c>
      <c r="T723" s="80" t="str">
        <f>IFERROR(__xludf.DUMMYFUNCTION("""COMPUTED_VALUE"""),"")</f>
        <v/>
      </c>
      <c r="U723" s="71" t="str">
        <f>IFERROR(__xludf.DUMMYFUNCTION("""COMPUTED_VALUE"""),"")</f>
        <v/>
      </c>
      <c r="V723" s="78" t="str">
        <f>IFERROR(__xludf.DUMMYFUNCTION("""COMPUTED_VALUE"""),"")</f>
        <v/>
      </c>
      <c r="W723" s="62" t="str">
        <f>IFERROR(__xludf.DUMMYFUNCTION("""COMPUTED_VALUE"""),"")</f>
        <v/>
      </c>
      <c r="X723" s="80" t="str">
        <f>IFERROR(__xludf.DUMMYFUNCTION("""COMPUTED_VALUE"""),"")</f>
        <v/>
      </c>
      <c r="Y723" s="109" t="str">
        <f>IFERROR(__xludf.DUMMYFUNCTION("""COMPUTED_VALUE"""),"")</f>
        <v/>
      </c>
      <c r="Z723" s="71"/>
      <c r="AA723" s="71"/>
      <c r="AB723" s="71"/>
    </row>
    <row r="724">
      <c r="A724" s="71"/>
      <c r="B724" s="71"/>
      <c r="C724" s="71" t="str">
        <f>IFERROR(__xludf.DUMMYFUNCTION("""COMPUTED_VALUE"""),"")</f>
        <v/>
      </c>
      <c r="D724" s="71"/>
      <c r="E724" s="78"/>
      <c r="F724" s="71"/>
      <c r="G724" s="78" t="str">
        <f>IFERROR(__xludf.DUMMYFUNCTION("""COMPUTED_VALUE"""),"")</f>
        <v/>
      </c>
      <c r="H724" s="71"/>
      <c r="I724" s="80" t="str">
        <f>IFERROR(__xludf.DUMMYFUNCTION("""COMPUTED_VALUE"""),"")</f>
        <v/>
      </c>
      <c r="J724" s="71" t="str">
        <f>IFERROR(__xludf.DUMMYFUNCTION("""COMPUTED_VALUE"""),"")</f>
        <v/>
      </c>
      <c r="K724" s="71"/>
      <c r="L724" s="71" t="str">
        <f>IFERROR(__xludf.DUMMYFUNCTION("""COMPUTED_VALUE"""),"")</f>
        <v/>
      </c>
      <c r="M724" s="71"/>
      <c r="N724" s="109" t="str">
        <f>IFERROR(__xludf.DUMMYFUNCTION("""COMPUTED_VALUE"""),"")</f>
        <v/>
      </c>
      <c r="O724" s="71" t="str">
        <f>IFERROR(__xludf.DUMMYFUNCTION("""COMPUTED_VALUE"""),"")</f>
        <v/>
      </c>
      <c r="P724" s="71" t="str">
        <f>IFERROR(__xludf.DUMMYFUNCTION("""COMPUTED_VALUE"""),"")</f>
        <v/>
      </c>
      <c r="Q724" s="78" t="str">
        <f>IFERROR(__xludf.DUMMYFUNCTION("""COMPUTED_VALUE"""),"")</f>
        <v/>
      </c>
      <c r="R724" s="78" t="str">
        <f>IFERROR(__xludf.DUMMYFUNCTION("""COMPUTED_VALUE"""),"")</f>
        <v/>
      </c>
      <c r="S724" s="80" t="str">
        <f>IFERROR(__xludf.DUMMYFUNCTION("""COMPUTED_VALUE"""),"")</f>
        <v/>
      </c>
      <c r="T724" s="80" t="str">
        <f>IFERROR(__xludf.DUMMYFUNCTION("""COMPUTED_VALUE"""),"")</f>
        <v/>
      </c>
      <c r="U724" s="71" t="str">
        <f>IFERROR(__xludf.DUMMYFUNCTION("""COMPUTED_VALUE"""),"")</f>
        <v/>
      </c>
      <c r="V724" s="78" t="str">
        <f>IFERROR(__xludf.DUMMYFUNCTION("""COMPUTED_VALUE"""),"")</f>
        <v/>
      </c>
      <c r="W724" s="62" t="str">
        <f>IFERROR(__xludf.DUMMYFUNCTION("""COMPUTED_VALUE"""),"")</f>
        <v/>
      </c>
      <c r="X724" s="80" t="str">
        <f>IFERROR(__xludf.DUMMYFUNCTION("""COMPUTED_VALUE"""),"")</f>
        <v/>
      </c>
      <c r="Y724" s="109" t="str">
        <f>IFERROR(__xludf.DUMMYFUNCTION("""COMPUTED_VALUE"""),"")</f>
        <v/>
      </c>
      <c r="Z724" s="71"/>
      <c r="AA724" s="71"/>
      <c r="AB724" s="71"/>
    </row>
    <row r="725">
      <c r="A725" s="71"/>
      <c r="B725" s="71"/>
      <c r="C725" s="71" t="str">
        <f>IFERROR(__xludf.DUMMYFUNCTION("""COMPUTED_VALUE"""),"")</f>
        <v/>
      </c>
      <c r="D725" s="71"/>
      <c r="E725" s="78"/>
      <c r="F725" s="71"/>
      <c r="G725" s="78" t="str">
        <f>IFERROR(__xludf.DUMMYFUNCTION("""COMPUTED_VALUE"""),"")</f>
        <v/>
      </c>
      <c r="H725" s="71"/>
      <c r="I725" s="80" t="str">
        <f>IFERROR(__xludf.DUMMYFUNCTION("""COMPUTED_VALUE"""),"")</f>
        <v/>
      </c>
      <c r="J725" s="71" t="str">
        <f>IFERROR(__xludf.DUMMYFUNCTION("""COMPUTED_VALUE"""),"")</f>
        <v/>
      </c>
      <c r="K725" s="71"/>
      <c r="L725" s="71" t="str">
        <f>IFERROR(__xludf.DUMMYFUNCTION("""COMPUTED_VALUE"""),"")</f>
        <v/>
      </c>
      <c r="M725" s="71"/>
      <c r="N725" s="109" t="str">
        <f>IFERROR(__xludf.DUMMYFUNCTION("""COMPUTED_VALUE"""),"")</f>
        <v/>
      </c>
      <c r="O725" s="71" t="str">
        <f>IFERROR(__xludf.DUMMYFUNCTION("""COMPUTED_VALUE"""),"")</f>
        <v/>
      </c>
      <c r="P725" s="71" t="str">
        <f>IFERROR(__xludf.DUMMYFUNCTION("""COMPUTED_VALUE"""),"")</f>
        <v/>
      </c>
      <c r="Q725" s="78" t="str">
        <f>IFERROR(__xludf.DUMMYFUNCTION("""COMPUTED_VALUE"""),"")</f>
        <v/>
      </c>
      <c r="R725" s="78" t="str">
        <f>IFERROR(__xludf.DUMMYFUNCTION("""COMPUTED_VALUE"""),"")</f>
        <v/>
      </c>
      <c r="S725" s="80" t="str">
        <f>IFERROR(__xludf.DUMMYFUNCTION("""COMPUTED_VALUE"""),"")</f>
        <v/>
      </c>
      <c r="T725" s="80" t="str">
        <f>IFERROR(__xludf.DUMMYFUNCTION("""COMPUTED_VALUE"""),"")</f>
        <v/>
      </c>
      <c r="U725" s="71" t="str">
        <f>IFERROR(__xludf.DUMMYFUNCTION("""COMPUTED_VALUE"""),"")</f>
        <v/>
      </c>
      <c r="V725" s="78" t="str">
        <f>IFERROR(__xludf.DUMMYFUNCTION("""COMPUTED_VALUE"""),"")</f>
        <v/>
      </c>
      <c r="W725" s="62" t="str">
        <f>IFERROR(__xludf.DUMMYFUNCTION("""COMPUTED_VALUE"""),"")</f>
        <v/>
      </c>
      <c r="X725" s="80" t="str">
        <f>IFERROR(__xludf.DUMMYFUNCTION("""COMPUTED_VALUE"""),"")</f>
        <v/>
      </c>
      <c r="Y725" s="109" t="str">
        <f>IFERROR(__xludf.DUMMYFUNCTION("""COMPUTED_VALUE"""),"")</f>
        <v/>
      </c>
      <c r="Z725" s="71"/>
      <c r="AA725" s="71"/>
      <c r="AB725" s="71"/>
    </row>
    <row r="726">
      <c r="A726" s="71"/>
      <c r="B726" s="71"/>
      <c r="C726" s="71" t="str">
        <f>IFERROR(__xludf.DUMMYFUNCTION("""COMPUTED_VALUE"""),"")</f>
        <v/>
      </c>
      <c r="D726" s="71"/>
      <c r="E726" s="78"/>
      <c r="F726" s="71"/>
      <c r="G726" s="78" t="str">
        <f>IFERROR(__xludf.DUMMYFUNCTION("""COMPUTED_VALUE"""),"")</f>
        <v/>
      </c>
      <c r="H726" s="71"/>
      <c r="I726" s="80" t="str">
        <f>IFERROR(__xludf.DUMMYFUNCTION("""COMPUTED_VALUE"""),"")</f>
        <v/>
      </c>
      <c r="J726" s="71" t="str">
        <f>IFERROR(__xludf.DUMMYFUNCTION("""COMPUTED_VALUE"""),"")</f>
        <v/>
      </c>
      <c r="K726" s="71"/>
      <c r="L726" s="71" t="str">
        <f>IFERROR(__xludf.DUMMYFUNCTION("""COMPUTED_VALUE"""),"")</f>
        <v/>
      </c>
      <c r="M726" s="71"/>
      <c r="N726" s="109" t="str">
        <f>IFERROR(__xludf.DUMMYFUNCTION("""COMPUTED_VALUE"""),"")</f>
        <v/>
      </c>
      <c r="O726" s="71" t="str">
        <f>IFERROR(__xludf.DUMMYFUNCTION("""COMPUTED_VALUE"""),"")</f>
        <v/>
      </c>
      <c r="P726" s="71" t="str">
        <f>IFERROR(__xludf.DUMMYFUNCTION("""COMPUTED_VALUE"""),"")</f>
        <v/>
      </c>
      <c r="Q726" s="78" t="str">
        <f>IFERROR(__xludf.DUMMYFUNCTION("""COMPUTED_VALUE"""),"")</f>
        <v/>
      </c>
      <c r="R726" s="78" t="str">
        <f>IFERROR(__xludf.DUMMYFUNCTION("""COMPUTED_VALUE"""),"")</f>
        <v/>
      </c>
      <c r="S726" s="80" t="str">
        <f>IFERROR(__xludf.DUMMYFUNCTION("""COMPUTED_VALUE"""),"")</f>
        <v/>
      </c>
      <c r="T726" s="80" t="str">
        <f>IFERROR(__xludf.DUMMYFUNCTION("""COMPUTED_VALUE"""),"")</f>
        <v/>
      </c>
      <c r="U726" s="71" t="str">
        <f>IFERROR(__xludf.DUMMYFUNCTION("""COMPUTED_VALUE"""),"")</f>
        <v/>
      </c>
      <c r="V726" s="78" t="str">
        <f>IFERROR(__xludf.DUMMYFUNCTION("""COMPUTED_VALUE"""),"")</f>
        <v/>
      </c>
      <c r="W726" s="62" t="str">
        <f>IFERROR(__xludf.DUMMYFUNCTION("""COMPUTED_VALUE"""),"")</f>
        <v/>
      </c>
      <c r="X726" s="80" t="str">
        <f>IFERROR(__xludf.DUMMYFUNCTION("""COMPUTED_VALUE"""),"")</f>
        <v/>
      </c>
      <c r="Y726" s="109" t="str">
        <f>IFERROR(__xludf.DUMMYFUNCTION("""COMPUTED_VALUE"""),"")</f>
        <v/>
      </c>
      <c r="Z726" s="71"/>
      <c r="AA726" s="71"/>
      <c r="AB726" s="71"/>
    </row>
    <row r="727">
      <c r="A727" s="71"/>
      <c r="B727" s="71"/>
      <c r="C727" s="71" t="str">
        <f>IFERROR(__xludf.DUMMYFUNCTION("""COMPUTED_VALUE"""),"")</f>
        <v/>
      </c>
      <c r="D727" s="71"/>
      <c r="E727" s="78"/>
      <c r="F727" s="71"/>
      <c r="G727" s="78" t="str">
        <f>IFERROR(__xludf.DUMMYFUNCTION("""COMPUTED_VALUE"""),"")</f>
        <v/>
      </c>
      <c r="H727" s="71"/>
      <c r="I727" s="80" t="str">
        <f>IFERROR(__xludf.DUMMYFUNCTION("""COMPUTED_VALUE"""),"")</f>
        <v/>
      </c>
      <c r="J727" s="71" t="str">
        <f>IFERROR(__xludf.DUMMYFUNCTION("""COMPUTED_VALUE"""),"")</f>
        <v/>
      </c>
      <c r="K727" s="71"/>
      <c r="L727" s="71" t="str">
        <f>IFERROR(__xludf.DUMMYFUNCTION("""COMPUTED_VALUE"""),"")</f>
        <v/>
      </c>
      <c r="M727" s="71"/>
      <c r="N727" s="109" t="str">
        <f>IFERROR(__xludf.DUMMYFUNCTION("""COMPUTED_VALUE"""),"")</f>
        <v/>
      </c>
      <c r="O727" s="71" t="str">
        <f>IFERROR(__xludf.DUMMYFUNCTION("""COMPUTED_VALUE"""),"")</f>
        <v/>
      </c>
      <c r="P727" s="71" t="str">
        <f>IFERROR(__xludf.DUMMYFUNCTION("""COMPUTED_VALUE"""),"")</f>
        <v/>
      </c>
      <c r="Q727" s="78" t="str">
        <f>IFERROR(__xludf.DUMMYFUNCTION("""COMPUTED_VALUE"""),"")</f>
        <v/>
      </c>
      <c r="R727" s="78" t="str">
        <f>IFERROR(__xludf.DUMMYFUNCTION("""COMPUTED_VALUE"""),"")</f>
        <v/>
      </c>
      <c r="S727" s="80" t="str">
        <f>IFERROR(__xludf.DUMMYFUNCTION("""COMPUTED_VALUE"""),"")</f>
        <v/>
      </c>
      <c r="T727" s="80" t="str">
        <f>IFERROR(__xludf.DUMMYFUNCTION("""COMPUTED_VALUE"""),"")</f>
        <v/>
      </c>
      <c r="U727" s="71" t="str">
        <f>IFERROR(__xludf.DUMMYFUNCTION("""COMPUTED_VALUE"""),"")</f>
        <v/>
      </c>
      <c r="V727" s="78" t="str">
        <f>IFERROR(__xludf.DUMMYFUNCTION("""COMPUTED_VALUE"""),"")</f>
        <v/>
      </c>
      <c r="W727" s="62" t="str">
        <f>IFERROR(__xludf.DUMMYFUNCTION("""COMPUTED_VALUE"""),"")</f>
        <v/>
      </c>
      <c r="X727" s="80" t="str">
        <f>IFERROR(__xludf.DUMMYFUNCTION("""COMPUTED_VALUE"""),"")</f>
        <v/>
      </c>
      <c r="Y727" s="109" t="str">
        <f>IFERROR(__xludf.DUMMYFUNCTION("""COMPUTED_VALUE"""),"")</f>
        <v/>
      </c>
      <c r="Z727" s="71"/>
      <c r="AA727" s="71"/>
      <c r="AB727" s="71"/>
    </row>
    <row r="728">
      <c r="A728" s="71"/>
      <c r="B728" s="71"/>
      <c r="C728" s="71" t="str">
        <f>IFERROR(__xludf.DUMMYFUNCTION("""COMPUTED_VALUE"""),"")</f>
        <v/>
      </c>
      <c r="D728" s="71"/>
      <c r="E728" s="78"/>
      <c r="F728" s="71"/>
      <c r="G728" s="78" t="str">
        <f>IFERROR(__xludf.DUMMYFUNCTION("""COMPUTED_VALUE"""),"")</f>
        <v/>
      </c>
      <c r="H728" s="71"/>
      <c r="I728" s="80" t="str">
        <f>IFERROR(__xludf.DUMMYFUNCTION("""COMPUTED_VALUE"""),"")</f>
        <v/>
      </c>
      <c r="J728" s="71" t="str">
        <f>IFERROR(__xludf.DUMMYFUNCTION("""COMPUTED_VALUE"""),"")</f>
        <v/>
      </c>
      <c r="K728" s="71"/>
      <c r="L728" s="71" t="str">
        <f>IFERROR(__xludf.DUMMYFUNCTION("""COMPUTED_VALUE"""),"")</f>
        <v/>
      </c>
      <c r="M728" s="71"/>
      <c r="N728" s="109" t="str">
        <f>IFERROR(__xludf.DUMMYFUNCTION("""COMPUTED_VALUE"""),"")</f>
        <v/>
      </c>
      <c r="O728" s="71" t="str">
        <f>IFERROR(__xludf.DUMMYFUNCTION("""COMPUTED_VALUE"""),"")</f>
        <v/>
      </c>
      <c r="P728" s="71" t="str">
        <f>IFERROR(__xludf.DUMMYFUNCTION("""COMPUTED_VALUE"""),"")</f>
        <v/>
      </c>
      <c r="Q728" s="78" t="str">
        <f>IFERROR(__xludf.DUMMYFUNCTION("""COMPUTED_VALUE"""),"")</f>
        <v/>
      </c>
      <c r="R728" s="78" t="str">
        <f>IFERROR(__xludf.DUMMYFUNCTION("""COMPUTED_VALUE"""),"")</f>
        <v/>
      </c>
      <c r="S728" s="80" t="str">
        <f>IFERROR(__xludf.DUMMYFUNCTION("""COMPUTED_VALUE"""),"")</f>
        <v/>
      </c>
      <c r="T728" s="80" t="str">
        <f>IFERROR(__xludf.DUMMYFUNCTION("""COMPUTED_VALUE"""),"")</f>
        <v/>
      </c>
      <c r="U728" s="71" t="str">
        <f>IFERROR(__xludf.DUMMYFUNCTION("""COMPUTED_VALUE"""),"")</f>
        <v/>
      </c>
      <c r="V728" s="78" t="str">
        <f>IFERROR(__xludf.DUMMYFUNCTION("""COMPUTED_VALUE"""),"")</f>
        <v/>
      </c>
      <c r="W728" s="62" t="str">
        <f>IFERROR(__xludf.DUMMYFUNCTION("""COMPUTED_VALUE"""),"")</f>
        <v/>
      </c>
      <c r="X728" s="80" t="str">
        <f>IFERROR(__xludf.DUMMYFUNCTION("""COMPUTED_VALUE"""),"")</f>
        <v/>
      </c>
      <c r="Y728" s="109" t="str">
        <f>IFERROR(__xludf.DUMMYFUNCTION("""COMPUTED_VALUE"""),"")</f>
        <v/>
      </c>
      <c r="Z728" s="71"/>
      <c r="AA728" s="71"/>
      <c r="AB728" s="71"/>
    </row>
    <row r="729">
      <c r="A729" s="71"/>
      <c r="B729" s="71"/>
      <c r="C729" s="71" t="str">
        <f>IFERROR(__xludf.DUMMYFUNCTION("""COMPUTED_VALUE"""),"")</f>
        <v/>
      </c>
      <c r="D729" s="71"/>
      <c r="E729" s="78"/>
      <c r="F729" s="71"/>
      <c r="G729" s="78" t="str">
        <f>IFERROR(__xludf.DUMMYFUNCTION("""COMPUTED_VALUE"""),"")</f>
        <v/>
      </c>
      <c r="H729" s="71"/>
      <c r="I729" s="80" t="str">
        <f>IFERROR(__xludf.DUMMYFUNCTION("""COMPUTED_VALUE"""),"")</f>
        <v/>
      </c>
      <c r="J729" s="71" t="str">
        <f>IFERROR(__xludf.DUMMYFUNCTION("""COMPUTED_VALUE"""),"")</f>
        <v/>
      </c>
      <c r="K729" s="71"/>
      <c r="L729" s="71" t="str">
        <f>IFERROR(__xludf.DUMMYFUNCTION("""COMPUTED_VALUE"""),"")</f>
        <v/>
      </c>
      <c r="M729" s="71"/>
      <c r="N729" s="109" t="str">
        <f>IFERROR(__xludf.DUMMYFUNCTION("""COMPUTED_VALUE"""),"")</f>
        <v/>
      </c>
      <c r="O729" s="71" t="str">
        <f>IFERROR(__xludf.DUMMYFUNCTION("""COMPUTED_VALUE"""),"")</f>
        <v/>
      </c>
      <c r="P729" s="71" t="str">
        <f>IFERROR(__xludf.DUMMYFUNCTION("""COMPUTED_VALUE"""),"")</f>
        <v/>
      </c>
      <c r="Q729" s="78" t="str">
        <f>IFERROR(__xludf.DUMMYFUNCTION("""COMPUTED_VALUE"""),"")</f>
        <v/>
      </c>
      <c r="R729" s="78" t="str">
        <f>IFERROR(__xludf.DUMMYFUNCTION("""COMPUTED_VALUE"""),"")</f>
        <v/>
      </c>
      <c r="S729" s="80" t="str">
        <f>IFERROR(__xludf.DUMMYFUNCTION("""COMPUTED_VALUE"""),"")</f>
        <v/>
      </c>
      <c r="T729" s="80" t="str">
        <f>IFERROR(__xludf.DUMMYFUNCTION("""COMPUTED_VALUE"""),"")</f>
        <v/>
      </c>
      <c r="U729" s="71" t="str">
        <f>IFERROR(__xludf.DUMMYFUNCTION("""COMPUTED_VALUE"""),"")</f>
        <v/>
      </c>
      <c r="V729" s="78" t="str">
        <f>IFERROR(__xludf.DUMMYFUNCTION("""COMPUTED_VALUE"""),"")</f>
        <v/>
      </c>
      <c r="W729" s="62" t="str">
        <f>IFERROR(__xludf.DUMMYFUNCTION("""COMPUTED_VALUE"""),"")</f>
        <v/>
      </c>
      <c r="X729" s="80" t="str">
        <f>IFERROR(__xludf.DUMMYFUNCTION("""COMPUTED_VALUE"""),"")</f>
        <v/>
      </c>
      <c r="Y729" s="109" t="str">
        <f>IFERROR(__xludf.DUMMYFUNCTION("""COMPUTED_VALUE"""),"")</f>
        <v/>
      </c>
      <c r="Z729" s="71"/>
      <c r="AA729" s="71"/>
      <c r="AB729" s="71"/>
    </row>
    <row r="730">
      <c r="A730" s="71"/>
      <c r="B730" s="71"/>
      <c r="C730" s="71" t="str">
        <f>IFERROR(__xludf.DUMMYFUNCTION("""COMPUTED_VALUE"""),"")</f>
        <v/>
      </c>
      <c r="D730" s="71"/>
      <c r="E730" s="78"/>
      <c r="F730" s="71"/>
      <c r="G730" s="78" t="str">
        <f>IFERROR(__xludf.DUMMYFUNCTION("""COMPUTED_VALUE"""),"")</f>
        <v/>
      </c>
      <c r="H730" s="71"/>
      <c r="I730" s="80" t="str">
        <f>IFERROR(__xludf.DUMMYFUNCTION("""COMPUTED_VALUE"""),"")</f>
        <v/>
      </c>
      <c r="J730" s="71" t="str">
        <f>IFERROR(__xludf.DUMMYFUNCTION("""COMPUTED_VALUE"""),"")</f>
        <v/>
      </c>
      <c r="K730" s="71"/>
      <c r="L730" s="71" t="str">
        <f>IFERROR(__xludf.DUMMYFUNCTION("""COMPUTED_VALUE"""),"")</f>
        <v/>
      </c>
      <c r="M730" s="71"/>
      <c r="N730" s="109" t="str">
        <f>IFERROR(__xludf.DUMMYFUNCTION("""COMPUTED_VALUE"""),"")</f>
        <v/>
      </c>
      <c r="O730" s="71" t="str">
        <f>IFERROR(__xludf.DUMMYFUNCTION("""COMPUTED_VALUE"""),"")</f>
        <v/>
      </c>
      <c r="P730" s="71" t="str">
        <f>IFERROR(__xludf.DUMMYFUNCTION("""COMPUTED_VALUE"""),"")</f>
        <v/>
      </c>
      <c r="Q730" s="78" t="str">
        <f>IFERROR(__xludf.DUMMYFUNCTION("""COMPUTED_VALUE"""),"")</f>
        <v/>
      </c>
      <c r="R730" s="78" t="str">
        <f>IFERROR(__xludf.DUMMYFUNCTION("""COMPUTED_VALUE"""),"")</f>
        <v/>
      </c>
      <c r="S730" s="80" t="str">
        <f>IFERROR(__xludf.DUMMYFUNCTION("""COMPUTED_VALUE"""),"")</f>
        <v/>
      </c>
      <c r="T730" s="80" t="str">
        <f>IFERROR(__xludf.DUMMYFUNCTION("""COMPUTED_VALUE"""),"")</f>
        <v/>
      </c>
      <c r="U730" s="71" t="str">
        <f>IFERROR(__xludf.DUMMYFUNCTION("""COMPUTED_VALUE"""),"")</f>
        <v/>
      </c>
      <c r="V730" s="78" t="str">
        <f>IFERROR(__xludf.DUMMYFUNCTION("""COMPUTED_VALUE"""),"")</f>
        <v/>
      </c>
      <c r="W730" s="62" t="str">
        <f>IFERROR(__xludf.DUMMYFUNCTION("""COMPUTED_VALUE"""),"")</f>
        <v/>
      </c>
      <c r="X730" s="80" t="str">
        <f>IFERROR(__xludf.DUMMYFUNCTION("""COMPUTED_VALUE"""),"")</f>
        <v/>
      </c>
      <c r="Y730" s="109" t="str">
        <f>IFERROR(__xludf.DUMMYFUNCTION("""COMPUTED_VALUE"""),"")</f>
        <v/>
      </c>
      <c r="Z730" s="71"/>
      <c r="AA730" s="71"/>
      <c r="AB730" s="71"/>
    </row>
    <row r="731">
      <c r="A731" s="71"/>
      <c r="B731" s="71"/>
      <c r="C731" s="71" t="str">
        <f>IFERROR(__xludf.DUMMYFUNCTION("""COMPUTED_VALUE"""),"")</f>
        <v/>
      </c>
      <c r="D731" s="71"/>
      <c r="E731" s="78"/>
      <c r="F731" s="71"/>
      <c r="G731" s="78" t="str">
        <f>IFERROR(__xludf.DUMMYFUNCTION("""COMPUTED_VALUE"""),"")</f>
        <v/>
      </c>
      <c r="H731" s="71"/>
      <c r="I731" s="80" t="str">
        <f>IFERROR(__xludf.DUMMYFUNCTION("""COMPUTED_VALUE"""),"")</f>
        <v/>
      </c>
      <c r="J731" s="71" t="str">
        <f>IFERROR(__xludf.DUMMYFUNCTION("""COMPUTED_VALUE"""),"")</f>
        <v/>
      </c>
      <c r="K731" s="71"/>
      <c r="L731" s="71" t="str">
        <f>IFERROR(__xludf.DUMMYFUNCTION("""COMPUTED_VALUE"""),"")</f>
        <v/>
      </c>
      <c r="M731" s="71"/>
      <c r="N731" s="109" t="str">
        <f>IFERROR(__xludf.DUMMYFUNCTION("""COMPUTED_VALUE"""),"")</f>
        <v/>
      </c>
      <c r="O731" s="71" t="str">
        <f>IFERROR(__xludf.DUMMYFUNCTION("""COMPUTED_VALUE"""),"")</f>
        <v/>
      </c>
      <c r="P731" s="71" t="str">
        <f>IFERROR(__xludf.DUMMYFUNCTION("""COMPUTED_VALUE"""),"")</f>
        <v/>
      </c>
      <c r="Q731" s="78" t="str">
        <f>IFERROR(__xludf.DUMMYFUNCTION("""COMPUTED_VALUE"""),"")</f>
        <v/>
      </c>
      <c r="R731" s="78" t="str">
        <f>IFERROR(__xludf.DUMMYFUNCTION("""COMPUTED_VALUE"""),"")</f>
        <v/>
      </c>
      <c r="S731" s="80" t="str">
        <f>IFERROR(__xludf.DUMMYFUNCTION("""COMPUTED_VALUE"""),"")</f>
        <v/>
      </c>
      <c r="T731" s="80" t="str">
        <f>IFERROR(__xludf.DUMMYFUNCTION("""COMPUTED_VALUE"""),"")</f>
        <v/>
      </c>
      <c r="U731" s="71" t="str">
        <f>IFERROR(__xludf.DUMMYFUNCTION("""COMPUTED_VALUE"""),"")</f>
        <v/>
      </c>
      <c r="V731" s="78" t="str">
        <f>IFERROR(__xludf.DUMMYFUNCTION("""COMPUTED_VALUE"""),"")</f>
        <v/>
      </c>
      <c r="W731" s="62" t="str">
        <f>IFERROR(__xludf.DUMMYFUNCTION("""COMPUTED_VALUE"""),"")</f>
        <v/>
      </c>
      <c r="X731" s="80" t="str">
        <f>IFERROR(__xludf.DUMMYFUNCTION("""COMPUTED_VALUE"""),"")</f>
        <v/>
      </c>
      <c r="Y731" s="109" t="str">
        <f>IFERROR(__xludf.DUMMYFUNCTION("""COMPUTED_VALUE"""),"")</f>
        <v/>
      </c>
      <c r="Z731" s="71"/>
      <c r="AA731" s="71"/>
      <c r="AB731" s="71"/>
    </row>
    <row r="732">
      <c r="A732" s="71"/>
      <c r="B732" s="71"/>
      <c r="C732" s="71" t="str">
        <f>IFERROR(__xludf.DUMMYFUNCTION("""COMPUTED_VALUE"""),"")</f>
        <v/>
      </c>
      <c r="D732" s="71"/>
      <c r="E732" s="78"/>
      <c r="F732" s="71"/>
      <c r="G732" s="78" t="str">
        <f>IFERROR(__xludf.DUMMYFUNCTION("""COMPUTED_VALUE"""),"")</f>
        <v/>
      </c>
      <c r="H732" s="71"/>
      <c r="I732" s="80" t="str">
        <f>IFERROR(__xludf.DUMMYFUNCTION("""COMPUTED_VALUE"""),"")</f>
        <v/>
      </c>
      <c r="J732" s="71" t="str">
        <f>IFERROR(__xludf.DUMMYFUNCTION("""COMPUTED_VALUE"""),"")</f>
        <v/>
      </c>
      <c r="K732" s="71"/>
      <c r="L732" s="71" t="str">
        <f>IFERROR(__xludf.DUMMYFUNCTION("""COMPUTED_VALUE"""),"")</f>
        <v/>
      </c>
      <c r="M732" s="71"/>
      <c r="N732" s="109" t="str">
        <f>IFERROR(__xludf.DUMMYFUNCTION("""COMPUTED_VALUE"""),"")</f>
        <v/>
      </c>
      <c r="O732" s="71" t="str">
        <f>IFERROR(__xludf.DUMMYFUNCTION("""COMPUTED_VALUE"""),"")</f>
        <v/>
      </c>
      <c r="P732" s="71" t="str">
        <f>IFERROR(__xludf.DUMMYFUNCTION("""COMPUTED_VALUE"""),"")</f>
        <v/>
      </c>
      <c r="Q732" s="78" t="str">
        <f>IFERROR(__xludf.DUMMYFUNCTION("""COMPUTED_VALUE"""),"")</f>
        <v/>
      </c>
      <c r="R732" s="78" t="str">
        <f>IFERROR(__xludf.DUMMYFUNCTION("""COMPUTED_VALUE"""),"")</f>
        <v/>
      </c>
      <c r="S732" s="80" t="str">
        <f>IFERROR(__xludf.DUMMYFUNCTION("""COMPUTED_VALUE"""),"")</f>
        <v/>
      </c>
      <c r="T732" s="80" t="str">
        <f>IFERROR(__xludf.DUMMYFUNCTION("""COMPUTED_VALUE"""),"")</f>
        <v/>
      </c>
      <c r="U732" s="71" t="str">
        <f>IFERROR(__xludf.DUMMYFUNCTION("""COMPUTED_VALUE"""),"")</f>
        <v/>
      </c>
      <c r="V732" s="78" t="str">
        <f>IFERROR(__xludf.DUMMYFUNCTION("""COMPUTED_VALUE"""),"")</f>
        <v/>
      </c>
      <c r="W732" s="62" t="str">
        <f>IFERROR(__xludf.DUMMYFUNCTION("""COMPUTED_VALUE"""),"")</f>
        <v/>
      </c>
      <c r="X732" s="80" t="str">
        <f>IFERROR(__xludf.DUMMYFUNCTION("""COMPUTED_VALUE"""),"")</f>
        <v/>
      </c>
      <c r="Y732" s="109" t="str">
        <f>IFERROR(__xludf.DUMMYFUNCTION("""COMPUTED_VALUE"""),"")</f>
        <v/>
      </c>
      <c r="Z732" s="71"/>
      <c r="AA732" s="71"/>
      <c r="AB732" s="71"/>
    </row>
    <row r="733">
      <c r="A733" s="71"/>
      <c r="B733" s="71"/>
      <c r="C733" s="71" t="str">
        <f>IFERROR(__xludf.DUMMYFUNCTION("""COMPUTED_VALUE"""),"")</f>
        <v/>
      </c>
      <c r="D733" s="71"/>
      <c r="E733" s="78"/>
      <c r="F733" s="71"/>
      <c r="G733" s="78" t="str">
        <f>IFERROR(__xludf.DUMMYFUNCTION("""COMPUTED_VALUE"""),"")</f>
        <v/>
      </c>
      <c r="H733" s="71"/>
      <c r="I733" s="80" t="str">
        <f>IFERROR(__xludf.DUMMYFUNCTION("""COMPUTED_VALUE"""),"")</f>
        <v/>
      </c>
      <c r="J733" s="71" t="str">
        <f>IFERROR(__xludf.DUMMYFUNCTION("""COMPUTED_VALUE"""),"")</f>
        <v/>
      </c>
      <c r="K733" s="71"/>
      <c r="L733" s="71" t="str">
        <f>IFERROR(__xludf.DUMMYFUNCTION("""COMPUTED_VALUE"""),"")</f>
        <v/>
      </c>
      <c r="M733" s="71"/>
      <c r="N733" s="109" t="str">
        <f>IFERROR(__xludf.DUMMYFUNCTION("""COMPUTED_VALUE"""),"")</f>
        <v/>
      </c>
      <c r="O733" s="71" t="str">
        <f>IFERROR(__xludf.DUMMYFUNCTION("""COMPUTED_VALUE"""),"")</f>
        <v/>
      </c>
      <c r="P733" s="71" t="str">
        <f>IFERROR(__xludf.DUMMYFUNCTION("""COMPUTED_VALUE"""),"")</f>
        <v/>
      </c>
      <c r="Q733" s="78" t="str">
        <f>IFERROR(__xludf.DUMMYFUNCTION("""COMPUTED_VALUE"""),"")</f>
        <v/>
      </c>
      <c r="R733" s="78" t="str">
        <f>IFERROR(__xludf.DUMMYFUNCTION("""COMPUTED_VALUE"""),"")</f>
        <v/>
      </c>
      <c r="S733" s="80" t="str">
        <f>IFERROR(__xludf.DUMMYFUNCTION("""COMPUTED_VALUE"""),"")</f>
        <v/>
      </c>
      <c r="T733" s="80" t="str">
        <f>IFERROR(__xludf.DUMMYFUNCTION("""COMPUTED_VALUE"""),"")</f>
        <v/>
      </c>
      <c r="U733" s="71" t="str">
        <f>IFERROR(__xludf.DUMMYFUNCTION("""COMPUTED_VALUE"""),"")</f>
        <v/>
      </c>
      <c r="V733" s="78" t="str">
        <f>IFERROR(__xludf.DUMMYFUNCTION("""COMPUTED_VALUE"""),"")</f>
        <v/>
      </c>
      <c r="W733" s="62" t="str">
        <f>IFERROR(__xludf.DUMMYFUNCTION("""COMPUTED_VALUE"""),"")</f>
        <v/>
      </c>
      <c r="X733" s="80" t="str">
        <f>IFERROR(__xludf.DUMMYFUNCTION("""COMPUTED_VALUE"""),"")</f>
        <v/>
      </c>
      <c r="Y733" s="109" t="str">
        <f>IFERROR(__xludf.DUMMYFUNCTION("""COMPUTED_VALUE"""),"")</f>
        <v/>
      </c>
      <c r="Z733" s="71"/>
      <c r="AA733" s="71"/>
      <c r="AB733" s="71"/>
    </row>
    <row r="734">
      <c r="A734" s="71"/>
      <c r="B734" s="71"/>
      <c r="C734" s="71" t="str">
        <f>IFERROR(__xludf.DUMMYFUNCTION("""COMPUTED_VALUE"""),"")</f>
        <v/>
      </c>
      <c r="D734" s="71"/>
      <c r="E734" s="78"/>
      <c r="F734" s="71"/>
      <c r="G734" s="78" t="str">
        <f>IFERROR(__xludf.DUMMYFUNCTION("""COMPUTED_VALUE"""),"")</f>
        <v/>
      </c>
      <c r="H734" s="71"/>
      <c r="I734" s="80" t="str">
        <f>IFERROR(__xludf.DUMMYFUNCTION("""COMPUTED_VALUE"""),"")</f>
        <v/>
      </c>
      <c r="J734" s="71" t="str">
        <f>IFERROR(__xludf.DUMMYFUNCTION("""COMPUTED_VALUE"""),"")</f>
        <v/>
      </c>
      <c r="K734" s="71"/>
      <c r="L734" s="71" t="str">
        <f>IFERROR(__xludf.DUMMYFUNCTION("""COMPUTED_VALUE"""),"")</f>
        <v/>
      </c>
      <c r="M734" s="71"/>
      <c r="N734" s="109" t="str">
        <f>IFERROR(__xludf.DUMMYFUNCTION("""COMPUTED_VALUE"""),"")</f>
        <v/>
      </c>
      <c r="O734" s="71" t="str">
        <f>IFERROR(__xludf.DUMMYFUNCTION("""COMPUTED_VALUE"""),"")</f>
        <v/>
      </c>
      <c r="P734" s="71" t="str">
        <f>IFERROR(__xludf.DUMMYFUNCTION("""COMPUTED_VALUE"""),"")</f>
        <v/>
      </c>
      <c r="Q734" s="78" t="str">
        <f>IFERROR(__xludf.DUMMYFUNCTION("""COMPUTED_VALUE"""),"")</f>
        <v/>
      </c>
      <c r="R734" s="78" t="str">
        <f>IFERROR(__xludf.DUMMYFUNCTION("""COMPUTED_VALUE"""),"")</f>
        <v/>
      </c>
      <c r="S734" s="80" t="str">
        <f>IFERROR(__xludf.DUMMYFUNCTION("""COMPUTED_VALUE"""),"")</f>
        <v/>
      </c>
      <c r="T734" s="80" t="str">
        <f>IFERROR(__xludf.DUMMYFUNCTION("""COMPUTED_VALUE"""),"")</f>
        <v/>
      </c>
      <c r="U734" s="71" t="str">
        <f>IFERROR(__xludf.DUMMYFUNCTION("""COMPUTED_VALUE"""),"")</f>
        <v/>
      </c>
      <c r="V734" s="78" t="str">
        <f>IFERROR(__xludf.DUMMYFUNCTION("""COMPUTED_VALUE"""),"")</f>
        <v/>
      </c>
      <c r="W734" s="62" t="str">
        <f>IFERROR(__xludf.DUMMYFUNCTION("""COMPUTED_VALUE"""),"")</f>
        <v/>
      </c>
      <c r="X734" s="80" t="str">
        <f>IFERROR(__xludf.DUMMYFUNCTION("""COMPUTED_VALUE"""),"")</f>
        <v/>
      </c>
      <c r="Y734" s="109" t="str">
        <f>IFERROR(__xludf.DUMMYFUNCTION("""COMPUTED_VALUE"""),"")</f>
        <v/>
      </c>
      <c r="Z734" s="71"/>
      <c r="AA734" s="71"/>
      <c r="AB734" s="71"/>
    </row>
    <row r="735">
      <c r="A735" s="71"/>
      <c r="B735" s="71"/>
      <c r="C735" s="71" t="str">
        <f>IFERROR(__xludf.DUMMYFUNCTION("""COMPUTED_VALUE"""),"")</f>
        <v/>
      </c>
      <c r="D735" s="71"/>
      <c r="E735" s="78"/>
      <c r="F735" s="71"/>
      <c r="G735" s="78" t="str">
        <f>IFERROR(__xludf.DUMMYFUNCTION("""COMPUTED_VALUE"""),"")</f>
        <v/>
      </c>
      <c r="H735" s="71"/>
      <c r="I735" s="80" t="str">
        <f>IFERROR(__xludf.DUMMYFUNCTION("""COMPUTED_VALUE"""),"")</f>
        <v/>
      </c>
      <c r="J735" s="71" t="str">
        <f>IFERROR(__xludf.DUMMYFUNCTION("""COMPUTED_VALUE"""),"")</f>
        <v/>
      </c>
      <c r="K735" s="71"/>
      <c r="L735" s="71" t="str">
        <f>IFERROR(__xludf.DUMMYFUNCTION("""COMPUTED_VALUE"""),"")</f>
        <v/>
      </c>
      <c r="M735" s="71"/>
      <c r="N735" s="109" t="str">
        <f>IFERROR(__xludf.DUMMYFUNCTION("""COMPUTED_VALUE"""),"")</f>
        <v/>
      </c>
      <c r="O735" s="71" t="str">
        <f>IFERROR(__xludf.DUMMYFUNCTION("""COMPUTED_VALUE"""),"")</f>
        <v/>
      </c>
      <c r="P735" s="71" t="str">
        <f>IFERROR(__xludf.DUMMYFUNCTION("""COMPUTED_VALUE"""),"")</f>
        <v/>
      </c>
      <c r="Q735" s="78" t="str">
        <f>IFERROR(__xludf.DUMMYFUNCTION("""COMPUTED_VALUE"""),"")</f>
        <v/>
      </c>
      <c r="R735" s="78" t="str">
        <f>IFERROR(__xludf.DUMMYFUNCTION("""COMPUTED_VALUE"""),"")</f>
        <v/>
      </c>
      <c r="S735" s="80" t="str">
        <f>IFERROR(__xludf.DUMMYFUNCTION("""COMPUTED_VALUE"""),"")</f>
        <v/>
      </c>
      <c r="T735" s="80" t="str">
        <f>IFERROR(__xludf.DUMMYFUNCTION("""COMPUTED_VALUE"""),"")</f>
        <v/>
      </c>
      <c r="U735" s="71" t="str">
        <f>IFERROR(__xludf.DUMMYFUNCTION("""COMPUTED_VALUE"""),"")</f>
        <v/>
      </c>
      <c r="V735" s="78" t="str">
        <f>IFERROR(__xludf.DUMMYFUNCTION("""COMPUTED_VALUE"""),"")</f>
        <v/>
      </c>
      <c r="W735" s="62" t="str">
        <f>IFERROR(__xludf.DUMMYFUNCTION("""COMPUTED_VALUE"""),"")</f>
        <v/>
      </c>
      <c r="X735" s="80" t="str">
        <f>IFERROR(__xludf.DUMMYFUNCTION("""COMPUTED_VALUE"""),"")</f>
        <v/>
      </c>
      <c r="Y735" s="109" t="str">
        <f>IFERROR(__xludf.DUMMYFUNCTION("""COMPUTED_VALUE"""),"")</f>
        <v/>
      </c>
      <c r="Z735" s="71"/>
      <c r="AA735" s="71"/>
      <c r="AB735" s="71"/>
    </row>
    <row r="736">
      <c r="A736" s="71"/>
      <c r="B736" s="71"/>
      <c r="C736" s="71" t="str">
        <f>IFERROR(__xludf.DUMMYFUNCTION("""COMPUTED_VALUE"""),"")</f>
        <v/>
      </c>
      <c r="D736" s="71"/>
      <c r="E736" s="78"/>
      <c r="F736" s="71"/>
      <c r="G736" s="78" t="str">
        <f>IFERROR(__xludf.DUMMYFUNCTION("""COMPUTED_VALUE"""),"")</f>
        <v/>
      </c>
      <c r="H736" s="71"/>
      <c r="I736" s="80" t="str">
        <f>IFERROR(__xludf.DUMMYFUNCTION("""COMPUTED_VALUE"""),"")</f>
        <v/>
      </c>
      <c r="J736" s="71" t="str">
        <f>IFERROR(__xludf.DUMMYFUNCTION("""COMPUTED_VALUE"""),"")</f>
        <v/>
      </c>
      <c r="K736" s="71"/>
      <c r="L736" s="71" t="str">
        <f>IFERROR(__xludf.DUMMYFUNCTION("""COMPUTED_VALUE"""),"")</f>
        <v/>
      </c>
      <c r="M736" s="71"/>
      <c r="N736" s="109" t="str">
        <f>IFERROR(__xludf.DUMMYFUNCTION("""COMPUTED_VALUE"""),"")</f>
        <v/>
      </c>
      <c r="O736" s="71" t="str">
        <f>IFERROR(__xludf.DUMMYFUNCTION("""COMPUTED_VALUE"""),"")</f>
        <v/>
      </c>
      <c r="P736" s="71" t="str">
        <f>IFERROR(__xludf.DUMMYFUNCTION("""COMPUTED_VALUE"""),"")</f>
        <v/>
      </c>
      <c r="Q736" s="78" t="str">
        <f>IFERROR(__xludf.DUMMYFUNCTION("""COMPUTED_VALUE"""),"")</f>
        <v/>
      </c>
      <c r="R736" s="78" t="str">
        <f>IFERROR(__xludf.DUMMYFUNCTION("""COMPUTED_VALUE"""),"")</f>
        <v/>
      </c>
      <c r="S736" s="80" t="str">
        <f>IFERROR(__xludf.DUMMYFUNCTION("""COMPUTED_VALUE"""),"")</f>
        <v/>
      </c>
      <c r="T736" s="80" t="str">
        <f>IFERROR(__xludf.DUMMYFUNCTION("""COMPUTED_VALUE"""),"")</f>
        <v/>
      </c>
      <c r="U736" s="71" t="str">
        <f>IFERROR(__xludf.DUMMYFUNCTION("""COMPUTED_VALUE"""),"")</f>
        <v/>
      </c>
      <c r="V736" s="78" t="str">
        <f>IFERROR(__xludf.DUMMYFUNCTION("""COMPUTED_VALUE"""),"")</f>
        <v/>
      </c>
      <c r="W736" s="62" t="str">
        <f>IFERROR(__xludf.DUMMYFUNCTION("""COMPUTED_VALUE"""),"")</f>
        <v/>
      </c>
      <c r="X736" s="80" t="str">
        <f>IFERROR(__xludf.DUMMYFUNCTION("""COMPUTED_VALUE"""),"")</f>
        <v/>
      </c>
      <c r="Y736" s="109" t="str">
        <f>IFERROR(__xludf.DUMMYFUNCTION("""COMPUTED_VALUE"""),"")</f>
        <v/>
      </c>
      <c r="Z736" s="71"/>
      <c r="AA736" s="71"/>
      <c r="AB736" s="71"/>
    </row>
    <row r="737">
      <c r="A737" s="71"/>
      <c r="B737" s="71"/>
      <c r="C737" s="71" t="str">
        <f>IFERROR(__xludf.DUMMYFUNCTION("""COMPUTED_VALUE"""),"")</f>
        <v/>
      </c>
      <c r="D737" s="71"/>
      <c r="E737" s="78"/>
      <c r="F737" s="71"/>
      <c r="G737" s="78" t="str">
        <f>IFERROR(__xludf.DUMMYFUNCTION("""COMPUTED_VALUE"""),"")</f>
        <v/>
      </c>
      <c r="H737" s="71"/>
      <c r="I737" s="80" t="str">
        <f>IFERROR(__xludf.DUMMYFUNCTION("""COMPUTED_VALUE"""),"")</f>
        <v/>
      </c>
      <c r="J737" s="71" t="str">
        <f>IFERROR(__xludf.DUMMYFUNCTION("""COMPUTED_VALUE"""),"")</f>
        <v/>
      </c>
      <c r="K737" s="71"/>
      <c r="L737" s="71" t="str">
        <f>IFERROR(__xludf.DUMMYFUNCTION("""COMPUTED_VALUE"""),"")</f>
        <v/>
      </c>
      <c r="M737" s="71"/>
      <c r="N737" s="109" t="str">
        <f>IFERROR(__xludf.DUMMYFUNCTION("""COMPUTED_VALUE"""),"")</f>
        <v/>
      </c>
      <c r="O737" s="71" t="str">
        <f>IFERROR(__xludf.DUMMYFUNCTION("""COMPUTED_VALUE"""),"")</f>
        <v/>
      </c>
      <c r="P737" s="71" t="str">
        <f>IFERROR(__xludf.DUMMYFUNCTION("""COMPUTED_VALUE"""),"")</f>
        <v/>
      </c>
      <c r="Q737" s="78" t="str">
        <f>IFERROR(__xludf.DUMMYFUNCTION("""COMPUTED_VALUE"""),"")</f>
        <v/>
      </c>
      <c r="R737" s="78" t="str">
        <f>IFERROR(__xludf.DUMMYFUNCTION("""COMPUTED_VALUE"""),"")</f>
        <v/>
      </c>
      <c r="S737" s="80" t="str">
        <f>IFERROR(__xludf.DUMMYFUNCTION("""COMPUTED_VALUE"""),"")</f>
        <v/>
      </c>
      <c r="T737" s="80" t="str">
        <f>IFERROR(__xludf.DUMMYFUNCTION("""COMPUTED_VALUE"""),"")</f>
        <v/>
      </c>
      <c r="U737" s="71" t="str">
        <f>IFERROR(__xludf.DUMMYFUNCTION("""COMPUTED_VALUE"""),"")</f>
        <v/>
      </c>
      <c r="V737" s="78" t="str">
        <f>IFERROR(__xludf.DUMMYFUNCTION("""COMPUTED_VALUE"""),"")</f>
        <v/>
      </c>
      <c r="W737" s="62" t="str">
        <f>IFERROR(__xludf.DUMMYFUNCTION("""COMPUTED_VALUE"""),"")</f>
        <v/>
      </c>
      <c r="X737" s="80" t="str">
        <f>IFERROR(__xludf.DUMMYFUNCTION("""COMPUTED_VALUE"""),"")</f>
        <v/>
      </c>
      <c r="Y737" s="109" t="str">
        <f>IFERROR(__xludf.DUMMYFUNCTION("""COMPUTED_VALUE"""),"")</f>
        <v/>
      </c>
      <c r="Z737" s="71"/>
      <c r="AA737" s="71"/>
      <c r="AB737" s="71"/>
    </row>
    <row r="738">
      <c r="A738" s="71"/>
      <c r="B738" s="71"/>
      <c r="C738" s="71" t="str">
        <f>IFERROR(__xludf.DUMMYFUNCTION("""COMPUTED_VALUE"""),"")</f>
        <v/>
      </c>
      <c r="D738" s="71"/>
      <c r="E738" s="78"/>
      <c r="F738" s="71"/>
      <c r="G738" s="78" t="str">
        <f>IFERROR(__xludf.DUMMYFUNCTION("""COMPUTED_VALUE"""),"")</f>
        <v/>
      </c>
      <c r="H738" s="71"/>
      <c r="I738" s="80" t="str">
        <f>IFERROR(__xludf.DUMMYFUNCTION("""COMPUTED_VALUE"""),"")</f>
        <v/>
      </c>
      <c r="J738" s="71" t="str">
        <f>IFERROR(__xludf.DUMMYFUNCTION("""COMPUTED_VALUE"""),"")</f>
        <v/>
      </c>
      <c r="K738" s="71"/>
      <c r="L738" s="71" t="str">
        <f>IFERROR(__xludf.DUMMYFUNCTION("""COMPUTED_VALUE"""),"")</f>
        <v/>
      </c>
      <c r="M738" s="71"/>
      <c r="N738" s="109" t="str">
        <f>IFERROR(__xludf.DUMMYFUNCTION("""COMPUTED_VALUE"""),"")</f>
        <v/>
      </c>
      <c r="O738" s="71" t="str">
        <f>IFERROR(__xludf.DUMMYFUNCTION("""COMPUTED_VALUE"""),"")</f>
        <v/>
      </c>
      <c r="P738" s="71" t="str">
        <f>IFERROR(__xludf.DUMMYFUNCTION("""COMPUTED_VALUE"""),"")</f>
        <v/>
      </c>
      <c r="Q738" s="78" t="str">
        <f>IFERROR(__xludf.DUMMYFUNCTION("""COMPUTED_VALUE"""),"")</f>
        <v/>
      </c>
      <c r="R738" s="78" t="str">
        <f>IFERROR(__xludf.DUMMYFUNCTION("""COMPUTED_VALUE"""),"")</f>
        <v/>
      </c>
      <c r="S738" s="80" t="str">
        <f>IFERROR(__xludf.DUMMYFUNCTION("""COMPUTED_VALUE"""),"")</f>
        <v/>
      </c>
      <c r="T738" s="80" t="str">
        <f>IFERROR(__xludf.DUMMYFUNCTION("""COMPUTED_VALUE"""),"")</f>
        <v/>
      </c>
      <c r="U738" s="71" t="str">
        <f>IFERROR(__xludf.DUMMYFUNCTION("""COMPUTED_VALUE"""),"")</f>
        <v/>
      </c>
      <c r="V738" s="78" t="str">
        <f>IFERROR(__xludf.DUMMYFUNCTION("""COMPUTED_VALUE"""),"")</f>
        <v/>
      </c>
      <c r="W738" s="62" t="str">
        <f>IFERROR(__xludf.DUMMYFUNCTION("""COMPUTED_VALUE"""),"")</f>
        <v/>
      </c>
      <c r="X738" s="80" t="str">
        <f>IFERROR(__xludf.DUMMYFUNCTION("""COMPUTED_VALUE"""),"")</f>
        <v/>
      </c>
      <c r="Y738" s="109" t="str">
        <f>IFERROR(__xludf.DUMMYFUNCTION("""COMPUTED_VALUE"""),"")</f>
        <v/>
      </c>
      <c r="Z738" s="71"/>
      <c r="AA738" s="71"/>
      <c r="AB738" s="71"/>
    </row>
    <row r="739">
      <c r="A739" s="71"/>
      <c r="B739" s="71"/>
      <c r="C739" s="71" t="str">
        <f>IFERROR(__xludf.DUMMYFUNCTION("""COMPUTED_VALUE"""),"")</f>
        <v/>
      </c>
      <c r="D739" s="71"/>
      <c r="E739" s="78"/>
      <c r="F739" s="71"/>
      <c r="G739" s="78" t="str">
        <f>IFERROR(__xludf.DUMMYFUNCTION("""COMPUTED_VALUE"""),"")</f>
        <v/>
      </c>
      <c r="H739" s="71"/>
      <c r="I739" s="80" t="str">
        <f>IFERROR(__xludf.DUMMYFUNCTION("""COMPUTED_VALUE"""),"")</f>
        <v/>
      </c>
      <c r="J739" s="71" t="str">
        <f>IFERROR(__xludf.DUMMYFUNCTION("""COMPUTED_VALUE"""),"")</f>
        <v/>
      </c>
      <c r="K739" s="71"/>
      <c r="L739" s="71" t="str">
        <f>IFERROR(__xludf.DUMMYFUNCTION("""COMPUTED_VALUE"""),"")</f>
        <v/>
      </c>
      <c r="M739" s="71"/>
      <c r="N739" s="109" t="str">
        <f>IFERROR(__xludf.DUMMYFUNCTION("""COMPUTED_VALUE"""),"")</f>
        <v/>
      </c>
      <c r="O739" s="71" t="str">
        <f>IFERROR(__xludf.DUMMYFUNCTION("""COMPUTED_VALUE"""),"")</f>
        <v/>
      </c>
      <c r="P739" s="71" t="str">
        <f>IFERROR(__xludf.DUMMYFUNCTION("""COMPUTED_VALUE"""),"")</f>
        <v/>
      </c>
      <c r="Q739" s="78" t="str">
        <f>IFERROR(__xludf.DUMMYFUNCTION("""COMPUTED_VALUE"""),"")</f>
        <v/>
      </c>
      <c r="R739" s="78" t="str">
        <f>IFERROR(__xludf.DUMMYFUNCTION("""COMPUTED_VALUE"""),"")</f>
        <v/>
      </c>
      <c r="S739" s="80" t="str">
        <f>IFERROR(__xludf.DUMMYFUNCTION("""COMPUTED_VALUE"""),"")</f>
        <v/>
      </c>
      <c r="T739" s="80" t="str">
        <f>IFERROR(__xludf.DUMMYFUNCTION("""COMPUTED_VALUE"""),"")</f>
        <v/>
      </c>
      <c r="U739" s="71" t="str">
        <f>IFERROR(__xludf.DUMMYFUNCTION("""COMPUTED_VALUE"""),"")</f>
        <v/>
      </c>
      <c r="V739" s="78" t="str">
        <f>IFERROR(__xludf.DUMMYFUNCTION("""COMPUTED_VALUE"""),"")</f>
        <v/>
      </c>
      <c r="W739" s="62" t="str">
        <f>IFERROR(__xludf.DUMMYFUNCTION("""COMPUTED_VALUE"""),"")</f>
        <v/>
      </c>
      <c r="X739" s="80" t="str">
        <f>IFERROR(__xludf.DUMMYFUNCTION("""COMPUTED_VALUE"""),"")</f>
        <v/>
      </c>
      <c r="Y739" s="109" t="str">
        <f>IFERROR(__xludf.DUMMYFUNCTION("""COMPUTED_VALUE"""),"")</f>
        <v/>
      </c>
      <c r="Z739" s="71"/>
      <c r="AA739" s="71"/>
      <c r="AB739" s="71"/>
    </row>
    <row r="740">
      <c r="A740" s="71"/>
      <c r="B740" s="71"/>
      <c r="C740" s="71" t="str">
        <f>IFERROR(__xludf.DUMMYFUNCTION("""COMPUTED_VALUE"""),"")</f>
        <v/>
      </c>
      <c r="D740" s="71"/>
      <c r="E740" s="78"/>
      <c r="F740" s="71"/>
      <c r="G740" s="78" t="str">
        <f>IFERROR(__xludf.DUMMYFUNCTION("""COMPUTED_VALUE"""),"")</f>
        <v/>
      </c>
      <c r="H740" s="71"/>
      <c r="I740" s="80" t="str">
        <f>IFERROR(__xludf.DUMMYFUNCTION("""COMPUTED_VALUE"""),"")</f>
        <v/>
      </c>
      <c r="J740" s="71" t="str">
        <f>IFERROR(__xludf.DUMMYFUNCTION("""COMPUTED_VALUE"""),"")</f>
        <v/>
      </c>
      <c r="K740" s="71"/>
      <c r="L740" s="71" t="str">
        <f>IFERROR(__xludf.DUMMYFUNCTION("""COMPUTED_VALUE"""),"")</f>
        <v/>
      </c>
      <c r="M740" s="71"/>
      <c r="N740" s="109" t="str">
        <f>IFERROR(__xludf.DUMMYFUNCTION("""COMPUTED_VALUE"""),"")</f>
        <v/>
      </c>
      <c r="O740" s="71" t="str">
        <f>IFERROR(__xludf.DUMMYFUNCTION("""COMPUTED_VALUE"""),"")</f>
        <v/>
      </c>
      <c r="P740" s="71" t="str">
        <f>IFERROR(__xludf.DUMMYFUNCTION("""COMPUTED_VALUE"""),"")</f>
        <v/>
      </c>
      <c r="Q740" s="78" t="str">
        <f>IFERROR(__xludf.DUMMYFUNCTION("""COMPUTED_VALUE"""),"")</f>
        <v/>
      </c>
      <c r="R740" s="78" t="str">
        <f>IFERROR(__xludf.DUMMYFUNCTION("""COMPUTED_VALUE"""),"")</f>
        <v/>
      </c>
      <c r="S740" s="80" t="str">
        <f>IFERROR(__xludf.DUMMYFUNCTION("""COMPUTED_VALUE"""),"")</f>
        <v/>
      </c>
      <c r="T740" s="80" t="str">
        <f>IFERROR(__xludf.DUMMYFUNCTION("""COMPUTED_VALUE"""),"")</f>
        <v/>
      </c>
      <c r="U740" s="71" t="str">
        <f>IFERROR(__xludf.DUMMYFUNCTION("""COMPUTED_VALUE"""),"")</f>
        <v/>
      </c>
      <c r="V740" s="78" t="str">
        <f>IFERROR(__xludf.DUMMYFUNCTION("""COMPUTED_VALUE"""),"")</f>
        <v/>
      </c>
      <c r="W740" s="62" t="str">
        <f>IFERROR(__xludf.DUMMYFUNCTION("""COMPUTED_VALUE"""),"")</f>
        <v/>
      </c>
      <c r="X740" s="80" t="str">
        <f>IFERROR(__xludf.DUMMYFUNCTION("""COMPUTED_VALUE"""),"")</f>
        <v/>
      </c>
      <c r="Y740" s="109" t="str">
        <f>IFERROR(__xludf.DUMMYFUNCTION("""COMPUTED_VALUE"""),"")</f>
        <v/>
      </c>
      <c r="Z740" s="71"/>
      <c r="AA740" s="71"/>
      <c r="AB740" s="71"/>
    </row>
    <row r="741">
      <c r="A741" s="71"/>
      <c r="B741" s="71"/>
      <c r="C741" s="71" t="str">
        <f>IFERROR(__xludf.DUMMYFUNCTION("""COMPUTED_VALUE"""),"")</f>
        <v/>
      </c>
      <c r="D741" s="71"/>
      <c r="E741" s="78"/>
      <c r="F741" s="71"/>
      <c r="G741" s="78" t="str">
        <f>IFERROR(__xludf.DUMMYFUNCTION("""COMPUTED_VALUE"""),"")</f>
        <v/>
      </c>
      <c r="H741" s="71"/>
      <c r="I741" s="80" t="str">
        <f>IFERROR(__xludf.DUMMYFUNCTION("""COMPUTED_VALUE"""),"")</f>
        <v/>
      </c>
      <c r="J741" s="71" t="str">
        <f>IFERROR(__xludf.DUMMYFUNCTION("""COMPUTED_VALUE"""),"")</f>
        <v/>
      </c>
      <c r="K741" s="71"/>
      <c r="L741" s="71" t="str">
        <f>IFERROR(__xludf.DUMMYFUNCTION("""COMPUTED_VALUE"""),"")</f>
        <v/>
      </c>
      <c r="M741" s="71"/>
      <c r="N741" s="109" t="str">
        <f>IFERROR(__xludf.DUMMYFUNCTION("""COMPUTED_VALUE"""),"")</f>
        <v/>
      </c>
      <c r="O741" s="71" t="str">
        <f>IFERROR(__xludf.DUMMYFUNCTION("""COMPUTED_VALUE"""),"")</f>
        <v/>
      </c>
      <c r="P741" s="71" t="str">
        <f>IFERROR(__xludf.DUMMYFUNCTION("""COMPUTED_VALUE"""),"")</f>
        <v/>
      </c>
      <c r="Q741" s="78" t="str">
        <f>IFERROR(__xludf.DUMMYFUNCTION("""COMPUTED_VALUE"""),"")</f>
        <v/>
      </c>
      <c r="R741" s="78" t="str">
        <f>IFERROR(__xludf.DUMMYFUNCTION("""COMPUTED_VALUE"""),"")</f>
        <v/>
      </c>
      <c r="S741" s="80" t="str">
        <f>IFERROR(__xludf.DUMMYFUNCTION("""COMPUTED_VALUE"""),"")</f>
        <v/>
      </c>
      <c r="T741" s="80" t="str">
        <f>IFERROR(__xludf.DUMMYFUNCTION("""COMPUTED_VALUE"""),"")</f>
        <v/>
      </c>
      <c r="U741" s="71" t="str">
        <f>IFERROR(__xludf.DUMMYFUNCTION("""COMPUTED_VALUE"""),"")</f>
        <v/>
      </c>
      <c r="V741" s="78" t="str">
        <f>IFERROR(__xludf.DUMMYFUNCTION("""COMPUTED_VALUE"""),"")</f>
        <v/>
      </c>
      <c r="W741" s="62" t="str">
        <f>IFERROR(__xludf.DUMMYFUNCTION("""COMPUTED_VALUE"""),"")</f>
        <v/>
      </c>
      <c r="X741" s="80" t="str">
        <f>IFERROR(__xludf.DUMMYFUNCTION("""COMPUTED_VALUE"""),"")</f>
        <v/>
      </c>
      <c r="Y741" s="109" t="str">
        <f>IFERROR(__xludf.DUMMYFUNCTION("""COMPUTED_VALUE"""),"")</f>
        <v/>
      </c>
      <c r="Z741" s="71"/>
      <c r="AA741" s="71"/>
      <c r="AB741" s="71"/>
    </row>
    <row r="742">
      <c r="A742" s="71"/>
      <c r="B742" s="71"/>
      <c r="C742" s="71" t="str">
        <f>IFERROR(__xludf.DUMMYFUNCTION("""COMPUTED_VALUE"""),"")</f>
        <v/>
      </c>
      <c r="D742" s="71"/>
      <c r="E742" s="78"/>
      <c r="F742" s="71"/>
      <c r="G742" s="78" t="str">
        <f>IFERROR(__xludf.DUMMYFUNCTION("""COMPUTED_VALUE"""),"")</f>
        <v/>
      </c>
      <c r="H742" s="71"/>
      <c r="I742" s="80" t="str">
        <f>IFERROR(__xludf.DUMMYFUNCTION("""COMPUTED_VALUE"""),"")</f>
        <v/>
      </c>
      <c r="J742" s="71" t="str">
        <f>IFERROR(__xludf.DUMMYFUNCTION("""COMPUTED_VALUE"""),"")</f>
        <v/>
      </c>
      <c r="K742" s="71"/>
      <c r="L742" s="71" t="str">
        <f>IFERROR(__xludf.DUMMYFUNCTION("""COMPUTED_VALUE"""),"")</f>
        <v/>
      </c>
      <c r="M742" s="71"/>
      <c r="N742" s="109" t="str">
        <f>IFERROR(__xludf.DUMMYFUNCTION("""COMPUTED_VALUE"""),"")</f>
        <v/>
      </c>
      <c r="O742" s="71" t="str">
        <f>IFERROR(__xludf.DUMMYFUNCTION("""COMPUTED_VALUE"""),"")</f>
        <v/>
      </c>
      <c r="P742" s="71" t="str">
        <f>IFERROR(__xludf.DUMMYFUNCTION("""COMPUTED_VALUE"""),"")</f>
        <v/>
      </c>
      <c r="Q742" s="78" t="str">
        <f>IFERROR(__xludf.DUMMYFUNCTION("""COMPUTED_VALUE"""),"")</f>
        <v/>
      </c>
      <c r="R742" s="78" t="str">
        <f>IFERROR(__xludf.DUMMYFUNCTION("""COMPUTED_VALUE"""),"")</f>
        <v/>
      </c>
      <c r="S742" s="80" t="str">
        <f>IFERROR(__xludf.DUMMYFUNCTION("""COMPUTED_VALUE"""),"")</f>
        <v/>
      </c>
      <c r="T742" s="80" t="str">
        <f>IFERROR(__xludf.DUMMYFUNCTION("""COMPUTED_VALUE"""),"")</f>
        <v/>
      </c>
      <c r="U742" s="71" t="str">
        <f>IFERROR(__xludf.DUMMYFUNCTION("""COMPUTED_VALUE"""),"")</f>
        <v/>
      </c>
      <c r="V742" s="78" t="str">
        <f>IFERROR(__xludf.DUMMYFUNCTION("""COMPUTED_VALUE"""),"")</f>
        <v/>
      </c>
      <c r="W742" s="62" t="str">
        <f>IFERROR(__xludf.DUMMYFUNCTION("""COMPUTED_VALUE"""),"")</f>
        <v/>
      </c>
      <c r="X742" s="80" t="str">
        <f>IFERROR(__xludf.DUMMYFUNCTION("""COMPUTED_VALUE"""),"")</f>
        <v/>
      </c>
      <c r="Y742" s="109" t="str">
        <f>IFERROR(__xludf.DUMMYFUNCTION("""COMPUTED_VALUE"""),"")</f>
        <v/>
      </c>
      <c r="Z742" s="71"/>
      <c r="AA742" s="71"/>
      <c r="AB742" s="71"/>
    </row>
    <row r="743">
      <c r="A743" s="71"/>
      <c r="B743" s="71"/>
      <c r="C743" s="71" t="str">
        <f>IFERROR(__xludf.DUMMYFUNCTION("""COMPUTED_VALUE"""),"")</f>
        <v/>
      </c>
      <c r="D743" s="71"/>
      <c r="E743" s="78"/>
      <c r="F743" s="71"/>
      <c r="G743" s="78" t="str">
        <f>IFERROR(__xludf.DUMMYFUNCTION("""COMPUTED_VALUE"""),"")</f>
        <v/>
      </c>
      <c r="H743" s="71"/>
      <c r="I743" s="80" t="str">
        <f>IFERROR(__xludf.DUMMYFUNCTION("""COMPUTED_VALUE"""),"")</f>
        <v/>
      </c>
      <c r="J743" s="71" t="str">
        <f>IFERROR(__xludf.DUMMYFUNCTION("""COMPUTED_VALUE"""),"")</f>
        <v/>
      </c>
      <c r="K743" s="71"/>
      <c r="L743" s="71" t="str">
        <f>IFERROR(__xludf.DUMMYFUNCTION("""COMPUTED_VALUE"""),"")</f>
        <v/>
      </c>
      <c r="M743" s="71"/>
      <c r="N743" s="109" t="str">
        <f>IFERROR(__xludf.DUMMYFUNCTION("""COMPUTED_VALUE"""),"")</f>
        <v/>
      </c>
      <c r="O743" s="71" t="str">
        <f>IFERROR(__xludf.DUMMYFUNCTION("""COMPUTED_VALUE"""),"")</f>
        <v/>
      </c>
      <c r="P743" s="71" t="str">
        <f>IFERROR(__xludf.DUMMYFUNCTION("""COMPUTED_VALUE"""),"")</f>
        <v/>
      </c>
      <c r="Q743" s="78" t="str">
        <f>IFERROR(__xludf.DUMMYFUNCTION("""COMPUTED_VALUE"""),"")</f>
        <v/>
      </c>
      <c r="R743" s="78" t="str">
        <f>IFERROR(__xludf.DUMMYFUNCTION("""COMPUTED_VALUE"""),"")</f>
        <v/>
      </c>
      <c r="S743" s="80" t="str">
        <f>IFERROR(__xludf.DUMMYFUNCTION("""COMPUTED_VALUE"""),"")</f>
        <v/>
      </c>
      <c r="T743" s="80" t="str">
        <f>IFERROR(__xludf.DUMMYFUNCTION("""COMPUTED_VALUE"""),"")</f>
        <v/>
      </c>
      <c r="U743" s="71" t="str">
        <f>IFERROR(__xludf.DUMMYFUNCTION("""COMPUTED_VALUE"""),"")</f>
        <v/>
      </c>
      <c r="V743" s="78" t="str">
        <f>IFERROR(__xludf.DUMMYFUNCTION("""COMPUTED_VALUE"""),"")</f>
        <v/>
      </c>
      <c r="W743" s="62" t="str">
        <f>IFERROR(__xludf.DUMMYFUNCTION("""COMPUTED_VALUE"""),"")</f>
        <v/>
      </c>
      <c r="X743" s="80" t="str">
        <f>IFERROR(__xludf.DUMMYFUNCTION("""COMPUTED_VALUE"""),"")</f>
        <v/>
      </c>
      <c r="Y743" s="109" t="str">
        <f>IFERROR(__xludf.DUMMYFUNCTION("""COMPUTED_VALUE"""),"")</f>
        <v/>
      </c>
      <c r="Z743" s="71"/>
      <c r="AA743" s="71"/>
      <c r="AB743" s="71"/>
    </row>
    <row r="744">
      <c r="A744" s="71"/>
      <c r="B744" s="71"/>
      <c r="C744" s="71" t="str">
        <f>IFERROR(__xludf.DUMMYFUNCTION("""COMPUTED_VALUE"""),"")</f>
        <v/>
      </c>
      <c r="D744" s="71"/>
      <c r="E744" s="78"/>
      <c r="F744" s="71"/>
      <c r="G744" s="78" t="str">
        <f>IFERROR(__xludf.DUMMYFUNCTION("""COMPUTED_VALUE"""),"")</f>
        <v/>
      </c>
      <c r="H744" s="71"/>
      <c r="I744" s="80" t="str">
        <f>IFERROR(__xludf.DUMMYFUNCTION("""COMPUTED_VALUE"""),"")</f>
        <v/>
      </c>
      <c r="J744" s="71" t="str">
        <f>IFERROR(__xludf.DUMMYFUNCTION("""COMPUTED_VALUE"""),"")</f>
        <v/>
      </c>
      <c r="K744" s="71"/>
      <c r="L744" s="71" t="str">
        <f>IFERROR(__xludf.DUMMYFUNCTION("""COMPUTED_VALUE"""),"")</f>
        <v/>
      </c>
      <c r="M744" s="71"/>
      <c r="N744" s="109" t="str">
        <f>IFERROR(__xludf.DUMMYFUNCTION("""COMPUTED_VALUE"""),"")</f>
        <v/>
      </c>
      <c r="O744" s="71" t="str">
        <f>IFERROR(__xludf.DUMMYFUNCTION("""COMPUTED_VALUE"""),"")</f>
        <v/>
      </c>
      <c r="P744" s="71" t="str">
        <f>IFERROR(__xludf.DUMMYFUNCTION("""COMPUTED_VALUE"""),"")</f>
        <v/>
      </c>
      <c r="Q744" s="78" t="str">
        <f>IFERROR(__xludf.DUMMYFUNCTION("""COMPUTED_VALUE"""),"")</f>
        <v/>
      </c>
      <c r="R744" s="78" t="str">
        <f>IFERROR(__xludf.DUMMYFUNCTION("""COMPUTED_VALUE"""),"")</f>
        <v/>
      </c>
      <c r="S744" s="80" t="str">
        <f>IFERROR(__xludf.DUMMYFUNCTION("""COMPUTED_VALUE"""),"")</f>
        <v/>
      </c>
      <c r="T744" s="80" t="str">
        <f>IFERROR(__xludf.DUMMYFUNCTION("""COMPUTED_VALUE"""),"")</f>
        <v/>
      </c>
      <c r="U744" s="71" t="str">
        <f>IFERROR(__xludf.DUMMYFUNCTION("""COMPUTED_VALUE"""),"")</f>
        <v/>
      </c>
      <c r="V744" s="78" t="str">
        <f>IFERROR(__xludf.DUMMYFUNCTION("""COMPUTED_VALUE"""),"")</f>
        <v/>
      </c>
      <c r="W744" s="62" t="str">
        <f>IFERROR(__xludf.DUMMYFUNCTION("""COMPUTED_VALUE"""),"")</f>
        <v/>
      </c>
      <c r="X744" s="80" t="str">
        <f>IFERROR(__xludf.DUMMYFUNCTION("""COMPUTED_VALUE"""),"")</f>
        <v/>
      </c>
      <c r="Y744" s="109" t="str">
        <f>IFERROR(__xludf.DUMMYFUNCTION("""COMPUTED_VALUE"""),"")</f>
        <v/>
      </c>
      <c r="Z744" s="71"/>
      <c r="AA744" s="71"/>
      <c r="AB744" s="71"/>
    </row>
    <row r="745">
      <c r="A745" s="71"/>
      <c r="B745" s="71"/>
      <c r="C745" s="71" t="str">
        <f>IFERROR(__xludf.DUMMYFUNCTION("""COMPUTED_VALUE"""),"")</f>
        <v/>
      </c>
      <c r="D745" s="71"/>
      <c r="E745" s="78"/>
      <c r="F745" s="71"/>
      <c r="G745" s="78" t="str">
        <f>IFERROR(__xludf.DUMMYFUNCTION("""COMPUTED_VALUE"""),"")</f>
        <v/>
      </c>
      <c r="H745" s="71"/>
      <c r="I745" s="80" t="str">
        <f>IFERROR(__xludf.DUMMYFUNCTION("""COMPUTED_VALUE"""),"")</f>
        <v/>
      </c>
      <c r="J745" s="71" t="str">
        <f>IFERROR(__xludf.DUMMYFUNCTION("""COMPUTED_VALUE"""),"")</f>
        <v/>
      </c>
      <c r="K745" s="71"/>
      <c r="L745" s="71" t="str">
        <f>IFERROR(__xludf.DUMMYFUNCTION("""COMPUTED_VALUE"""),"")</f>
        <v/>
      </c>
      <c r="M745" s="71"/>
      <c r="N745" s="109" t="str">
        <f>IFERROR(__xludf.DUMMYFUNCTION("""COMPUTED_VALUE"""),"")</f>
        <v/>
      </c>
      <c r="O745" s="71" t="str">
        <f>IFERROR(__xludf.DUMMYFUNCTION("""COMPUTED_VALUE"""),"")</f>
        <v/>
      </c>
      <c r="P745" s="71" t="str">
        <f>IFERROR(__xludf.DUMMYFUNCTION("""COMPUTED_VALUE"""),"")</f>
        <v/>
      </c>
      <c r="Q745" s="78" t="str">
        <f>IFERROR(__xludf.DUMMYFUNCTION("""COMPUTED_VALUE"""),"")</f>
        <v/>
      </c>
      <c r="R745" s="78" t="str">
        <f>IFERROR(__xludf.DUMMYFUNCTION("""COMPUTED_VALUE"""),"")</f>
        <v/>
      </c>
      <c r="S745" s="80" t="str">
        <f>IFERROR(__xludf.DUMMYFUNCTION("""COMPUTED_VALUE"""),"")</f>
        <v/>
      </c>
      <c r="T745" s="80" t="str">
        <f>IFERROR(__xludf.DUMMYFUNCTION("""COMPUTED_VALUE"""),"")</f>
        <v/>
      </c>
      <c r="U745" s="71" t="str">
        <f>IFERROR(__xludf.DUMMYFUNCTION("""COMPUTED_VALUE"""),"")</f>
        <v/>
      </c>
      <c r="V745" s="78" t="str">
        <f>IFERROR(__xludf.DUMMYFUNCTION("""COMPUTED_VALUE"""),"")</f>
        <v/>
      </c>
      <c r="W745" s="62" t="str">
        <f>IFERROR(__xludf.DUMMYFUNCTION("""COMPUTED_VALUE"""),"")</f>
        <v/>
      </c>
      <c r="X745" s="80" t="str">
        <f>IFERROR(__xludf.DUMMYFUNCTION("""COMPUTED_VALUE"""),"")</f>
        <v/>
      </c>
      <c r="Y745" s="109" t="str">
        <f>IFERROR(__xludf.DUMMYFUNCTION("""COMPUTED_VALUE"""),"")</f>
        <v/>
      </c>
      <c r="Z745" s="71"/>
      <c r="AA745" s="71"/>
      <c r="AB745" s="71"/>
    </row>
    <row r="746">
      <c r="A746" s="71"/>
      <c r="B746" s="71"/>
      <c r="C746" s="71" t="str">
        <f>IFERROR(__xludf.DUMMYFUNCTION("""COMPUTED_VALUE"""),"")</f>
        <v/>
      </c>
      <c r="D746" s="71"/>
      <c r="E746" s="78"/>
      <c r="F746" s="71"/>
      <c r="G746" s="78" t="str">
        <f>IFERROR(__xludf.DUMMYFUNCTION("""COMPUTED_VALUE"""),"")</f>
        <v/>
      </c>
      <c r="H746" s="71"/>
      <c r="I746" s="80" t="str">
        <f>IFERROR(__xludf.DUMMYFUNCTION("""COMPUTED_VALUE"""),"")</f>
        <v/>
      </c>
      <c r="J746" s="71" t="str">
        <f>IFERROR(__xludf.DUMMYFUNCTION("""COMPUTED_VALUE"""),"")</f>
        <v/>
      </c>
      <c r="K746" s="71"/>
      <c r="L746" s="71" t="str">
        <f>IFERROR(__xludf.DUMMYFUNCTION("""COMPUTED_VALUE"""),"")</f>
        <v/>
      </c>
      <c r="M746" s="71"/>
      <c r="N746" s="109" t="str">
        <f>IFERROR(__xludf.DUMMYFUNCTION("""COMPUTED_VALUE"""),"")</f>
        <v/>
      </c>
      <c r="O746" s="71" t="str">
        <f>IFERROR(__xludf.DUMMYFUNCTION("""COMPUTED_VALUE"""),"")</f>
        <v/>
      </c>
      <c r="P746" s="71" t="str">
        <f>IFERROR(__xludf.DUMMYFUNCTION("""COMPUTED_VALUE"""),"")</f>
        <v/>
      </c>
      <c r="Q746" s="78" t="str">
        <f>IFERROR(__xludf.DUMMYFUNCTION("""COMPUTED_VALUE"""),"")</f>
        <v/>
      </c>
      <c r="R746" s="78" t="str">
        <f>IFERROR(__xludf.DUMMYFUNCTION("""COMPUTED_VALUE"""),"")</f>
        <v/>
      </c>
      <c r="S746" s="80" t="str">
        <f>IFERROR(__xludf.DUMMYFUNCTION("""COMPUTED_VALUE"""),"")</f>
        <v/>
      </c>
      <c r="T746" s="80" t="str">
        <f>IFERROR(__xludf.DUMMYFUNCTION("""COMPUTED_VALUE"""),"")</f>
        <v/>
      </c>
      <c r="U746" s="71" t="str">
        <f>IFERROR(__xludf.DUMMYFUNCTION("""COMPUTED_VALUE"""),"")</f>
        <v/>
      </c>
      <c r="V746" s="78" t="str">
        <f>IFERROR(__xludf.DUMMYFUNCTION("""COMPUTED_VALUE"""),"")</f>
        <v/>
      </c>
      <c r="W746" s="62" t="str">
        <f>IFERROR(__xludf.DUMMYFUNCTION("""COMPUTED_VALUE"""),"")</f>
        <v/>
      </c>
      <c r="X746" s="80" t="str">
        <f>IFERROR(__xludf.DUMMYFUNCTION("""COMPUTED_VALUE"""),"")</f>
        <v/>
      </c>
      <c r="Y746" s="109" t="str">
        <f>IFERROR(__xludf.DUMMYFUNCTION("""COMPUTED_VALUE"""),"")</f>
        <v/>
      </c>
      <c r="Z746" s="71"/>
      <c r="AA746" s="71"/>
      <c r="AB746" s="71"/>
    </row>
    <row r="747">
      <c r="A747" s="71"/>
      <c r="B747" s="71"/>
      <c r="C747" s="71" t="str">
        <f>IFERROR(__xludf.DUMMYFUNCTION("""COMPUTED_VALUE"""),"")</f>
        <v/>
      </c>
      <c r="D747" s="71"/>
      <c r="E747" s="78"/>
      <c r="F747" s="71"/>
      <c r="G747" s="78" t="str">
        <f>IFERROR(__xludf.DUMMYFUNCTION("""COMPUTED_VALUE"""),"")</f>
        <v/>
      </c>
      <c r="H747" s="71"/>
      <c r="I747" s="80" t="str">
        <f>IFERROR(__xludf.DUMMYFUNCTION("""COMPUTED_VALUE"""),"")</f>
        <v/>
      </c>
      <c r="J747" s="71" t="str">
        <f>IFERROR(__xludf.DUMMYFUNCTION("""COMPUTED_VALUE"""),"")</f>
        <v/>
      </c>
      <c r="K747" s="71"/>
      <c r="L747" s="71" t="str">
        <f>IFERROR(__xludf.DUMMYFUNCTION("""COMPUTED_VALUE"""),"")</f>
        <v/>
      </c>
      <c r="M747" s="71"/>
      <c r="N747" s="109" t="str">
        <f>IFERROR(__xludf.DUMMYFUNCTION("""COMPUTED_VALUE"""),"")</f>
        <v/>
      </c>
      <c r="O747" s="71" t="str">
        <f>IFERROR(__xludf.DUMMYFUNCTION("""COMPUTED_VALUE"""),"")</f>
        <v/>
      </c>
      <c r="P747" s="71" t="str">
        <f>IFERROR(__xludf.DUMMYFUNCTION("""COMPUTED_VALUE"""),"")</f>
        <v/>
      </c>
      <c r="Q747" s="78" t="str">
        <f>IFERROR(__xludf.DUMMYFUNCTION("""COMPUTED_VALUE"""),"")</f>
        <v/>
      </c>
      <c r="R747" s="78" t="str">
        <f>IFERROR(__xludf.DUMMYFUNCTION("""COMPUTED_VALUE"""),"")</f>
        <v/>
      </c>
      <c r="S747" s="80" t="str">
        <f>IFERROR(__xludf.DUMMYFUNCTION("""COMPUTED_VALUE"""),"")</f>
        <v/>
      </c>
      <c r="T747" s="80" t="str">
        <f>IFERROR(__xludf.DUMMYFUNCTION("""COMPUTED_VALUE"""),"")</f>
        <v/>
      </c>
      <c r="U747" s="71" t="str">
        <f>IFERROR(__xludf.DUMMYFUNCTION("""COMPUTED_VALUE"""),"")</f>
        <v/>
      </c>
      <c r="V747" s="78" t="str">
        <f>IFERROR(__xludf.DUMMYFUNCTION("""COMPUTED_VALUE"""),"")</f>
        <v/>
      </c>
      <c r="W747" s="62" t="str">
        <f>IFERROR(__xludf.DUMMYFUNCTION("""COMPUTED_VALUE"""),"")</f>
        <v/>
      </c>
      <c r="X747" s="80" t="str">
        <f>IFERROR(__xludf.DUMMYFUNCTION("""COMPUTED_VALUE"""),"")</f>
        <v/>
      </c>
      <c r="Y747" s="109" t="str">
        <f>IFERROR(__xludf.DUMMYFUNCTION("""COMPUTED_VALUE"""),"")</f>
        <v/>
      </c>
      <c r="Z747" s="71"/>
      <c r="AA747" s="71"/>
      <c r="AB747" s="71"/>
    </row>
    <row r="748">
      <c r="A748" s="71"/>
      <c r="B748" s="71"/>
      <c r="C748" s="71" t="str">
        <f>IFERROR(__xludf.DUMMYFUNCTION("""COMPUTED_VALUE"""),"")</f>
        <v/>
      </c>
      <c r="D748" s="71"/>
      <c r="E748" s="78"/>
      <c r="F748" s="71"/>
      <c r="G748" s="78" t="str">
        <f>IFERROR(__xludf.DUMMYFUNCTION("""COMPUTED_VALUE"""),"")</f>
        <v/>
      </c>
      <c r="H748" s="71"/>
      <c r="I748" s="80" t="str">
        <f>IFERROR(__xludf.DUMMYFUNCTION("""COMPUTED_VALUE"""),"")</f>
        <v/>
      </c>
      <c r="J748" s="71" t="str">
        <f>IFERROR(__xludf.DUMMYFUNCTION("""COMPUTED_VALUE"""),"")</f>
        <v/>
      </c>
      <c r="K748" s="71"/>
      <c r="L748" s="71" t="str">
        <f>IFERROR(__xludf.DUMMYFUNCTION("""COMPUTED_VALUE"""),"")</f>
        <v/>
      </c>
      <c r="M748" s="71"/>
      <c r="N748" s="109" t="str">
        <f>IFERROR(__xludf.DUMMYFUNCTION("""COMPUTED_VALUE"""),"")</f>
        <v/>
      </c>
      <c r="O748" s="71" t="str">
        <f>IFERROR(__xludf.DUMMYFUNCTION("""COMPUTED_VALUE"""),"")</f>
        <v/>
      </c>
      <c r="P748" s="71" t="str">
        <f>IFERROR(__xludf.DUMMYFUNCTION("""COMPUTED_VALUE"""),"")</f>
        <v/>
      </c>
      <c r="Q748" s="78" t="str">
        <f>IFERROR(__xludf.DUMMYFUNCTION("""COMPUTED_VALUE"""),"")</f>
        <v/>
      </c>
      <c r="R748" s="78" t="str">
        <f>IFERROR(__xludf.DUMMYFUNCTION("""COMPUTED_VALUE"""),"")</f>
        <v/>
      </c>
      <c r="S748" s="80" t="str">
        <f>IFERROR(__xludf.DUMMYFUNCTION("""COMPUTED_VALUE"""),"")</f>
        <v/>
      </c>
      <c r="T748" s="80" t="str">
        <f>IFERROR(__xludf.DUMMYFUNCTION("""COMPUTED_VALUE"""),"")</f>
        <v/>
      </c>
      <c r="U748" s="71" t="str">
        <f>IFERROR(__xludf.DUMMYFUNCTION("""COMPUTED_VALUE"""),"")</f>
        <v/>
      </c>
      <c r="V748" s="78" t="str">
        <f>IFERROR(__xludf.DUMMYFUNCTION("""COMPUTED_VALUE"""),"")</f>
        <v/>
      </c>
      <c r="W748" s="62" t="str">
        <f>IFERROR(__xludf.DUMMYFUNCTION("""COMPUTED_VALUE"""),"")</f>
        <v/>
      </c>
      <c r="X748" s="80" t="str">
        <f>IFERROR(__xludf.DUMMYFUNCTION("""COMPUTED_VALUE"""),"")</f>
        <v/>
      </c>
      <c r="Y748" s="109" t="str">
        <f>IFERROR(__xludf.DUMMYFUNCTION("""COMPUTED_VALUE"""),"")</f>
        <v/>
      </c>
      <c r="Z748" s="71"/>
      <c r="AA748" s="71"/>
      <c r="AB748" s="71"/>
    </row>
    <row r="749">
      <c r="A749" s="71"/>
      <c r="B749" s="71"/>
      <c r="C749" s="71" t="str">
        <f>IFERROR(__xludf.DUMMYFUNCTION("""COMPUTED_VALUE"""),"")</f>
        <v/>
      </c>
      <c r="D749" s="71"/>
      <c r="E749" s="78"/>
      <c r="F749" s="71"/>
      <c r="G749" s="78" t="str">
        <f>IFERROR(__xludf.DUMMYFUNCTION("""COMPUTED_VALUE"""),"")</f>
        <v/>
      </c>
      <c r="H749" s="71"/>
      <c r="I749" s="80" t="str">
        <f>IFERROR(__xludf.DUMMYFUNCTION("""COMPUTED_VALUE"""),"")</f>
        <v/>
      </c>
      <c r="J749" s="71" t="str">
        <f>IFERROR(__xludf.DUMMYFUNCTION("""COMPUTED_VALUE"""),"")</f>
        <v/>
      </c>
      <c r="K749" s="71"/>
      <c r="L749" s="71" t="str">
        <f>IFERROR(__xludf.DUMMYFUNCTION("""COMPUTED_VALUE"""),"")</f>
        <v/>
      </c>
      <c r="M749" s="71"/>
      <c r="N749" s="109" t="str">
        <f>IFERROR(__xludf.DUMMYFUNCTION("""COMPUTED_VALUE"""),"")</f>
        <v/>
      </c>
      <c r="O749" s="71" t="str">
        <f>IFERROR(__xludf.DUMMYFUNCTION("""COMPUTED_VALUE"""),"")</f>
        <v/>
      </c>
      <c r="P749" s="71" t="str">
        <f>IFERROR(__xludf.DUMMYFUNCTION("""COMPUTED_VALUE"""),"")</f>
        <v/>
      </c>
      <c r="Q749" s="78" t="str">
        <f>IFERROR(__xludf.DUMMYFUNCTION("""COMPUTED_VALUE"""),"")</f>
        <v/>
      </c>
      <c r="R749" s="78" t="str">
        <f>IFERROR(__xludf.DUMMYFUNCTION("""COMPUTED_VALUE"""),"")</f>
        <v/>
      </c>
      <c r="S749" s="80" t="str">
        <f>IFERROR(__xludf.DUMMYFUNCTION("""COMPUTED_VALUE"""),"")</f>
        <v/>
      </c>
      <c r="T749" s="80" t="str">
        <f>IFERROR(__xludf.DUMMYFUNCTION("""COMPUTED_VALUE"""),"")</f>
        <v/>
      </c>
      <c r="U749" s="71" t="str">
        <f>IFERROR(__xludf.DUMMYFUNCTION("""COMPUTED_VALUE"""),"")</f>
        <v/>
      </c>
      <c r="V749" s="78" t="str">
        <f>IFERROR(__xludf.DUMMYFUNCTION("""COMPUTED_VALUE"""),"")</f>
        <v/>
      </c>
      <c r="W749" s="62" t="str">
        <f>IFERROR(__xludf.DUMMYFUNCTION("""COMPUTED_VALUE"""),"")</f>
        <v/>
      </c>
      <c r="X749" s="80" t="str">
        <f>IFERROR(__xludf.DUMMYFUNCTION("""COMPUTED_VALUE"""),"")</f>
        <v/>
      </c>
      <c r="Y749" s="109" t="str">
        <f>IFERROR(__xludf.DUMMYFUNCTION("""COMPUTED_VALUE"""),"")</f>
        <v/>
      </c>
      <c r="Z749" s="71"/>
      <c r="AA749" s="71"/>
      <c r="AB749" s="71"/>
    </row>
    <row r="750">
      <c r="A750" s="71"/>
      <c r="B750" s="71"/>
      <c r="C750" s="71" t="str">
        <f>IFERROR(__xludf.DUMMYFUNCTION("""COMPUTED_VALUE"""),"")</f>
        <v/>
      </c>
      <c r="D750" s="71"/>
      <c r="E750" s="78"/>
      <c r="F750" s="71"/>
      <c r="G750" s="78" t="str">
        <f>IFERROR(__xludf.DUMMYFUNCTION("""COMPUTED_VALUE"""),"")</f>
        <v/>
      </c>
      <c r="H750" s="71"/>
      <c r="I750" s="80" t="str">
        <f>IFERROR(__xludf.DUMMYFUNCTION("""COMPUTED_VALUE"""),"")</f>
        <v/>
      </c>
      <c r="J750" s="71" t="str">
        <f>IFERROR(__xludf.DUMMYFUNCTION("""COMPUTED_VALUE"""),"")</f>
        <v/>
      </c>
      <c r="K750" s="71"/>
      <c r="L750" s="71" t="str">
        <f>IFERROR(__xludf.DUMMYFUNCTION("""COMPUTED_VALUE"""),"")</f>
        <v/>
      </c>
      <c r="M750" s="71"/>
      <c r="N750" s="109" t="str">
        <f>IFERROR(__xludf.DUMMYFUNCTION("""COMPUTED_VALUE"""),"")</f>
        <v/>
      </c>
      <c r="O750" s="71" t="str">
        <f>IFERROR(__xludf.DUMMYFUNCTION("""COMPUTED_VALUE"""),"")</f>
        <v/>
      </c>
      <c r="P750" s="71" t="str">
        <f>IFERROR(__xludf.DUMMYFUNCTION("""COMPUTED_VALUE"""),"")</f>
        <v/>
      </c>
      <c r="Q750" s="78" t="str">
        <f>IFERROR(__xludf.DUMMYFUNCTION("""COMPUTED_VALUE"""),"")</f>
        <v/>
      </c>
      <c r="R750" s="78" t="str">
        <f>IFERROR(__xludf.DUMMYFUNCTION("""COMPUTED_VALUE"""),"")</f>
        <v/>
      </c>
      <c r="S750" s="80" t="str">
        <f>IFERROR(__xludf.DUMMYFUNCTION("""COMPUTED_VALUE"""),"")</f>
        <v/>
      </c>
      <c r="T750" s="80" t="str">
        <f>IFERROR(__xludf.DUMMYFUNCTION("""COMPUTED_VALUE"""),"")</f>
        <v/>
      </c>
      <c r="U750" s="71" t="str">
        <f>IFERROR(__xludf.DUMMYFUNCTION("""COMPUTED_VALUE"""),"")</f>
        <v/>
      </c>
      <c r="V750" s="78" t="str">
        <f>IFERROR(__xludf.DUMMYFUNCTION("""COMPUTED_VALUE"""),"")</f>
        <v/>
      </c>
      <c r="W750" s="62" t="str">
        <f>IFERROR(__xludf.DUMMYFUNCTION("""COMPUTED_VALUE"""),"")</f>
        <v/>
      </c>
      <c r="X750" s="80" t="str">
        <f>IFERROR(__xludf.DUMMYFUNCTION("""COMPUTED_VALUE"""),"")</f>
        <v/>
      </c>
      <c r="Y750" s="109" t="str">
        <f>IFERROR(__xludf.DUMMYFUNCTION("""COMPUTED_VALUE"""),"")</f>
        <v/>
      </c>
      <c r="Z750" s="71"/>
      <c r="AA750" s="71"/>
      <c r="AB750" s="71"/>
    </row>
    <row r="751">
      <c r="A751" s="71"/>
      <c r="B751" s="71"/>
      <c r="C751" s="71" t="str">
        <f>IFERROR(__xludf.DUMMYFUNCTION("""COMPUTED_VALUE"""),"")</f>
        <v/>
      </c>
      <c r="D751" s="71"/>
      <c r="E751" s="78"/>
      <c r="F751" s="71"/>
      <c r="G751" s="78" t="str">
        <f>IFERROR(__xludf.DUMMYFUNCTION("""COMPUTED_VALUE"""),"")</f>
        <v/>
      </c>
      <c r="H751" s="71"/>
      <c r="I751" s="80" t="str">
        <f>IFERROR(__xludf.DUMMYFUNCTION("""COMPUTED_VALUE"""),"")</f>
        <v/>
      </c>
      <c r="J751" s="71" t="str">
        <f>IFERROR(__xludf.DUMMYFUNCTION("""COMPUTED_VALUE"""),"")</f>
        <v/>
      </c>
      <c r="K751" s="71"/>
      <c r="L751" s="71" t="str">
        <f>IFERROR(__xludf.DUMMYFUNCTION("""COMPUTED_VALUE"""),"")</f>
        <v/>
      </c>
      <c r="M751" s="71"/>
      <c r="N751" s="109" t="str">
        <f>IFERROR(__xludf.DUMMYFUNCTION("""COMPUTED_VALUE"""),"")</f>
        <v/>
      </c>
      <c r="O751" s="71" t="str">
        <f>IFERROR(__xludf.DUMMYFUNCTION("""COMPUTED_VALUE"""),"")</f>
        <v/>
      </c>
      <c r="P751" s="71" t="str">
        <f>IFERROR(__xludf.DUMMYFUNCTION("""COMPUTED_VALUE"""),"")</f>
        <v/>
      </c>
      <c r="Q751" s="78" t="str">
        <f>IFERROR(__xludf.DUMMYFUNCTION("""COMPUTED_VALUE"""),"")</f>
        <v/>
      </c>
      <c r="R751" s="78" t="str">
        <f>IFERROR(__xludf.DUMMYFUNCTION("""COMPUTED_VALUE"""),"")</f>
        <v/>
      </c>
      <c r="S751" s="80" t="str">
        <f>IFERROR(__xludf.DUMMYFUNCTION("""COMPUTED_VALUE"""),"")</f>
        <v/>
      </c>
      <c r="T751" s="80" t="str">
        <f>IFERROR(__xludf.DUMMYFUNCTION("""COMPUTED_VALUE"""),"")</f>
        <v/>
      </c>
      <c r="U751" s="71" t="str">
        <f>IFERROR(__xludf.DUMMYFUNCTION("""COMPUTED_VALUE"""),"")</f>
        <v/>
      </c>
      <c r="V751" s="78" t="str">
        <f>IFERROR(__xludf.DUMMYFUNCTION("""COMPUTED_VALUE"""),"")</f>
        <v/>
      </c>
      <c r="W751" s="62" t="str">
        <f>IFERROR(__xludf.DUMMYFUNCTION("""COMPUTED_VALUE"""),"")</f>
        <v/>
      </c>
      <c r="X751" s="80" t="str">
        <f>IFERROR(__xludf.DUMMYFUNCTION("""COMPUTED_VALUE"""),"")</f>
        <v/>
      </c>
      <c r="Y751" s="109" t="str">
        <f>IFERROR(__xludf.DUMMYFUNCTION("""COMPUTED_VALUE"""),"")</f>
        <v/>
      </c>
      <c r="Z751" s="71"/>
      <c r="AA751" s="71"/>
      <c r="AB751" s="71"/>
    </row>
    <row r="752">
      <c r="A752" s="71"/>
      <c r="B752" s="71"/>
      <c r="C752" s="71" t="str">
        <f>IFERROR(__xludf.DUMMYFUNCTION("""COMPUTED_VALUE"""),"")</f>
        <v/>
      </c>
      <c r="D752" s="71"/>
      <c r="E752" s="78"/>
      <c r="F752" s="71"/>
      <c r="G752" s="78" t="str">
        <f>IFERROR(__xludf.DUMMYFUNCTION("""COMPUTED_VALUE"""),"")</f>
        <v/>
      </c>
      <c r="H752" s="71"/>
      <c r="I752" s="80" t="str">
        <f>IFERROR(__xludf.DUMMYFUNCTION("""COMPUTED_VALUE"""),"")</f>
        <v/>
      </c>
      <c r="J752" s="71" t="str">
        <f>IFERROR(__xludf.DUMMYFUNCTION("""COMPUTED_VALUE"""),"")</f>
        <v/>
      </c>
      <c r="K752" s="71"/>
      <c r="L752" s="71" t="str">
        <f>IFERROR(__xludf.DUMMYFUNCTION("""COMPUTED_VALUE"""),"")</f>
        <v/>
      </c>
      <c r="M752" s="71"/>
      <c r="N752" s="109" t="str">
        <f>IFERROR(__xludf.DUMMYFUNCTION("""COMPUTED_VALUE"""),"")</f>
        <v/>
      </c>
      <c r="O752" s="71" t="str">
        <f>IFERROR(__xludf.DUMMYFUNCTION("""COMPUTED_VALUE"""),"")</f>
        <v/>
      </c>
      <c r="P752" s="71" t="str">
        <f>IFERROR(__xludf.DUMMYFUNCTION("""COMPUTED_VALUE"""),"")</f>
        <v/>
      </c>
      <c r="Q752" s="78" t="str">
        <f>IFERROR(__xludf.DUMMYFUNCTION("""COMPUTED_VALUE"""),"")</f>
        <v/>
      </c>
      <c r="R752" s="78" t="str">
        <f>IFERROR(__xludf.DUMMYFUNCTION("""COMPUTED_VALUE"""),"")</f>
        <v/>
      </c>
      <c r="S752" s="80" t="str">
        <f>IFERROR(__xludf.DUMMYFUNCTION("""COMPUTED_VALUE"""),"")</f>
        <v/>
      </c>
      <c r="T752" s="80" t="str">
        <f>IFERROR(__xludf.DUMMYFUNCTION("""COMPUTED_VALUE"""),"")</f>
        <v/>
      </c>
      <c r="U752" s="71" t="str">
        <f>IFERROR(__xludf.DUMMYFUNCTION("""COMPUTED_VALUE"""),"")</f>
        <v/>
      </c>
      <c r="V752" s="78" t="str">
        <f>IFERROR(__xludf.DUMMYFUNCTION("""COMPUTED_VALUE"""),"")</f>
        <v/>
      </c>
      <c r="W752" s="62" t="str">
        <f>IFERROR(__xludf.DUMMYFUNCTION("""COMPUTED_VALUE"""),"")</f>
        <v/>
      </c>
      <c r="X752" s="80" t="str">
        <f>IFERROR(__xludf.DUMMYFUNCTION("""COMPUTED_VALUE"""),"")</f>
        <v/>
      </c>
      <c r="Y752" s="109" t="str">
        <f>IFERROR(__xludf.DUMMYFUNCTION("""COMPUTED_VALUE"""),"")</f>
        <v/>
      </c>
      <c r="Z752" s="71"/>
      <c r="AA752" s="71"/>
      <c r="AB752" s="71"/>
    </row>
    <row r="753">
      <c r="A753" s="71"/>
      <c r="B753" s="71"/>
      <c r="C753" s="71" t="str">
        <f>IFERROR(__xludf.DUMMYFUNCTION("""COMPUTED_VALUE"""),"")</f>
        <v/>
      </c>
      <c r="D753" s="71"/>
      <c r="E753" s="78"/>
      <c r="F753" s="71"/>
      <c r="G753" s="78" t="str">
        <f>IFERROR(__xludf.DUMMYFUNCTION("""COMPUTED_VALUE"""),"")</f>
        <v/>
      </c>
      <c r="H753" s="71"/>
      <c r="I753" s="80" t="str">
        <f>IFERROR(__xludf.DUMMYFUNCTION("""COMPUTED_VALUE"""),"")</f>
        <v/>
      </c>
      <c r="J753" s="71" t="str">
        <f>IFERROR(__xludf.DUMMYFUNCTION("""COMPUTED_VALUE"""),"")</f>
        <v/>
      </c>
      <c r="K753" s="71"/>
      <c r="L753" s="71" t="str">
        <f>IFERROR(__xludf.DUMMYFUNCTION("""COMPUTED_VALUE"""),"")</f>
        <v/>
      </c>
      <c r="M753" s="71"/>
      <c r="N753" s="109" t="str">
        <f>IFERROR(__xludf.DUMMYFUNCTION("""COMPUTED_VALUE"""),"")</f>
        <v/>
      </c>
      <c r="O753" s="71" t="str">
        <f>IFERROR(__xludf.DUMMYFUNCTION("""COMPUTED_VALUE"""),"")</f>
        <v/>
      </c>
      <c r="P753" s="71" t="str">
        <f>IFERROR(__xludf.DUMMYFUNCTION("""COMPUTED_VALUE"""),"")</f>
        <v/>
      </c>
      <c r="Q753" s="78" t="str">
        <f>IFERROR(__xludf.DUMMYFUNCTION("""COMPUTED_VALUE"""),"")</f>
        <v/>
      </c>
      <c r="R753" s="78" t="str">
        <f>IFERROR(__xludf.DUMMYFUNCTION("""COMPUTED_VALUE"""),"")</f>
        <v/>
      </c>
      <c r="S753" s="80" t="str">
        <f>IFERROR(__xludf.DUMMYFUNCTION("""COMPUTED_VALUE"""),"")</f>
        <v/>
      </c>
      <c r="T753" s="80" t="str">
        <f>IFERROR(__xludf.DUMMYFUNCTION("""COMPUTED_VALUE"""),"")</f>
        <v/>
      </c>
      <c r="U753" s="71" t="str">
        <f>IFERROR(__xludf.DUMMYFUNCTION("""COMPUTED_VALUE"""),"")</f>
        <v/>
      </c>
      <c r="V753" s="78" t="str">
        <f>IFERROR(__xludf.DUMMYFUNCTION("""COMPUTED_VALUE"""),"")</f>
        <v/>
      </c>
      <c r="W753" s="62" t="str">
        <f>IFERROR(__xludf.DUMMYFUNCTION("""COMPUTED_VALUE"""),"")</f>
        <v/>
      </c>
      <c r="X753" s="80" t="str">
        <f>IFERROR(__xludf.DUMMYFUNCTION("""COMPUTED_VALUE"""),"")</f>
        <v/>
      </c>
      <c r="Y753" s="109" t="str">
        <f>IFERROR(__xludf.DUMMYFUNCTION("""COMPUTED_VALUE"""),"")</f>
        <v/>
      </c>
      <c r="Z753" s="71"/>
      <c r="AA753" s="71"/>
      <c r="AB753" s="71"/>
    </row>
    <row r="754">
      <c r="A754" s="71"/>
      <c r="B754" s="71"/>
      <c r="C754" s="71" t="str">
        <f>IFERROR(__xludf.DUMMYFUNCTION("""COMPUTED_VALUE"""),"")</f>
        <v/>
      </c>
      <c r="D754" s="71"/>
      <c r="E754" s="78"/>
      <c r="F754" s="71"/>
      <c r="G754" s="78" t="str">
        <f>IFERROR(__xludf.DUMMYFUNCTION("""COMPUTED_VALUE"""),"")</f>
        <v/>
      </c>
      <c r="H754" s="71"/>
      <c r="I754" s="80" t="str">
        <f>IFERROR(__xludf.DUMMYFUNCTION("""COMPUTED_VALUE"""),"")</f>
        <v/>
      </c>
      <c r="J754" s="71" t="str">
        <f>IFERROR(__xludf.DUMMYFUNCTION("""COMPUTED_VALUE"""),"")</f>
        <v/>
      </c>
      <c r="K754" s="71"/>
      <c r="L754" s="71" t="str">
        <f>IFERROR(__xludf.DUMMYFUNCTION("""COMPUTED_VALUE"""),"")</f>
        <v/>
      </c>
      <c r="M754" s="71"/>
      <c r="N754" s="109" t="str">
        <f>IFERROR(__xludf.DUMMYFUNCTION("""COMPUTED_VALUE"""),"")</f>
        <v/>
      </c>
      <c r="O754" s="71" t="str">
        <f>IFERROR(__xludf.DUMMYFUNCTION("""COMPUTED_VALUE"""),"")</f>
        <v/>
      </c>
      <c r="P754" s="71" t="str">
        <f>IFERROR(__xludf.DUMMYFUNCTION("""COMPUTED_VALUE"""),"")</f>
        <v/>
      </c>
      <c r="Q754" s="78" t="str">
        <f>IFERROR(__xludf.DUMMYFUNCTION("""COMPUTED_VALUE"""),"")</f>
        <v/>
      </c>
      <c r="R754" s="78" t="str">
        <f>IFERROR(__xludf.DUMMYFUNCTION("""COMPUTED_VALUE"""),"")</f>
        <v/>
      </c>
      <c r="S754" s="80" t="str">
        <f>IFERROR(__xludf.DUMMYFUNCTION("""COMPUTED_VALUE"""),"")</f>
        <v/>
      </c>
      <c r="T754" s="80" t="str">
        <f>IFERROR(__xludf.DUMMYFUNCTION("""COMPUTED_VALUE"""),"")</f>
        <v/>
      </c>
      <c r="U754" s="71" t="str">
        <f>IFERROR(__xludf.DUMMYFUNCTION("""COMPUTED_VALUE"""),"")</f>
        <v/>
      </c>
      <c r="V754" s="78" t="str">
        <f>IFERROR(__xludf.DUMMYFUNCTION("""COMPUTED_VALUE"""),"")</f>
        <v/>
      </c>
      <c r="W754" s="62" t="str">
        <f>IFERROR(__xludf.DUMMYFUNCTION("""COMPUTED_VALUE"""),"")</f>
        <v/>
      </c>
      <c r="X754" s="80" t="str">
        <f>IFERROR(__xludf.DUMMYFUNCTION("""COMPUTED_VALUE"""),"")</f>
        <v/>
      </c>
      <c r="Y754" s="109" t="str">
        <f>IFERROR(__xludf.DUMMYFUNCTION("""COMPUTED_VALUE"""),"")</f>
        <v/>
      </c>
      <c r="Z754" s="71"/>
      <c r="AA754" s="71"/>
      <c r="AB754" s="71"/>
    </row>
    <row r="755">
      <c r="A755" s="71"/>
      <c r="B755" s="71"/>
      <c r="C755" s="71" t="str">
        <f>IFERROR(__xludf.DUMMYFUNCTION("""COMPUTED_VALUE"""),"")</f>
        <v/>
      </c>
      <c r="D755" s="71"/>
      <c r="E755" s="78"/>
      <c r="F755" s="71"/>
      <c r="G755" s="78" t="str">
        <f>IFERROR(__xludf.DUMMYFUNCTION("""COMPUTED_VALUE"""),"")</f>
        <v/>
      </c>
      <c r="H755" s="71"/>
      <c r="I755" s="80" t="str">
        <f>IFERROR(__xludf.DUMMYFUNCTION("""COMPUTED_VALUE"""),"")</f>
        <v/>
      </c>
      <c r="J755" s="71" t="str">
        <f>IFERROR(__xludf.DUMMYFUNCTION("""COMPUTED_VALUE"""),"")</f>
        <v/>
      </c>
      <c r="K755" s="71"/>
      <c r="L755" s="71" t="str">
        <f>IFERROR(__xludf.DUMMYFUNCTION("""COMPUTED_VALUE"""),"")</f>
        <v/>
      </c>
      <c r="M755" s="71"/>
      <c r="N755" s="109" t="str">
        <f>IFERROR(__xludf.DUMMYFUNCTION("""COMPUTED_VALUE"""),"")</f>
        <v/>
      </c>
      <c r="O755" s="71" t="str">
        <f>IFERROR(__xludf.DUMMYFUNCTION("""COMPUTED_VALUE"""),"")</f>
        <v/>
      </c>
      <c r="P755" s="71" t="str">
        <f>IFERROR(__xludf.DUMMYFUNCTION("""COMPUTED_VALUE"""),"")</f>
        <v/>
      </c>
      <c r="Q755" s="78" t="str">
        <f>IFERROR(__xludf.DUMMYFUNCTION("""COMPUTED_VALUE"""),"")</f>
        <v/>
      </c>
      <c r="R755" s="78" t="str">
        <f>IFERROR(__xludf.DUMMYFUNCTION("""COMPUTED_VALUE"""),"")</f>
        <v/>
      </c>
      <c r="S755" s="80" t="str">
        <f>IFERROR(__xludf.DUMMYFUNCTION("""COMPUTED_VALUE"""),"")</f>
        <v/>
      </c>
      <c r="T755" s="80" t="str">
        <f>IFERROR(__xludf.DUMMYFUNCTION("""COMPUTED_VALUE"""),"")</f>
        <v/>
      </c>
      <c r="U755" s="71" t="str">
        <f>IFERROR(__xludf.DUMMYFUNCTION("""COMPUTED_VALUE"""),"")</f>
        <v/>
      </c>
      <c r="V755" s="78" t="str">
        <f>IFERROR(__xludf.DUMMYFUNCTION("""COMPUTED_VALUE"""),"")</f>
        <v/>
      </c>
      <c r="W755" s="62" t="str">
        <f>IFERROR(__xludf.DUMMYFUNCTION("""COMPUTED_VALUE"""),"")</f>
        <v/>
      </c>
      <c r="X755" s="80" t="str">
        <f>IFERROR(__xludf.DUMMYFUNCTION("""COMPUTED_VALUE"""),"")</f>
        <v/>
      </c>
      <c r="Y755" s="109" t="str">
        <f>IFERROR(__xludf.DUMMYFUNCTION("""COMPUTED_VALUE"""),"")</f>
        <v/>
      </c>
      <c r="Z755" s="71"/>
      <c r="AA755" s="71"/>
      <c r="AB755" s="71"/>
    </row>
    <row r="756">
      <c r="A756" s="71"/>
      <c r="B756" s="71"/>
      <c r="C756" s="71" t="str">
        <f>IFERROR(__xludf.DUMMYFUNCTION("""COMPUTED_VALUE"""),"")</f>
        <v/>
      </c>
      <c r="D756" s="71"/>
      <c r="E756" s="78"/>
      <c r="F756" s="71"/>
      <c r="G756" s="78" t="str">
        <f>IFERROR(__xludf.DUMMYFUNCTION("""COMPUTED_VALUE"""),"")</f>
        <v/>
      </c>
      <c r="H756" s="71"/>
      <c r="I756" s="80" t="str">
        <f>IFERROR(__xludf.DUMMYFUNCTION("""COMPUTED_VALUE"""),"")</f>
        <v/>
      </c>
      <c r="J756" s="71" t="str">
        <f>IFERROR(__xludf.DUMMYFUNCTION("""COMPUTED_VALUE"""),"")</f>
        <v/>
      </c>
      <c r="K756" s="71"/>
      <c r="L756" s="71" t="str">
        <f>IFERROR(__xludf.DUMMYFUNCTION("""COMPUTED_VALUE"""),"")</f>
        <v/>
      </c>
      <c r="M756" s="71"/>
      <c r="N756" s="109" t="str">
        <f>IFERROR(__xludf.DUMMYFUNCTION("""COMPUTED_VALUE"""),"")</f>
        <v/>
      </c>
      <c r="O756" s="71" t="str">
        <f>IFERROR(__xludf.DUMMYFUNCTION("""COMPUTED_VALUE"""),"")</f>
        <v/>
      </c>
      <c r="P756" s="71" t="str">
        <f>IFERROR(__xludf.DUMMYFUNCTION("""COMPUTED_VALUE"""),"")</f>
        <v/>
      </c>
      <c r="Q756" s="78" t="str">
        <f>IFERROR(__xludf.DUMMYFUNCTION("""COMPUTED_VALUE"""),"")</f>
        <v/>
      </c>
      <c r="R756" s="78" t="str">
        <f>IFERROR(__xludf.DUMMYFUNCTION("""COMPUTED_VALUE"""),"")</f>
        <v/>
      </c>
      <c r="S756" s="80" t="str">
        <f>IFERROR(__xludf.DUMMYFUNCTION("""COMPUTED_VALUE"""),"")</f>
        <v/>
      </c>
      <c r="T756" s="80" t="str">
        <f>IFERROR(__xludf.DUMMYFUNCTION("""COMPUTED_VALUE"""),"")</f>
        <v/>
      </c>
      <c r="U756" s="71" t="str">
        <f>IFERROR(__xludf.DUMMYFUNCTION("""COMPUTED_VALUE"""),"")</f>
        <v/>
      </c>
      <c r="V756" s="78" t="str">
        <f>IFERROR(__xludf.DUMMYFUNCTION("""COMPUTED_VALUE"""),"")</f>
        <v/>
      </c>
      <c r="W756" s="62" t="str">
        <f>IFERROR(__xludf.DUMMYFUNCTION("""COMPUTED_VALUE"""),"")</f>
        <v/>
      </c>
      <c r="X756" s="80" t="str">
        <f>IFERROR(__xludf.DUMMYFUNCTION("""COMPUTED_VALUE"""),"")</f>
        <v/>
      </c>
      <c r="Y756" s="109" t="str">
        <f>IFERROR(__xludf.DUMMYFUNCTION("""COMPUTED_VALUE"""),"")</f>
        <v/>
      </c>
      <c r="Z756" s="71"/>
      <c r="AA756" s="71"/>
      <c r="AB756" s="71"/>
    </row>
    <row r="757">
      <c r="A757" s="71"/>
      <c r="B757" s="71"/>
      <c r="C757" s="71" t="str">
        <f>IFERROR(__xludf.DUMMYFUNCTION("""COMPUTED_VALUE"""),"")</f>
        <v/>
      </c>
      <c r="D757" s="71"/>
      <c r="E757" s="78"/>
      <c r="F757" s="71"/>
      <c r="G757" s="78" t="str">
        <f>IFERROR(__xludf.DUMMYFUNCTION("""COMPUTED_VALUE"""),"")</f>
        <v/>
      </c>
      <c r="H757" s="71"/>
      <c r="I757" s="80" t="str">
        <f>IFERROR(__xludf.DUMMYFUNCTION("""COMPUTED_VALUE"""),"")</f>
        <v/>
      </c>
      <c r="J757" s="71" t="str">
        <f>IFERROR(__xludf.DUMMYFUNCTION("""COMPUTED_VALUE"""),"")</f>
        <v/>
      </c>
      <c r="K757" s="71"/>
      <c r="L757" s="71" t="str">
        <f>IFERROR(__xludf.DUMMYFUNCTION("""COMPUTED_VALUE"""),"")</f>
        <v/>
      </c>
      <c r="M757" s="71"/>
      <c r="N757" s="109" t="str">
        <f>IFERROR(__xludf.DUMMYFUNCTION("""COMPUTED_VALUE"""),"")</f>
        <v/>
      </c>
      <c r="O757" s="71" t="str">
        <f>IFERROR(__xludf.DUMMYFUNCTION("""COMPUTED_VALUE"""),"")</f>
        <v/>
      </c>
      <c r="P757" s="71" t="str">
        <f>IFERROR(__xludf.DUMMYFUNCTION("""COMPUTED_VALUE"""),"")</f>
        <v/>
      </c>
      <c r="Q757" s="78" t="str">
        <f>IFERROR(__xludf.DUMMYFUNCTION("""COMPUTED_VALUE"""),"")</f>
        <v/>
      </c>
      <c r="R757" s="78" t="str">
        <f>IFERROR(__xludf.DUMMYFUNCTION("""COMPUTED_VALUE"""),"")</f>
        <v/>
      </c>
      <c r="S757" s="80" t="str">
        <f>IFERROR(__xludf.DUMMYFUNCTION("""COMPUTED_VALUE"""),"")</f>
        <v/>
      </c>
      <c r="T757" s="80" t="str">
        <f>IFERROR(__xludf.DUMMYFUNCTION("""COMPUTED_VALUE"""),"")</f>
        <v/>
      </c>
      <c r="U757" s="71" t="str">
        <f>IFERROR(__xludf.DUMMYFUNCTION("""COMPUTED_VALUE"""),"")</f>
        <v/>
      </c>
      <c r="V757" s="78" t="str">
        <f>IFERROR(__xludf.DUMMYFUNCTION("""COMPUTED_VALUE"""),"")</f>
        <v/>
      </c>
      <c r="W757" s="62" t="str">
        <f>IFERROR(__xludf.DUMMYFUNCTION("""COMPUTED_VALUE"""),"")</f>
        <v/>
      </c>
      <c r="X757" s="80" t="str">
        <f>IFERROR(__xludf.DUMMYFUNCTION("""COMPUTED_VALUE"""),"")</f>
        <v/>
      </c>
      <c r="Y757" s="109" t="str">
        <f>IFERROR(__xludf.DUMMYFUNCTION("""COMPUTED_VALUE"""),"")</f>
        <v/>
      </c>
      <c r="Z757" s="71"/>
      <c r="AA757" s="71"/>
      <c r="AB757" s="71"/>
    </row>
    <row r="758">
      <c r="A758" s="71"/>
      <c r="B758" s="71"/>
      <c r="C758" s="71" t="str">
        <f>IFERROR(__xludf.DUMMYFUNCTION("""COMPUTED_VALUE"""),"")</f>
        <v/>
      </c>
      <c r="D758" s="71"/>
      <c r="E758" s="78"/>
      <c r="F758" s="71"/>
      <c r="G758" s="78" t="str">
        <f>IFERROR(__xludf.DUMMYFUNCTION("""COMPUTED_VALUE"""),"")</f>
        <v/>
      </c>
      <c r="H758" s="71"/>
      <c r="I758" s="80" t="str">
        <f>IFERROR(__xludf.DUMMYFUNCTION("""COMPUTED_VALUE"""),"")</f>
        <v/>
      </c>
      <c r="J758" s="71" t="str">
        <f>IFERROR(__xludf.DUMMYFUNCTION("""COMPUTED_VALUE"""),"")</f>
        <v/>
      </c>
      <c r="K758" s="71"/>
      <c r="L758" s="71" t="str">
        <f>IFERROR(__xludf.DUMMYFUNCTION("""COMPUTED_VALUE"""),"")</f>
        <v/>
      </c>
      <c r="M758" s="71"/>
      <c r="N758" s="109" t="str">
        <f>IFERROR(__xludf.DUMMYFUNCTION("""COMPUTED_VALUE"""),"")</f>
        <v/>
      </c>
      <c r="O758" s="71" t="str">
        <f>IFERROR(__xludf.DUMMYFUNCTION("""COMPUTED_VALUE"""),"")</f>
        <v/>
      </c>
      <c r="P758" s="71" t="str">
        <f>IFERROR(__xludf.DUMMYFUNCTION("""COMPUTED_VALUE"""),"")</f>
        <v/>
      </c>
      <c r="Q758" s="78" t="str">
        <f>IFERROR(__xludf.DUMMYFUNCTION("""COMPUTED_VALUE"""),"")</f>
        <v/>
      </c>
      <c r="R758" s="78" t="str">
        <f>IFERROR(__xludf.DUMMYFUNCTION("""COMPUTED_VALUE"""),"")</f>
        <v/>
      </c>
      <c r="S758" s="80" t="str">
        <f>IFERROR(__xludf.DUMMYFUNCTION("""COMPUTED_VALUE"""),"")</f>
        <v/>
      </c>
      <c r="T758" s="80" t="str">
        <f>IFERROR(__xludf.DUMMYFUNCTION("""COMPUTED_VALUE"""),"")</f>
        <v/>
      </c>
      <c r="U758" s="71" t="str">
        <f>IFERROR(__xludf.DUMMYFUNCTION("""COMPUTED_VALUE"""),"")</f>
        <v/>
      </c>
      <c r="V758" s="78" t="str">
        <f>IFERROR(__xludf.DUMMYFUNCTION("""COMPUTED_VALUE"""),"")</f>
        <v/>
      </c>
      <c r="W758" s="62" t="str">
        <f>IFERROR(__xludf.DUMMYFUNCTION("""COMPUTED_VALUE"""),"")</f>
        <v/>
      </c>
      <c r="X758" s="80" t="str">
        <f>IFERROR(__xludf.DUMMYFUNCTION("""COMPUTED_VALUE"""),"")</f>
        <v/>
      </c>
      <c r="Y758" s="109" t="str">
        <f>IFERROR(__xludf.DUMMYFUNCTION("""COMPUTED_VALUE"""),"")</f>
        <v/>
      </c>
      <c r="Z758" s="71"/>
      <c r="AA758" s="71"/>
      <c r="AB758" s="71"/>
    </row>
    <row r="759">
      <c r="A759" s="71"/>
      <c r="B759" s="71"/>
      <c r="C759" s="71" t="str">
        <f>IFERROR(__xludf.DUMMYFUNCTION("""COMPUTED_VALUE"""),"")</f>
        <v/>
      </c>
      <c r="D759" s="71"/>
      <c r="E759" s="78"/>
      <c r="F759" s="71"/>
      <c r="G759" s="78" t="str">
        <f>IFERROR(__xludf.DUMMYFUNCTION("""COMPUTED_VALUE"""),"")</f>
        <v/>
      </c>
      <c r="H759" s="71"/>
      <c r="I759" s="80" t="str">
        <f>IFERROR(__xludf.DUMMYFUNCTION("""COMPUTED_VALUE"""),"")</f>
        <v/>
      </c>
      <c r="J759" s="71" t="str">
        <f>IFERROR(__xludf.DUMMYFUNCTION("""COMPUTED_VALUE"""),"")</f>
        <v/>
      </c>
      <c r="K759" s="71"/>
      <c r="L759" s="71" t="str">
        <f>IFERROR(__xludf.DUMMYFUNCTION("""COMPUTED_VALUE"""),"")</f>
        <v/>
      </c>
      <c r="M759" s="71"/>
      <c r="N759" s="109" t="str">
        <f>IFERROR(__xludf.DUMMYFUNCTION("""COMPUTED_VALUE"""),"")</f>
        <v/>
      </c>
      <c r="O759" s="71" t="str">
        <f>IFERROR(__xludf.DUMMYFUNCTION("""COMPUTED_VALUE"""),"")</f>
        <v/>
      </c>
      <c r="P759" s="71" t="str">
        <f>IFERROR(__xludf.DUMMYFUNCTION("""COMPUTED_VALUE"""),"")</f>
        <v/>
      </c>
      <c r="Q759" s="78" t="str">
        <f>IFERROR(__xludf.DUMMYFUNCTION("""COMPUTED_VALUE"""),"")</f>
        <v/>
      </c>
      <c r="R759" s="78" t="str">
        <f>IFERROR(__xludf.DUMMYFUNCTION("""COMPUTED_VALUE"""),"")</f>
        <v/>
      </c>
      <c r="S759" s="80" t="str">
        <f>IFERROR(__xludf.DUMMYFUNCTION("""COMPUTED_VALUE"""),"")</f>
        <v/>
      </c>
      <c r="T759" s="80" t="str">
        <f>IFERROR(__xludf.DUMMYFUNCTION("""COMPUTED_VALUE"""),"")</f>
        <v/>
      </c>
      <c r="U759" s="71" t="str">
        <f>IFERROR(__xludf.DUMMYFUNCTION("""COMPUTED_VALUE"""),"")</f>
        <v/>
      </c>
      <c r="V759" s="78" t="str">
        <f>IFERROR(__xludf.DUMMYFUNCTION("""COMPUTED_VALUE"""),"")</f>
        <v/>
      </c>
      <c r="W759" s="62" t="str">
        <f>IFERROR(__xludf.DUMMYFUNCTION("""COMPUTED_VALUE"""),"")</f>
        <v/>
      </c>
      <c r="X759" s="80" t="str">
        <f>IFERROR(__xludf.DUMMYFUNCTION("""COMPUTED_VALUE"""),"")</f>
        <v/>
      </c>
      <c r="Y759" s="109" t="str">
        <f>IFERROR(__xludf.DUMMYFUNCTION("""COMPUTED_VALUE"""),"")</f>
        <v/>
      </c>
      <c r="Z759" s="71"/>
      <c r="AA759" s="71"/>
      <c r="AB759" s="71"/>
    </row>
    <row r="760">
      <c r="A760" s="71"/>
      <c r="B760" s="71"/>
      <c r="C760" s="71" t="str">
        <f>IFERROR(__xludf.DUMMYFUNCTION("""COMPUTED_VALUE"""),"")</f>
        <v/>
      </c>
      <c r="D760" s="71"/>
      <c r="E760" s="78"/>
      <c r="F760" s="71"/>
      <c r="G760" s="78" t="str">
        <f>IFERROR(__xludf.DUMMYFUNCTION("""COMPUTED_VALUE"""),"")</f>
        <v/>
      </c>
      <c r="H760" s="71"/>
      <c r="I760" s="80" t="str">
        <f>IFERROR(__xludf.DUMMYFUNCTION("""COMPUTED_VALUE"""),"")</f>
        <v/>
      </c>
      <c r="J760" s="71" t="str">
        <f>IFERROR(__xludf.DUMMYFUNCTION("""COMPUTED_VALUE"""),"")</f>
        <v/>
      </c>
      <c r="K760" s="71"/>
      <c r="L760" s="71" t="str">
        <f>IFERROR(__xludf.DUMMYFUNCTION("""COMPUTED_VALUE"""),"")</f>
        <v/>
      </c>
      <c r="M760" s="71"/>
      <c r="N760" s="109" t="str">
        <f>IFERROR(__xludf.DUMMYFUNCTION("""COMPUTED_VALUE"""),"")</f>
        <v/>
      </c>
      <c r="O760" s="71" t="str">
        <f>IFERROR(__xludf.DUMMYFUNCTION("""COMPUTED_VALUE"""),"")</f>
        <v/>
      </c>
      <c r="P760" s="71" t="str">
        <f>IFERROR(__xludf.DUMMYFUNCTION("""COMPUTED_VALUE"""),"")</f>
        <v/>
      </c>
      <c r="Q760" s="78" t="str">
        <f>IFERROR(__xludf.DUMMYFUNCTION("""COMPUTED_VALUE"""),"")</f>
        <v/>
      </c>
      <c r="R760" s="78" t="str">
        <f>IFERROR(__xludf.DUMMYFUNCTION("""COMPUTED_VALUE"""),"")</f>
        <v/>
      </c>
      <c r="S760" s="80" t="str">
        <f>IFERROR(__xludf.DUMMYFUNCTION("""COMPUTED_VALUE"""),"")</f>
        <v/>
      </c>
      <c r="T760" s="80" t="str">
        <f>IFERROR(__xludf.DUMMYFUNCTION("""COMPUTED_VALUE"""),"")</f>
        <v/>
      </c>
      <c r="U760" s="71" t="str">
        <f>IFERROR(__xludf.DUMMYFUNCTION("""COMPUTED_VALUE"""),"")</f>
        <v/>
      </c>
      <c r="V760" s="78" t="str">
        <f>IFERROR(__xludf.DUMMYFUNCTION("""COMPUTED_VALUE"""),"")</f>
        <v/>
      </c>
      <c r="W760" s="62" t="str">
        <f>IFERROR(__xludf.DUMMYFUNCTION("""COMPUTED_VALUE"""),"")</f>
        <v/>
      </c>
      <c r="X760" s="80" t="str">
        <f>IFERROR(__xludf.DUMMYFUNCTION("""COMPUTED_VALUE"""),"")</f>
        <v/>
      </c>
      <c r="Y760" s="109" t="str">
        <f>IFERROR(__xludf.DUMMYFUNCTION("""COMPUTED_VALUE"""),"")</f>
        <v/>
      </c>
      <c r="Z760" s="71"/>
      <c r="AA760" s="71"/>
      <c r="AB760" s="71"/>
    </row>
    <row r="761">
      <c r="A761" s="71"/>
      <c r="B761" s="71"/>
      <c r="C761" s="71" t="str">
        <f>IFERROR(__xludf.DUMMYFUNCTION("""COMPUTED_VALUE"""),"")</f>
        <v/>
      </c>
      <c r="D761" s="71"/>
      <c r="E761" s="78"/>
      <c r="F761" s="71"/>
      <c r="G761" s="78" t="str">
        <f>IFERROR(__xludf.DUMMYFUNCTION("""COMPUTED_VALUE"""),"")</f>
        <v/>
      </c>
      <c r="H761" s="71"/>
      <c r="I761" s="80" t="str">
        <f>IFERROR(__xludf.DUMMYFUNCTION("""COMPUTED_VALUE"""),"")</f>
        <v/>
      </c>
      <c r="J761" s="71" t="str">
        <f>IFERROR(__xludf.DUMMYFUNCTION("""COMPUTED_VALUE"""),"")</f>
        <v/>
      </c>
      <c r="K761" s="71"/>
      <c r="L761" s="71" t="str">
        <f>IFERROR(__xludf.DUMMYFUNCTION("""COMPUTED_VALUE"""),"")</f>
        <v/>
      </c>
      <c r="M761" s="71"/>
      <c r="N761" s="109" t="str">
        <f>IFERROR(__xludf.DUMMYFUNCTION("""COMPUTED_VALUE"""),"")</f>
        <v/>
      </c>
      <c r="O761" s="71" t="str">
        <f>IFERROR(__xludf.DUMMYFUNCTION("""COMPUTED_VALUE"""),"")</f>
        <v/>
      </c>
      <c r="P761" s="71" t="str">
        <f>IFERROR(__xludf.DUMMYFUNCTION("""COMPUTED_VALUE"""),"")</f>
        <v/>
      </c>
      <c r="Q761" s="78" t="str">
        <f>IFERROR(__xludf.DUMMYFUNCTION("""COMPUTED_VALUE"""),"")</f>
        <v/>
      </c>
      <c r="R761" s="78" t="str">
        <f>IFERROR(__xludf.DUMMYFUNCTION("""COMPUTED_VALUE"""),"")</f>
        <v/>
      </c>
      <c r="S761" s="80" t="str">
        <f>IFERROR(__xludf.DUMMYFUNCTION("""COMPUTED_VALUE"""),"")</f>
        <v/>
      </c>
      <c r="T761" s="80" t="str">
        <f>IFERROR(__xludf.DUMMYFUNCTION("""COMPUTED_VALUE"""),"")</f>
        <v/>
      </c>
      <c r="U761" s="71" t="str">
        <f>IFERROR(__xludf.DUMMYFUNCTION("""COMPUTED_VALUE"""),"")</f>
        <v/>
      </c>
      <c r="V761" s="78" t="str">
        <f>IFERROR(__xludf.DUMMYFUNCTION("""COMPUTED_VALUE"""),"")</f>
        <v/>
      </c>
      <c r="W761" s="62" t="str">
        <f>IFERROR(__xludf.DUMMYFUNCTION("""COMPUTED_VALUE"""),"")</f>
        <v/>
      </c>
      <c r="X761" s="80" t="str">
        <f>IFERROR(__xludf.DUMMYFUNCTION("""COMPUTED_VALUE"""),"")</f>
        <v/>
      </c>
      <c r="Y761" s="109" t="str">
        <f>IFERROR(__xludf.DUMMYFUNCTION("""COMPUTED_VALUE"""),"")</f>
        <v/>
      </c>
      <c r="Z761" s="71"/>
      <c r="AA761" s="71"/>
      <c r="AB761" s="71"/>
    </row>
    <row r="762">
      <c r="A762" s="71"/>
      <c r="B762" s="71"/>
      <c r="C762" s="71" t="str">
        <f>IFERROR(__xludf.DUMMYFUNCTION("""COMPUTED_VALUE"""),"")</f>
        <v/>
      </c>
      <c r="D762" s="71"/>
      <c r="E762" s="78"/>
      <c r="F762" s="71"/>
      <c r="G762" s="78" t="str">
        <f>IFERROR(__xludf.DUMMYFUNCTION("""COMPUTED_VALUE"""),"")</f>
        <v/>
      </c>
      <c r="H762" s="71"/>
      <c r="I762" s="80" t="str">
        <f>IFERROR(__xludf.DUMMYFUNCTION("""COMPUTED_VALUE"""),"")</f>
        <v/>
      </c>
      <c r="J762" s="71" t="str">
        <f>IFERROR(__xludf.DUMMYFUNCTION("""COMPUTED_VALUE"""),"")</f>
        <v/>
      </c>
      <c r="K762" s="71"/>
      <c r="L762" s="71" t="str">
        <f>IFERROR(__xludf.DUMMYFUNCTION("""COMPUTED_VALUE"""),"")</f>
        <v/>
      </c>
      <c r="M762" s="71"/>
      <c r="N762" s="109" t="str">
        <f>IFERROR(__xludf.DUMMYFUNCTION("""COMPUTED_VALUE"""),"")</f>
        <v/>
      </c>
      <c r="O762" s="71" t="str">
        <f>IFERROR(__xludf.DUMMYFUNCTION("""COMPUTED_VALUE"""),"")</f>
        <v/>
      </c>
      <c r="P762" s="71" t="str">
        <f>IFERROR(__xludf.DUMMYFUNCTION("""COMPUTED_VALUE"""),"")</f>
        <v/>
      </c>
      <c r="Q762" s="78" t="str">
        <f>IFERROR(__xludf.DUMMYFUNCTION("""COMPUTED_VALUE"""),"")</f>
        <v/>
      </c>
      <c r="R762" s="78" t="str">
        <f>IFERROR(__xludf.DUMMYFUNCTION("""COMPUTED_VALUE"""),"")</f>
        <v/>
      </c>
      <c r="S762" s="80" t="str">
        <f>IFERROR(__xludf.DUMMYFUNCTION("""COMPUTED_VALUE"""),"")</f>
        <v/>
      </c>
      <c r="T762" s="80" t="str">
        <f>IFERROR(__xludf.DUMMYFUNCTION("""COMPUTED_VALUE"""),"")</f>
        <v/>
      </c>
      <c r="U762" s="71" t="str">
        <f>IFERROR(__xludf.DUMMYFUNCTION("""COMPUTED_VALUE"""),"")</f>
        <v/>
      </c>
      <c r="V762" s="78" t="str">
        <f>IFERROR(__xludf.DUMMYFUNCTION("""COMPUTED_VALUE"""),"")</f>
        <v/>
      </c>
      <c r="W762" s="62" t="str">
        <f>IFERROR(__xludf.DUMMYFUNCTION("""COMPUTED_VALUE"""),"")</f>
        <v/>
      </c>
      <c r="X762" s="80" t="str">
        <f>IFERROR(__xludf.DUMMYFUNCTION("""COMPUTED_VALUE"""),"")</f>
        <v/>
      </c>
      <c r="Y762" s="109" t="str">
        <f>IFERROR(__xludf.DUMMYFUNCTION("""COMPUTED_VALUE"""),"")</f>
        <v/>
      </c>
      <c r="Z762" s="71"/>
      <c r="AA762" s="71"/>
      <c r="AB762" s="71"/>
    </row>
    <row r="763">
      <c r="A763" s="71"/>
      <c r="B763" s="71"/>
      <c r="C763" s="71" t="str">
        <f>IFERROR(__xludf.DUMMYFUNCTION("""COMPUTED_VALUE"""),"")</f>
        <v/>
      </c>
      <c r="D763" s="71"/>
      <c r="E763" s="78"/>
      <c r="F763" s="71"/>
      <c r="G763" s="78" t="str">
        <f>IFERROR(__xludf.DUMMYFUNCTION("""COMPUTED_VALUE"""),"")</f>
        <v/>
      </c>
      <c r="H763" s="71"/>
      <c r="I763" s="80" t="str">
        <f>IFERROR(__xludf.DUMMYFUNCTION("""COMPUTED_VALUE"""),"")</f>
        <v/>
      </c>
      <c r="J763" s="71" t="str">
        <f>IFERROR(__xludf.DUMMYFUNCTION("""COMPUTED_VALUE"""),"")</f>
        <v/>
      </c>
      <c r="K763" s="71"/>
      <c r="L763" s="71" t="str">
        <f>IFERROR(__xludf.DUMMYFUNCTION("""COMPUTED_VALUE"""),"")</f>
        <v/>
      </c>
      <c r="M763" s="71"/>
      <c r="N763" s="109" t="str">
        <f>IFERROR(__xludf.DUMMYFUNCTION("""COMPUTED_VALUE"""),"")</f>
        <v/>
      </c>
      <c r="O763" s="71" t="str">
        <f>IFERROR(__xludf.DUMMYFUNCTION("""COMPUTED_VALUE"""),"")</f>
        <v/>
      </c>
      <c r="P763" s="71" t="str">
        <f>IFERROR(__xludf.DUMMYFUNCTION("""COMPUTED_VALUE"""),"")</f>
        <v/>
      </c>
      <c r="Q763" s="78" t="str">
        <f>IFERROR(__xludf.DUMMYFUNCTION("""COMPUTED_VALUE"""),"")</f>
        <v/>
      </c>
      <c r="R763" s="78" t="str">
        <f>IFERROR(__xludf.DUMMYFUNCTION("""COMPUTED_VALUE"""),"")</f>
        <v/>
      </c>
      <c r="S763" s="80" t="str">
        <f>IFERROR(__xludf.DUMMYFUNCTION("""COMPUTED_VALUE"""),"")</f>
        <v/>
      </c>
      <c r="T763" s="80" t="str">
        <f>IFERROR(__xludf.DUMMYFUNCTION("""COMPUTED_VALUE"""),"")</f>
        <v/>
      </c>
      <c r="U763" s="71" t="str">
        <f>IFERROR(__xludf.DUMMYFUNCTION("""COMPUTED_VALUE"""),"")</f>
        <v/>
      </c>
      <c r="V763" s="78" t="str">
        <f>IFERROR(__xludf.DUMMYFUNCTION("""COMPUTED_VALUE"""),"")</f>
        <v/>
      </c>
      <c r="W763" s="62" t="str">
        <f>IFERROR(__xludf.DUMMYFUNCTION("""COMPUTED_VALUE"""),"")</f>
        <v/>
      </c>
      <c r="X763" s="80" t="str">
        <f>IFERROR(__xludf.DUMMYFUNCTION("""COMPUTED_VALUE"""),"")</f>
        <v/>
      </c>
      <c r="Y763" s="109" t="str">
        <f>IFERROR(__xludf.DUMMYFUNCTION("""COMPUTED_VALUE"""),"")</f>
        <v/>
      </c>
      <c r="Z763" s="71"/>
      <c r="AA763" s="71"/>
      <c r="AB763" s="71"/>
    </row>
    <row r="764">
      <c r="A764" s="71"/>
      <c r="B764" s="71"/>
      <c r="C764" s="71" t="str">
        <f>IFERROR(__xludf.DUMMYFUNCTION("""COMPUTED_VALUE"""),"")</f>
        <v/>
      </c>
      <c r="D764" s="71"/>
      <c r="E764" s="78"/>
      <c r="F764" s="71"/>
      <c r="G764" s="78" t="str">
        <f>IFERROR(__xludf.DUMMYFUNCTION("""COMPUTED_VALUE"""),"")</f>
        <v/>
      </c>
      <c r="H764" s="71"/>
      <c r="I764" s="80" t="str">
        <f>IFERROR(__xludf.DUMMYFUNCTION("""COMPUTED_VALUE"""),"")</f>
        <v/>
      </c>
      <c r="J764" s="71" t="str">
        <f>IFERROR(__xludf.DUMMYFUNCTION("""COMPUTED_VALUE"""),"")</f>
        <v/>
      </c>
      <c r="K764" s="71"/>
      <c r="L764" s="71" t="str">
        <f>IFERROR(__xludf.DUMMYFUNCTION("""COMPUTED_VALUE"""),"")</f>
        <v/>
      </c>
      <c r="M764" s="71"/>
      <c r="N764" s="109" t="str">
        <f>IFERROR(__xludf.DUMMYFUNCTION("""COMPUTED_VALUE"""),"")</f>
        <v/>
      </c>
      <c r="O764" s="71" t="str">
        <f>IFERROR(__xludf.DUMMYFUNCTION("""COMPUTED_VALUE"""),"")</f>
        <v/>
      </c>
      <c r="P764" s="71" t="str">
        <f>IFERROR(__xludf.DUMMYFUNCTION("""COMPUTED_VALUE"""),"")</f>
        <v/>
      </c>
      <c r="Q764" s="78" t="str">
        <f>IFERROR(__xludf.DUMMYFUNCTION("""COMPUTED_VALUE"""),"")</f>
        <v/>
      </c>
      <c r="R764" s="78" t="str">
        <f>IFERROR(__xludf.DUMMYFUNCTION("""COMPUTED_VALUE"""),"")</f>
        <v/>
      </c>
      <c r="S764" s="80" t="str">
        <f>IFERROR(__xludf.DUMMYFUNCTION("""COMPUTED_VALUE"""),"")</f>
        <v/>
      </c>
      <c r="T764" s="80" t="str">
        <f>IFERROR(__xludf.DUMMYFUNCTION("""COMPUTED_VALUE"""),"")</f>
        <v/>
      </c>
      <c r="U764" s="71" t="str">
        <f>IFERROR(__xludf.DUMMYFUNCTION("""COMPUTED_VALUE"""),"")</f>
        <v/>
      </c>
      <c r="V764" s="78" t="str">
        <f>IFERROR(__xludf.DUMMYFUNCTION("""COMPUTED_VALUE"""),"")</f>
        <v/>
      </c>
      <c r="W764" s="62" t="str">
        <f>IFERROR(__xludf.DUMMYFUNCTION("""COMPUTED_VALUE"""),"")</f>
        <v/>
      </c>
      <c r="X764" s="80" t="str">
        <f>IFERROR(__xludf.DUMMYFUNCTION("""COMPUTED_VALUE"""),"")</f>
        <v/>
      </c>
      <c r="Y764" s="109" t="str">
        <f>IFERROR(__xludf.DUMMYFUNCTION("""COMPUTED_VALUE"""),"")</f>
        <v/>
      </c>
      <c r="Z764" s="71"/>
      <c r="AA764" s="71"/>
      <c r="AB764" s="71"/>
    </row>
    <row r="765">
      <c r="A765" s="71"/>
      <c r="B765" s="71"/>
      <c r="C765" s="71" t="str">
        <f>IFERROR(__xludf.DUMMYFUNCTION("""COMPUTED_VALUE"""),"")</f>
        <v/>
      </c>
      <c r="D765" s="71"/>
      <c r="E765" s="78"/>
      <c r="F765" s="71"/>
      <c r="G765" s="78" t="str">
        <f>IFERROR(__xludf.DUMMYFUNCTION("""COMPUTED_VALUE"""),"")</f>
        <v/>
      </c>
      <c r="H765" s="71"/>
      <c r="I765" s="80" t="str">
        <f>IFERROR(__xludf.DUMMYFUNCTION("""COMPUTED_VALUE"""),"")</f>
        <v/>
      </c>
      <c r="J765" s="71" t="str">
        <f>IFERROR(__xludf.DUMMYFUNCTION("""COMPUTED_VALUE"""),"")</f>
        <v/>
      </c>
      <c r="K765" s="71"/>
      <c r="L765" s="71" t="str">
        <f>IFERROR(__xludf.DUMMYFUNCTION("""COMPUTED_VALUE"""),"")</f>
        <v/>
      </c>
      <c r="M765" s="71"/>
      <c r="N765" s="109" t="str">
        <f>IFERROR(__xludf.DUMMYFUNCTION("""COMPUTED_VALUE"""),"")</f>
        <v/>
      </c>
      <c r="O765" s="71" t="str">
        <f>IFERROR(__xludf.DUMMYFUNCTION("""COMPUTED_VALUE"""),"")</f>
        <v/>
      </c>
      <c r="P765" s="71" t="str">
        <f>IFERROR(__xludf.DUMMYFUNCTION("""COMPUTED_VALUE"""),"")</f>
        <v/>
      </c>
      <c r="Q765" s="78" t="str">
        <f>IFERROR(__xludf.DUMMYFUNCTION("""COMPUTED_VALUE"""),"")</f>
        <v/>
      </c>
      <c r="R765" s="78" t="str">
        <f>IFERROR(__xludf.DUMMYFUNCTION("""COMPUTED_VALUE"""),"")</f>
        <v/>
      </c>
      <c r="S765" s="80" t="str">
        <f>IFERROR(__xludf.DUMMYFUNCTION("""COMPUTED_VALUE"""),"")</f>
        <v/>
      </c>
      <c r="T765" s="80" t="str">
        <f>IFERROR(__xludf.DUMMYFUNCTION("""COMPUTED_VALUE"""),"")</f>
        <v/>
      </c>
      <c r="U765" s="71" t="str">
        <f>IFERROR(__xludf.DUMMYFUNCTION("""COMPUTED_VALUE"""),"")</f>
        <v/>
      </c>
      <c r="V765" s="78" t="str">
        <f>IFERROR(__xludf.DUMMYFUNCTION("""COMPUTED_VALUE"""),"")</f>
        <v/>
      </c>
      <c r="W765" s="62" t="str">
        <f>IFERROR(__xludf.DUMMYFUNCTION("""COMPUTED_VALUE"""),"")</f>
        <v/>
      </c>
      <c r="X765" s="80" t="str">
        <f>IFERROR(__xludf.DUMMYFUNCTION("""COMPUTED_VALUE"""),"")</f>
        <v/>
      </c>
      <c r="Y765" s="109" t="str">
        <f>IFERROR(__xludf.DUMMYFUNCTION("""COMPUTED_VALUE"""),"")</f>
        <v/>
      </c>
      <c r="Z765" s="71"/>
      <c r="AA765" s="71"/>
      <c r="AB765" s="71"/>
    </row>
    <row r="766">
      <c r="A766" s="71"/>
      <c r="B766" s="71"/>
      <c r="C766" s="71" t="str">
        <f>IFERROR(__xludf.DUMMYFUNCTION("""COMPUTED_VALUE"""),"")</f>
        <v/>
      </c>
      <c r="D766" s="71"/>
      <c r="E766" s="78"/>
      <c r="F766" s="71"/>
      <c r="G766" s="78" t="str">
        <f>IFERROR(__xludf.DUMMYFUNCTION("""COMPUTED_VALUE"""),"")</f>
        <v/>
      </c>
      <c r="H766" s="71"/>
      <c r="I766" s="80" t="str">
        <f>IFERROR(__xludf.DUMMYFUNCTION("""COMPUTED_VALUE"""),"")</f>
        <v/>
      </c>
      <c r="J766" s="71" t="str">
        <f>IFERROR(__xludf.DUMMYFUNCTION("""COMPUTED_VALUE"""),"")</f>
        <v/>
      </c>
      <c r="K766" s="71"/>
      <c r="L766" s="71" t="str">
        <f>IFERROR(__xludf.DUMMYFUNCTION("""COMPUTED_VALUE"""),"")</f>
        <v/>
      </c>
      <c r="M766" s="71"/>
      <c r="N766" s="109" t="str">
        <f>IFERROR(__xludf.DUMMYFUNCTION("""COMPUTED_VALUE"""),"")</f>
        <v/>
      </c>
      <c r="O766" s="71" t="str">
        <f>IFERROR(__xludf.DUMMYFUNCTION("""COMPUTED_VALUE"""),"")</f>
        <v/>
      </c>
      <c r="P766" s="71" t="str">
        <f>IFERROR(__xludf.DUMMYFUNCTION("""COMPUTED_VALUE"""),"")</f>
        <v/>
      </c>
      <c r="Q766" s="78" t="str">
        <f>IFERROR(__xludf.DUMMYFUNCTION("""COMPUTED_VALUE"""),"")</f>
        <v/>
      </c>
      <c r="R766" s="78" t="str">
        <f>IFERROR(__xludf.DUMMYFUNCTION("""COMPUTED_VALUE"""),"")</f>
        <v/>
      </c>
      <c r="S766" s="80" t="str">
        <f>IFERROR(__xludf.DUMMYFUNCTION("""COMPUTED_VALUE"""),"")</f>
        <v/>
      </c>
      <c r="T766" s="80" t="str">
        <f>IFERROR(__xludf.DUMMYFUNCTION("""COMPUTED_VALUE"""),"")</f>
        <v/>
      </c>
      <c r="U766" s="71" t="str">
        <f>IFERROR(__xludf.DUMMYFUNCTION("""COMPUTED_VALUE"""),"")</f>
        <v/>
      </c>
      <c r="V766" s="78" t="str">
        <f>IFERROR(__xludf.DUMMYFUNCTION("""COMPUTED_VALUE"""),"")</f>
        <v/>
      </c>
      <c r="W766" s="62" t="str">
        <f>IFERROR(__xludf.DUMMYFUNCTION("""COMPUTED_VALUE"""),"")</f>
        <v/>
      </c>
      <c r="X766" s="80" t="str">
        <f>IFERROR(__xludf.DUMMYFUNCTION("""COMPUTED_VALUE"""),"")</f>
        <v/>
      </c>
      <c r="Y766" s="109" t="str">
        <f>IFERROR(__xludf.DUMMYFUNCTION("""COMPUTED_VALUE"""),"")</f>
        <v/>
      </c>
      <c r="Z766" s="71"/>
      <c r="AA766" s="71"/>
      <c r="AB766" s="71"/>
    </row>
    <row r="767">
      <c r="A767" s="71"/>
      <c r="B767" s="71"/>
      <c r="C767" s="71" t="str">
        <f>IFERROR(__xludf.DUMMYFUNCTION("""COMPUTED_VALUE"""),"")</f>
        <v/>
      </c>
      <c r="D767" s="71"/>
      <c r="E767" s="78"/>
      <c r="F767" s="71"/>
      <c r="G767" s="78" t="str">
        <f>IFERROR(__xludf.DUMMYFUNCTION("""COMPUTED_VALUE"""),"")</f>
        <v/>
      </c>
      <c r="H767" s="71"/>
      <c r="I767" s="80" t="str">
        <f>IFERROR(__xludf.DUMMYFUNCTION("""COMPUTED_VALUE"""),"")</f>
        <v/>
      </c>
      <c r="J767" s="71" t="str">
        <f>IFERROR(__xludf.DUMMYFUNCTION("""COMPUTED_VALUE"""),"")</f>
        <v/>
      </c>
      <c r="K767" s="71"/>
      <c r="L767" s="71" t="str">
        <f>IFERROR(__xludf.DUMMYFUNCTION("""COMPUTED_VALUE"""),"")</f>
        <v/>
      </c>
      <c r="M767" s="71"/>
      <c r="N767" s="109" t="str">
        <f>IFERROR(__xludf.DUMMYFUNCTION("""COMPUTED_VALUE"""),"")</f>
        <v/>
      </c>
      <c r="O767" s="71" t="str">
        <f>IFERROR(__xludf.DUMMYFUNCTION("""COMPUTED_VALUE"""),"")</f>
        <v/>
      </c>
      <c r="P767" s="71" t="str">
        <f>IFERROR(__xludf.DUMMYFUNCTION("""COMPUTED_VALUE"""),"")</f>
        <v/>
      </c>
      <c r="Q767" s="78" t="str">
        <f>IFERROR(__xludf.DUMMYFUNCTION("""COMPUTED_VALUE"""),"")</f>
        <v/>
      </c>
      <c r="R767" s="78" t="str">
        <f>IFERROR(__xludf.DUMMYFUNCTION("""COMPUTED_VALUE"""),"")</f>
        <v/>
      </c>
      <c r="S767" s="80" t="str">
        <f>IFERROR(__xludf.DUMMYFUNCTION("""COMPUTED_VALUE"""),"")</f>
        <v/>
      </c>
      <c r="T767" s="80" t="str">
        <f>IFERROR(__xludf.DUMMYFUNCTION("""COMPUTED_VALUE"""),"")</f>
        <v/>
      </c>
      <c r="U767" s="71" t="str">
        <f>IFERROR(__xludf.DUMMYFUNCTION("""COMPUTED_VALUE"""),"")</f>
        <v/>
      </c>
      <c r="V767" s="78" t="str">
        <f>IFERROR(__xludf.DUMMYFUNCTION("""COMPUTED_VALUE"""),"")</f>
        <v/>
      </c>
      <c r="W767" s="62" t="str">
        <f>IFERROR(__xludf.DUMMYFUNCTION("""COMPUTED_VALUE"""),"")</f>
        <v/>
      </c>
      <c r="X767" s="80" t="str">
        <f>IFERROR(__xludf.DUMMYFUNCTION("""COMPUTED_VALUE"""),"")</f>
        <v/>
      </c>
      <c r="Y767" s="109" t="str">
        <f>IFERROR(__xludf.DUMMYFUNCTION("""COMPUTED_VALUE"""),"")</f>
        <v/>
      </c>
      <c r="Z767" s="71"/>
      <c r="AA767" s="71"/>
      <c r="AB767" s="71"/>
    </row>
    <row r="768">
      <c r="A768" s="71"/>
      <c r="B768" s="71"/>
      <c r="C768" s="71" t="str">
        <f>IFERROR(__xludf.DUMMYFUNCTION("""COMPUTED_VALUE"""),"")</f>
        <v/>
      </c>
      <c r="D768" s="71"/>
      <c r="E768" s="78"/>
      <c r="F768" s="71"/>
      <c r="G768" s="78" t="str">
        <f>IFERROR(__xludf.DUMMYFUNCTION("""COMPUTED_VALUE"""),"")</f>
        <v/>
      </c>
      <c r="H768" s="71"/>
      <c r="I768" s="80" t="str">
        <f>IFERROR(__xludf.DUMMYFUNCTION("""COMPUTED_VALUE"""),"")</f>
        <v/>
      </c>
      <c r="J768" s="71" t="str">
        <f>IFERROR(__xludf.DUMMYFUNCTION("""COMPUTED_VALUE"""),"")</f>
        <v/>
      </c>
      <c r="K768" s="71"/>
      <c r="L768" s="71" t="str">
        <f>IFERROR(__xludf.DUMMYFUNCTION("""COMPUTED_VALUE"""),"")</f>
        <v/>
      </c>
      <c r="M768" s="71"/>
      <c r="N768" s="109" t="str">
        <f>IFERROR(__xludf.DUMMYFUNCTION("""COMPUTED_VALUE"""),"")</f>
        <v/>
      </c>
      <c r="O768" s="71" t="str">
        <f>IFERROR(__xludf.DUMMYFUNCTION("""COMPUTED_VALUE"""),"")</f>
        <v/>
      </c>
      <c r="P768" s="71" t="str">
        <f>IFERROR(__xludf.DUMMYFUNCTION("""COMPUTED_VALUE"""),"")</f>
        <v/>
      </c>
      <c r="Q768" s="78" t="str">
        <f>IFERROR(__xludf.DUMMYFUNCTION("""COMPUTED_VALUE"""),"")</f>
        <v/>
      </c>
      <c r="R768" s="78" t="str">
        <f>IFERROR(__xludf.DUMMYFUNCTION("""COMPUTED_VALUE"""),"")</f>
        <v/>
      </c>
      <c r="S768" s="80" t="str">
        <f>IFERROR(__xludf.DUMMYFUNCTION("""COMPUTED_VALUE"""),"")</f>
        <v/>
      </c>
      <c r="T768" s="80" t="str">
        <f>IFERROR(__xludf.DUMMYFUNCTION("""COMPUTED_VALUE"""),"")</f>
        <v/>
      </c>
      <c r="U768" s="71" t="str">
        <f>IFERROR(__xludf.DUMMYFUNCTION("""COMPUTED_VALUE"""),"")</f>
        <v/>
      </c>
      <c r="V768" s="78" t="str">
        <f>IFERROR(__xludf.DUMMYFUNCTION("""COMPUTED_VALUE"""),"")</f>
        <v/>
      </c>
      <c r="W768" s="62" t="str">
        <f>IFERROR(__xludf.DUMMYFUNCTION("""COMPUTED_VALUE"""),"")</f>
        <v/>
      </c>
      <c r="X768" s="80" t="str">
        <f>IFERROR(__xludf.DUMMYFUNCTION("""COMPUTED_VALUE"""),"")</f>
        <v/>
      </c>
      <c r="Y768" s="109" t="str">
        <f>IFERROR(__xludf.DUMMYFUNCTION("""COMPUTED_VALUE"""),"")</f>
        <v/>
      </c>
      <c r="Z768" s="71"/>
      <c r="AA768" s="71"/>
      <c r="AB768" s="71"/>
    </row>
    <row r="769">
      <c r="A769" s="71"/>
      <c r="B769" s="71"/>
      <c r="C769" s="71" t="str">
        <f>IFERROR(__xludf.DUMMYFUNCTION("""COMPUTED_VALUE"""),"")</f>
        <v/>
      </c>
      <c r="D769" s="71"/>
      <c r="E769" s="78"/>
      <c r="F769" s="71"/>
      <c r="G769" s="78" t="str">
        <f>IFERROR(__xludf.DUMMYFUNCTION("""COMPUTED_VALUE"""),"")</f>
        <v/>
      </c>
      <c r="H769" s="71"/>
      <c r="I769" s="80" t="str">
        <f>IFERROR(__xludf.DUMMYFUNCTION("""COMPUTED_VALUE"""),"")</f>
        <v/>
      </c>
      <c r="J769" s="71" t="str">
        <f>IFERROR(__xludf.DUMMYFUNCTION("""COMPUTED_VALUE"""),"")</f>
        <v/>
      </c>
      <c r="K769" s="71"/>
      <c r="L769" s="71" t="str">
        <f>IFERROR(__xludf.DUMMYFUNCTION("""COMPUTED_VALUE"""),"")</f>
        <v/>
      </c>
      <c r="M769" s="71"/>
      <c r="N769" s="109" t="str">
        <f>IFERROR(__xludf.DUMMYFUNCTION("""COMPUTED_VALUE"""),"")</f>
        <v/>
      </c>
      <c r="O769" s="71" t="str">
        <f>IFERROR(__xludf.DUMMYFUNCTION("""COMPUTED_VALUE"""),"")</f>
        <v/>
      </c>
      <c r="P769" s="71" t="str">
        <f>IFERROR(__xludf.DUMMYFUNCTION("""COMPUTED_VALUE"""),"")</f>
        <v/>
      </c>
      <c r="Q769" s="78" t="str">
        <f>IFERROR(__xludf.DUMMYFUNCTION("""COMPUTED_VALUE"""),"")</f>
        <v/>
      </c>
      <c r="R769" s="78" t="str">
        <f>IFERROR(__xludf.DUMMYFUNCTION("""COMPUTED_VALUE"""),"")</f>
        <v/>
      </c>
      <c r="S769" s="80" t="str">
        <f>IFERROR(__xludf.DUMMYFUNCTION("""COMPUTED_VALUE"""),"")</f>
        <v/>
      </c>
      <c r="T769" s="80" t="str">
        <f>IFERROR(__xludf.DUMMYFUNCTION("""COMPUTED_VALUE"""),"")</f>
        <v/>
      </c>
      <c r="U769" s="71" t="str">
        <f>IFERROR(__xludf.DUMMYFUNCTION("""COMPUTED_VALUE"""),"")</f>
        <v/>
      </c>
      <c r="V769" s="78" t="str">
        <f>IFERROR(__xludf.DUMMYFUNCTION("""COMPUTED_VALUE"""),"")</f>
        <v/>
      </c>
      <c r="W769" s="62" t="str">
        <f>IFERROR(__xludf.DUMMYFUNCTION("""COMPUTED_VALUE"""),"")</f>
        <v/>
      </c>
      <c r="X769" s="80" t="str">
        <f>IFERROR(__xludf.DUMMYFUNCTION("""COMPUTED_VALUE"""),"")</f>
        <v/>
      </c>
      <c r="Y769" s="109" t="str">
        <f>IFERROR(__xludf.DUMMYFUNCTION("""COMPUTED_VALUE"""),"")</f>
        <v/>
      </c>
      <c r="Z769" s="71"/>
      <c r="AA769" s="71"/>
      <c r="AB769" s="71"/>
    </row>
    <row r="770">
      <c r="A770" s="71"/>
      <c r="B770" s="71"/>
      <c r="C770" s="71" t="str">
        <f>IFERROR(__xludf.DUMMYFUNCTION("""COMPUTED_VALUE"""),"")</f>
        <v/>
      </c>
      <c r="D770" s="71"/>
      <c r="E770" s="78"/>
      <c r="F770" s="71"/>
      <c r="G770" s="78" t="str">
        <f>IFERROR(__xludf.DUMMYFUNCTION("""COMPUTED_VALUE"""),"")</f>
        <v/>
      </c>
      <c r="H770" s="71"/>
      <c r="I770" s="80" t="str">
        <f>IFERROR(__xludf.DUMMYFUNCTION("""COMPUTED_VALUE"""),"")</f>
        <v/>
      </c>
      <c r="J770" s="71" t="str">
        <f>IFERROR(__xludf.DUMMYFUNCTION("""COMPUTED_VALUE"""),"")</f>
        <v/>
      </c>
      <c r="K770" s="71"/>
      <c r="L770" s="71" t="str">
        <f>IFERROR(__xludf.DUMMYFUNCTION("""COMPUTED_VALUE"""),"")</f>
        <v/>
      </c>
      <c r="M770" s="71"/>
      <c r="N770" s="109" t="str">
        <f>IFERROR(__xludf.DUMMYFUNCTION("""COMPUTED_VALUE"""),"")</f>
        <v/>
      </c>
      <c r="O770" s="71" t="str">
        <f>IFERROR(__xludf.DUMMYFUNCTION("""COMPUTED_VALUE"""),"")</f>
        <v/>
      </c>
      <c r="P770" s="71" t="str">
        <f>IFERROR(__xludf.DUMMYFUNCTION("""COMPUTED_VALUE"""),"")</f>
        <v/>
      </c>
      <c r="Q770" s="78" t="str">
        <f>IFERROR(__xludf.DUMMYFUNCTION("""COMPUTED_VALUE"""),"")</f>
        <v/>
      </c>
      <c r="R770" s="78" t="str">
        <f>IFERROR(__xludf.DUMMYFUNCTION("""COMPUTED_VALUE"""),"")</f>
        <v/>
      </c>
      <c r="S770" s="80" t="str">
        <f>IFERROR(__xludf.DUMMYFUNCTION("""COMPUTED_VALUE"""),"")</f>
        <v/>
      </c>
      <c r="T770" s="80" t="str">
        <f>IFERROR(__xludf.DUMMYFUNCTION("""COMPUTED_VALUE"""),"")</f>
        <v/>
      </c>
      <c r="U770" s="71" t="str">
        <f>IFERROR(__xludf.DUMMYFUNCTION("""COMPUTED_VALUE"""),"")</f>
        <v/>
      </c>
      <c r="V770" s="78" t="str">
        <f>IFERROR(__xludf.DUMMYFUNCTION("""COMPUTED_VALUE"""),"")</f>
        <v/>
      </c>
      <c r="W770" s="62" t="str">
        <f>IFERROR(__xludf.DUMMYFUNCTION("""COMPUTED_VALUE"""),"")</f>
        <v/>
      </c>
      <c r="X770" s="80" t="str">
        <f>IFERROR(__xludf.DUMMYFUNCTION("""COMPUTED_VALUE"""),"")</f>
        <v/>
      </c>
      <c r="Y770" s="109" t="str">
        <f>IFERROR(__xludf.DUMMYFUNCTION("""COMPUTED_VALUE"""),"")</f>
        <v/>
      </c>
      <c r="Z770" s="71"/>
      <c r="AA770" s="71"/>
      <c r="AB770" s="71"/>
    </row>
    <row r="771">
      <c r="A771" s="71"/>
      <c r="B771" s="71"/>
      <c r="C771" s="71" t="str">
        <f>IFERROR(__xludf.DUMMYFUNCTION("""COMPUTED_VALUE"""),"")</f>
        <v/>
      </c>
      <c r="D771" s="71"/>
      <c r="E771" s="78"/>
      <c r="F771" s="71"/>
      <c r="G771" s="78" t="str">
        <f>IFERROR(__xludf.DUMMYFUNCTION("""COMPUTED_VALUE"""),"")</f>
        <v/>
      </c>
      <c r="H771" s="71"/>
      <c r="I771" s="80" t="str">
        <f>IFERROR(__xludf.DUMMYFUNCTION("""COMPUTED_VALUE"""),"")</f>
        <v/>
      </c>
      <c r="J771" s="71" t="str">
        <f>IFERROR(__xludf.DUMMYFUNCTION("""COMPUTED_VALUE"""),"")</f>
        <v/>
      </c>
      <c r="K771" s="71"/>
      <c r="L771" s="71" t="str">
        <f>IFERROR(__xludf.DUMMYFUNCTION("""COMPUTED_VALUE"""),"")</f>
        <v/>
      </c>
      <c r="M771" s="71"/>
      <c r="N771" s="109" t="str">
        <f>IFERROR(__xludf.DUMMYFUNCTION("""COMPUTED_VALUE"""),"")</f>
        <v/>
      </c>
      <c r="O771" s="71" t="str">
        <f>IFERROR(__xludf.DUMMYFUNCTION("""COMPUTED_VALUE"""),"")</f>
        <v/>
      </c>
      <c r="P771" s="71" t="str">
        <f>IFERROR(__xludf.DUMMYFUNCTION("""COMPUTED_VALUE"""),"")</f>
        <v/>
      </c>
      <c r="Q771" s="78" t="str">
        <f>IFERROR(__xludf.DUMMYFUNCTION("""COMPUTED_VALUE"""),"")</f>
        <v/>
      </c>
      <c r="R771" s="78" t="str">
        <f>IFERROR(__xludf.DUMMYFUNCTION("""COMPUTED_VALUE"""),"")</f>
        <v/>
      </c>
      <c r="S771" s="80" t="str">
        <f>IFERROR(__xludf.DUMMYFUNCTION("""COMPUTED_VALUE"""),"")</f>
        <v/>
      </c>
      <c r="T771" s="80" t="str">
        <f>IFERROR(__xludf.DUMMYFUNCTION("""COMPUTED_VALUE"""),"")</f>
        <v/>
      </c>
      <c r="U771" s="71" t="str">
        <f>IFERROR(__xludf.DUMMYFUNCTION("""COMPUTED_VALUE"""),"")</f>
        <v/>
      </c>
      <c r="V771" s="78" t="str">
        <f>IFERROR(__xludf.DUMMYFUNCTION("""COMPUTED_VALUE"""),"")</f>
        <v/>
      </c>
      <c r="W771" s="62" t="str">
        <f>IFERROR(__xludf.DUMMYFUNCTION("""COMPUTED_VALUE"""),"")</f>
        <v/>
      </c>
      <c r="X771" s="80" t="str">
        <f>IFERROR(__xludf.DUMMYFUNCTION("""COMPUTED_VALUE"""),"")</f>
        <v/>
      </c>
      <c r="Y771" s="109" t="str">
        <f>IFERROR(__xludf.DUMMYFUNCTION("""COMPUTED_VALUE"""),"")</f>
        <v/>
      </c>
      <c r="Z771" s="71"/>
      <c r="AA771" s="71"/>
      <c r="AB771" s="71"/>
    </row>
    <row r="772">
      <c r="A772" s="71"/>
      <c r="B772" s="71"/>
      <c r="C772" s="71" t="str">
        <f>IFERROR(__xludf.DUMMYFUNCTION("""COMPUTED_VALUE"""),"")</f>
        <v/>
      </c>
      <c r="D772" s="71"/>
      <c r="E772" s="78"/>
      <c r="F772" s="71"/>
      <c r="G772" s="78" t="str">
        <f>IFERROR(__xludf.DUMMYFUNCTION("""COMPUTED_VALUE"""),"")</f>
        <v/>
      </c>
      <c r="H772" s="71"/>
      <c r="I772" s="80" t="str">
        <f>IFERROR(__xludf.DUMMYFUNCTION("""COMPUTED_VALUE"""),"")</f>
        <v/>
      </c>
      <c r="J772" s="71" t="str">
        <f>IFERROR(__xludf.DUMMYFUNCTION("""COMPUTED_VALUE"""),"")</f>
        <v/>
      </c>
      <c r="K772" s="71"/>
      <c r="L772" s="71" t="str">
        <f>IFERROR(__xludf.DUMMYFUNCTION("""COMPUTED_VALUE"""),"")</f>
        <v/>
      </c>
      <c r="M772" s="71"/>
      <c r="N772" s="109" t="str">
        <f>IFERROR(__xludf.DUMMYFUNCTION("""COMPUTED_VALUE"""),"")</f>
        <v/>
      </c>
      <c r="O772" s="71" t="str">
        <f>IFERROR(__xludf.DUMMYFUNCTION("""COMPUTED_VALUE"""),"")</f>
        <v/>
      </c>
      <c r="P772" s="71" t="str">
        <f>IFERROR(__xludf.DUMMYFUNCTION("""COMPUTED_VALUE"""),"")</f>
        <v/>
      </c>
      <c r="Q772" s="78" t="str">
        <f>IFERROR(__xludf.DUMMYFUNCTION("""COMPUTED_VALUE"""),"")</f>
        <v/>
      </c>
      <c r="R772" s="78" t="str">
        <f>IFERROR(__xludf.DUMMYFUNCTION("""COMPUTED_VALUE"""),"")</f>
        <v/>
      </c>
      <c r="S772" s="80" t="str">
        <f>IFERROR(__xludf.DUMMYFUNCTION("""COMPUTED_VALUE"""),"")</f>
        <v/>
      </c>
      <c r="T772" s="80" t="str">
        <f>IFERROR(__xludf.DUMMYFUNCTION("""COMPUTED_VALUE"""),"")</f>
        <v/>
      </c>
      <c r="U772" s="71" t="str">
        <f>IFERROR(__xludf.DUMMYFUNCTION("""COMPUTED_VALUE"""),"")</f>
        <v/>
      </c>
      <c r="V772" s="78" t="str">
        <f>IFERROR(__xludf.DUMMYFUNCTION("""COMPUTED_VALUE"""),"")</f>
        <v/>
      </c>
      <c r="W772" s="62" t="str">
        <f>IFERROR(__xludf.DUMMYFUNCTION("""COMPUTED_VALUE"""),"")</f>
        <v/>
      </c>
      <c r="X772" s="80" t="str">
        <f>IFERROR(__xludf.DUMMYFUNCTION("""COMPUTED_VALUE"""),"")</f>
        <v/>
      </c>
      <c r="Y772" s="109" t="str">
        <f>IFERROR(__xludf.DUMMYFUNCTION("""COMPUTED_VALUE"""),"")</f>
        <v/>
      </c>
      <c r="Z772" s="71"/>
      <c r="AA772" s="71"/>
      <c r="AB772" s="71"/>
    </row>
    <row r="773">
      <c r="A773" s="71"/>
      <c r="B773" s="71"/>
      <c r="C773" s="71" t="str">
        <f>IFERROR(__xludf.DUMMYFUNCTION("""COMPUTED_VALUE"""),"")</f>
        <v/>
      </c>
      <c r="D773" s="71"/>
      <c r="E773" s="78"/>
      <c r="F773" s="71"/>
      <c r="G773" s="78" t="str">
        <f>IFERROR(__xludf.DUMMYFUNCTION("""COMPUTED_VALUE"""),"")</f>
        <v/>
      </c>
      <c r="H773" s="71"/>
      <c r="I773" s="80" t="str">
        <f>IFERROR(__xludf.DUMMYFUNCTION("""COMPUTED_VALUE"""),"")</f>
        <v/>
      </c>
      <c r="J773" s="71" t="str">
        <f>IFERROR(__xludf.DUMMYFUNCTION("""COMPUTED_VALUE"""),"")</f>
        <v/>
      </c>
      <c r="K773" s="71"/>
      <c r="L773" s="71" t="str">
        <f>IFERROR(__xludf.DUMMYFUNCTION("""COMPUTED_VALUE"""),"")</f>
        <v/>
      </c>
      <c r="M773" s="71"/>
      <c r="N773" s="109" t="str">
        <f>IFERROR(__xludf.DUMMYFUNCTION("""COMPUTED_VALUE"""),"")</f>
        <v/>
      </c>
      <c r="O773" s="71" t="str">
        <f>IFERROR(__xludf.DUMMYFUNCTION("""COMPUTED_VALUE"""),"")</f>
        <v/>
      </c>
      <c r="P773" s="71" t="str">
        <f>IFERROR(__xludf.DUMMYFUNCTION("""COMPUTED_VALUE"""),"")</f>
        <v/>
      </c>
      <c r="Q773" s="78" t="str">
        <f>IFERROR(__xludf.DUMMYFUNCTION("""COMPUTED_VALUE"""),"")</f>
        <v/>
      </c>
      <c r="R773" s="78" t="str">
        <f>IFERROR(__xludf.DUMMYFUNCTION("""COMPUTED_VALUE"""),"")</f>
        <v/>
      </c>
      <c r="S773" s="80" t="str">
        <f>IFERROR(__xludf.DUMMYFUNCTION("""COMPUTED_VALUE"""),"")</f>
        <v/>
      </c>
      <c r="T773" s="80" t="str">
        <f>IFERROR(__xludf.DUMMYFUNCTION("""COMPUTED_VALUE"""),"")</f>
        <v/>
      </c>
      <c r="U773" s="71" t="str">
        <f>IFERROR(__xludf.DUMMYFUNCTION("""COMPUTED_VALUE"""),"")</f>
        <v/>
      </c>
      <c r="V773" s="78" t="str">
        <f>IFERROR(__xludf.DUMMYFUNCTION("""COMPUTED_VALUE"""),"")</f>
        <v/>
      </c>
      <c r="W773" s="62" t="str">
        <f>IFERROR(__xludf.DUMMYFUNCTION("""COMPUTED_VALUE"""),"")</f>
        <v/>
      </c>
      <c r="X773" s="80" t="str">
        <f>IFERROR(__xludf.DUMMYFUNCTION("""COMPUTED_VALUE"""),"")</f>
        <v/>
      </c>
      <c r="Y773" s="109" t="str">
        <f>IFERROR(__xludf.DUMMYFUNCTION("""COMPUTED_VALUE"""),"")</f>
        <v/>
      </c>
      <c r="Z773" s="71"/>
      <c r="AA773" s="71"/>
      <c r="AB773" s="71"/>
    </row>
    <row r="774">
      <c r="A774" s="71"/>
      <c r="B774" s="71"/>
      <c r="C774" s="71" t="str">
        <f>IFERROR(__xludf.DUMMYFUNCTION("""COMPUTED_VALUE"""),"")</f>
        <v/>
      </c>
      <c r="D774" s="71"/>
      <c r="E774" s="78"/>
      <c r="F774" s="71"/>
      <c r="G774" s="78" t="str">
        <f>IFERROR(__xludf.DUMMYFUNCTION("""COMPUTED_VALUE"""),"")</f>
        <v/>
      </c>
      <c r="H774" s="71"/>
      <c r="I774" s="80" t="str">
        <f>IFERROR(__xludf.DUMMYFUNCTION("""COMPUTED_VALUE"""),"")</f>
        <v/>
      </c>
      <c r="J774" s="71" t="str">
        <f>IFERROR(__xludf.DUMMYFUNCTION("""COMPUTED_VALUE"""),"")</f>
        <v/>
      </c>
      <c r="K774" s="71"/>
      <c r="L774" s="71" t="str">
        <f>IFERROR(__xludf.DUMMYFUNCTION("""COMPUTED_VALUE"""),"")</f>
        <v/>
      </c>
      <c r="M774" s="71"/>
      <c r="N774" s="109" t="str">
        <f>IFERROR(__xludf.DUMMYFUNCTION("""COMPUTED_VALUE"""),"")</f>
        <v/>
      </c>
      <c r="O774" s="71" t="str">
        <f>IFERROR(__xludf.DUMMYFUNCTION("""COMPUTED_VALUE"""),"")</f>
        <v/>
      </c>
      <c r="P774" s="71" t="str">
        <f>IFERROR(__xludf.DUMMYFUNCTION("""COMPUTED_VALUE"""),"")</f>
        <v/>
      </c>
      <c r="Q774" s="78" t="str">
        <f>IFERROR(__xludf.DUMMYFUNCTION("""COMPUTED_VALUE"""),"")</f>
        <v/>
      </c>
      <c r="R774" s="78" t="str">
        <f>IFERROR(__xludf.DUMMYFUNCTION("""COMPUTED_VALUE"""),"")</f>
        <v/>
      </c>
      <c r="S774" s="80" t="str">
        <f>IFERROR(__xludf.DUMMYFUNCTION("""COMPUTED_VALUE"""),"")</f>
        <v/>
      </c>
      <c r="T774" s="80" t="str">
        <f>IFERROR(__xludf.DUMMYFUNCTION("""COMPUTED_VALUE"""),"")</f>
        <v/>
      </c>
      <c r="U774" s="71" t="str">
        <f>IFERROR(__xludf.DUMMYFUNCTION("""COMPUTED_VALUE"""),"")</f>
        <v/>
      </c>
      <c r="V774" s="78" t="str">
        <f>IFERROR(__xludf.DUMMYFUNCTION("""COMPUTED_VALUE"""),"")</f>
        <v/>
      </c>
      <c r="W774" s="62" t="str">
        <f>IFERROR(__xludf.DUMMYFUNCTION("""COMPUTED_VALUE"""),"")</f>
        <v/>
      </c>
      <c r="X774" s="80" t="str">
        <f>IFERROR(__xludf.DUMMYFUNCTION("""COMPUTED_VALUE"""),"")</f>
        <v/>
      </c>
      <c r="Y774" s="109" t="str">
        <f>IFERROR(__xludf.DUMMYFUNCTION("""COMPUTED_VALUE"""),"")</f>
        <v/>
      </c>
      <c r="Z774" s="71"/>
      <c r="AA774" s="71"/>
      <c r="AB774" s="71"/>
    </row>
    <row r="775">
      <c r="A775" s="71"/>
      <c r="B775" s="71"/>
      <c r="C775" s="71" t="str">
        <f>IFERROR(__xludf.DUMMYFUNCTION("""COMPUTED_VALUE"""),"")</f>
        <v/>
      </c>
      <c r="D775" s="71"/>
      <c r="E775" s="78"/>
      <c r="F775" s="71"/>
      <c r="G775" s="78" t="str">
        <f>IFERROR(__xludf.DUMMYFUNCTION("""COMPUTED_VALUE"""),"")</f>
        <v/>
      </c>
      <c r="H775" s="71"/>
      <c r="I775" s="80" t="str">
        <f>IFERROR(__xludf.DUMMYFUNCTION("""COMPUTED_VALUE"""),"")</f>
        <v/>
      </c>
      <c r="J775" s="71" t="str">
        <f>IFERROR(__xludf.DUMMYFUNCTION("""COMPUTED_VALUE"""),"")</f>
        <v/>
      </c>
      <c r="K775" s="71"/>
      <c r="L775" s="71" t="str">
        <f>IFERROR(__xludf.DUMMYFUNCTION("""COMPUTED_VALUE"""),"")</f>
        <v/>
      </c>
      <c r="M775" s="71"/>
      <c r="N775" s="109" t="str">
        <f>IFERROR(__xludf.DUMMYFUNCTION("""COMPUTED_VALUE"""),"")</f>
        <v/>
      </c>
      <c r="O775" s="71" t="str">
        <f>IFERROR(__xludf.DUMMYFUNCTION("""COMPUTED_VALUE"""),"")</f>
        <v/>
      </c>
      <c r="P775" s="71" t="str">
        <f>IFERROR(__xludf.DUMMYFUNCTION("""COMPUTED_VALUE"""),"")</f>
        <v/>
      </c>
      <c r="Q775" s="78" t="str">
        <f>IFERROR(__xludf.DUMMYFUNCTION("""COMPUTED_VALUE"""),"")</f>
        <v/>
      </c>
      <c r="R775" s="78" t="str">
        <f>IFERROR(__xludf.DUMMYFUNCTION("""COMPUTED_VALUE"""),"")</f>
        <v/>
      </c>
      <c r="S775" s="80" t="str">
        <f>IFERROR(__xludf.DUMMYFUNCTION("""COMPUTED_VALUE"""),"")</f>
        <v/>
      </c>
      <c r="T775" s="80" t="str">
        <f>IFERROR(__xludf.DUMMYFUNCTION("""COMPUTED_VALUE"""),"")</f>
        <v/>
      </c>
      <c r="U775" s="71" t="str">
        <f>IFERROR(__xludf.DUMMYFUNCTION("""COMPUTED_VALUE"""),"")</f>
        <v/>
      </c>
      <c r="V775" s="78" t="str">
        <f>IFERROR(__xludf.DUMMYFUNCTION("""COMPUTED_VALUE"""),"")</f>
        <v/>
      </c>
      <c r="W775" s="62" t="str">
        <f>IFERROR(__xludf.DUMMYFUNCTION("""COMPUTED_VALUE"""),"")</f>
        <v/>
      </c>
      <c r="X775" s="80" t="str">
        <f>IFERROR(__xludf.DUMMYFUNCTION("""COMPUTED_VALUE"""),"")</f>
        <v/>
      </c>
      <c r="Y775" s="109" t="str">
        <f>IFERROR(__xludf.DUMMYFUNCTION("""COMPUTED_VALUE"""),"")</f>
        <v/>
      </c>
      <c r="Z775" s="71"/>
      <c r="AA775" s="71"/>
      <c r="AB775" s="71"/>
    </row>
    <row r="776">
      <c r="A776" s="71"/>
      <c r="B776" s="71"/>
      <c r="C776" s="71" t="str">
        <f>IFERROR(__xludf.DUMMYFUNCTION("""COMPUTED_VALUE"""),"")</f>
        <v/>
      </c>
      <c r="D776" s="71"/>
      <c r="E776" s="78"/>
      <c r="F776" s="71"/>
      <c r="G776" s="78" t="str">
        <f>IFERROR(__xludf.DUMMYFUNCTION("""COMPUTED_VALUE"""),"")</f>
        <v/>
      </c>
      <c r="H776" s="71"/>
      <c r="I776" s="80" t="str">
        <f>IFERROR(__xludf.DUMMYFUNCTION("""COMPUTED_VALUE"""),"")</f>
        <v/>
      </c>
      <c r="J776" s="71" t="str">
        <f>IFERROR(__xludf.DUMMYFUNCTION("""COMPUTED_VALUE"""),"")</f>
        <v/>
      </c>
      <c r="K776" s="71"/>
      <c r="L776" s="71" t="str">
        <f>IFERROR(__xludf.DUMMYFUNCTION("""COMPUTED_VALUE"""),"")</f>
        <v/>
      </c>
      <c r="M776" s="71"/>
      <c r="N776" s="109" t="str">
        <f>IFERROR(__xludf.DUMMYFUNCTION("""COMPUTED_VALUE"""),"")</f>
        <v/>
      </c>
      <c r="O776" s="71" t="str">
        <f>IFERROR(__xludf.DUMMYFUNCTION("""COMPUTED_VALUE"""),"")</f>
        <v/>
      </c>
      <c r="P776" s="71" t="str">
        <f>IFERROR(__xludf.DUMMYFUNCTION("""COMPUTED_VALUE"""),"")</f>
        <v/>
      </c>
      <c r="Q776" s="78" t="str">
        <f>IFERROR(__xludf.DUMMYFUNCTION("""COMPUTED_VALUE"""),"")</f>
        <v/>
      </c>
      <c r="R776" s="78" t="str">
        <f>IFERROR(__xludf.DUMMYFUNCTION("""COMPUTED_VALUE"""),"")</f>
        <v/>
      </c>
      <c r="S776" s="80" t="str">
        <f>IFERROR(__xludf.DUMMYFUNCTION("""COMPUTED_VALUE"""),"")</f>
        <v/>
      </c>
      <c r="T776" s="80" t="str">
        <f>IFERROR(__xludf.DUMMYFUNCTION("""COMPUTED_VALUE"""),"")</f>
        <v/>
      </c>
      <c r="U776" s="71" t="str">
        <f>IFERROR(__xludf.DUMMYFUNCTION("""COMPUTED_VALUE"""),"")</f>
        <v/>
      </c>
      <c r="V776" s="78" t="str">
        <f>IFERROR(__xludf.DUMMYFUNCTION("""COMPUTED_VALUE"""),"")</f>
        <v/>
      </c>
      <c r="W776" s="62" t="str">
        <f>IFERROR(__xludf.DUMMYFUNCTION("""COMPUTED_VALUE"""),"")</f>
        <v/>
      </c>
      <c r="X776" s="80" t="str">
        <f>IFERROR(__xludf.DUMMYFUNCTION("""COMPUTED_VALUE"""),"")</f>
        <v/>
      </c>
      <c r="Y776" s="109" t="str">
        <f>IFERROR(__xludf.DUMMYFUNCTION("""COMPUTED_VALUE"""),"")</f>
        <v/>
      </c>
      <c r="Z776" s="71"/>
      <c r="AA776" s="71"/>
      <c r="AB776" s="71"/>
    </row>
    <row r="777">
      <c r="A777" s="71"/>
      <c r="B777" s="71"/>
      <c r="C777" s="71" t="str">
        <f>IFERROR(__xludf.DUMMYFUNCTION("""COMPUTED_VALUE"""),"")</f>
        <v/>
      </c>
      <c r="D777" s="71"/>
      <c r="E777" s="78"/>
      <c r="F777" s="71"/>
      <c r="G777" s="78" t="str">
        <f>IFERROR(__xludf.DUMMYFUNCTION("""COMPUTED_VALUE"""),"")</f>
        <v/>
      </c>
      <c r="H777" s="71"/>
      <c r="I777" s="80" t="str">
        <f>IFERROR(__xludf.DUMMYFUNCTION("""COMPUTED_VALUE"""),"")</f>
        <v/>
      </c>
      <c r="J777" s="71" t="str">
        <f>IFERROR(__xludf.DUMMYFUNCTION("""COMPUTED_VALUE"""),"")</f>
        <v/>
      </c>
      <c r="K777" s="71"/>
      <c r="L777" s="71" t="str">
        <f>IFERROR(__xludf.DUMMYFUNCTION("""COMPUTED_VALUE"""),"")</f>
        <v/>
      </c>
      <c r="M777" s="71"/>
      <c r="N777" s="109" t="str">
        <f>IFERROR(__xludf.DUMMYFUNCTION("""COMPUTED_VALUE"""),"")</f>
        <v/>
      </c>
      <c r="O777" s="71" t="str">
        <f>IFERROR(__xludf.DUMMYFUNCTION("""COMPUTED_VALUE"""),"")</f>
        <v/>
      </c>
      <c r="P777" s="71" t="str">
        <f>IFERROR(__xludf.DUMMYFUNCTION("""COMPUTED_VALUE"""),"")</f>
        <v/>
      </c>
      <c r="Q777" s="78" t="str">
        <f>IFERROR(__xludf.DUMMYFUNCTION("""COMPUTED_VALUE"""),"")</f>
        <v/>
      </c>
      <c r="R777" s="78" t="str">
        <f>IFERROR(__xludf.DUMMYFUNCTION("""COMPUTED_VALUE"""),"")</f>
        <v/>
      </c>
      <c r="S777" s="80" t="str">
        <f>IFERROR(__xludf.DUMMYFUNCTION("""COMPUTED_VALUE"""),"")</f>
        <v/>
      </c>
      <c r="T777" s="80" t="str">
        <f>IFERROR(__xludf.DUMMYFUNCTION("""COMPUTED_VALUE"""),"")</f>
        <v/>
      </c>
      <c r="U777" s="71" t="str">
        <f>IFERROR(__xludf.DUMMYFUNCTION("""COMPUTED_VALUE"""),"")</f>
        <v/>
      </c>
      <c r="V777" s="78" t="str">
        <f>IFERROR(__xludf.DUMMYFUNCTION("""COMPUTED_VALUE"""),"")</f>
        <v/>
      </c>
      <c r="W777" s="62" t="str">
        <f>IFERROR(__xludf.DUMMYFUNCTION("""COMPUTED_VALUE"""),"")</f>
        <v/>
      </c>
      <c r="X777" s="80" t="str">
        <f>IFERROR(__xludf.DUMMYFUNCTION("""COMPUTED_VALUE"""),"")</f>
        <v/>
      </c>
      <c r="Y777" s="109" t="str">
        <f>IFERROR(__xludf.DUMMYFUNCTION("""COMPUTED_VALUE"""),"")</f>
        <v/>
      </c>
      <c r="Z777" s="71"/>
      <c r="AA777" s="71"/>
      <c r="AB777" s="71"/>
    </row>
    <row r="778">
      <c r="A778" s="71"/>
      <c r="B778" s="71"/>
      <c r="C778" s="71" t="str">
        <f>IFERROR(__xludf.DUMMYFUNCTION("""COMPUTED_VALUE"""),"")</f>
        <v/>
      </c>
      <c r="D778" s="71"/>
      <c r="E778" s="78"/>
      <c r="F778" s="71"/>
      <c r="G778" s="78" t="str">
        <f>IFERROR(__xludf.DUMMYFUNCTION("""COMPUTED_VALUE"""),"")</f>
        <v/>
      </c>
      <c r="H778" s="71"/>
      <c r="I778" s="80" t="str">
        <f>IFERROR(__xludf.DUMMYFUNCTION("""COMPUTED_VALUE"""),"")</f>
        <v/>
      </c>
      <c r="J778" s="71" t="str">
        <f>IFERROR(__xludf.DUMMYFUNCTION("""COMPUTED_VALUE"""),"")</f>
        <v/>
      </c>
      <c r="K778" s="71"/>
      <c r="L778" s="71" t="str">
        <f>IFERROR(__xludf.DUMMYFUNCTION("""COMPUTED_VALUE"""),"")</f>
        <v/>
      </c>
      <c r="M778" s="71"/>
      <c r="N778" s="109" t="str">
        <f>IFERROR(__xludf.DUMMYFUNCTION("""COMPUTED_VALUE"""),"")</f>
        <v/>
      </c>
      <c r="O778" s="71" t="str">
        <f>IFERROR(__xludf.DUMMYFUNCTION("""COMPUTED_VALUE"""),"")</f>
        <v/>
      </c>
      <c r="P778" s="71" t="str">
        <f>IFERROR(__xludf.DUMMYFUNCTION("""COMPUTED_VALUE"""),"")</f>
        <v/>
      </c>
      <c r="Q778" s="78" t="str">
        <f>IFERROR(__xludf.DUMMYFUNCTION("""COMPUTED_VALUE"""),"")</f>
        <v/>
      </c>
      <c r="R778" s="78" t="str">
        <f>IFERROR(__xludf.DUMMYFUNCTION("""COMPUTED_VALUE"""),"")</f>
        <v/>
      </c>
      <c r="S778" s="80" t="str">
        <f>IFERROR(__xludf.DUMMYFUNCTION("""COMPUTED_VALUE"""),"")</f>
        <v/>
      </c>
      <c r="T778" s="80" t="str">
        <f>IFERROR(__xludf.DUMMYFUNCTION("""COMPUTED_VALUE"""),"")</f>
        <v/>
      </c>
      <c r="U778" s="71" t="str">
        <f>IFERROR(__xludf.DUMMYFUNCTION("""COMPUTED_VALUE"""),"")</f>
        <v/>
      </c>
      <c r="V778" s="78" t="str">
        <f>IFERROR(__xludf.DUMMYFUNCTION("""COMPUTED_VALUE"""),"")</f>
        <v/>
      </c>
      <c r="W778" s="62" t="str">
        <f>IFERROR(__xludf.DUMMYFUNCTION("""COMPUTED_VALUE"""),"")</f>
        <v/>
      </c>
      <c r="X778" s="80" t="str">
        <f>IFERROR(__xludf.DUMMYFUNCTION("""COMPUTED_VALUE"""),"")</f>
        <v/>
      </c>
      <c r="Y778" s="109" t="str">
        <f>IFERROR(__xludf.DUMMYFUNCTION("""COMPUTED_VALUE"""),"")</f>
        <v/>
      </c>
      <c r="Z778" s="71"/>
      <c r="AA778" s="71"/>
      <c r="AB778" s="71"/>
    </row>
    <row r="779">
      <c r="A779" s="71"/>
      <c r="B779" s="71"/>
      <c r="C779" s="71" t="str">
        <f>IFERROR(__xludf.DUMMYFUNCTION("""COMPUTED_VALUE"""),"")</f>
        <v/>
      </c>
      <c r="D779" s="71"/>
      <c r="E779" s="78"/>
      <c r="F779" s="71"/>
      <c r="G779" s="78" t="str">
        <f>IFERROR(__xludf.DUMMYFUNCTION("""COMPUTED_VALUE"""),"")</f>
        <v/>
      </c>
      <c r="H779" s="71"/>
      <c r="I779" s="80" t="str">
        <f>IFERROR(__xludf.DUMMYFUNCTION("""COMPUTED_VALUE"""),"")</f>
        <v/>
      </c>
      <c r="J779" s="71" t="str">
        <f>IFERROR(__xludf.DUMMYFUNCTION("""COMPUTED_VALUE"""),"")</f>
        <v/>
      </c>
      <c r="K779" s="71"/>
      <c r="L779" s="71" t="str">
        <f>IFERROR(__xludf.DUMMYFUNCTION("""COMPUTED_VALUE"""),"")</f>
        <v/>
      </c>
      <c r="M779" s="71"/>
      <c r="N779" s="109" t="str">
        <f>IFERROR(__xludf.DUMMYFUNCTION("""COMPUTED_VALUE"""),"")</f>
        <v/>
      </c>
      <c r="O779" s="71" t="str">
        <f>IFERROR(__xludf.DUMMYFUNCTION("""COMPUTED_VALUE"""),"")</f>
        <v/>
      </c>
      <c r="P779" s="71" t="str">
        <f>IFERROR(__xludf.DUMMYFUNCTION("""COMPUTED_VALUE"""),"")</f>
        <v/>
      </c>
      <c r="Q779" s="78" t="str">
        <f>IFERROR(__xludf.DUMMYFUNCTION("""COMPUTED_VALUE"""),"")</f>
        <v/>
      </c>
      <c r="R779" s="78" t="str">
        <f>IFERROR(__xludf.DUMMYFUNCTION("""COMPUTED_VALUE"""),"")</f>
        <v/>
      </c>
      <c r="S779" s="80" t="str">
        <f>IFERROR(__xludf.DUMMYFUNCTION("""COMPUTED_VALUE"""),"")</f>
        <v/>
      </c>
      <c r="T779" s="80" t="str">
        <f>IFERROR(__xludf.DUMMYFUNCTION("""COMPUTED_VALUE"""),"")</f>
        <v/>
      </c>
      <c r="U779" s="71" t="str">
        <f>IFERROR(__xludf.DUMMYFUNCTION("""COMPUTED_VALUE"""),"")</f>
        <v/>
      </c>
      <c r="V779" s="78" t="str">
        <f>IFERROR(__xludf.DUMMYFUNCTION("""COMPUTED_VALUE"""),"")</f>
        <v/>
      </c>
      <c r="W779" s="62" t="str">
        <f>IFERROR(__xludf.DUMMYFUNCTION("""COMPUTED_VALUE"""),"")</f>
        <v/>
      </c>
      <c r="X779" s="80" t="str">
        <f>IFERROR(__xludf.DUMMYFUNCTION("""COMPUTED_VALUE"""),"")</f>
        <v/>
      </c>
      <c r="Y779" s="109" t="str">
        <f>IFERROR(__xludf.DUMMYFUNCTION("""COMPUTED_VALUE"""),"")</f>
        <v/>
      </c>
      <c r="Z779" s="71"/>
      <c r="AA779" s="71"/>
      <c r="AB779" s="71"/>
    </row>
    <row r="780">
      <c r="A780" s="71"/>
      <c r="B780" s="71"/>
      <c r="C780" s="71" t="str">
        <f>IFERROR(__xludf.DUMMYFUNCTION("""COMPUTED_VALUE"""),"")</f>
        <v/>
      </c>
      <c r="D780" s="71"/>
      <c r="E780" s="78"/>
      <c r="F780" s="71"/>
      <c r="G780" s="78" t="str">
        <f>IFERROR(__xludf.DUMMYFUNCTION("""COMPUTED_VALUE"""),"")</f>
        <v/>
      </c>
      <c r="H780" s="71"/>
      <c r="I780" s="80" t="str">
        <f>IFERROR(__xludf.DUMMYFUNCTION("""COMPUTED_VALUE"""),"")</f>
        <v/>
      </c>
      <c r="J780" s="71" t="str">
        <f>IFERROR(__xludf.DUMMYFUNCTION("""COMPUTED_VALUE"""),"")</f>
        <v/>
      </c>
      <c r="K780" s="71"/>
      <c r="L780" s="71" t="str">
        <f>IFERROR(__xludf.DUMMYFUNCTION("""COMPUTED_VALUE"""),"")</f>
        <v/>
      </c>
      <c r="M780" s="71"/>
      <c r="N780" s="109" t="str">
        <f>IFERROR(__xludf.DUMMYFUNCTION("""COMPUTED_VALUE"""),"")</f>
        <v/>
      </c>
      <c r="O780" s="71" t="str">
        <f>IFERROR(__xludf.DUMMYFUNCTION("""COMPUTED_VALUE"""),"")</f>
        <v/>
      </c>
      <c r="P780" s="71" t="str">
        <f>IFERROR(__xludf.DUMMYFUNCTION("""COMPUTED_VALUE"""),"")</f>
        <v/>
      </c>
      <c r="Q780" s="78" t="str">
        <f>IFERROR(__xludf.DUMMYFUNCTION("""COMPUTED_VALUE"""),"")</f>
        <v/>
      </c>
      <c r="R780" s="78" t="str">
        <f>IFERROR(__xludf.DUMMYFUNCTION("""COMPUTED_VALUE"""),"")</f>
        <v/>
      </c>
      <c r="S780" s="80" t="str">
        <f>IFERROR(__xludf.DUMMYFUNCTION("""COMPUTED_VALUE"""),"")</f>
        <v/>
      </c>
      <c r="T780" s="80" t="str">
        <f>IFERROR(__xludf.DUMMYFUNCTION("""COMPUTED_VALUE"""),"")</f>
        <v/>
      </c>
      <c r="U780" s="71" t="str">
        <f>IFERROR(__xludf.DUMMYFUNCTION("""COMPUTED_VALUE"""),"")</f>
        <v/>
      </c>
      <c r="V780" s="78" t="str">
        <f>IFERROR(__xludf.DUMMYFUNCTION("""COMPUTED_VALUE"""),"")</f>
        <v/>
      </c>
      <c r="W780" s="62" t="str">
        <f>IFERROR(__xludf.DUMMYFUNCTION("""COMPUTED_VALUE"""),"")</f>
        <v/>
      </c>
      <c r="X780" s="80" t="str">
        <f>IFERROR(__xludf.DUMMYFUNCTION("""COMPUTED_VALUE"""),"")</f>
        <v/>
      </c>
      <c r="Y780" s="109" t="str">
        <f>IFERROR(__xludf.DUMMYFUNCTION("""COMPUTED_VALUE"""),"")</f>
        <v/>
      </c>
      <c r="Z780" s="71"/>
      <c r="AA780" s="71"/>
      <c r="AB780" s="71"/>
    </row>
    <row r="781">
      <c r="A781" s="71"/>
      <c r="B781" s="71"/>
      <c r="C781" s="71" t="str">
        <f>IFERROR(__xludf.DUMMYFUNCTION("""COMPUTED_VALUE"""),"")</f>
        <v/>
      </c>
      <c r="D781" s="71"/>
      <c r="E781" s="78"/>
      <c r="F781" s="71"/>
      <c r="G781" s="78" t="str">
        <f>IFERROR(__xludf.DUMMYFUNCTION("""COMPUTED_VALUE"""),"")</f>
        <v/>
      </c>
      <c r="H781" s="71"/>
      <c r="I781" s="80" t="str">
        <f>IFERROR(__xludf.DUMMYFUNCTION("""COMPUTED_VALUE"""),"")</f>
        <v/>
      </c>
      <c r="J781" s="71" t="str">
        <f>IFERROR(__xludf.DUMMYFUNCTION("""COMPUTED_VALUE"""),"")</f>
        <v/>
      </c>
      <c r="K781" s="71"/>
      <c r="L781" s="71" t="str">
        <f>IFERROR(__xludf.DUMMYFUNCTION("""COMPUTED_VALUE"""),"")</f>
        <v/>
      </c>
      <c r="M781" s="71"/>
      <c r="N781" s="109" t="str">
        <f>IFERROR(__xludf.DUMMYFUNCTION("""COMPUTED_VALUE"""),"")</f>
        <v/>
      </c>
      <c r="O781" s="71" t="str">
        <f>IFERROR(__xludf.DUMMYFUNCTION("""COMPUTED_VALUE"""),"")</f>
        <v/>
      </c>
      <c r="P781" s="71" t="str">
        <f>IFERROR(__xludf.DUMMYFUNCTION("""COMPUTED_VALUE"""),"")</f>
        <v/>
      </c>
      <c r="Q781" s="78" t="str">
        <f>IFERROR(__xludf.DUMMYFUNCTION("""COMPUTED_VALUE"""),"")</f>
        <v/>
      </c>
      <c r="R781" s="78" t="str">
        <f>IFERROR(__xludf.DUMMYFUNCTION("""COMPUTED_VALUE"""),"")</f>
        <v/>
      </c>
      <c r="S781" s="80" t="str">
        <f>IFERROR(__xludf.DUMMYFUNCTION("""COMPUTED_VALUE"""),"")</f>
        <v/>
      </c>
      <c r="T781" s="80" t="str">
        <f>IFERROR(__xludf.DUMMYFUNCTION("""COMPUTED_VALUE"""),"")</f>
        <v/>
      </c>
      <c r="U781" s="71" t="str">
        <f>IFERROR(__xludf.DUMMYFUNCTION("""COMPUTED_VALUE"""),"")</f>
        <v/>
      </c>
      <c r="V781" s="78" t="str">
        <f>IFERROR(__xludf.DUMMYFUNCTION("""COMPUTED_VALUE"""),"")</f>
        <v/>
      </c>
      <c r="W781" s="62" t="str">
        <f>IFERROR(__xludf.DUMMYFUNCTION("""COMPUTED_VALUE"""),"")</f>
        <v/>
      </c>
      <c r="X781" s="80" t="str">
        <f>IFERROR(__xludf.DUMMYFUNCTION("""COMPUTED_VALUE"""),"")</f>
        <v/>
      </c>
      <c r="Y781" s="109" t="str">
        <f>IFERROR(__xludf.DUMMYFUNCTION("""COMPUTED_VALUE"""),"")</f>
        <v/>
      </c>
      <c r="Z781" s="71"/>
      <c r="AA781" s="71"/>
      <c r="AB781" s="71"/>
    </row>
    <row r="782">
      <c r="A782" s="71"/>
      <c r="B782" s="71"/>
      <c r="C782" s="71" t="str">
        <f>IFERROR(__xludf.DUMMYFUNCTION("""COMPUTED_VALUE"""),"")</f>
        <v/>
      </c>
      <c r="D782" s="71"/>
      <c r="E782" s="78"/>
      <c r="F782" s="71"/>
      <c r="G782" s="78" t="str">
        <f>IFERROR(__xludf.DUMMYFUNCTION("""COMPUTED_VALUE"""),"")</f>
        <v/>
      </c>
      <c r="H782" s="71"/>
      <c r="I782" s="80" t="str">
        <f>IFERROR(__xludf.DUMMYFUNCTION("""COMPUTED_VALUE"""),"")</f>
        <v/>
      </c>
      <c r="J782" s="71" t="str">
        <f>IFERROR(__xludf.DUMMYFUNCTION("""COMPUTED_VALUE"""),"")</f>
        <v/>
      </c>
      <c r="K782" s="71"/>
      <c r="L782" s="71" t="str">
        <f>IFERROR(__xludf.DUMMYFUNCTION("""COMPUTED_VALUE"""),"")</f>
        <v/>
      </c>
      <c r="M782" s="71"/>
      <c r="N782" s="109" t="str">
        <f>IFERROR(__xludf.DUMMYFUNCTION("""COMPUTED_VALUE"""),"")</f>
        <v/>
      </c>
      <c r="O782" s="71" t="str">
        <f>IFERROR(__xludf.DUMMYFUNCTION("""COMPUTED_VALUE"""),"")</f>
        <v/>
      </c>
      <c r="P782" s="71" t="str">
        <f>IFERROR(__xludf.DUMMYFUNCTION("""COMPUTED_VALUE"""),"")</f>
        <v/>
      </c>
      <c r="Q782" s="78" t="str">
        <f>IFERROR(__xludf.DUMMYFUNCTION("""COMPUTED_VALUE"""),"")</f>
        <v/>
      </c>
      <c r="R782" s="78" t="str">
        <f>IFERROR(__xludf.DUMMYFUNCTION("""COMPUTED_VALUE"""),"")</f>
        <v/>
      </c>
      <c r="S782" s="80" t="str">
        <f>IFERROR(__xludf.DUMMYFUNCTION("""COMPUTED_VALUE"""),"")</f>
        <v/>
      </c>
      <c r="T782" s="80" t="str">
        <f>IFERROR(__xludf.DUMMYFUNCTION("""COMPUTED_VALUE"""),"")</f>
        <v/>
      </c>
      <c r="U782" s="71" t="str">
        <f>IFERROR(__xludf.DUMMYFUNCTION("""COMPUTED_VALUE"""),"")</f>
        <v/>
      </c>
      <c r="V782" s="78" t="str">
        <f>IFERROR(__xludf.DUMMYFUNCTION("""COMPUTED_VALUE"""),"")</f>
        <v/>
      </c>
      <c r="W782" s="62" t="str">
        <f>IFERROR(__xludf.DUMMYFUNCTION("""COMPUTED_VALUE"""),"")</f>
        <v/>
      </c>
      <c r="X782" s="80" t="str">
        <f>IFERROR(__xludf.DUMMYFUNCTION("""COMPUTED_VALUE"""),"")</f>
        <v/>
      </c>
      <c r="Y782" s="109" t="str">
        <f>IFERROR(__xludf.DUMMYFUNCTION("""COMPUTED_VALUE"""),"")</f>
        <v/>
      </c>
      <c r="Z782" s="71"/>
      <c r="AA782" s="71"/>
      <c r="AB782" s="71"/>
    </row>
    <row r="783">
      <c r="A783" s="71"/>
      <c r="B783" s="71"/>
      <c r="C783" s="71" t="str">
        <f>IFERROR(__xludf.DUMMYFUNCTION("""COMPUTED_VALUE"""),"")</f>
        <v/>
      </c>
      <c r="D783" s="71"/>
      <c r="E783" s="78"/>
      <c r="F783" s="71"/>
      <c r="G783" s="78" t="str">
        <f>IFERROR(__xludf.DUMMYFUNCTION("""COMPUTED_VALUE"""),"")</f>
        <v/>
      </c>
      <c r="H783" s="71"/>
      <c r="I783" s="80" t="str">
        <f>IFERROR(__xludf.DUMMYFUNCTION("""COMPUTED_VALUE"""),"")</f>
        <v/>
      </c>
      <c r="J783" s="71" t="str">
        <f>IFERROR(__xludf.DUMMYFUNCTION("""COMPUTED_VALUE"""),"")</f>
        <v/>
      </c>
      <c r="K783" s="71"/>
      <c r="L783" s="71" t="str">
        <f>IFERROR(__xludf.DUMMYFUNCTION("""COMPUTED_VALUE"""),"")</f>
        <v/>
      </c>
      <c r="M783" s="71"/>
      <c r="N783" s="109" t="str">
        <f>IFERROR(__xludf.DUMMYFUNCTION("""COMPUTED_VALUE"""),"")</f>
        <v/>
      </c>
      <c r="O783" s="71" t="str">
        <f>IFERROR(__xludf.DUMMYFUNCTION("""COMPUTED_VALUE"""),"")</f>
        <v/>
      </c>
      <c r="P783" s="71" t="str">
        <f>IFERROR(__xludf.DUMMYFUNCTION("""COMPUTED_VALUE"""),"")</f>
        <v/>
      </c>
      <c r="Q783" s="78" t="str">
        <f>IFERROR(__xludf.DUMMYFUNCTION("""COMPUTED_VALUE"""),"")</f>
        <v/>
      </c>
      <c r="R783" s="78" t="str">
        <f>IFERROR(__xludf.DUMMYFUNCTION("""COMPUTED_VALUE"""),"")</f>
        <v/>
      </c>
      <c r="S783" s="80" t="str">
        <f>IFERROR(__xludf.DUMMYFUNCTION("""COMPUTED_VALUE"""),"")</f>
        <v/>
      </c>
      <c r="T783" s="80" t="str">
        <f>IFERROR(__xludf.DUMMYFUNCTION("""COMPUTED_VALUE"""),"")</f>
        <v/>
      </c>
      <c r="U783" s="71" t="str">
        <f>IFERROR(__xludf.DUMMYFUNCTION("""COMPUTED_VALUE"""),"")</f>
        <v/>
      </c>
      <c r="V783" s="78" t="str">
        <f>IFERROR(__xludf.DUMMYFUNCTION("""COMPUTED_VALUE"""),"")</f>
        <v/>
      </c>
      <c r="W783" s="62" t="str">
        <f>IFERROR(__xludf.DUMMYFUNCTION("""COMPUTED_VALUE"""),"")</f>
        <v/>
      </c>
      <c r="X783" s="80" t="str">
        <f>IFERROR(__xludf.DUMMYFUNCTION("""COMPUTED_VALUE"""),"")</f>
        <v/>
      </c>
      <c r="Y783" s="109" t="str">
        <f>IFERROR(__xludf.DUMMYFUNCTION("""COMPUTED_VALUE"""),"")</f>
        <v/>
      </c>
      <c r="Z783" s="71"/>
      <c r="AA783" s="71"/>
      <c r="AB783" s="71"/>
    </row>
    <row r="784">
      <c r="A784" s="71"/>
      <c r="B784" s="71"/>
      <c r="C784" s="71" t="str">
        <f>IFERROR(__xludf.DUMMYFUNCTION("""COMPUTED_VALUE"""),"")</f>
        <v/>
      </c>
      <c r="D784" s="71"/>
      <c r="E784" s="78"/>
      <c r="F784" s="71"/>
      <c r="G784" s="78" t="str">
        <f>IFERROR(__xludf.DUMMYFUNCTION("""COMPUTED_VALUE"""),"")</f>
        <v/>
      </c>
      <c r="H784" s="71"/>
      <c r="I784" s="80" t="str">
        <f>IFERROR(__xludf.DUMMYFUNCTION("""COMPUTED_VALUE"""),"")</f>
        <v/>
      </c>
      <c r="J784" s="71" t="str">
        <f>IFERROR(__xludf.DUMMYFUNCTION("""COMPUTED_VALUE"""),"")</f>
        <v/>
      </c>
      <c r="K784" s="71"/>
      <c r="L784" s="71" t="str">
        <f>IFERROR(__xludf.DUMMYFUNCTION("""COMPUTED_VALUE"""),"")</f>
        <v/>
      </c>
      <c r="M784" s="71"/>
      <c r="N784" s="109" t="str">
        <f>IFERROR(__xludf.DUMMYFUNCTION("""COMPUTED_VALUE"""),"")</f>
        <v/>
      </c>
      <c r="O784" s="71" t="str">
        <f>IFERROR(__xludf.DUMMYFUNCTION("""COMPUTED_VALUE"""),"")</f>
        <v/>
      </c>
      <c r="P784" s="71" t="str">
        <f>IFERROR(__xludf.DUMMYFUNCTION("""COMPUTED_VALUE"""),"")</f>
        <v/>
      </c>
      <c r="Q784" s="78" t="str">
        <f>IFERROR(__xludf.DUMMYFUNCTION("""COMPUTED_VALUE"""),"")</f>
        <v/>
      </c>
      <c r="R784" s="78" t="str">
        <f>IFERROR(__xludf.DUMMYFUNCTION("""COMPUTED_VALUE"""),"")</f>
        <v/>
      </c>
      <c r="S784" s="80" t="str">
        <f>IFERROR(__xludf.DUMMYFUNCTION("""COMPUTED_VALUE"""),"")</f>
        <v/>
      </c>
      <c r="T784" s="80" t="str">
        <f>IFERROR(__xludf.DUMMYFUNCTION("""COMPUTED_VALUE"""),"")</f>
        <v/>
      </c>
      <c r="U784" s="71" t="str">
        <f>IFERROR(__xludf.DUMMYFUNCTION("""COMPUTED_VALUE"""),"")</f>
        <v/>
      </c>
      <c r="V784" s="78" t="str">
        <f>IFERROR(__xludf.DUMMYFUNCTION("""COMPUTED_VALUE"""),"")</f>
        <v/>
      </c>
      <c r="W784" s="62" t="str">
        <f>IFERROR(__xludf.DUMMYFUNCTION("""COMPUTED_VALUE"""),"")</f>
        <v/>
      </c>
      <c r="X784" s="80" t="str">
        <f>IFERROR(__xludf.DUMMYFUNCTION("""COMPUTED_VALUE"""),"")</f>
        <v/>
      </c>
      <c r="Y784" s="109" t="str">
        <f>IFERROR(__xludf.DUMMYFUNCTION("""COMPUTED_VALUE"""),"")</f>
        <v/>
      </c>
      <c r="Z784" s="71"/>
      <c r="AA784" s="71"/>
      <c r="AB784" s="71"/>
    </row>
    <row r="785">
      <c r="A785" s="71"/>
      <c r="B785" s="71"/>
      <c r="C785" s="71" t="str">
        <f>IFERROR(__xludf.DUMMYFUNCTION("""COMPUTED_VALUE"""),"")</f>
        <v/>
      </c>
      <c r="D785" s="71"/>
      <c r="E785" s="78"/>
      <c r="F785" s="71"/>
      <c r="G785" s="78" t="str">
        <f>IFERROR(__xludf.DUMMYFUNCTION("""COMPUTED_VALUE"""),"")</f>
        <v/>
      </c>
      <c r="H785" s="71"/>
      <c r="I785" s="80" t="str">
        <f>IFERROR(__xludf.DUMMYFUNCTION("""COMPUTED_VALUE"""),"")</f>
        <v/>
      </c>
      <c r="J785" s="71" t="str">
        <f>IFERROR(__xludf.DUMMYFUNCTION("""COMPUTED_VALUE"""),"")</f>
        <v/>
      </c>
      <c r="K785" s="71"/>
      <c r="L785" s="71" t="str">
        <f>IFERROR(__xludf.DUMMYFUNCTION("""COMPUTED_VALUE"""),"")</f>
        <v/>
      </c>
      <c r="M785" s="71"/>
      <c r="N785" s="109" t="str">
        <f>IFERROR(__xludf.DUMMYFUNCTION("""COMPUTED_VALUE"""),"")</f>
        <v/>
      </c>
      <c r="O785" s="71" t="str">
        <f>IFERROR(__xludf.DUMMYFUNCTION("""COMPUTED_VALUE"""),"")</f>
        <v/>
      </c>
      <c r="P785" s="71" t="str">
        <f>IFERROR(__xludf.DUMMYFUNCTION("""COMPUTED_VALUE"""),"")</f>
        <v/>
      </c>
      <c r="Q785" s="78" t="str">
        <f>IFERROR(__xludf.DUMMYFUNCTION("""COMPUTED_VALUE"""),"")</f>
        <v/>
      </c>
      <c r="R785" s="78" t="str">
        <f>IFERROR(__xludf.DUMMYFUNCTION("""COMPUTED_VALUE"""),"")</f>
        <v/>
      </c>
      <c r="S785" s="80" t="str">
        <f>IFERROR(__xludf.DUMMYFUNCTION("""COMPUTED_VALUE"""),"")</f>
        <v/>
      </c>
      <c r="T785" s="80" t="str">
        <f>IFERROR(__xludf.DUMMYFUNCTION("""COMPUTED_VALUE"""),"")</f>
        <v/>
      </c>
      <c r="U785" s="71" t="str">
        <f>IFERROR(__xludf.DUMMYFUNCTION("""COMPUTED_VALUE"""),"")</f>
        <v/>
      </c>
      <c r="V785" s="78" t="str">
        <f>IFERROR(__xludf.DUMMYFUNCTION("""COMPUTED_VALUE"""),"")</f>
        <v/>
      </c>
      <c r="W785" s="62" t="str">
        <f>IFERROR(__xludf.DUMMYFUNCTION("""COMPUTED_VALUE"""),"")</f>
        <v/>
      </c>
      <c r="X785" s="80" t="str">
        <f>IFERROR(__xludf.DUMMYFUNCTION("""COMPUTED_VALUE"""),"")</f>
        <v/>
      </c>
      <c r="Y785" s="109" t="str">
        <f>IFERROR(__xludf.DUMMYFUNCTION("""COMPUTED_VALUE"""),"")</f>
        <v/>
      </c>
      <c r="Z785" s="71"/>
      <c r="AA785" s="71"/>
      <c r="AB785" s="71"/>
    </row>
    <row r="786">
      <c r="A786" s="71"/>
      <c r="B786" s="71"/>
      <c r="C786" s="71" t="str">
        <f>IFERROR(__xludf.DUMMYFUNCTION("""COMPUTED_VALUE"""),"")</f>
        <v/>
      </c>
      <c r="D786" s="71"/>
      <c r="E786" s="78"/>
      <c r="F786" s="71"/>
      <c r="G786" s="78" t="str">
        <f>IFERROR(__xludf.DUMMYFUNCTION("""COMPUTED_VALUE"""),"")</f>
        <v/>
      </c>
      <c r="H786" s="71"/>
      <c r="I786" s="80" t="str">
        <f>IFERROR(__xludf.DUMMYFUNCTION("""COMPUTED_VALUE"""),"")</f>
        <v/>
      </c>
      <c r="J786" s="71" t="str">
        <f>IFERROR(__xludf.DUMMYFUNCTION("""COMPUTED_VALUE"""),"")</f>
        <v/>
      </c>
      <c r="K786" s="71"/>
      <c r="L786" s="71" t="str">
        <f>IFERROR(__xludf.DUMMYFUNCTION("""COMPUTED_VALUE"""),"")</f>
        <v/>
      </c>
      <c r="M786" s="71"/>
      <c r="N786" s="109" t="str">
        <f>IFERROR(__xludf.DUMMYFUNCTION("""COMPUTED_VALUE"""),"")</f>
        <v/>
      </c>
      <c r="O786" s="71" t="str">
        <f>IFERROR(__xludf.DUMMYFUNCTION("""COMPUTED_VALUE"""),"")</f>
        <v/>
      </c>
      <c r="P786" s="71" t="str">
        <f>IFERROR(__xludf.DUMMYFUNCTION("""COMPUTED_VALUE"""),"")</f>
        <v/>
      </c>
      <c r="Q786" s="78" t="str">
        <f>IFERROR(__xludf.DUMMYFUNCTION("""COMPUTED_VALUE"""),"")</f>
        <v/>
      </c>
      <c r="R786" s="78" t="str">
        <f>IFERROR(__xludf.DUMMYFUNCTION("""COMPUTED_VALUE"""),"")</f>
        <v/>
      </c>
      <c r="S786" s="80" t="str">
        <f>IFERROR(__xludf.DUMMYFUNCTION("""COMPUTED_VALUE"""),"")</f>
        <v/>
      </c>
      <c r="T786" s="80" t="str">
        <f>IFERROR(__xludf.DUMMYFUNCTION("""COMPUTED_VALUE"""),"")</f>
        <v/>
      </c>
      <c r="U786" s="71" t="str">
        <f>IFERROR(__xludf.DUMMYFUNCTION("""COMPUTED_VALUE"""),"")</f>
        <v/>
      </c>
      <c r="V786" s="78" t="str">
        <f>IFERROR(__xludf.DUMMYFUNCTION("""COMPUTED_VALUE"""),"")</f>
        <v/>
      </c>
      <c r="W786" s="62" t="str">
        <f>IFERROR(__xludf.DUMMYFUNCTION("""COMPUTED_VALUE"""),"")</f>
        <v/>
      </c>
      <c r="X786" s="80" t="str">
        <f>IFERROR(__xludf.DUMMYFUNCTION("""COMPUTED_VALUE"""),"")</f>
        <v/>
      </c>
      <c r="Y786" s="109" t="str">
        <f>IFERROR(__xludf.DUMMYFUNCTION("""COMPUTED_VALUE"""),"")</f>
        <v/>
      </c>
      <c r="Z786" s="71"/>
      <c r="AA786" s="71"/>
      <c r="AB786" s="71"/>
    </row>
    <row r="787">
      <c r="A787" s="71"/>
      <c r="B787" s="71"/>
      <c r="C787" s="71" t="str">
        <f>IFERROR(__xludf.DUMMYFUNCTION("""COMPUTED_VALUE"""),"")</f>
        <v/>
      </c>
      <c r="D787" s="71"/>
      <c r="E787" s="78"/>
      <c r="F787" s="71"/>
      <c r="G787" s="78" t="str">
        <f>IFERROR(__xludf.DUMMYFUNCTION("""COMPUTED_VALUE"""),"")</f>
        <v/>
      </c>
      <c r="H787" s="71"/>
      <c r="I787" s="80" t="str">
        <f>IFERROR(__xludf.DUMMYFUNCTION("""COMPUTED_VALUE"""),"")</f>
        <v/>
      </c>
      <c r="J787" s="71" t="str">
        <f>IFERROR(__xludf.DUMMYFUNCTION("""COMPUTED_VALUE"""),"")</f>
        <v/>
      </c>
      <c r="K787" s="71"/>
      <c r="L787" s="71" t="str">
        <f>IFERROR(__xludf.DUMMYFUNCTION("""COMPUTED_VALUE"""),"")</f>
        <v/>
      </c>
      <c r="M787" s="71"/>
      <c r="N787" s="109" t="str">
        <f>IFERROR(__xludf.DUMMYFUNCTION("""COMPUTED_VALUE"""),"")</f>
        <v/>
      </c>
      <c r="O787" s="71" t="str">
        <f>IFERROR(__xludf.DUMMYFUNCTION("""COMPUTED_VALUE"""),"")</f>
        <v/>
      </c>
      <c r="P787" s="71" t="str">
        <f>IFERROR(__xludf.DUMMYFUNCTION("""COMPUTED_VALUE"""),"")</f>
        <v/>
      </c>
      <c r="Q787" s="78" t="str">
        <f>IFERROR(__xludf.DUMMYFUNCTION("""COMPUTED_VALUE"""),"")</f>
        <v/>
      </c>
      <c r="R787" s="78" t="str">
        <f>IFERROR(__xludf.DUMMYFUNCTION("""COMPUTED_VALUE"""),"")</f>
        <v/>
      </c>
      <c r="S787" s="80" t="str">
        <f>IFERROR(__xludf.DUMMYFUNCTION("""COMPUTED_VALUE"""),"")</f>
        <v/>
      </c>
      <c r="T787" s="80" t="str">
        <f>IFERROR(__xludf.DUMMYFUNCTION("""COMPUTED_VALUE"""),"")</f>
        <v/>
      </c>
      <c r="U787" s="71" t="str">
        <f>IFERROR(__xludf.DUMMYFUNCTION("""COMPUTED_VALUE"""),"")</f>
        <v/>
      </c>
      <c r="V787" s="78" t="str">
        <f>IFERROR(__xludf.DUMMYFUNCTION("""COMPUTED_VALUE"""),"")</f>
        <v/>
      </c>
      <c r="W787" s="62" t="str">
        <f>IFERROR(__xludf.DUMMYFUNCTION("""COMPUTED_VALUE"""),"")</f>
        <v/>
      </c>
      <c r="X787" s="80" t="str">
        <f>IFERROR(__xludf.DUMMYFUNCTION("""COMPUTED_VALUE"""),"")</f>
        <v/>
      </c>
      <c r="Y787" s="109" t="str">
        <f>IFERROR(__xludf.DUMMYFUNCTION("""COMPUTED_VALUE"""),"")</f>
        <v/>
      </c>
      <c r="Z787" s="71"/>
      <c r="AA787" s="71"/>
      <c r="AB787" s="71"/>
    </row>
    <row r="788">
      <c r="A788" s="71"/>
      <c r="B788" s="71"/>
      <c r="C788" s="71" t="str">
        <f>IFERROR(__xludf.DUMMYFUNCTION("""COMPUTED_VALUE"""),"")</f>
        <v/>
      </c>
      <c r="D788" s="71"/>
      <c r="E788" s="78"/>
      <c r="F788" s="71"/>
      <c r="G788" s="78" t="str">
        <f>IFERROR(__xludf.DUMMYFUNCTION("""COMPUTED_VALUE"""),"")</f>
        <v/>
      </c>
      <c r="H788" s="71"/>
      <c r="I788" s="80" t="str">
        <f>IFERROR(__xludf.DUMMYFUNCTION("""COMPUTED_VALUE"""),"")</f>
        <v/>
      </c>
      <c r="J788" s="71" t="str">
        <f>IFERROR(__xludf.DUMMYFUNCTION("""COMPUTED_VALUE"""),"")</f>
        <v/>
      </c>
      <c r="K788" s="71"/>
      <c r="L788" s="71" t="str">
        <f>IFERROR(__xludf.DUMMYFUNCTION("""COMPUTED_VALUE"""),"")</f>
        <v/>
      </c>
      <c r="M788" s="71"/>
      <c r="N788" s="109" t="str">
        <f>IFERROR(__xludf.DUMMYFUNCTION("""COMPUTED_VALUE"""),"")</f>
        <v/>
      </c>
      <c r="O788" s="71" t="str">
        <f>IFERROR(__xludf.DUMMYFUNCTION("""COMPUTED_VALUE"""),"")</f>
        <v/>
      </c>
      <c r="P788" s="71" t="str">
        <f>IFERROR(__xludf.DUMMYFUNCTION("""COMPUTED_VALUE"""),"")</f>
        <v/>
      </c>
      <c r="Q788" s="78" t="str">
        <f>IFERROR(__xludf.DUMMYFUNCTION("""COMPUTED_VALUE"""),"")</f>
        <v/>
      </c>
      <c r="R788" s="78" t="str">
        <f>IFERROR(__xludf.DUMMYFUNCTION("""COMPUTED_VALUE"""),"")</f>
        <v/>
      </c>
      <c r="S788" s="80" t="str">
        <f>IFERROR(__xludf.DUMMYFUNCTION("""COMPUTED_VALUE"""),"")</f>
        <v/>
      </c>
      <c r="T788" s="80" t="str">
        <f>IFERROR(__xludf.DUMMYFUNCTION("""COMPUTED_VALUE"""),"")</f>
        <v/>
      </c>
      <c r="U788" s="71" t="str">
        <f>IFERROR(__xludf.DUMMYFUNCTION("""COMPUTED_VALUE"""),"")</f>
        <v/>
      </c>
      <c r="V788" s="78" t="str">
        <f>IFERROR(__xludf.DUMMYFUNCTION("""COMPUTED_VALUE"""),"")</f>
        <v/>
      </c>
      <c r="W788" s="62" t="str">
        <f>IFERROR(__xludf.DUMMYFUNCTION("""COMPUTED_VALUE"""),"")</f>
        <v/>
      </c>
      <c r="X788" s="80" t="str">
        <f>IFERROR(__xludf.DUMMYFUNCTION("""COMPUTED_VALUE"""),"")</f>
        <v/>
      </c>
      <c r="Y788" s="109" t="str">
        <f>IFERROR(__xludf.DUMMYFUNCTION("""COMPUTED_VALUE"""),"")</f>
        <v/>
      </c>
      <c r="Z788" s="71"/>
      <c r="AA788" s="71"/>
      <c r="AB788" s="71"/>
    </row>
    <row r="789">
      <c r="A789" s="71"/>
      <c r="B789" s="71"/>
      <c r="C789" s="71" t="str">
        <f>IFERROR(__xludf.DUMMYFUNCTION("""COMPUTED_VALUE"""),"")</f>
        <v/>
      </c>
      <c r="D789" s="71"/>
      <c r="E789" s="78"/>
      <c r="F789" s="71"/>
      <c r="G789" s="78" t="str">
        <f>IFERROR(__xludf.DUMMYFUNCTION("""COMPUTED_VALUE"""),"")</f>
        <v/>
      </c>
      <c r="H789" s="71"/>
      <c r="I789" s="80" t="str">
        <f>IFERROR(__xludf.DUMMYFUNCTION("""COMPUTED_VALUE"""),"")</f>
        <v/>
      </c>
      <c r="J789" s="71" t="str">
        <f>IFERROR(__xludf.DUMMYFUNCTION("""COMPUTED_VALUE"""),"")</f>
        <v/>
      </c>
      <c r="K789" s="71"/>
      <c r="L789" s="71" t="str">
        <f>IFERROR(__xludf.DUMMYFUNCTION("""COMPUTED_VALUE"""),"")</f>
        <v/>
      </c>
      <c r="M789" s="71"/>
      <c r="N789" s="109" t="str">
        <f>IFERROR(__xludf.DUMMYFUNCTION("""COMPUTED_VALUE"""),"")</f>
        <v/>
      </c>
      <c r="O789" s="71" t="str">
        <f>IFERROR(__xludf.DUMMYFUNCTION("""COMPUTED_VALUE"""),"")</f>
        <v/>
      </c>
      <c r="P789" s="71" t="str">
        <f>IFERROR(__xludf.DUMMYFUNCTION("""COMPUTED_VALUE"""),"")</f>
        <v/>
      </c>
      <c r="Q789" s="78" t="str">
        <f>IFERROR(__xludf.DUMMYFUNCTION("""COMPUTED_VALUE"""),"")</f>
        <v/>
      </c>
      <c r="R789" s="78" t="str">
        <f>IFERROR(__xludf.DUMMYFUNCTION("""COMPUTED_VALUE"""),"")</f>
        <v/>
      </c>
      <c r="S789" s="80" t="str">
        <f>IFERROR(__xludf.DUMMYFUNCTION("""COMPUTED_VALUE"""),"")</f>
        <v/>
      </c>
      <c r="T789" s="80" t="str">
        <f>IFERROR(__xludf.DUMMYFUNCTION("""COMPUTED_VALUE"""),"")</f>
        <v/>
      </c>
      <c r="U789" s="71" t="str">
        <f>IFERROR(__xludf.DUMMYFUNCTION("""COMPUTED_VALUE"""),"")</f>
        <v/>
      </c>
      <c r="V789" s="78" t="str">
        <f>IFERROR(__xludf.DUMMYFUNCTION("""COMPUTED_VALUE"""),"")</f>
        <v/>
      </c>
      <c r="W789" s="62" t="str">
        <f>IFERROR(__xludf.DUMMYFUNCTION("""COMPUTED_VALUE"""),"")</f>
        <v/>
      </c>
      <c r="X789" s="80" t="str">
        <f>IFERROR(__xludf.DUMMYFUNCTION("""COMPUTED_VALUE"""),"")</f>
        <v/>
      </c>
      <c r="Y789" s="109" t="str">
        <f>IFERROR(__xludf.DUMMYFUNCTION("""COMPUTED_VALUE"""),"")</f>
        <v/>
      </c>
      <c r="Z789" s="71"/>
      <c r="AA789" s="71"/>
      <c r="AB789" s="71"/>
    </row>
    <row r="790">
      <c r="A790" s="71"/>
      <c r="B790" s="71"/>
      <c r="C790" s="71" t="str">
        <f>IFERROR(__xludf.DUMMYFUNCTION("""COMPUTED_VALUE"""),"")</f>
        <v/>
      </c>
      <c r="D790" s="71"/>
      <c r="E790" s="78"/>
      <c r="F790" s="71"/>
      <c r="G790" s="78" t="str">
        <f>IFERROR(__xludf.DUMMYFUNCTION("""COMPUTED_VALUE"""),"")</f>
        <v/>
      </c>
      <c r="H790" s="71"/>
      <c r="I790" s="80" t="str">
        <f>IFERROR(__xludf.DUMMYFUNCTION("""COMPUTED_VALUE"""),"")</f>
        <v/>
      </c>
      <c r="J790" s="71" t="str">
        <f>IFERROR(__xludf.DUMMYFUNCTION("""COMPUTED_VALUE"""),"")</f>
        <v/>
      </c>
      <c r="K790" s="71"/>
      <c r="L790" s="71" t="str">
        <f>IFERROR(__xludf.DUMMYFUNCTION("""COMPUTED_VALUE"""),"")</f>
        <v/>
      </c>
      <c r="M790" s="71"/>
      <c r="N790" s="109" t="str">
        <f>IFERROR(__xludf.DUMMYFUNCTION("""COMPUTED_VALUE"""),"")</f>
        <v/>
      </c>
      <c r="O790" s="71" t="str">
        <f>IFERROR(__xludf.DUMMYFUNCTION("""COMPUTED_VALUE"""),"")</f>
        <v/>
      </c>
      <c r="P790" s="71" t="str">
        <f>IFERROR(__xludf.DUMMYFUNCTION("""COMPUTED_VALUE"""),"")</f>
        <v/>
      </c>
      <c r="Q790" s="78" t="str">
        <f>IFERROR(__xludf.DUMMYFUNCTION("""COMPUTED_VALUE"""),"")</f>
        <v/>
      </c>
      <c r="R790" s="78" t="str">
        <f>IFERROR(__xludf.DUMMYFUNCTION("""COMPUTED_VALUE"""),"")</f>
        <v/>
      </c>
      <c r="S790" s="80" t="str">
        <f>IFERROR(__xludf.DUMMYFUNCTION("""COMPUTED_VALUE"""),"")</f>
        <v/>
      </c>
      <c r="T790" s="80" t="str">
        <f>IFERROR(__xludf.DUMMYFUNCTION("""COMPUTED_VALUE"""),"")</f>
        <v/>
      </c>
      <c r="U790" s="71" t="str">
        <f>IFERROR(__xludf.DUMMYFUNCTION("""COMPUTED_VALUE"""),"")</f>
        <v/>
      </c>
      <c r="V790" s="78" t="str">
        <f>IFERROR(__xludf.DUMMYFUNCTION("""COMPUTED_VALUE"""),"")</f>
        <v/>
      </c>
      <c r="W790" s="62" t="str">
        <f>IFERROR(__xludf.DUMMYFUNCTION("""COMPUTED_VALUE"""),"")</f>
        <v/>
      </c>
      <c r="X790" s="80" t="str">
        <f>IFERROR(__xludf.DUMMYFUNCTION("""COMPUTED_VALUE"""),"")</f>
        <v/>
      </c>
      <c r="Y790" s="109" t="str">
        <f>IFERROR(__xludf.DUMMYFUNCTION("""COMPUTED_VALUE"""),"")</f>
        <v/>
      </c>
      <c r="Z790" s="71"/>
      <c r="AA790" s="71"/>
      <c r="AB790" s="71"/>
    </row>
    <row r="791">
      <c r="A791" s="71"/>
      <c r="B791" s="71"/>
      <c r="C791" s="71" t="str">
        <f>IFERROR(__xludf.DUMMYFUNCTION("""COMPUTED_VALUE"""),"")</f>
        <v/>
      </c>
      <c r="D791" s="71"/>
      <c r="E791" s="78"/>
      <c r="F791" s="71"/>
      <c r="G791" s="78" t="str">
        <f>IFERROR(__xludf.DUMMYFUNCTION("""COMPUTED_VALUE"""),"")</f>
        <v/>
      </c>
      <c r="H791" s="71"/>
      <c r="I791" s="80" t="str">
        <f>IFERROR(__xludf.DUMMYFUNCTION("""COMPUTED_VALUE"""),"")</f>
        <v/>
      </c>
      <c r="J791" s="71" t="str">
        <f>IFERROR(__xludf.DUMMYFUNCTION("""COMPUTED_VALUE"""),"")</f>
        <v/>
      </c>
      <c r="K791" s="71"/>
      <c r="L791" s="71" t="str">
        <f>IFERROR(__xludf.DUMMYFUNCTION("""COMPUTED_VALUE"""),"")</f>
        <v/>
      </c>
      <c r="M791" s="71"/>
      <c r="N791" s="109" t="str">
        <f>IFERROR(__xludf.DUMMYFUNCTION("""COMPUTED_VALUE"""),"")</f>
        <v/>
      </c>
      <c r="O791" s="71" t="str">
        <f>IFERROR(__xludf.DUMMYFUNCTION("""COMPUTED_VALUE"""),"")</f>
        <v/>
      </c>
      <c r="P791" s="71" t="str">
        <f>IFERROR(__xludf.DUMMYFUNCTION("""COMPUTED_VALUE"""),"")</f>
        <v/>
      </c>
      <c r="Q791" s="78" t="str">
        <f>IFERROR(__xludf.DUMMYFUNCTION("""COMPUTED_VALUE"""),"")</f>
        <v/>
      </c>
      <c r="R791" s="78" t="str">
        <f>IFERROR(__xludf.DUMMYFUNCTION("""COMPUTED_VALUE"""),"")</f>
        <v/>
      </c>
      <c r="S791" s="80" t="str">
        <f>IFERROR(__xludf.DUMMYFUNCTION("""COMPUTED_VALUE"""),"")</f>
        <v/>
      </c>
      <c r="T791" s="80" t="str">
        <f>IFERROR(__xludf.DUMMYFUNCTION("""COMPUTED_VALUE"""),"")</f>
        <v/>
      </c>
      <c r="U791" s="71" t="str">
        <f>IFERROR(__xludf.DUMMYFUNCTION("""COMPUTED_VALUE"""),"")</f>
        <v/>
      </c>
      <c r="V791" s="78" t="str">
        <f>IFERROR(__xludf.DUMMYFUNCTION("""COMPUTED_VALUE"""),"")</f>
        <v/>
      </c>
      <c r="W791" s="62" t="str">
        <f>IFERROR(__xludf.DUMMYFUNCTION("""COMPUTED_VALUE"""),"")</f>
        <v/>
      </c>
      <c r="X791" s="80" t="str">
        <f>IFERROR(__xludf.DUMMYFUNCTION("""COMPUTED_VALUE"""),"")</f>
        <v/>
      </c>
      <c r="Y791" s="109" t="str">
        <f>IFERROR(__xludf.DUMMYFUNCTION("""COMPUTED_VALUE"""),"")</f>
        <v/>
      </c>
      <c r="Z791" s="71"/>
      <c r="AA791" s="71"/>
      <c r="AB791" s="71"/>
    </row>
    <row r="792">
      <c r="A792" s="71"/>
      <c r="B792" s="71"/>
      <c r="C792" s="71" t="str">
        <f>IFERROR(__xludf.DUMMYFUNCTION("""COMPUTED_VALUE"""),"")</f>
        <v/>
      </c>
      <c r="D792" s="71"/>
      <c r="E792" s="78"/>
      <c r="F792" s="71"/>
      <c r="G792" s="78" t="str">
        <f>IFERROR(__xludf.DUMMYFUNCTION("""COMPUTED_VALUE"""),"")</f>
        <v/>
      </c>
      <c r="H792" s="71"/>
      <c r="I792" s="80" t="str">
        <f>IFERROR(__xludf.DUMMYFUNCTION("""COMPUTED_VALUE"""),"")</f>
        <v/>
      </c>
      <c r="J792" s="71" t="str">
        <f>IFERROR(__xludf.DUMMYFUNCTION("""COMPUTED_VALUE"""),"")</f>
        <v/>
      </c>
      <c r="K792" s="71"/>
      <c r="L792" s="71" t="str">
        <f>IFERROR(__xludf.DUMMYFUNCTION("""COMPUTED_VALUE"""),"")</f>
        <v/>
      </c>
      <c r="M792" s="71"/>
      <c r="N792" s="109" t="str">
        <f>IFERROR(__xludf.DUMMYFUNCTION("""COMPUTED_VALUE"""),"")</f>
        <v/>
      </c>
      <c r="O792" s="71" t="str">
        <f>IFERROR(__xludf.DUMMYFUNCTION("""COMPUTED_VALUE"""),"")</f>
        <v/>
      </c>
      <c r="P792" s="71" t="str">
        <f>IFERROR(__xludf.DUMMYFUNCTION("""COMPUTED_VALUE"""),"")</f>
        <v/>
      </c>
      <c r="Q792" s="78" t="str">
        <f>IFERROR(__xludf.DUMMYFUNCTION("""COMPUTED_VALUE"""),"")</f>
        <v/>
      </c>
      <c r="R792" s="78" t="str">
        <f>IFERROR(__xludf.DUMMYFUNCTION("""COMPUTED_VALUE"""),"")</f>
        <v/>
      </c>
      <c r="S792" s="80" t="str">
        <f>IFERROR(__xludf.DUMMYFUNCTION("""COMPUTED_VALUE"""),"")</f>
        <v/>
      </c>
      <c r="T792" s="80" t="str">
        <f>IFERROR(__xludf.DUMMYFUNCTION("""COMPUTED_VALUE"""),"")</f>
        <v/>
      </c>
      <c r="U792" s="71" t="str">
        <f>IFERROR(__xludf.DUMMYFUNCTION("""COMPUTED_VALUE"""),"")</f>
        <v/>
      </c>
      <c r="V792" s="78" t="str">
        <f>IFERROR(__xludf.DUMMYFUNCTION("""COMPUTED_VALUE"""),"")</f>
        <v/>
      </c>
      <c r="W792" s="62" t="str">
        <f>IFERROR(__xludf.DUMMYFUNCTION("""COMPUTED_VALUE"""),"")</f>
        <v/>
      </c>
      <c r="X792" s="80" t="str">
        <f>IFERROR(__xludf.DUMMYFUNCTION("""COMPUTED_VALUE"""),"")</f>
        <v/>
      </c>
      <c r="Y792" s="109" t="str">
        <f>IFERROR(__xludf.DUMMYFUNCTION("""COMPUTED_VALUE"""),"")</f>
        <v/>
      </c>
      <c r="Z792" s="71"/>
      <c r="AA792" s="71"/>
      <c r="AB792" s="71"/>
    </row>
    <row r="793">
      <c r="A793" s="71"/>
      <c r="B793" s="71"/>
      <c r="C793" s="71" t="str">
        <f>IFERROR(__xludf.DUMMYFUNCTION("""COMPUTED_VALUE"""),"")</f>
        <v/>
      </c>
      <c r="D793" s="71"/>
      <c r="E793" s="78"/>
      <c r="F793" s="71"/>
      <c r="G793" s="78" t="str">
        <f>IFERROR(__xludf.DUMMYFUNCTION("""COMPUTED_VALUE"""),"")</f>
        <v/>
      </c>
      <c r="H793" s="71"/>
      <c r="I793" s="80" t="str">
        <f>IFERROR(__xludf.DUMMYFUNCTION("""COMPUTED_VALUE"""),"")</f>
        <v/>
      </c>
      <c r="J793" s="71" t="str">
        <f>IFERROR(__xludf.DUMMYFUNCTION("""COMPUTED_VALUE"""),"")</f>
        <v/>
      </c>
      <c r="K793" s="71"/>
      <c r="L793" s="71" t="str">
        <f>IFERROR(__xludf.DUMMYFUNCTION("""COMPUTED_VALUE"""),"")</f>
        <v/>
      </c>
      <c r="M793" s="71"/>
      <c r="N793" s="109" t="str">
        <f>IFERROR(__xludf.DUMMYFUNCTION("""COMPUTED_VALUE"""),"")</f>
        <v/>
      </c>
      <c r="O793" s="71" t="str">
        <f>IFERROR(__xludf.DUMMYFUNCTION("""COMPUTED_VALUE"""),"")</f>
        <v/>
      </c>
      <c r="P793" s="71" t="str">
        <f>IFERROR(__xludf.DUMMYFUNCTION("""COMPUTED_VALUE"""),"")</f>
        <v/>
      </c>
      <c r="Q793" s="78" t="str">
        <f>IFERROR(__xludf.DUMMYFUNCTION("""COMPUTED_VALUE"""),"")</f>
        <v/>
      </c>
      <c r="R793" s="78" t="str">
        <f>IFERROR(__xludf.DUMMYFUNCTION("""COMPUTED_VALUE"""),"")</f>
        <v/>
      </c>
      <c r="S793" s="80" t="str">
        <f>IFERROR(__xludf.DUMMYFUNCTION("""COMPUTED_VALUE"""),"")</f>
        <v/>
      </c>
      <c r="T793" s="80" t="str">
        <f>IFERROR(__xludf.DUMMYFUNCTION("""COMPUTED_VALUE"""),"")</f>
        <v/>
      </c>
      <c r="U793" s="71" t="str">
        <f>IFERROR(__xludf.DUMMYFUNCTION("""COMPUTED_VALUE"""),"")</f>
        <v/>
      </c>
      <c r="V793" s="78" t="str">
        <f>IFERROR(__xludf.DUMMYFUNCTION("""COMPUTED_VALUE"""),"")</f>
        <v/>
      </c>
      <c r="W793" s="62" t="str">
        <f>IFERROR(__xludf.DUMMYFUNCTION("""COMPUTED_VALUE"""),"")</f>
        <v/>
      </c>
      <c r="X793" s="80" t="str">
        <f>IFERROR(__xludf.DUMMYFUNCTION("""COMPUTED_VALUE"""),"")</f>
        <v/>
      </c>
      <c r="Y793" s="109" t="str">
        <f>IFERROR(__xludf.DUMMYFUNCTION("""COMPUTED_VALUE"""),"")</f>
        <v/>
      </c>
      <c r="Z793" s="71"/>
      <c r="AA793" s="71"/>
      <c r="AB793" s="71"/>
    </row>
    <row r="794">
      <c r="A794" s="71"/>
      <c r="B794" s="71"/>
      <c r="C794" s="71" t="str">
        <f>IFERROR(__xludf.DUMMYFUNCTION("""COMPUTED_VALUE"""),"")</f>
        <v/>
      </c>
      <c r="D794" s="71"/>
      <c r="E794" s="78"/>
      <c r="F794" s="71"/>
      <c r="G794" s="78" t="str">
        <f>IFERROR(__xludf.DUMMYFUNCTION("""COMPUTED_VALUE"""),"")</f>
        <v/>
      </c>
      <c r="H794" s="71"/>
      <c r="I794" s="80" t="str">
        <f>IFERROR(__xludf.DUMMYFUNCTION("""COMPUTED_VALUE"""),"")</f>
        <v/>
      </c>
      <c r="J794" s="71" t="str">
        <f>IFERROR(__xludf.DUMMYFUNCTION("""COMPUTED_VALUE"""),"")</f>
        <v/>
      </c>
      <c r="K794" s="71"/>
      <c r="L794" s="71" t="str">
        <f>IFERROR(__xludf.DUMMYFUNCTION("""COMPUTED_VALUE"""),"")</f>
        <v/>
      </c>
      <c r="M794" s="71"/>
      <c r="N794" s="109" t="str">
        <f>IFERROR(__xludf.DUMMYFUNCTION("""COMPUTED_VALUE"""),"")</f>
        <v/>
      </c>
      <c r="O794" s="71" t="str">
        <f>IFERROR(__xludf.DUMMYFUNCTION("""COMPUTED_VALUE"""),"")</f>
        <v/>
      </c>
      <c r="P794" s="71" t="str">
        <f>IFERROR(__xludf.DUMMYFUNCTION("""COMPUTED_VALUE"""),"")</f>
        <v/>
      </c>
      <c r="Q794" s="78" t="str">
        <f>IFERROR(__xludf.DUMMYFUNCTION("""COMPUTED_VALUE"""),"")</f>
        <v/>
      </c>
      <c r="R794" s="78" t="str">
        <f>IFERROR(__xludf.DUMMYFUNCTION("""COMPUTED_VALUE"""),"")</f>
        <v/>
      </c>
      <c r="S794" s="80" t="str">
        <f>IFERROR(__xludf.DUMMYFUNCTION("""COMPUTED_VALUE"""),"")</f>
        <v/>
      </c>
      <c r="T794" s="80" t="str">
        <f>IFERROR(__xludf.DUMMYFUNCTION("""COMPUTED_VALUE"""),"")</f>
        <v/>
      </c>
      <c r="U794" s="71" t="str">
        <f>IFERROR(__xludf.DUMMYFUNCTION("""COMPUTED_VALUE"""),"")</f>
        <v/>
      </c>
      <c r="V794" s="78" t="str">
        <f>IFERROR(__xludf.DUMMYFUNCTION("""COMPUTED_VALUE"""),"")</f>
        <v/>
      </c>
      <c r="W794" s="62" t="str">
        <f>IFERROR(__xludf.DUMMYFUNCTION("""COMPUTED_VALUE"""),"")</f>
        <v/>
      </c>
      <c r="X794" s="80" t="str">
        <f>IFERROR(__xludf.DUMMYFUNCTION("""COMPUTED_VALUE"""),"")</f>
        <v/>
      </c>
      <c r="Y794" s="109" t="str">
        <f>IFERROR(__xludf.DUMMYFUNCTION("""COMPUTED_VALUE"""),"")</f>
        <v/>
      </c>
      <c r="Z794" s="71"/>
      <c r="AA794" s="71"/>
      <c r="AB794" s="71"/>
    </row>
    <row r="795">
      <c r="A795" s="71"/>
      <c r="B795" s="71"/>
      <c r="C795" s="71" t="str">
        <f>IFERROR(__xludf.DUMMYFUNCTION("""COMPUTED_VALUE"""),"")</f>
        <v/>
      </c>
      <c r="D795" s="71"/>
      <c r="E795" s="78"/>
      <c r="F795" s="71"/>
      <c r="G795" s="78" t="str">
        <f>IFERROR(__xludf.DUMMYFUNCTION("""COMPUTED_VALUE"""),"")</f>
        <v/>
      </c>
      <c r="H795" s="71"/>
      <c r="I795" s="80" t="str">
        <f>IFERROR(__xludf.DUMMYFUNCTION("""COMPUTED_VALUE"""),"")</f>
        <v/>
      </c>
      <c r="J795" s="71" t="str">
        <f>IFERROR(__xludf.DUMMYFUNCTION("""COMPUTED_VALUE"""),"")</f>
        <v/>
      </c>
      <c r="K795" s="71"/>
      <c r="L795" s="71" t="str">
        <f>IFERROR(__xludf.DUMMYFUNCTION("""COMPUTED_VALUE"""),"")</f>
        <v/>
      </c>
      <c r="M795" s="71"/>
      <c r="N795" s="109" t="str">
        <f>IFERROR(__xludf.DUMMYFUNCTION("""COMPUTED_VALUE"""),"")</f>
        <v/>
      </c>
      <c r="O795" s="71" t="str">
        <f>IFERROR(__xludf.DUMMYFUNCTION("""COMPUTED_VALUE"""),"")</f>
        <v/>
      </c>
      <c r="P795" s="71" t="str">
        <f>IFERROR(__xludf.DUMMYFUNCTION("""COMPUTED_VALUE"""),"")</f>
        <v/>
      </c>
      <c r="Q795" s="78" t="str">
        <f>IFERROR(__xludf.DUMMYFUNCTION("""COMPUTED_VALUE"""),"")</f>
        <v/>
      </c>
      <c r="R795" s="78" t="str">
        <f>IFERROR(__xludf.DUMMYFUNCTION("""COMPUTED_VALUE"""),"")</f>
        <v/>
      </c>
      <c r="S795" s="80" t="str">
        <f>IFERROR(__xludf.DUMMYFUNCTION("""COMPUTED_VALUE"""),"")</f>
        <v/>
      </c>
      <c r="T795" s="80" t="str">
        <f>IFERROR(__xludf.DUMMYFUNCTION("""COMPUTED_VALUE"""),"")</f>
        <v/>
      </c>
      <c r="U795" s="71" t="str">
        <f>IFERROR(__xludf.DUMMYFUNCTION("""COMPUTED_VALUE"""),"")</f>
        <v/>
      </c>
      <c r="V795" s="78" t="str">
        <f>IFERROR(__xludf.DUMMYFUNCTION("""COMPUTED_VALUE"""),"")</f>
        <v/>
      </c>
      <c r="W795" s="62" t="str">
        <f>IFERROR(__xludf.DUMMYFUNCTION("""COMPUTED_VALUE"""),"")</f>
        <v/>
      </c>
      <c r="X795" s="80" t="str">
        <f>IFERROR(__xludf.DUMMYFUNCTION("""COMPUTED_VALUE"""),"")</f>
        <v/>
      </c>
      <c r="Y795" s="109" t="str">
        <f>IFERROR(__xludf.DUMMYFUNCTION("""COMPUTED_VALUE"""),"")</f>
        <v/>
      </c>
      <c r="Z795" s="71"/>
      <c r="AA795" s="71"/>
      <c r="AB795" s="71"/>
    </row>
    <row r="796">
      <c r="A796" s="71"/>
      <c r="B796" s="71"/>
      <c r="C796" s="71" t="str">
        <f>IFERROR(__xludf.DUMMYFUNCTION("""COMPUTED_VALUE"""),"")</f>
        <v/>
      </c>
      <c r="D796" s="71"/>
      <c r="E796" s="78"/>
      <c r="F796" s="71"/>
      <c r="G796" s="78" t="str">
        <f>IFERROR(__xludf.DUMMYFUNCTION("""COMPUTED_VALUE"""),"")</f>
        <v/>
      </c>
      <c r="H796" s="71"/>
      <c r="I796" s="80" t="str">
        <f>IFERROR(__xludf.DUMMYFUNCTION("""COMPUTED_VALUE"""),"")</f>
        <v/>
      </c>
      <c r="J796" s="71" t="str">
        <f>IFERROR(__xludf.DUMMYFUNCTION("""COMPUTED_VALUE"""),"")</f>
        <v/>
      </c>
      <c r="K796" s="71"/>
      <c r="L796" s="71" t="str">
        <f>IFERROR(__xludf.DUMMYFUNCTION("""COMPUTED_VALUE"""),"")</f>
        <v/>
      </c>
      <c r="M796" s="71"/>
      <c r="N796" s="109" t="str">
        <f>IFERROR(__xludf.DUMMYFUNCTION("""COMPUTED_VALUE"""),"")</f>
        <v/>
      </c>
      <c r="O796" s="71" t="str">
        <f>IFERROR(__xludf.DUMMYFUNCTION("""COMPUTED_VALUE"""),"")</f>
        <v/>
      </c>
      <c r="P796" s="71" t="str">
        <f>IFERROR(__xludf.DUMMYFUNCTION("""COMPUTED_VALUE"""),"")</f>
        <v/>
      </c>
      <c r="Q796" s="78" t="str">
        <f>IFERROR(__xludf.DUMMYFUNCTION("""COMPUTED_VALUE"""),"")</f>
        <v/>
      </c>
      <c r="R796" s="78" t="str">
        <f>IFERROR(__xludf.DUMMYFUNCTION("""COMPUTED_VALUE"""),"")</f>
        <v/>
      </c>
      <c r="S796" s="80" t="str">
        <f>IFERROR(__xludf.DUMMYFUNCTION("""COMPUTED_VALUE"""),"")</f>
        <v/>
      </c>
      <c r="T796" s="80" t="str">
        <f>IFERROR(__xludf.DUMMYFUNCTION("""COMPUTED_VALUE"""),"")</f>
        <v/>
      </c>
      <c r="U796" s="71" t="str">
        <f>IFERROR(__xludf.DUMMYFUNCTION("""COMPUTED_VALUE"""),"")</f>
        <v/>
      </c>
      <c r="V796" s="78" t="str">
        <f>IFERROR(__xludf.DUMMYFUNCTION("""COMPUTED_VALUE"""),"")</f>
        <v/>
      </c>
      <c r="W796" s="62" t="str">
        <f>IFERROR(__xludf.DUMMYFUNCTION("""COMPUTED_VALUE"""),"")</f>
        <v/>
      </c>
      <c r="X796" s="80" t="str">
        <f>IFERROR(__xludf.DUMMYFUNCTION("""COMPUTED_VALUE"""),"")</f>
        <v/>
      </c>
      <c r="Y796" s="109" t="str">
        <f>IFERROR(__xludf.DUMMYFUNCTION("""COMPUTED_VALUE"""),"")</f>
        <v/>
      </c>
      <c r="Z796" s="71"/>
      <c r="AA796" s="71"/>
      <c r="AB796" s="71"/>
    </row>
    <row r="797">
      <c r="A797" s="71"/>
      <c r="B797" s="71"/>
      <c r="C797" s="71" t="str">
        <f>IFERROR(__xludf.DUMMYFUNCTION("""COMPUTED_VALUE"""),"")</f>
        <v/>
      </c>
      <c r="D797" s="71"/>
      <c r="E797" s="78"/>
      <c r="F797" s="71"/>
      <c r="G797" s="78" t="str">
        <f>IFERROR(__xludf.DUMMYFUNCTION("""COMPUTED_VALUE"""),"")</f>
        <v/>
      </c>
      <c r="H797" s="71"/>
      <c r="I797" s="80" t="str">
        <f>IFERROR(__xludf.DUMMYFUNCTION("""COMPUTED_VALUE"""),"")</f>
        <v/>
      </c>
      <c r="J797" s="71" t="str">
        <f>IFERROR(__xludf.DUMMYFUNCTION("""COMPUTED_VALUE"""),"")</f>
        <v/>
      </c>
      <c r="K797" s="71"/>
      <c r="L797" s="71" t="str">
        <f>IFERROR(__xludf.DUMMYFUNCTION("""COMPUTED_VALUE"""),"")</f>
        <v/>
      </c>
      <c r="M797" s="71"/>
      <c r="N797" s="109" t="str">
        <f>IFERROR(__xludf.DUMMYFUNCTION("""COMPUTED_VALUE"""),"")</f>
        <v/>
      </c>
      <c r="O797" s="71" t="str">
        <f>IFERROR(__xludf.DUMMYFUNCTION("""COMPUTED_VALUE"""),"")</f>
        <v/>
      </c>
      <c r="P797" s="71" t="str">
        <f>IFERROR(__xludf.DUMMYFUNCTION("""COMPUTED_VALUE"""),"")</f>
        <v/>
      </c>
      <c r="Q797" s="78" t="str">
        <f>IFERROR(__xludf.DUMMYFUNCTION("""COMPUTED_VALUE"""),"")</f>
        <v/>
      </c>
      <c r="R797" s="78" t="str">
        <f>IFERROR(__xludf.DUMMYFUNCTION("""COMPUTED_VALUE"""),"")</f>
        <v/>
      </c>
      <c r="S797" s="80" t="str">
        <f>IFERROR(__xludf.DUMMYFUNCTION("""COMPUTED_VALUE"""),"")</f>
        <v/>
      </c>
      <c r="T797" s="80" t="str">
        <f>IFERROR(__xludf.DUMMYFUNCTION("""COMPUTED_VALUE"""),"")</f>
        <v/>
      </c>
      <c r="U797" s="71" t="str">
        <f>IFERROR(__xludf.DUMMYFUNCTION("""COMPUTED_VALUE"""),"")</f>
        <v/>
      </c>
      <c r="V797" s="78" t="str">
        <f>IFERROR(__xludf.DUMMYFUNCTION("""COMPUTED_VALUE"""),"")</f>
        <v/>
      </c>
      <c r="W797" s="62" t="str">
        <f>IFERROR(__xludf.DUMMYFUNCTION("""COMPUTED_VALUE"""),"")</f>
        <v/>
      </c>
      <c r="X797" s="80" t="str">
        <f>IFERROR(__xludf.DUMMYFUNCTION("""COMPUTED_VALUE"""),"")</f>
        <v/>
      </c>
      <c r="Y797" s="109" t="str">
        <f>IFERROR(__xludf.DUMMYFUNCTION("""COMPUTED_VALUE"""),"")</f>
        <v/>
      </c>
      <c r="Z797" s="71"/>
      <c r="AA797" s="71"/>
      <c r="AB797" s="71"/>
    </row>
    <row r="798">
      <c r="A798" s="71"/>
      <c r="B798" s="71"/>
      <c r="C798" s="71" t="str">
        <f>IFERROR(__xludf.DUMMYFUNCTION("""COMPUTED_VALUE"""),"")</f>
        <v/>
      </c>
      <c r="D798" s="71"/>
      <c r="E798" s="78"/>
      <c r="F798" s="71"/>
      <c r="G798" s="78" t="str">
        <f>IFERROR(__xludf.DUMMYFUNCTION("""COMPUTED_VALUE"""),"")</f>
        <v/>
      </c>
      <c r="H798" s="71"/>
      <c r="I798" s="80" t="str">
        <f>IFERROR(__xludf.DUMMYFUNCTION("""COMPUTED_VALUE"""),"")</f>
        <v/>
      </c>
      <c r="J798" s="71" t="str">
        <f>IFERROR(__xludf.DUMMYFUNCTION("""COMPUTED_VALUE"""),"")</f>
        <v/>
      </c>
      <c r="K798" s="71"/>
      <c r="L798" s="71" t="str">
        <f>IFERROR(__xludf.DUMMYFUNCTION("""COMPUTED_VALUE"""),"")</f>
        <v/>
      </c>
      <c r="M798" s="71"/>
      <c r="N798" s="109" t="str">
        <f>IFERROR(__xludf.DUMMYFUNCTION("""COMPUTED_VALUE"""),"")</f>
        <v/>
      </c>
      <c r="O798" s="71" t="str">
        <f>IFERROR(__xludf.DUMMYFUNCTION("""COMPUTED_VALUE"""),"")</f>
        <v/>
      </c>
      <c r="P798" s="71" t="str">
        <f>IFERROR(__xludf.DUMMYFUNCTION("""COMPUTED_VALUE"""),"")</f>
        <v/>
      </c>
      <c r="Q798" s="78" t="str">
        <f>IFERROR(__xludf.DUMMYFUNCTION("""COMPUTED_VALUE"""),"")</f>
        <v/>
      </c>
      <c r="R798" s="78" t="str">
        <f>IFERROR(__xludf.DUMMYFUNCTION("""COMPUTED_VALUE"""),"")</f>
        <v/>
      </c>
      <c r="S798" s="80" t="str">
        <f>IFERROR(__xludf.DUMMYFUNCTION("""COMPUTED_VALUE"""),"")</f>
        <v/>
      </c>
      <c r="T798" s="80" t="str">
        <f>IFERROR(__xludf.DUMMYFUNCTION("""COMPUTED_VALUE"""),"")</f>
        <v/>
      </c>
      <c r="U798" s="71" t="str">
        <f>IFERROR(__xludf.DUMMYFUNCTION("""COMPUTED_VALUE"""),"")</f>
        <v/>
      </c>
      <c r="V798" s="78" t="str">
        <f>IFERROR(__xludf.DUMMYFUNCTION("""COMPUTED_VALUE"""),"")</f>
        <v/>
      </c>
      <c r="W798" s="62" t="str">
        <f>IFERROR(__xludf.DUMMYFUNCTION("""COMPUTED_VALUE"""),"")</f>
        <v/>
      </c>
      <c r="X798" s="80" t="str">
        <f>IFERROR(__xludf.DUMMYFUNCTION("""COMPUTED_VALUE"""),"")</f>
        <v/>
      </c>
      <c r="Y798" s="109" t="str">
        <f>IFERROR(__xludf.DUMMYFUNCTION("""COMPUTED_VALUE"""),"")</f>
        <v/>
      </c>
      <c r="Z798" s="71"/>
      <c r="AA798" s="71"/>
      <c r="AB798" s="71"/>
    </row>
    <row r="799">
      <c r="A799" s="71"/>
      <c r="B799" s="71"/>
      <c r="C799" s="71" t="str">
        <f>IFERROR(__xludf.DUMMYFUNCTION("""COMPUTED_VALUE"""),"")</f>
        <v/>
      </c>
      <c r="D799" s="71"/>
      <c r="E799" s="78"/>
      <c r="F799" s="71"/>
      <c r="G799" s="78" t="str">
        <f>IFERROR(__xludf.DUMMYFUNCTION("""COMPUTED_VALUE"""),"")</f>
        <v/>
      </c>
      <c r="H799" s="71"/>
      <c r="I799" s="80" t="str">
        <f>IFERROR(__xludf.DUMMYFUNCTION("""COMPUTED_VALUE"""),"")</f>
        <v/>
      </c>
      <c r="J799" s="71" t="str">
        <f>IFERROR(__xludf.DUMMYFUNCTION("""COMPUTED_VALUE"""),"")</f>
        <v/>
      </c>
      <c r="K799" s="71"/>
      <c r="L799" s="71" t="str">
        <f>IFERROR(__xludf.DUMMYFUNCTION("""COMPUTED_VALUE"""),"")</f>
        <v/>
      </c>
      <c r="M799" s="71"/>
      <c r="N799" s="109" t="str">
        <f>IFERROR(__xludf.DUMMYFUNCTION("""COMPUTED_VALUE"""),"")</f>
        <v/>
      </c>
      <c r="O799" s="71" t="str">
        <f>IFERROR(__xludf.DUMMYFUNCTION("""COMPUTED_VALUE"""),"")</f>
        <v/>
      </c>
      <c r="P799" s="71" t="str">
        <f>IFERROR(__xludf.DUMMYFUNCTION("""COMPUTED_VALUE"""),"")</f>
        <v/>
      </c>
      <c r="Q799" s="78" t="str">
        <f>IFERROR(__xludf.DUMMYFUNCTION("""COMPUTED_VALUE"""),"")</f>
        <v/>
      </c>
      <c r="R799" s="78" t="str">
        <f>IFERROR(__xludf.DUMMYFUNCTION("""COMPUTED_VALUE"""),"")</f>
        <v/>
      </c>
      <c r="S799" s="80" t="str">
        <f>IFERROR(__xludf.DUMMYFUNCTION("""COMPUTED_VALUE"""),"")</f>
        <v/>
      </c>
      <c r="T799" s="80" t="str">
        <f>IFERROR(__xludf.DUMMYFUNCTION("""COMPUTED_VALUE"""),"")</f>
        <v/>
      </c>
      <c r="U799" s="71" t="str">
        <f>IFERROR(__xludf.DUMMYFUNCTION("""COMPUTED_VALUE"""),"")</f>
        <v/>
      </c>
      <c r="V799" s="78" t="str">
        <f>IFERROR(__xludf.DUMMYFUNCTION("""COMPUTED_VALUE"""),"")</f>
        <v/>
      </c>
      <c r="W799" s="62" t="str">
        <f>IFERROR(__xludf.DUMMYFUNCTION("""COMPUTED_VALUE"""),"")</f>
        <v/>
      </c>
      <c r="X799" s="80" t="str">
        <f>IFERROR(__xludf.DUMMYFUNCTION("""COMPUTED_VALUE"""),"")</f>
        <v/>
      </c>
      <c r="Y799" s="109" t="str">
        <f>IFERROR(__xludf.DUMMYFUNCTION("""COMPUTED_VALUE"""),"")</f>
        <v/>
      </c>
      <c r="Z799" s="71"/>
      <c r="AA799" s="71"/>
      <c r="AB799" s="71"/>
    </row>
    <row r="800">
      <c r="A800" s="71"/>
      <c r="B800" s="71"/>
      <c r="C800" s="71" t="str">
        <f>IFERROR(__xludf.DUMMYFUNCTION("""COMPUTED_VALUE"""),"")</f>
        <v/>
      </c>
      <c r="D800" s="71"/>
      <c r="E800" s="78"/>
      <c r="F800" s="71"/>
      <c r="G800" s="78" t="str">
        <f>IFERROR(__xludf.DUMMYFUNCTION("""COMPUTED_VALUE"""),"")</f>
        <v/>
      </c>
      <c r="H800" s="71"/>
      <c r="I800" s="80" t="str">
        <f>IFERROR(__xludf.DUMMYFUNCTION("""COMPUTED_VALUE"""),"")</f>
        <v/>
      </c>
      <c r="J800" s="71" t="str">
        <f>IFERROR(__xludf.DUMMYFUNCTION("""COMPUTED_VALUE"""),"")</f>
        <v/>
      </c>
      <c r="K800" s="71"/>
      <c r="L800" s="71" t="str">
        <f>IFERROR(__xludf.DUMMYFUNCTION("""COMPUTED_VALUE"""),"")</f>
        <v/>
      </c>
      <c r="M800" s="71"/>
      <c r="N800" s="109" t="str">
        <f>IFERROR(__xludf.DUMMYFUNCTION("""COMPUTED_VALUE"""),"")</f>
        <v/>
      </c>
      <c r="O800" s="71" t="str">
        <f>IFERROR(__xludf.DUMMYFUNCTION("""COMPUTED_VALUE"""),"")</f>
        <v/>
      </c>
      <c r="P800" s="71" t="str">
        <f>IFERROR(__xludf.DUMMYFUNCTION("""COMPUTED_VALUE"""),"")</f>
        <v/>
      </c>
      <c r="Q800" s="78" t="str">
        <f>IFERROR(__xludf.DUMMYFUNCTION("""COMPUTED_VALUE"""),"")</f>
        <v/>
      </c>
      <c r="R800" s="78" t="str">
        <f>IFERROR(__xludf.DUMMYFUNCTION("""COMPUTED_VALUE"""),"")</f>
        <v/>
      </c>
      <c r="S800" s="80" t="str">
        <f>IFERROR(__xludf.DUMMYFUNCTION("""COMPUTED_VALUE"""),"")</f>
        <v/>
      </c>
      <c r="T800" s="80" t="str">
        <f>IFERROR(__xludf.DUMMYFUNCTION("""COMPUTED_VALUE"""),"")</f>
        <v/>
      </c>
      <c r="U800" s="71" t="str">
        <f>IFERROR(__xludf.DUMMYFUNCTION("""COMPUTED_VALUE"""),"")</f>
        <v/>
      </c>
      <c r="V800" s="78" t="str">
        <f>IFERROR(__xludf.DUMMYFUNCTION("""COMPUTED_VALUE"""),"")</f>
        <v/>
      </c>
      <c r="W800" s="62" t="str">
        <f>IFERROR(__xludf.DUMMYFUNCTION("""COMPUTED_VALUE"""),"")</f>
        <v/>
      </c>
      <c r="X800" s="80" t="str">
        <f>IFERROR(__xludf.DUMMYFUNCTION("""COMPUTED_VALUE"""),"")</f>
        <v/>
      </c>
      <c r="Y800" s="109" t="str">
        <f>IFERROR(__xludf.DUMMYFUNCTION("""COMPUTED_VALUE"""),"")</f>
        <v/>
      </c>
      <c r="Z800" s="71"/>
      <c r="AA800" s="71"/>
      <c r="AB800" s="71"/>
    </row>
    <row r="801">
      <c r="A801" s="71"/>
      <c r="B801" s="71"/>
      <c r="C801" s="71" t="str">
        <f>IFERROR(__xludf.DUMMYFUNCTION("""COMPUTED_VALUE"""),"")</f>
        <v/>
      </c>
      <c r="D801" s="71"/>
      <c r="E801" s="78"/>
      <c r="F801" s="71"/>
      <c r="G801" s="78" t="str">
        <f>IFERROR(__xludf.DUMMYFUNCTION("""COMPUTED_VALUE"""),"")</f>
        <v/>
      </c>
      <c r="H801" s="71"/>
      <c r="I801" s="80" t="str">
        <f>IFERROR(__xludf.DUMMYFUNCTION("""COMPUTED_VALUE"""),"")</f>
        <v/>
      </c>
      <c r="J801" s="71" t="str">
        <f>IFERROR(__xludf.DUMMYFUNCTION("""COMPUTED_VALUE"""),"")</f>
        <v/>
      </c>
      <c r="K801" s="71"/>
      <c r="L801" s="71" t="str">
        <f>IFERROR(__xludf.DUMMYFUNCTION("""COMPUTED_VALUE"""),"")</f>
        <v/>
      </c>
      <c r="M801" s="71"/>
      <c r="N801" s="109" t="str">
        <f>IFERROR(__xludf.DUMMYFUNCTION("""COMPUTED_VALUE"""),"")</f>
        <v/>
      </c>
      <c r="O801" s="71" t="str">
        <f>IFERROR(__xludf.DUMMYFUNCTION("""COMPUTED_VALUE"""),"")</f>
        <v/>
      </c>
      <c r="P801" s="71" t="str">
        <f>IFERROR(__xludf.DUMMYFUNCTION("""COMPUTED_VALUE"""),"")</f>
        <v/>
      </c>
      <c r="Q801" s="78" t="str">
        <f>IFERROR(__xludf.DUMMYFUNCTION("""COMPUTED_VALUE"""),"")</f>
        <v/>
      </c>
      <c r="R801" s="78" t="str">
        <f>IFERROR(__xludf.DUMMYFUNCTION("""COMPUTED_VALUE"""),"")</f>
        <v/>
      </c>
      <c r="S801" s="80" t="str">
        <f>IFERROR(__xludf.DUMMYFUNCTION("""COMPUTED_VALUE"""),"")</f>
        <v/>
      </c>
      <c r="T801" s="80" t="str">
        <f>IFERROR(__xludf.DUMMYFUNCTION("""COMPUTED_VALUE"""),"")</f>
        <v/>
      </c>
      <c r="U801" s="71" t="str">
        <f>IFERROR(__xludf.DUMMYFUNCTION("""COMPUTED_VALUE"""),"")</f>
        <v/>
      </c>
      <c r="V801" s="78" t="str">
        <f>IFERROR(__xludf.DUMMYFUNCTION("""COMPUTED_VALUE"""),"")</f>
        <v/>
      </c>
      <c r="W801" s="62" t="str">
        <f>IFERROR(__xludf.DUMMYFUNCTION("""COMPUTED_VALUE"""),"")</f>
        <v/>
      </c>
      <c r="X801" s="80" t="str">
        <f>IFERROR(__xludf.DUMMYFUNCTION("""COMPUTED_VALUE"""),"")</f>
        <v/>
      </c>
      <c r="Y801" s="109" t="str">
        <f>IFERROR(__xludf.DUMMYFUNCTION("""COMPUTED_VALUE"""),"")</f>
        <v/>
      </c>
      <c r="Z801" s="71"/>
      <c r="AA801" s="71"/>
      <c r="AB801" s="71"/>
    </row>
    <row r="802">
      <c r="A802" s="71"/>
      <c r="B802" s="71"/>
      <c r="C802" s="71" t="str">
        <f>IFERROR(__xludf.DUMMYFUNCTION("""COMPUTED_VALUE"""),"")</f>
        <v/>
      </c>
      <c r="D802" s="71"/>
      <c r="E802" s="78"/>
      <c r="F802" s="71"/>
      <c r="G802" s="78" t="str">
        <f>IFERROR(__xludf.DUMMYFUNCTION("""COMPUTED_VALUE"""),"")</f>
        <v/>
      </c>
      <c r="H802" s="71"/>
      <c r="I802" s="80" t="str">
        <f>IFERROR(__xludf.DUMMYFUNCTION("""COMPUTED_VALUE"""),"")</f>
        <v/>
      </c>
      <c r="J802" s="71" t="str">
        <f>IFERROR(__xludf.DUMMYFUNCTION("""COMPUTED_VALUE"""),"")</f>
        <v/>
      </c>
      <c r="K802" s="71"/>
      <c r="L802" s="71" t="str">
        <f>IFERROR(__xludf.DUMMYFUNCTION("""COMPUTED_VALUE"""),"")</f>
        <v/>
      </c>
      <c r="M802" s="71"/>
      <c r="N802" s="109" t="str">
        <f>IFERROR(__xludf.DUMMYFUNCTION("""COMPUTED_VALUE"""),"")</f>
        <v/>
      </c>
      <c r="O802" s="71" t="str">
        <f>IFERROR(__xludf.DUMMYFUNCTION("""COMPUTED_VALUE"""),"")</f>
        <v/>
      </c>
      <c r="P802" s="71" t="str">
        <f>IFERROR(__xludf.DUMMYFUNCTION("""COMPUTED_VALUE"""),"")</f>
        <v/>
      </c>
      <c r="Q802" s="78" t="str">
        <f>IFERROR(__xludf.DUMMYFUNCTION("""COMPUTED_VALUE"""),"")</f>
        <v/>
      </c>
      <c r="R802" s="78" t="str">
        <f>IFERROR(__xludf.DUMMYFUNCTION("""COMPUTED_VALUE"""),"")</f>
        <v/>
      </c>
      <c r="S802" s="80" t="str">
        <f>IFERROR(__xludf.DUMMYFUNCTION("""COMPUTED_VALUE"""),"")</f>
        <v/>
      </c>
      <c r="T802" s="80" t="str">
        <f>IFERROR(__xludf.DUMMYFUNCTION("""COMPUTED_VALUE"""),"")</f>
        <v/>
      </c>
      <c r="U802" s="71" t="str">
        <f>IFERROR(__xludf.DUMMYFUNCTION("""COMPUTED_VALUE"""),"")</f>
        <v/>
      </c>
      <c r="V802" s="78" t="str">
        <f>IFERROR(__xludf.DUMMYFUNCTION("""COMPUTED_VALUE"""),"")</f>
        <v/>
      </c>
      <c r="W802" s="62" t="str">
        <f>IFERROR(__xludf.DUMMYFUNCTION("""COMPUTED_VALUE"""),"")</f>
        <v/>
      </c>
      <c r="X802" s="80" t="str">
        <f>IFERROR(__xludf.DUMMYFUNCTION("""COMPUTED_VALUE"""),"")</f>
        <v/>
      </c>
      <c r="Y802" s="109" t="str">
        <f>IFERROR(__xludf.DUMMYFUNCTION("""COMPUTED_VALUE"""),"")</f>
        <v/>
      </c>
      <c r="Z802" s="71"/>
      <c r="AA802" s="71"/>
      <c r="AB802" s="71"/>
    </row>
    <row r="803">
      <c r="A803" s="71"/>
      <c r="B803" s="71"/>
      <c r="C803" s="71" t="str">
        <f>IFERROR(__xludf.DUMMYFUNCTION("""COMPUTED_VALUE"""),"")</f>
        <v/>
      </c>
      <c r="D803" s="71"/>
      <c r="E803" s="78"/>
      <c r="F803" s="71"/>
      <c r="G803" s="78" t="str">
        <f>IFERROR(__xludf.DUMMYFUNCTION("""COMPUTED_VALUE"""),"")</f>
        <v/>
      </c>
      <c r="H803" s="71"/>
      <c r="I803" s="80" t="str">
        <f>IFERROR(__xludf.DUMMYFUNCTION("""COMPUTED_VALUE"""),"")</f>
        <v/>
      </c>
      <c r="J803" s="71" t="str">
        <f>IFERROR(__xludf.DUMMYFUNCTION("""COMPUTED_VALUE"""),"")</f>
        <v/>
      </c>
      <c r="K803" s="71"/>
      <c r="L803" s="71" t="str">
        <f>IFERROR(__xludf.DUMMYFUNCTION("""COMPUTED_VALUE"""),"")</f>
        <v/>
      </c>
      <c r="M803" s="71"/>
      <c r="N803" s="109" t="str">
        <f>IFERROR(__xludf.DUMMYFUNCTION("""COMPUTED_VALUE"""),"")</f>
        <v/>
      </c>
      <c r="O803" s="71" t="str">
        <f>IFERROR(__xludf.DUMMYFUNCTION("""COMPUTED_VALUE"""),"")</f>
        <v/>
      </c>
      <c r="P803" s="71" t="str">
        <f>IFERROR(__xludf.DUMMYFUNCTION("""COMPUTED_VALUE"""),"")</f>
        <v/>
      </c>
      <c r="Q803" s="78" t="str">
        <f>IFERROR(__xludf.DUMMYFUNCTION("""COMPUTED_VALUE"""),"")</f>
        <v/>
      </c>
      <c r="R803" s="78" t="str">
        <f>IFERROR(__xludf.DUMMYFUNCTION("""COMPUTED_VALUE"""),"")</f>
        <v/>
      </c>
      <c r="S803" s="80" t="str">
        <f>IFERROR(__xludf.DUMMYFUNCTION("""COMPUTED_VALUE"""),"")</f>
        <v/>
      </c>
      <c r="T803" s="80" t="str">
        <f>IFERROR(__xludf.DUMMYFUNCTION("""COMPUTED_VALUE"""),"")</f>
        <v/>
      </c>
      <c r="U803" s="71" t="str">
        <f>IFERROR(__xludf.DUMMYFUNCTION("""COMPUTED_VALUE"""),"")</f>
        <v/>
      </c>
      <c r="V803" s="78" t="str">
        <f>IFERROR(__xludf.DUMMYFUNCTION("""COMPUTED_VALUE"""),"")</f>
        <v/>
      </c>
      <c r="W803" s="62" t="str">
        <f>IFERROR(__xludf.DUMMYFUNCTION("""COMPUTED_VALUE"""),"")</f>
        <v/>
      </c>
      <c r="X803" s="80" t="str">
        <f>IFERROR(__xludf.DUMMYFUNCTION("""COMPUTED_VALUE"""),"")</f>
        <v/>
      </c>
      <c r="Y803" s="109" t="str">
        <f>IFERROR(__xludf.DUMMYFUNCTION("""COMPUTED_VALUE"""),"")</f>
        <v/>
      </c>
      <c r="Z803" s="71"/>
      <c r="AA803" s="71"/>
      <c r="AB803" s="71"/>
    </row>
    <row r="804">
      <c r="A804" s="71"/>
      <c r="B804" s="71"/>
      <c r="C804" s="71" t="str">
        <f>IFERROR(__xludf.DUMMYFUNCTION("""COMPUTED_VALUE"""),"")</f>
        <v/>
      </c>
      <c r="D804" s="71"/>
      <c r="E804" s="78"/>
      <c r="F804" s="71"/>
      <c r="G804" s="78" t="str">
        <f>IFERROR(__xludf.DUMMYFUNCTION("""COMPUTED_VALUE"""),"")</f>
        <v/>
      </c>
      <c r="H804" s="71"/>
      <c r="I804" s="80" t="str">
        <f>IFERROR(__xludf.DUMMYFUNCTION("""COMPUTED_VALUE"""),"")</f>
        <v/>
      </c>
      <c r="J804" s="71" t="str">
        <f>IFERROR(__xludf.DUMMYFUNCTION("""COMPUTED_VALUE"""),"")</f>
        <v/>
      </c>
      <c r="K804" s="71"/>
      <c r="L804" s="71" t="str">
        <f>IFERROR(__xludf.DUMMYFUNCTION("""COMPUTED_VALUE"""),"")</f>
        <v/>
      </c>
      <c r="M804" s="71"/>
      <c r="N804" s="109" t="str">
        <f>IFERROR(__xludf.DUMMYFUNCTION("""COMPUTED_VALUE"""),"")</f>
        <v/>
      </c>
      <c r="O804" s="71" t="str">
        <f>IFERROR(__xludf.DUMMYFUNCTION("""COMPUTED_VALUE"""),"")</f>
        <v/>
      </c>
      <c r="P804" s="71" t="str">
        <f>IFERROR(__xludf.DUMMYFUNCTION("""COMPUTED_VALUE"""),"")</f>
        <v/>
      </c>
      <c r="Q804" s="78" t="str">
        <f>IFERROR(__xludf.DUMMYFUNCTION("""COMPUTED_VALUE"""),"")</f>
        <v/>
      </c>
      <c r="R804" s="78" t="str">
        <f>IFERROR(__xludf.DUMMYFUNCTION("""COMPUTED_VALUE"""),"")</f>
        <v/>
      </c>
      <c r="S804" s="80" t="str">
        <f>IFERROR(__xludf.DUMMYFUNCTION("""COMPUTED_VALUE"""),"")</f>
        <v/>
      </c>
      <c r="T804" s="80" t="str">
        <f>IFERROR(__xludf.DUMMYFUNCTION("""COMPUTED_VALUE"""),"")</f>
        <v/>
      </c>
      <c r="U804" s="71" t="str">
        <f>IFERROR(__xludf.DUMMYFUNCTION("""COMPUTED_VALUE"""),"")</f>
        <v/>
      </c>
      <c r="V804" s="78" t="str">
        <f>IFERROR(__xludf.DUMMYFUNCTION("""COMPUTED_VALUE"""),"")</f>
        <v/>
      </c>
      <c r="W804" s="62" t="str">
        <f>IFERROR(__xludf.DUMMYFUNCTION("""COMPUTED_VALUE"""),"")</f>
        <v/>
      </c>
      <c r="X804" s="80" t="str">
        <f>IFERROR(__xludf.DUMMYFUNCTION("""COMPUTED_VALUE"""),"")</f>
        <v/>
      </c>
      <c r="Y804" s="109" t="str">
        <f>IFERROR(__xludf.DUMMYFUNCTION("""COMPUTED_VALUE"""),"")</f>
        <v/>
      </c>
      <c r="Z804" s="71"/>
      <c r="AA804" s="71"/>
      <c r="AB804" s="71"/>
    </row>
    <row r="805">
      <c r="A805" s="71"/>
      <c r="B805" s="71"/>
      <c r="C805" s="71" t="str">
        <f>IFERROR(__xludf.DUMMYFUNCTION("""COMPUTED_VALUE"""),"")</f>
        <v/>
      </c>
      <c r="D805" s="71"/>
      <c r="E805" s="78"/>
      <c r="F805" s="71"/>
      <c r="G805" s="78" t="str">
        <f>IFERROR(__xludf.DUMMYFUNCTION("""COMPUTED_VALUE"""),"")</f>
        <v/>
      </c>
      <c r="H805" s="71"/>
      <c r="I805" s="80" t="str">
        <f>IFERROR(__xludf.DUMMYFUNCTION("""COMPUTED_VALUE"""),"")</f>
        <v/>
      </c>
      <c r="J805" s="71" t="str">
        <f>IFERROR(__xludf.DUMMYFUNCTION("""COMPUTED_VALUE"""),"")</f>
        <v/>
      </c>
      <c r="K805" s="71"/>
      <c r="L805" s="71" t="str">
        <f>IFERROR(__xludf.DUMMYFUNCTION("""COMPUTED_VALUE"""),"")</f>
        <v/>
      </c>
      <c r="M805" s="71"/>
      <c r="N805" s="109" t="str">
        <f>IFERROR(__xludf.DUMMYFUNCTION("""COMPUTED_VALUE"""),"")</f>
        <v/>
      </c>
      <c r="O805" s="71" t="str">
        <f>IFERROR(__xludf.DUMMYFUNCTION("""COMPUTED_VALUE"""),"")</f>
        <v/>
      </c>
      <c r="P805" s="71" t="str">
        <f>IFERROR(__xludf.DUMMYFUNCTION("""COMPUTED_VALUE"""),"")</f>
        <v/>
      </c>
      <c r="Q805" s="78" t="str">
        <f>IFERROR(__xludf.DUMMYFUNCTION("""COMPUTED_VALUE"""),"")</f>
        <v/>
      </c>
      <c r="R805" s="78" t="str">
        <f>IFERROR(__xludf.DUMMYFUNCTION("""COMPUTED_VALUE"""),"")</f>
        <v/>
      </c>
      <c r="S805" s="80" t="str">
        <f>IFERROR(__xludf.DUMMYFUNCTION("""COMPUTED_VALUE"""),"")</f>
        <v/>
      </c>
      <c r="T805" s="80" t="str">
        <f>IFERROR(__xludf.DUMMYFUNCTION("""COMPUTED_VALUE"""),"")</f>
        <v/>
      </c>
      <c r="U805" s="71" t="str">
        <f>IFERROR(__xludf.DUMMYFUNCTION("""COMPUTED_VALUE"""),"")</f>
        <v/>
      </c>
      <c r="V805" s="78" t="str">
        <f>IFERROR(__xludf.DUMMYFUNCTION("""COMPUTED_VALUE"""),"")</f>
        <v/>
      </c>
      <c r="W805" s="62" t="str">
        <f>IFERROR(__xludf.DUMMYFUNCTION("""COMPUTED_VALUE"""),"")</f>
        <v/>
      </c>
      <c r="X805" s="80" t="str">
        <f>IFERROR(__xludf.DUMMYFUNCTION("""COMPUTED_VALUE"""),"")</f>
        <v/>
      </c>
      <c r="Y805" s="109" t="str">
        <f>IFERROR(__xludf.DUMMYFUNCTION("""COMPUTED_VALUE"""),"")</f>
        <v/>
      </c>
      <c r="Z805" s="71"/>
      <c r="AA805" s="71"/>
      <c r="AB805" s="71"/>
    </row>
    <row r="806">
      <c r="A806" s="71"/>
      <c r="B806" s="71"/>
      <c r="C806" s="71" t="str">
        <f>IFERROR(__xludf.DUMMYFUNCTION("""COMPUTED_VALUE"""),"")</f>
        <v/>
      </c>
      <c r="D806" s="71"/>
      <c r="E806" s="78"/>
      <c r="F806" s="71"/>
      <c r="G806" s="78" t="str">
        <f>IFERROR(__xludf.DUMMYFUNCTION("""COMPUTED_VALUE"""),"")</f>
        <v/>
      </c>
      <c r="H806" s="71"/>
      <c r="I806" s="80" t="str">
        <f>IFERROR(__xludf.DUMMYFUNCTION("""COMPUTED_VALUE"""),"")</f>
        <v/>
      </c>
      <c r="J806" s="71" t="str">
        <f>IFERROR(__xludf.DUMMYFUNCTION("""COMPUTED_VALUE"""),"")</f>
        <v/>
      </c>
      <c r="K806" s="71"/>
      <c r="L806" s="71" t="str">
        <f>IFERROR(__xludf.DUMMYFUNCTION("""COMPUTED_VALUE"""),"")</f>
        <v/>
      </c>
      <c r="M806" s="71"/>
      <c r="N806" s="109" t="str">
        <f>IFERROR(__xludf.DUMMYFUNCTION("""COMPUTED_VALUE"""),"")</f>
        <v/>
      </c>
      <c r="O806" s="71" t="str">
        <f>IFERROR(__xludf.DUMMYFUNCTION("""COMPUTED_VALUE"""),"")</f>
        <v/>
      </c>
      <c r="P806" s="71" t="str">
        <f>IFERROR(__xludf.DUMMYFUNCTION("""COMPUTED_VALUE"""),"")</f>
        <v/>
      </c>
      <c r="Q806" s="78" t="str">
        <f>IFERROR(__xludf.DUMMYFUNCTION("""COMPUTED_VALUE"""),"")</f>
        <v/>
      </c>
      <c r="R806" s="78" t="str">
        <f>IFERROR(__xludf.DUMMYFUNCTION("""COMPUTED_VALUE"""),"")</f>
        <v/>
      </c>
      <c r="S806" s="80" t="str">
        <f>IFERROR(__xludf.DUMMYFUNCTION("""COMPUTED_VALUE"""),"")</f>
        <v/>
      </c>
      <c r="T806" s="80" t="str">
        <f>IFERROR(__xludf.DUMMYFUNCTION("""COMPUTED_VALUE"""),"")</f>
        <v/>
      </c>
      <c r="U806" s="71" t="str">
        <f>IFERROR(__xludf.DUMMYFUNCTION("""COMPUTED_VALUE"""),"")</f>
        <v/>
      </c>
      <c r="V806" s="78" t="str">
        <f>IFERROR(__xludf.DUMMYFUNCTION("""COMPUTED_VALUE"""),"")</f>
        <v/>
      </c>
      <c r="W806" s="62" t="str">
        <f>IFERROR(__xludf.DUMMYFUNCTION("""COMPUTED_VALUE"""),"")</f>
        <v/>
      </c>
      <c r="X806" s="80" t="str">
        <f>IFERROR(__xludf.DUMMYFUNCTION("""COMPUTED_VALUE"""),"")</f>
        <v/>
      </c>
      <c r="Y806" s="109" t="str">
        <f>IFERROR(__xludf.DUMMYFUNCTION("""COMPUTED_VALUE"""),"")</f>
        <v/>
      </c>
      <c r="Z806" s="71"/>
      <c r="AA806" s="71"/>
      <c r="AB806" s="71"/>
    </row>
    <row r="807">
      <c r="A807" s="71"/>
      <c r="B807" s="71"/>
      <c r="C807" s="71" t="str">
        <f>IFERROR(__xludf.DUMMYFUNCTION("""COMPUTED_VALUE"""),"")</f>
        <v/>
      </c>
      <c r="D807" s="71"/>
      <c r="E807" s="78"/>
      <c r="F807" s="71"/>
      <c r="G807" s="78" t="str">
        <f>IFERROR(__xludf.DUMMYFUNCTION("""COMPUTED_VALUE"""),"")</f>
        <v/>
      </c>
      <c r="H807" s="71"/>
      <c r="I807" s="80" t="str">
        <f>IFERROR(__xludf.DUMMYFUNCTION("""COMPUTED_VALUE"""),"")</f>
        <v/>
      </c>
      <c r="J807" s="71" t="str">
        <f>IFERROR(__xludf.DUMMYFUNCTION("""COMPUTED_VALUE"""),"")</f>
        <v/>
      </c>
      <c r="K807" s="71"/>
      <c r="L807" s="71" t="str">
        <f>IFERROR(__xludf.DUMMYFUNCTION("""COMPUTED_VALUE"""),"")</f>
        <v/>
      </c>
      <c r="M807" s="71"/>
      <c r="N807" s="109" t="str">
        <f>IFERROR(__xludf.DUMMYFUNCTION("""COMPUTED_VALUE"""),"")</f>
        <v/>
      </c>
      <c r="O807" s="71" t="str">
        <f>IFERROR(__xludf.DUMMYFUNCTION("""COMPUTED_VALUE"""),"")</f>
        <v/>
      </c>
      <c r="P807" s="71" t="str">
        <f>IFERROR(__xludf.DUMMYFUNCTION("""COMPUTED_VALUE"""),"")</f>
        <v/>
      </c>
      <c r="Q807" s="78" t="str">
        <f>IFERROR(__xludf.DUMMYFUNCTION("""COMPUTED_VALUE"""),"")</f>
        <v/>
      </c>
      <c r="R807" s="78" t="str">
        <f>IFERROR(__xludf.DUMMYFUNCTION("""COMPUTED_VALUE"""),"")</f>
        <v/>
      </c>
      <c r="S807" s="80" t="str">
        <f>IFERROR(__xludf.DUMMYFUNCTION("""COMPUTED_VALUE"""),"")</f>
        <v/>
      </c>
      <c r="T807" s="80" t="str">
        <f>IFERROR(__xludf.DUMMYFUNCTION("""COMPUTED_VALUE"""),"")</f>
        <v/>
      </c>
      <c r="U807" s="71" t="str">
        <f>IFERROR(__xludf.DUMMYFUNCTION("""COMPUTED_VALUE"""),"")</f>
        <v/>
      </c>
      <c r="V807" s="78" t="str">
        <f>IFERROR(__xludf.DUMMYFUNCTION("""COMPUTED_VALUE"""),"")</f>
        <v/>
      </c>
      <c r="W807" s="62" t="str">
        <f>IFERROR(__xludf.DUMMYFUNCTION("""COMPUTED_VALUE"""),"")</f>
        <v/>
      </c>
      <c r="X807" s="80" t="str">
        <f>IFERROR(__xludf.DUMMYFUNCTION("""COMPUTED_VALUE"""),"")</f>
        <v/>
      </c>
      <c r="Y807" s="109" t="str">
        <f>IFERROR(__xludf.DUMMYFUNCTION("""COMPUTED_VALUE"""),"")</f>
        <v/>
      </c>
      <c r="Z807" s="71"/>
      <c r="AA807" s="71"/>
      <c r="AB807" s="71"/>
    </row>
    <row r="808">
      <c r="A808" s="71"/>
      <c r="B808" s="71"/>
      <c r="C808" s="71" t="str">
        <f>IFERROR(__xludf.DUMMYFUNCTION("""COMPUTED_VALUE"""),"")</f>
        <v/>
      </c>
      <c r="D808" s="71"/>
      <c r="E808" s="78"/>
      <c r="F808" s="71"/>
      <c r="G808" s="78" t="str">
        <f>IFERROR(__xludf.DUMMYFUNCTION("""COMPUTED_VALUE"""),"")</f>
        <v/>
      </c>
      <c r="H808" s="71"/>
      <c r="I808" s="80" t="str">
        <f>IFERROR(__xludf.DUMMYFUNCTION("""COMPUTED_VALUE"""),"")</f>
        <v/>
      </c>
      <c r="J808" s="71" t="str">
        <f>IFERROR(__xludf.DUMMYFUNCTION("""COMPUTED_VALUE"""),"")</f>
        <v/>
      </c>
      <c r="K808" s="71"/>
      <c r="L808" s="71" t="str">
        <f>IFERROR(__xludf.DUMMYFUNCTION("""COMPUTED_VALUE"""),"")</f>
        <v/>
      </c>
      <c r="M808" s="71"/>
      <c r="N808" s="109" t="str">
        <f>IFERROR(__xludf.DUMMYFUNCTION("""COMPUTED_VALUE"""),"")</f>
        <v/>
      </c>
      <c r="O808" s="71" t="str">
        <f>IFERROR(__xludf.DUMMYFUNCTION("""COMPUTED_VALUE"""),"")</f>
        <v/>
      </c>
      <c r="P808" s="71" t="str">
        <f>IFERROR(__xludf.DUMMYFUNCTION("""COMPUTED_VALUE"""),"")</f>
        <v/>
      </c>
      <c r="Q808" s="78" t="str">
        <f>IFERROR(__xludf.DUMMYFUNCTION("""COMPUTED_VALUE"""),"")</f>
        <v/>
      </c>
      <c r="R808" s="78" t="str">
        <f>IFERROR(__xludf.DUMMYFUNCTION("""COMPUTED_VALUE"""),"")</f>
        <v/>
      </c>
      <c r="S808" s="80" t="str">
        <f>IFERROR(__xludf.DUMMYFUNCTION("""COMPUTED_VALUE"""),"")</f>
        <v/>
      </c>
      <c r="T808" s="80" t="str">
        <f>IFERROR(__xludf.DUMMYFUNCTION("""COMPUTED_VALUE"""),"")</f>
        <v/>
      </c>
      <c r="U808" s="71" t="str">
        <f>IFERROR(__xludf.DUMMYFUNCTION("""COMPUTED_VALUE"""),"")</f>
        <v/>
      </c>
      <c r="V808" s="78" t="str">
        <f>IFERROR(__xludf.DUMMYFUNCTION("""COMPUTED_VALUE"""),"")</f>
        <v/>
      </c>
      <c r="W808" s="62" t="str">
        <f>IFERROR(__xludf.DUMMYFUNCTION("""COMPUTED_VALUE"""),"")</f>
        <v/>
      </c>
      <c r="X808" s="80" t="str">
        <f>IFERROR(__xludf.DUMMYFUNCTION("""COMPUTED_VALUE"""),"")</f>
        <v/>
      </c>
      <c r="Y808" s="109" t="str">
        <f>IFERROR(__xludf.DUMMYFUNCTION("""COMPUTED_VALUE"""),"")</f>
        <v/>
      </c>
      <c r="Z808" s="71"/>
      <c r="AA808" s="71"/>
      <c r="AB808" s="71"/>
    </row>
    <row r="809">
      <c r="A809" s="71"/>
      <c r="B809" s="71"/>
      <c r="C809" s="71" t="str">
        <f>IFERROR(__xludf.DUMMYFUNCTION("""COMPUTED_VALUE"""),"")</f>
        <v/>
      </c>
      <c r="D809" s="71"/>
      <c r="E809" s="78"/>
      <c r="F809" s="71"/>
      <c r="G809" s="78" t="str">
        <f>IFERROR(__xludf.DUMMYFUNCTION("""COMPUTED_VALUE"""),"")</f>
        <v/>
      </c>
      <c r="H809" s="71"/>
      <c r="I809" s="80" t="str">
        <f>IFERROR(__xludf.DUMMYFUNCTION("""COMPUTED_VALUE"""),"")</f>
        <v/>
      </c>
      <c r="J809" s="71" t="str">
        <f>IFERROR(__xludf.DUMMYFUNCTION("""COMPUTED_VALUE"""),"")</f>
        <v/>
      </c>
      <c r="K809" s="71"/>
      <c r="L809" s="71" t="str">
        <f>IFERROR(__xludf.DUMMYFUNCTION("""COMPUTED_VALUE"""),"")</f>
        <v/>
      </c>
      <c r="M809" s="71"/>
      <c r="N809" s="109" t="str">
        <f>IFERROR(__xludf.DUMMYFUNCTION("""COMPUTED_VALUE"""),"")</f>
        <v/>
      </c>
      <c r="O809" s="71" t="str">
        <f>IFERROR(__xludf.DUMMYFUNCTION("""COMPUTED_VALUE"""),"")</f>
        <v/>
      </c>
      <c r="P809" s="71" t="str">
        <f>IFERROR(__xludf.DUMMYFUNCTION("""COMPUTED_VALUE"""),"")</f>
        <v/>
      </c>
      <c r="Q809" s="78" t="str">
        <f>IFERROR(__xludf.DUMMYFUNCTION("""COMPUTED_VALUE"""),"")</f>
        <v/>
      </c>
      <c r="R809" s="78" t="str">
        <f>IFERROR(__xludf.DUMMYFUNCTION("""COMPUTED_VALUE"""),"")</f>
        <v/>
      </c>
      <c r="S809" s="80" t="str">
        <f>IFERROR(__xludf.DUMMYFUNCTION("""COMPUTED_VALUE"""),"")</f>
        <v/>
      </c>
      <c r="T809" s="80" t="str">
        <f>IFERROR(__xludf.DUMMYFUNCTION("""COMPUTED_VALUE"""),"")</f>
        <v/>
      </c>
      <c r="U809" s="71" t="str">
        <f>IFERROR(__xludf.DUMMYFUNCTION("""COMPUTED_VALUE"""),"")</f>
        <v/>
      </c>
      <c r="V809" s="78" t="str">
        <f>IFERROR(__xludf.DUMMYFUNCTION("""COMPUTED_VALUE"""),"")</f>
        <v/>
      </c>
      <c r="W809" s="62" t="str">
        <f>IFERROR(__xludf.DUMMYFUNCTION("""COMPUTED_VALUE"""),"")</f>
        <v/>
      </c>
      <c r="X809" s="80" t="str">
        <f>IFERROR(__xludf.DUMMYFUNCTION("""COMPUTED_VALUE"""),"")</f>
        <v/>
      </c>
      <c r="Y809" s="109" t="str">
        <f>IFERROR(__xludf.DUMMYFUNCTION("""COMPUTED_VALUE"""),"")</f>
        <v/>
      </c>
      <c r="Z809" s="71"/>
      <c r="AA809" s="71"/>
      <c r="AB809" s="71"/>
    </row>
    <row r="810">
      <c r="A810" s="71"/>
      <c r="B810" s="71"/>
      <c r="C810" s="71" t="str">
        <f>IFERROR(__xludf.DUMMYFUNCTION("""COMPUTED_VALUE"""),"")</f>
        <v/>
      </c>
      <c r="D810" s="71"/>
      <c r="E810" s="78"/>
      <c r="F810" s="71"/>
      <c r="G810" s="78" t="str">
        <f>IFERROR(__xludf.DUMMYFUNCTION("""COMPUTED_VALUE"""),"")</f>
        <v/>
      </c>
      <c r="H810" s="71"/>
      <c r="I810" s="80" t="str">
        <f>IFERROR(__xludf.DUMMYFUNCTION("""COMPUTED_VALUE"""),"")</f>
        <v/>
      </c>
      <c r="J810" s="71" t="str">
        <f>IFERROR(__xludf.DUMMYFUNCTION("""COMPUTED_VALUE"""),"")</f>
        <v/>
      </c>
      <c r="K810" s="71"/>
      <c r="L810" s="71" t="str">
        <f>IFERROR(__xludf.DUMMYFUNCTION("""COMPUTED_VALUE"""),"")</f>
        <v/>
      </c>
      <c r="M810" s="71"/>
      <c r="N810" s="109" t="str">
        <f>IFERROR(__xludf.DUMMYFUNCTION("""COMPUTED_VALUE"""),"")</f>
        <v/>
      </c>
      <c r="O810" s="71" t="str">
        <f>IFERROR(__xludf.DUMMYFUNCTION("""COMPUTED_VALUE"""),"")</f>
        <v/>
      </c>
      <c r="P810" s="71" t="str">
        <f>IFERROR(__xludf.DUMMYFUNCTION("""COMPUTED_VALUE"""),"")</f>
        <v/>
      </c>
      <c r="Q810" s="78" t="str">
        <f>IFERROR(__xludf.DUMMYFUNCTION("""COMPUTED_VALUE"""),"")</f>
        <v/>
      </c>
      <c r="R810" s="78" t="str">
        <f>IFERROR(__xludf.DUMMYFUNCTION("""COMPUTED_VALUE"""),"")</f>
        <v/>
      </c>
      <c r="S810" s="80" t="str">
        <f>IFERROR(__xludf.DUMMYFUNCTION("""COMPUTED_VALUE"""),"")</f>
        <v/>
      </c>
      <c r="T810" s="80" t="str">
        <f>IFERROR(__xludf.DUMMYFUNCTION("""COMPUTED_VALUE"""),"")</f>
        <v/>
      </c>
      <c r="U810" s="71" t="str">
        <f>IFERROR(__xludf.DUMMYFUNCTION("""COMPUTED_VALUE"""),"")</f>
        <v/>
      </c>
      <c r="V810" s="78" t="str">
        <f>IFERROR(__xludf.DUMMYFUNCTION("""COMPUTED_VALUE"""),"")</f>
        <v/>
      </c>
      <c r="W810" s="62" t="str">
        <f>IFERROR(__xludf.DUMMYFUNCTION("""COMPUTED_VALUE"""),"")</f>
        <v/>
      </c>
      <c r="X810" s="80" t="str">
        <f>IFERROR(__xludf.DUMMYFUNCTION("""COMPUTED_VALUE"""),"")</f>
        <v/>
      </c>
      <c r="Y810" s="109" t="str">
        <f>IFERROR(__xludf.DUMMYFUNCTION("""COMPUTED_VALUE"""),"")</f>
        <v/>
      </c>
      <c r="Z810" s="71"/>
      <c r="AA810" s="71"/>
      <c r="AB810" s="71"/>
    </row>
    <row r="811">
      <c r="A811" s="71"/>
      <c r="B811" s="71"/>
      <c r="C811" s="71" t="str">
        <f>IFERROR(__xludf.DUMMYFUNCTION("""COMPUTED_VALUE"""),"")</f>
        <v/>
      </c>
      <c r="D811" s="71"/>
      <c r="E811" s="78"/>
      <c r="F811" s="71"/>
      <c r="G811" s="78" t="str">
        <f>IFERROR(__xludf.DUMMYFUNCTION("""COMPUTED_VALUE"""),"")</f>
        <v/>
      </c>
      <c r="H811" s="71"/>
      <c r="I811" s="80" t="str">
        <f>IFERROR(__xludf.DUMMYFUNCTION("""COMPUTED_VALUE"""),"")</f>
        <v/>
      </c>
      <c r="J811" s="71" t="str">
        <f>IFERROR(__xludf.DUMMYFUNCTION("""COMPUTED_VALUE"""),"")</f>
        <v/>
      </c>
      <c r="K811" s="71"/>
      <c r="L811" s="71" t="str">
        <f>IFERROR(__xludf.DUMMYFUNCTION("""COMPUTED_VALUE"""),"")</f>
        <v/>
      </c>
      <c r="M811" s="71"/>
      <c r="N811" s="109" t="str">
        <f>IFERROR(__xludf.DUMMYFUNCTION("""COMPUTED_VALUE"""),"")</f>
        <v/>
      </c>
      <c r="O811" s="71" t="str">
        <f>IFERROR(__xludf.DUMMYFUNCTION("""COMPUTED_VALUE"""),"")</f>
        <v/>
      </c>
      <c r="P811" s="71" t="str">
        <f>IFERROR(__xludf.DUMMYFUNCTION("""COMPUTED_VALUE"""),"")</f>
        <v/>
      </c>
      <c r="Q811" s="78" t="str">
        <f>IFERROR(__xludf.DUMMYFUNCTION("""COMPUTED_VALUE"""),"")</f>
        <v/>
      </c>
      <c r="R811" s="78" t="str">
        <f>IFERROR(__xludf.DUMMYFUNCTION("""COMPUTED_VALUE"""),"")</f>
        <v/>
      </c>
      <c r="S811" s="80" t="str">
        <f>IFERROR(__xludf.DUMMYFUNCTION("""COMPUTED_VALUE"""),"")</f>
        <v/>
      </c>
      <c r="T811" s="80" t="str">
        <f>IFERROR(__xludf.DUMMYFUNCTION("""COMPUTED_VALUE"""),"")</f>
        <v/>
      </c>
      <c r="U811" s="71" t="str">
        <f>IFERROR(__xludf.DUMMYFUNCTION("""COMPUTED_VALUE"""),"")</f>
        <v/>
      </c>
      <c r="V811" s="78" t="str">
        <f>IFERROR(__xludf.DUMMYFUNCTION("""COMPUTED_VALUE"""),"")</f>
        <v/>
      </c>
      <c r="W811" s="62" t="str">
        <f>IFERROR(__xludf.DUMMYFUNCTION("""COMPUTED_VALUE"""),"")</f>
        <v/>
      </c>
      <c r="X811" s="80" t="str">
        <f>IFERROR(__xludf.DUMMYFUNCTION("""COMPUTED_VALUE"""),"")</f>
        <v/>
      </c>
      <c r="Y811" s="109" t="str">
        <f>IFERROR(__xludf.DUMMYFUNCTION("""COMPUTED_VALUE"""),"")</f>
        <v/>
      </c>
      <c r="Z811" s="71"/>
      <c r="AA811" s="71"/>
      <c r="AB811" s="71"/>
    </row>
    <row r="812">
      <c r="A812" s="71"/>
      <c r="B812" s="71"/>
      <c r="C812" s="71" t="str">
        <f>IFERROR(__xludf.DUMMYFUNCTION("""COMPUTED_VALUE"""),"")</f>
        <v/>
      </c>
      <c r="D812" s="71"/>
      <c r="E812" s="78"/>
      <c r="F812" s="71"/>
      <c r="G812" s="78" t="str">
        <f>IFERROR(__xludf.DUMMYFUNCTION("""COMPUTED_VALUE"""),"")</f>
        <v/>
      </c>
      <c r="H812" s="71"/>
      <c r="I812" s="80" t="str">
        <f>IFERROR(__xludf.DUMMYFUNCTION("""COMPUTED_VALUE"""),"")</f>
        <v/>
      </c>
      <c r="J812" s="71" t="str">
        <f>IFERROR(__xludf.DUMMYFUNCTION("""COMPUTED_VALUE"""),"")</f>
        <v/>
      </c>
      <c r="K812" s="71"/>
      <c r="L812" s="71" t="str">
        <f>IFERROR(__xludf.DUMMYFUNCTION("""COMPUTED_VALUE"""),"")</f>
        <v/>
      </c>
      <c r="M812" s="71"/>
      <c r="N812" s="109" t="str">
        <f>IFERROR(__xludf.DUMMYFUNCTION("""COMPUTED_VALUE"""),"")</f>
        <v/>
      </c>
      <c r="O812" s="71" t="str">
        <f>IFERROR(__xludf.DUMMYFUNCTION("""COMPUTED_VALUE"""),"")</f>
        <v/>
      </c>
      <c r="P812" s="71" t="str">
        <f>IFERROR(__xludf.DUMMYFUNCTION("""COMPUTED_VALUE"""),"")</f>
        <v/>
      </c>
      <c r="Q812" s="78" t="str">
        <f>IFERROR(__xludf.DUMMYFUNCTION("""COMPUTED_VALUE"""),"")</f>
        <v/>
      </c>
      <c r="R812" s="78" t="str">
        <f>IFERROR(__xludf.DUMMYFUNCTION("""COMPUTED_VALUE"""),"")</f>
        <v/>
      </c>
      <c r="S812" s="80" t="str">
        <f>IFERROR(__xludf.DUMMYFUNCTION("""COMPUTED_VALUE"""),"")</f>
        <v/>
      </c>
      <c r="T812" s="80" t="str">
        <f>IFERROR(__xludf.DUMMYFUNCTION("""COMPUTED_VALUE"""),"")</f>
        <v/>
      </c>
      <c r="U812" s="71" t="str">
        <f>IFERROR(__xludf.DUMMYFUNCTION("""COMPUTED_VALUE"""),"")</f>
        <v/>
      </c>
      <c r="V812" s="78" t="str">
        <f>IFERROR(__xludf.DUMMYFUNCTION("""COMPUTED_VALUE"""),"")</f>
        <v/>
      </c>
      <c r="W812" s="62" t="str">
        <f>IFERROR(__xludf.DUMMYFUNCTION("""COMPUTED_VALUE"""),"")</f>
        <v/>
      </c>
      <c r="X812" s="80" t="str">
        <f>IFERROR(__xludf.DUMMYFUNCTION("""COMPUTED_VALUE"""),"")</f>
        <v/>
      </c>
      <c r="Y812" s="109" t="str">
        <f>IFERROR(__xludf.DUMMYFUNCTION("""COMPUTED_VALUE"""),"")</f>
        <v/>
      </c>
      <c r="Z812" s="71"/>
      <c r="AA812" s="71"/>
      <c r="AB812" s="71"/>
    </row>
    <row r="813">
      <c r="A813" s="71"/>
      <c r="B813" s="71"/>
      <c r="C813" s="71" t="str">
        <f>IFERROR(__xludf.DUMMYFUNCTION("""COMPUTED_VALUE"""),"")</f>
        <v/>
      </c>
      <c r="D813" s="71"/>
      <c r="E813" s="78"/>
      <c r="F813" s="71"/>
      <c r="G813" s="78" t="str">
        <f>IFERROR(__xludf.DUMMYFUNCTION("""COMPUTED_VALUE"""),"")</f>
        <v/>
      </c>
      <c r="H813" s="71"/>
      <c r="I813" s="80" t="str">
        <f>IFERROR(__xludf.DUMMYFUNCTION("""COMPUTED_VALUE"""),"")</f>
        <v/>
      </c>
      <c r="J813" s="71" t="str">
        <f>IFERROR(__xludf.DUMMYFUNCTION("""COMPUTED_VALUE"""),"")</f>
        <v/>
      </c>
      <c r="K813" s="71"/>
      <c r="L813" s="71" t="str">
        <f>IFERROR(__xludf.DUMMYFUNCTION("""COMPUTED_VALUE"""),"")</f>
        <v/>
      </c>
      <c r="M813" s="71"/>
      <c r="N813" s="109" t="str">
        <f>IFERROR(__xludf.DUMMYFUNCTION("""COMPUTED_VALUE"""),"")</f>
        <v/>
      </c>
      <c r="O813" s="71" t="str">
        <f>IFERROR(__xludf.DUMMYFUNCTION("""COMPUTED_VALUE"""),"")</f>
        <v/>
      </c>
      <c r="P813" s="71" t="str">
        <f>IFERROR(__xludf.DUMMYFUNCTION("""COMPUTED_VALUE"""),"")</f>
        <v/>
      </c>
      <c r="Q813" s="78" t="str">
        <f>IFERROR(__xludf.DUMMYFUNCTION("""COMPUTED_VALUE"""),"")</f>
        <v/>
      </c>
      <c r="R813" s="78" t="str">
        <f>IFERROR(__xludf.DUMMYFUNCTION("""COMPUTED_VALUE"""),"")</f>
        <v/>
      </c>
      <c r="S813" s="80" t="str">
        <f>IFERROR(__xludf.DUMMYFUNCTION("""COMPUTED_VALUE"""),"")</f>
        <v/>
      </c>
      <c r="T813" s="80" t="str">
        <f>IFERROR(__xludf.DUMMYFUNCTION("""COMPUTED_VALUE"""),"")</f>
        <v/>
      </c>
      <c r="U813" s="71" t="str">
        <f>IFERROR(__xludf.DUMMYFUNCTION("""COMPUTED_VALUE"""),"")</f>
        <v/>
      </c>
      <c r="V813" s="78" t="str">
        <f>IFERROR(__xludf.DUMMYFUNCTION("""COMPUTED_VALUE"""),"")</f>
        <v/>
      </c>
      <c r="W813" s="62" t="str">
        <f>IFERROR(__xludf.DUMMYFUNCTION("""COMPUTED_VALUE"""),"")</f>
        <v/>
      </c>
      <c r="X813" s="80" t="str">
        <f>IFERROR(__xludf.DUMMYFUNCTION("""COMPUTED_VALUE"""),"")</f>
        <v/>
      </c>
      <c r="Y813" s="109" t="str">
        <f>IFERROR(__xludf.DUMMYFUNCTION("""COMPUTED_VALUE"""),"")</f>
        <v/>
      </c>
      <c r="Z813" s="71"/>
      <c r="AA813" s="71"/>
      <c r="AB813" s="71"/>
    </row>
    <row r="814">
      <c r="A814" s="71"/>
      <c r="B814" s="71"/>
      <c r="C814" s="71" t="str">
        <f>IFERROR(__xludf.DUMMYFUNCTION("""COMPUTED_VALUE"""),"")</f>
        <v/>
      </c>
      <c r="D814" s="71"/>
      <c r="E814" s="78"/>
      <c r="F814" s="71"/>
      <c r="G814" s="78" t="str">
        <f>IFERROR(__xludf.DUMMYFUNCTION("""COMPUTED_VALUE"""),"")</f>
        <v/>
      </c>
      <c r="H814" s="71"/>
      <c r="I814" s="80" t="str">
        <f>IFERROR(__xludf.DUMMYFUNCTION("""COMPUTED_VALUE"""),"")</f>
        <v/>
      </c>
      <c r="J814" s="71" t="str">
        <f>IFERROR(__xludf.DUMMYFUNCTION("""COMPUTED_VALUE"""),"")</f>
        <v/>
      </c>
      <c r="K814" s="71"/>
      <c r="L814" s="71" t="str">
        <f>IFERROR(__xludf.DUMMYFUNCTION("""COMPUTED_VALUE"""),"")</f>
        <v/>
      </c>
      <c r="M814" s="71"/>
      <c r="N814" s="109" t="str">
        <f>IFERROR(__xludf.DUMMYFUNCTION("""COMPUTED_VALUE"""),"")</f>
        <v/>
      </c>
      <c r="O814" s="71" t="str">
        <f>IFERROR(__xludf.DUMMYFUNCTION("""COMPUTED_VALUE"""),"")</f>
        <v/>
      </c>
      <c r="P814" s="71" t="str">
        <f>IFERROR(__xludf.DUMMYFUNCTION("""COMPUTED_VALUE"""),"")</f>
        <v/>
      </c>
      <c r="Q814" s="78" t="str">
        <f>IFERROR(__xludf.DUMMYFUNCTION("""COMPUTED_VALUE"""),"")</f>
        <v/>
      </c>
      <c r="R814" s="78" t="str">
        <f>IFERROR(__xludf.DUMMYFUNCTION("""COMPUTED_VALUE"""),"")</f>
        <v/>
      </c>
      <c r="S814" s="80" t="str">
        <f>IFERROR(__xludf.DUMMYFUNCTION("""COMPUTED_VALUE"""),"")</f>
        <v/>
      </c>
      <c r="T814" s="80" t="str">
        <f>IFERROR(__xludf.DUMMYFUNCTION("""COMPUTED_VALUE"""),"")</f>
        <v/>
      </c>
      <c r="U814" s="71" t="str">
        <f>IFERROR(__xludf.DUMMYFUNCTION("""COMPUTED_VALUE"""),"")</f>
        <v/>
      </c>
      <c r="V814" s="78" t="str">
        <f>IFERROR(__xludf.DUMMYFUNCTION("""COMPUTED_VALUE"""),"")</f>
        <v/>
      </c>
      <c r="W814" s="62" t="str">
        <f>IFERROR(__xludf.DUMMYFUNCTION("""COMPUTED_VALUE"""),"")</f>
        <v/>
      </c>
      <c r="X814" s="80" t="str">
        <f>IFERROR(__xludf.DUMMYFUNCTION("""COMPUTED_VALUE"""),"")</f>
        <v/>
      </c>
      <c r="Y814" s="109" t="str">
        <f>IFERROR(__xludf.DUMMYFUNCTION("""COMPUTED_VALUE"""),"")</f>
        <v/>
      </c>
      <c r="Z814" s="71"/>
      <c r="AA814" s="71"/>
      <c r="AB814" s="71"/>
    </row>
    <row r="815">
      <c r="A815" s="71"/>
      <c r="B815" s="71"/>
      <c r="C815" s="71" t="str">
        <f>IFERROR(__xludf.DUMMYFUNCTION("""COMPUTED_VALUE"""),"")</f>
        <v/>
      </c>
      <c r="D815" s="71"/>
      <c r="E815" s="78"/>
      <c r="F815" s="71"/>
      <c r="G815" s="78" t="str">
        <f>IFERROR(__xludf.DUMMYFUNCTION("""COMPUTED_VALUE"""),"")</f>
        <v/>
      </c>
      <c r="H815" s="71"/>
      <c r="I815" s="80" t="str">
        <f>IFERROR(__xludf.DUMMYFUNCTION("""COMPUTED_VALUE"""),"")</f>
        <v/>
      </c>
      <c r="J815" s="71" t="str">
        <f>IFERROR(__xludf.DUMMYFUNCTION("""COMPUTED_VALUE"""),"")</f>
        <v/>
      </c>
      <c r="K815" s="71"/>
      <c r="L815" s="71" t="str">
        <f>IFERROR(__xludf.DUMMYFUNCTION("""COMPUTED_VALUE"""),"")</f>
        <v/>
      </c>
      <c r="M815" s="71"/>
      <c r="N815" s="109" t="str">
        <f>IFERROR(__xludf.DUMMYFUNCTION("""COMPUTED_VALUE"""),"")</f>
        <v/>
      </c>
      <c r="O815" s="71" t="str">
        <f>IFERROR(__xludf.DUMMYFUNCTION("""COMPUTED_VALUE"""),"")</f>
        <v/>
      </c>
      <c r="P815" s="71" t="str">
        <f>IFERROR(__xludf.DUMMYFUNCTION("""COMPUTED_VALUE"""),"")</f>
        <v/>
      </c>
      <c r="Q815" s="78" t="str">
        <f>IFERROR(__xludf.DUMMYFUNCTION("""COMPUTED_VALUE"""),"")</f>
        <v/>
      </c>
      <c r="R815" s="78" t="str">
        <f>IFERROR(__xludf.DUMMYFUNCTION("""COMPUTED_VALUE"""),"")</f>
        <v/>
      </c>
      <c r="S815" s="80" t="str">
        <f>IFERROR(__xludf.DUMMYFUNCTION("""COMPUTED_VALUE"""),"")</f>
        <v/>
      </c>
      <c r="T815" s="80" t="str">
        <f>IFERROR(__xludf.DUMMYFUNCTION("""COMPUTED_VALUE"""),"")</f>
        <v/>
      </c>
      <c r="U815" s="71" t="str">
        <f>IFERROR(__xludf.DUMMYFUNCTION("""COMPUTED_VALUE"""),"")</f>
        <v/>
      </c>
      <c r="V815" s="78" t="str">
        <f>IFERROR(__xludf.DUMMYFUNCTION("""COMPUTED_VALUE"""),"")</f>
        <v/>
      </c>
      <c r="W815" s="62" t="str">
        <f>IFERROR(__xludf.DUMMYFUNCTION("""COMPUTED_VALUE"""),"")</f>
        <v/>
      </c>
      <c r="X815" s="80" t="str">
        <f>IFERROR(__xludf.DUMMYFUNCTION("""COMPUTED_VALUE"""),"")</f>
        <v/>
      </c>
      <c r="Y815" s="109" t="str">
        <f>IFERROR(__xludf.DUMMYFUNCTION("""COMPUTED_VALUE"""),"")</f>
        <v/>
      </c>
      <c r="Z815" s="71"/>
      <c r="AA815" s="71"/>
      <c r="AB815" s="71"/>
    </row>
    <row r="816">
      <c r="A816" s="71"/>
      <c r="B816" s="71"/>
      <c r="C816" s="71" t="str">
        <f>IFERROR(__xludf.DUMMYFUNCTION("""COMPUTED_VALUE"""),"")</f>
        <v/>
      </c>
      <c r="D816" s="71"/>
      <c r="E816" s="78"/>
      <c r="F816" s="71"/>
      <c r="G816" s="78" t="str">
        <f>IFERROR(__xludf.DUMMYFUNCTION("""COMPUTED_VALUE"""),"")</f>
        <v/>
      </c>
      <c r="H816" s="71"/>
      <c r="I816" s="80" t="str">
        <f>IFERROR(__xludf.DUMMYFUNCTION("""COMPUTED_VALUE"""),"")</f>
        <v/>
      </c>
      <c r="J816" s="71" t="str">
        <f>IFERROR(__xludf.DUMMYFUNCTION("""COMPUTED_VALUE"""),"")</f>
        <v/>
      </c>
      <c r="K816" s="71"/>
      <c r="L816" s="71" t="str">
        <f>IFERROR(__xludf.DUMMYFUNCTION("""COMPUTED_VALUE"""),"")</f>
        <v/>
      </c>
      <c r="M816" s="71"/>
      <c r="N816" s="109" t="str">
        <f>IFERROR(__xludf.DUMMYFUNCTION("""COMPUTED_VALUE"""),"")</f>
        <v/>
      </c>
      <c r="O816" s="71" t="str">
        <f>IFERROR(__xludf.DUMMYFUNCTION("""COMPUTED_VALUE"""),"")</f>
        <v/>
      </c>
      <c r="P816" s="71" t="str">
        <f>IFERROR(__xludf.DUMMYFUNCTION("""COMPUTED_VALUE"""),"")</f>
        <v/>
      </c>
      <c r="Q816" s="78" t="str">
        <f>IFERROR(__xludf.DUMMYFUNCTION("""COMPUTED_VALUE"""),"")</f>
        <v/>
      </c>
      <c r="R816" s="78" t="str">
        <f>IFERROR(__xludf.DUMMYFUNCTION("""COMPUTED_VALUE"""),"")</f>
        <v/>
      </c>
      <c r="S816" s="80" t="str">
        <f>IFERROR(__xludf.DUMMYFUNCTION("""COMPUTED_VALUE"""),"")</f>
        <v/>
      </c>
      <c r="T816" s="80" t="str">
        <f>IFERROR(__xludf.DUMMYFUNCTION("""COMPUTED_VALUE"""),"")</f>
        <v/>
      </c>
      <c r="U816" s="71" t="str">
        <f>IFERROR(__xludf.DUMMYFUNCTION("""COMPUTED_VALUE"""),"")</f>
        <v/>
      </c>
      <c r="V816" s="78" t="str">
        <f>IFERROR(__xludf.DUMMYFUNCTION("""COMPUTED_VALUE"""),"")</f>
        <v/>
      </c>
      <c r="W816" s="62" t="str">
        <f>IFERROR(__xludf.DUMMYFUNCTION("""COMPUTED_VALUE"""),"")</f>
        <v/>
      </c>
      <c r="X816" s="80" t="str">
        <f>IFERROR(__xludf.DUMMYFUNCTION("""COMPUTED_VALUE"""),"")</f>
        <v/>
      </c>
      <c r="Y816" s="109" t="str">
        <f>IFERROR(__xludf.DUMMYFUNCTION("""COMPUTED_VALUE"""),"")</f>
        <v/>
      </c>
      <c r="Z816" s="71"/>
      <c r="AA816" s="71"/>
      <c r="AB816" s="71"/>
    </row>
    <row r="817">
      <c r="A817" s="71"/>
      <c r="B817" s="71"/>
      <c r="C817" s="71" t="str">
        <f>IFERROR(__xludf.DUMMYFUNCTION("""COMPUTED_VALUE"""),"")</f>
        <v/>
      </c>
      <c r="D817" s="71"/>
      <c r="E817" s="78"/>
      <c r="F817" s="71"/>
      <c r="G817" s="78" t="str">
        <f>IFERROR(__xludf.DUMMYFUNCTION("""COMPUTED_VALUE"""),"")</f>
        <v/>
      </c>
      <c r="H817" s="71"/>
      <c r="I817" s="80" t="str">
        <f>IFERROR(__xludf.DUMMYFUNCTION("""COMPUTED_VALUE"""),"")</f>
        <v/>
      </c>
      <c r="J817" s="71" t="str">
        <f>IFERROR(__xludf.DUMMYFUNCTION("""COMPUTED_VALUE"""),"")</f>
        <v/>
      </c>
      <c r="K817" s="71"/>
      <c r="L817" s="71" t="str">
        <f>IFERROR(__xludf.DUMMYFUNCTION("""COMPUTED_VALUE"""),"")</f>
        <v/>
      </c>
      <c r="M817" s="71"/>
      <c r="N817" s="109" t="str">
        <f>IFERROR(__xludf.DUMMYFUNCTION("""COMPUTED_VALUE"""),"")</f>
        <v/>
      </c>
      <c r="O817" s="71" t="str">
        <f>IFERROR(__xludf.DUMMYFUNCTION("""COMPUTED_VALUE"""),"")</f>
        <v/>
      </c>
      <c r="P817" s="71" t="str">
        <f>IFERROR(__xludf.DUMMYFUNCTION("""COMPUTED_VALUE"""),"")</f>
        <v/>
      </c>
      <c r="Q817" s="78" t="str">
        <f>IFERROR(__xludf.DUMMYFUNCTION("""COMPUTED_VALUE"""),"")</f>
        <v/>
      </c>
      <c r="R817" s="78" t="str">
        <f>IFERROR(__xludf.DUMMYFUNCTION("""COMPUTED_VALUE"""),"")</f>
        <v/>
      </c>
      <c r="S817" s="80" t="str">
        <f>IFERROR(__xludf.DUMMYFUNCTION("""COMPUTED_VALUE"""),"")</f>
        <v/>
      </c>
      <c r="T817" s="80" t="str">
        <f>IFERROR(__xludf.DUMMYFUNCTION("""COMPUTED_VALUE"""),"")</f>
        <v/>
      </c>
      <c r="U817" s="71" t="str">
        <f>IFERROR(__xludf.DUMMYFUNCTION("""COMPUTED_VALUE"""),"")</f>
        <v/>
      </c>
      <c r="V817" s="78" t="str">
        <f>IFERROR(__xludf.DUMMYFUNCTION("""COMPUTED_VALUE"""),"")</f>
        <v/>
      </c>
      <c r="W817" s="62" t="str">
        <f>IFERROR(__xludf.DUMMYFUNCTION("""COMPUTED_VALUE"""),"")</f>
        <v/>
      </c>
      <c r="X817" s="80" t="str">
        <f>IFERROR(__xludf.DUMMYFUNCTION("""COMPUTED_VALUE"""),"")</f>
        <v/>
      </c>
      <c r="Y817" s="109" t="str">
        <f>IFERROR(__xludf.DUMMYFUNCTION("""COMPUTED_VALUE"""),"")</f>
        <v/>
      </c>
      <c r="Z817" s="71"/>
      <c r="AA817" s="71"/>
      <c r="AB817" s="71"/>
    </row>
    <row r="818">
      <c r="A818" s="71"/>
      <c r="B818" s="71"/>
      <c r="C818" s="71" t="str">
        <f>IFERROR(__xludf.DUMMYFUNCTION("""COMPUTED_VALUE"""),"")</f>
        <v/>
      </c>
      <c r="D818" s="71"/>
      <c r="E818" s="78"/>
      <c r="F818" s="71"/>
      <c r="G818" s="78" t="str">
        <f>IFERROR(__xludf.DUMMYFUNCTION("""COMPUTED_VALUE"""),"")</f>
        <v/>
      </c>
      <c r="H818" s="71"/>
      <c r="I818" s="80" t="str">
        <f>IFERROR(__xludf.DUMMYFUNCTION("""COMPUTED_VALUE"""),"")</f>
        <v/>
      </c>
      <c r="J818" s="71" t="str">
        <f>IFERROR(__xludf.DUMMYFUNCTION("""COMPUTED_VALUE"""),"")</f>
        <v/>
      </c>
      <c r="K818" s="71"/>
      <c r="L818" s="71" t="str">
        <f>IFERROR(__xludf.DUMMYFUNCTION("""COMPUTED_VALUE"""),"")</f>
        <v/>
      </c>
      <c r="M818" s="71"/>
      <c r="N818" s="109" t="str">
        <f>IFERROR(__xludf.DUMMYFUNCTION("""COMPUTED_VALUE"""),"")</f>
        <v/>
      </c>
      <c r="O818" s="71" t="str">
        <f>IFERROR(__xludf.DUMMYFUNCTION("""COMPUTED_VALUE"""),"")</f>
        <v/>
      </c>
      <c r="P818" s="71" t="str">
        <f>IFERROR(__xludf.DUMMYFUNCTION("""COMPUTED_VALUE"""),"")</f>
        <v/>
      </c>
      <c r="Q818" s="78" t="str">
        <f>IFERROR(__xludf.DUMMYFUNCTION("""COMPUTED_VALUE"""),"")</f>
        <v/>
      </c>
      <c r="R818" s="78" t="str">
        <f>IFERROR(__xludf.DUMMYFUNCTION("""COMPUTED_VALUE"""),"")</f>
        <v/>
      </c>
      <c r="S818" s="80" t="str">
        <f>IFERROR(__xludf.DUMMYFUNCTION("""COMPUTED_VALUE"""),"")</f>
        <v/>
      </c>
      <c r="T818" s="80" t="str">
        <f>IFERROR(__xludf.DUMMYFUNCTION("""COMPUTED_VALUE"""),"")</f>
        <v/>
      </c>
      <c r="U818" s="71" t="str">
        <f>IFERROR(__xludf.DUMMYFUNCTION("""COMPUTED_VALUE"""),"")</f>
        <v/>
      </c>
      <c r="V818" s="78" t="str">
        <f>IFERROR(__xludf.DUMMYFUNCTION("""COMPUTED_VALUE"""),"")</f>
        <v/>
      </c>
      <c r="W818" s="62" t="str">
        <f>IFERROR(__xludf.DUMMYFUNCTION("""COMPUTED_VALUE"""),"")</f>
        <v/>
      </c>
      <c r="X818" s="80" t="str">
        <f>IFERROR(__xludf.DUMMYFUNCTION("""COMPUTED_VALUE"""),"")</f>
        <v/>
      </c>
      <c r="Y818" s="109" t="str">
        <f>IFERROR(__xludf.DUMMYFUNCTION("""COMPUTED_VALUE"""),"")</f>
        <v/>
      </c>
      <c r="Z818" s="71"/>
      <c r="AA818" s="71"/>
      <c r="AB818" s="71"/>
    </row>
    <row r="819">
      <c r="A819" s="71"/>
      <c r="B819" s="71"/>
      <c r="C819" s="71" t="str">
        <f>IFERROR(__xludf.DUMMYFUNCTION("""COMPUTED_VALUE"""),"")</f>
        <v/>
      </c>
      <c r="D819" s="71"/>
      <c r="E819" s="78"/>
      <c r="F819" s="71"/>
      <c r="G819" s="78" t="str">
        <f>IFERROR(__xludf.DUMMYFUNCTION("""COMPUTED_VALUE"""),"")</f>
        <v/>
      </c>
      <c r="H819" s="71"/>
      <c r="I819" s="80" t="str">
        <f>IFERROR(__xludf.DUMMYFUNCTION("""COMPUTED_VALUE"""),"")</f>
        <v/>
      </c>
      <c r="J819" s="71" t="str">
        <f>IFERROR(__xludf.DUMMYFUNCTION("""COMPUTED_VALUE"""),"")</f>
        <v/>
      </c>
      <c r="K819" s="71"/>
      <c r="L819" s="71" t="str">
        <f>IFERROR(__xludf.DUMMYFUNCTION("""COMPUTED_VALUE"""),"")</f>
        <v/>
      </c>
      <c r="M819" s="71"/>
      <c r="N819" s="109" t="str">
        <f>IFERROR(__xludf.DUMMYFUNCTION("""COMPUTED_VALUE"""),"")</f>
        <v/>
      </c>
      <c r="O819" s="71" t="str">
        <f>IFERROR(__xludf.DUMMYFUNCTION("""COMPUTED_VALUE"""),"")</f>
        <v/>
      </c>
      <c r="P819" s="71" t="str">
        <f>IFERROR(__xludf.DUMMYFUNCTION("""COMPUTED_VALUE"""),"")</f>
        <v/>
      </c>
      <c r="Q819" s="78" t="str">
        <f>IFERROR(__xludf.DUMMYFUNCTION("""COMPUTED_VALUE"""),"")</f>
        <v/>
      </c>
      <c r="R819" s="78" t="str">
        <f>IFERROR(__xludf.DUMMYFUNCTION("""COMPUTED_VALUE"""),"")</f>
        <v/>
      </c>
      <c r="S819" s="80" t="str">
        <f>IFERROR(__xludf.DUMMYFUNCTION("""COMPUTED_VALUE"""),"")</f>
        <v/>
      </c>
      <c r="T819" s="80" t="str">
        <f>IFERROR(__xludf.DUMMYFUNCTION("""COMPUTED_VALUE"""),"")</f>
        <v/>
      </c>
      <c r="U819" s="71" t="str">
        <f>IFERROR(__xludf.DUMMYFUNCTION("""COMPUTED_VALUE"""),"")</f>
        <v/>
      </c>
      <c r="V819" s="78" t="str">
        <f>IFERROR(__xludf.DUMMYFUNCTION("""COMPUTED_VALUE"""),"")</f>
        <v/>
      </c>
      <c r="W819" s="62" t="str">
        <f>IFERROR(__xludf.DUMMYFUNCTION("""COMPUTED_VALUE"""),"")</f>
        <v/>
      </c>
      <c r="X819" s="80" t="str">
        <f>IFERROR(__xludf.DUMMYFUNCTION("""COMPUTED_VALUE"""),"")</f>
        <v/>
      </c>
      <c r="Y819" s="109" t="str">
        <f>IFERROR(__xludf.DUMMYFUNCTION("""COMPUTED_VALUE"""),"")</f>
        <v/>
      </c>
      <c r="Z819" s="71"/>
      <c r="AA819" s="71"/>
      <c r="AB819" s="71"/>
    </row>
    <row r="820">
      <c r="A820" s="71"/>
      <c r="B820" s="71"/>
      <c r="C820" s="71" t="str">
        <f>IFERROR(__xludf.DUMMYFUNCTION("""COMPUTED_VALUE"""),"")</f>
        <v/>
      </c>
      <c r="D820" s="71"/>
      <c r="E820" s="78"/>
      <c r="F820" s="71"/>
      <c r="G820" s="78" t="str">
        <f>IFERROR(__xludf.DUMMYFUNCTION("""COMPUTED_VALUE"""),"")</f>
        <v/>
      </c>
      <c r="H820" s="71"/>
      <c r="I820" s="80" t="str">
        <f>IFERROR(__xludf.DUMMYFUNCTION("""COMPUTED_VALUE"""),"")</f>
        <v/>
      </c>
      <c r="J820" s="71" t="str">
        <f>IFERROR(__xludf.DUMMYFUNCTION("""COMPUTED_VALUE"""),"")</f>
        <v/>
      </c>
      <c r="K820" s="71"/>
      <c r="L820" s="71" t="str">
        <f>IFERROR(__xludf.DUMMYFUNCTION("""COMPUTED_VALUE"""),"")</f>
        <v/>
      </c>
      <c r="M820" s="71"/>
      <c r="N820" s="109" t="str">
        <f>IFERROR(__xludf.DUMMYFUNCTION("""COMPUTED_VALUE"""),"")</f>
        <v/>
      </c>
      <c r="O820" s="71" t="str">
        <f>IFERROR(__xludf.DUMMYFUNCTION("""COMPUTED_VALUE"""),"")</f>
        <v/>
      </c>
      <c r="P820" s="71" t="str">
        <f>IFERROR(__xludf.DUMMYFUNCTION("""COMPUTED_VALUE"""),"")</f>
        <v/>
      </c>
      <c r="Q820" s="78" t="str">
        <f>IFERROR(__xludf.DUMMYFUNCTION("""COMPUTED_VALUE"""),"")</f>
        <v/>
      </c>
      <c r="R820" s="78" t="str">
        <f>IFERROR(__xludf.DUMMYFUNCTION("""COMPUTED_VALUE"""),"")</f>
        <v/>
      </c>
      <c r="S820" s="80" t="str">
        <f>IFERROR(__xludf.DUMMYFUNCTION("""COMPUTED_VALUE"""),"")</f>
        <v/>
      </c>
      <c r="T820" s="80" t="str">
        <f>IFERROR(__xludf.DUMMYFUNCTION("""COMPUTED_VALUE"""),"")</f>
        <v/>
      </c>
      <c r="U820" s="71" t="str">
        <f>IFERROR(__xludf.DUMMYFUNCTION("""COMPUTED_VALUE"""),"")</f>
        <v/>
      </c>
      <c r="V820" s="78" t="str">
        <f>IFERROR(__xludf.DUMMYFUNCTION("""COMPUTED_VALUE"""),"")</f>
        <v/>
      </c>
      <c r="W820" s="62" t="str">
        <f>IFERROR(__xludf.DUMMYFUNCTION("""COMPUTED_VALUE"""),"")</f>
        <v/>
      </c>
      <c r="X820" s="80" t="str">
        <f>IFERROR(__xludf.DUMMYFUNCTION("""COMPUTED_VALUE"""),"")</f>
        <v/>
      </c>
      <c r="Y820" s="109" t="str">
        <f>IFERROR(__xludf.DUMMYFUNCTION("""COMPUTED_VALUE"""),"")</f>
        <v/>
      </c>
      <c r="Z820" s="71"/>
      <c r="AA820" s="71"/>
      <c r="AB820" s="71"/>
    </row>
    <row r="821">
      <c r="A821" s="71"/>
      <c r="B821" s="71"/>
      <c r="C821" s="71" t="str">
        <f>IFERROR(__xludf.DUMMYFUNCTION("""COMPUTED_VALUE"""),"")</f>
        <v/>
      </c>
      <c r="D821" s="71"/>
      <c r="E821" s="78"/>
      <c r="F821" s="71"/>
      <c r="G821" s="78" t="str">
        <f>IFERROR(__xludf.DUMMYFUNCTION("""COMPUTED_VALUE"""),"")</f>
        <v/>
      </c>
      <c r="H821" s="71"/>
      <c r="I821" s="80" t="str">
        <f>IFERROR(__xludf.DUMMYFUNCTION("""COMPUTED_VALUE"""),"")</f>
        <v/>
      </c>
      <c r="J821" s="71" t="str">
        <f>IFERROR(__xludf.DUMMYFUNCTION("""COMPUTED_VALUE"""),"")</f>
        <v/>
      </c>
      <c r="K821" s="71"/>
      <c r="L821" s="71" t="str">
        <f>IFERROR(__xludf.DUMMYFUNCTION("""COMPUTED_VALUE"""),"")</f>
        <v/>
      </c>
      <c r="M821" s="71"/>
      <c r="N821" s="109" t="str">
        <f>IFERROR(__xludf.DUMMYFUNCTION("""COMPUTED_VALUE"""),"")</f>
        <v/>
      </c>
      <c r="O821" s="71" t="str">
        <f>IFERROR(__xludf.DUMMYFUNCTION("""COMPUTED_VALUE"""),"")</f>
        <v/>
      </c>
      <c r="P821" s="71" t="str">
        <f>IFERROR(__xludf.DUMMYFUNCTION("""COMPUTED_VALUE"""),"")</f>
        <v/>
      </c>
      <c r="Q821" s="78" t="str">
        <f>IFERROR(__xludf.DUMMYFUNCTION("""COMPUTED_VALUE"""),"")</f>
        <v/>
      </c>
      <c r="R821" s="78" t="str">
        <f>IFERROR(__xludf.DUMMYFUNCTION("""COMPUTED_VALUE"""),"")</f>
        <v/>
      </c>
      <c r="S821" s="80" t="str">
        <f>IFERROR(__xludf.DUMMYFUNCTION("""COMPUTED_VALUE"""),"")</f>
        <v/>
      </c>
      <c r="T821" s="80" t="str">
        <f>IFERROR(__xludf.DUMMYFUNCTION("""COMPUTED_VALUE"""),"")</f>
        <v/>
      </c>
      <c r="U821" s="71" t="str">
        <f>IFERROR(__xludf.DUMMYFUNCTION("""COMPUTED_VALUE"""),"")</f>
        <v/>
      </c>
      <c r="V821" s="78" t="str">
        <f>IFERROR(__xludf.DUMMYFUNCTION("""COMPUTED_VALUE"""),"")</f>
        <v/>
      </c>
      <c r="W821" s="62" t="str">
        <f>IFERROR(__xludf.DUMMYFUNCTION("""COMPUTED_VALUE"""),"")</f>
        <v/>
      </c>
      <c r="X821" s="80" t="str">
        <f>IFERROR(__xludf.DUMMYFUNCTION("""COMPUTED_VALUE"""),"")</f>
        <v/>
      </c>
      <c r="Y821" s="109" t="str">
        <f>IFERROR(__xludf.DUMMYFUNCTION("""COMPUTED_VALUE"""),"")</f>
        <v/>
      </c>
      <c r="Z821" s="71"/>
      <c r="AA821" s="71"/>
      <c r="AB821" s="71"/>
    </row>
    <row r="822">
      <c r="A822" s="71"/>
      <c r="B822" s="71"/>
      <c r="C822" s="71" t="str">
        <f>IFERROR(__xludf.DUMMYFUNCTION("""COMPUTED_VALUE"""),"")</f>
        <v/>
      </c>
      <c r="D822" s="71"/>
      <c r="E822" s="78"/>
      <c r="F822" s="71"/>
      <c r="G822" s="78" t="str">
        <f>IFERROR(__xludf.DUMMYFUNCTION("""COMPUTED_VALUE"""),"")</f>
        <v/>
      </c>
      <c r="H822" s="71"/>
      <c r="I822" s="80" t="str">
        <f>IFERROR(__xludf.DUMMYFUNCTION("""COMPUTED_VALUE"""),"")</f>
        <v/>
      </c>
      <c r="J822" s="71" t="str">
        <f>IFERROR(__xludf.DUMMYFUNCTION("""COMPUTED_VALUE"""),"")</f>
        <v/>
      </c>
      <c r="K822" s="71"/>
      <c r="L822" s="71" t="str">
        <f>IFERROR(__xludf.DUMMYFUNCTION("""COMPUTED_VALUE"""),"")</f>
        <v/>
      </c>
      <c r="M822" s="71"/>
      <c r="N822" s="109" t="str">
        <f>IFERROR(__xludf.DUMMYFUNCTION("""COMPUTED_VALUE"""),"")</f>
        <v/>
      </c>
      <c r="O822" s="71" t="str">
        <f>IFERROR(__xludf.DUMMYFUNCTION("""COMPUTED_VALUE"""),"")</f>
        <v/>
      </c>
      <c r="P822" s="71" t="str">
        <f>IFERROR(__xludf.DUMMYFUNCTION("""COMPUTED_VALUE"""),"")</f>
        <v/>
      </c>
      <c r="Q822" s="78" t="str">
        <f>IFERROR(__xludf.DUMMYFUNCTION("""COMPUTED_VALUE"""),"")</f>
        <v/>
      </c>
      <c r="R822" s="78" t="str">
        <f>IFERROR(__xludf.DUMMYFUNCTION("""COMPUTED_VALUE"""),"")</f>
        <v/>
      </c>
      <c r="S822" s="80" t="str">
        <f>IFERROR(__xludf.DUMMYFUNCTION("""COMPUTED_VALUE"""),"")</f>
        <v/>
      </c>
      <c r="T822" s="80" t="str">
        <f>IFERROR(__xludf.DUMMYFUNCTION("""COMPUTED_VALUE"""),"")</f>
        <v/>
      </c>
      <c r="U822" s="71" t="str">
        <f>IFERROR(__xludf.DUMMYFUNCTION("""COMPUTED_VALUE"""),"")</f>
        <v/>
      </c>
      <c r="V822" s="78" t="str">
        <f>IFERROR(__xludf.DUMMYFUNCTION("""COMPUTED_VALUE"""),"")</f>
        <v/>
      </c>
      <c r="W822" s="62" t="str">
        <f>IFERROR(__xludf.DUMMYFUNCTION("""COMPUTED_VALUE"""),"")</f>
        <v/>
      </c>
      <c r="X822" s="80" t="str">
        <f>IFERROR(__xludf.DUMMYFUNCTION("""COMPUTED_VALUE"""),"")</f>
        <v/>
      </c>
      <c r="Y822" s="109" t="str">
        <f>IFERROR(__xludf.DUMMYFUNCTION("""COMPUTED_VALUE"""),"")</f>
        <v/>
      </c>
      <c r="Z822" s="71"/>
      <c r="AA822" s="71"/>
      <c r="AB822" s="71"/>
    </row>
    <row r="823">
      <c r="A823" s="71"/>
      <c r="B823" s="71"/>
      <c r="C823" s="71" t="str">
        <f>IFERROR(__xludf.DUMMYFUNCTION("""COMPUTED_VALUE"""),"")</f>
        <v/>
      </c>
      <c r="D823" s="71"/>
      <c r="E823" s="78"/>
      <c r="F823" s="71"/>
      <c r="G823" s="78" t="str">
        <f>IFERROR(__xludf.DUMMYFUNCTION("""COMPUTED_VALUE"""),"")</f>
        <v/>
      </c>
      <c r="H823" s="71"/>
      <c r="I823" s="80" t="str">
        <f>IFERROR(__xludf.DUMMYFUNCTION("""COMPUTED_VALUE"""),"")</f>
        <v/>
      </c>
      <c r="J823" s="71" t="str">
        <f>IFERROR(__xludf.DUMMYFUNCTION("""COMPUTED_VALUE"""),"")</f>
        <v/>
      </c>
      <c r="K823" s="71"/>
      <c r="L823" s="71" t="str">
        <f>IFERROR(__xludf.DUMMYFUNCTION("""COMPUTED_VALUE"""),"")</f>
        <v/>
      </c>
      <c r="M823" s="71"/>
      <c r="N823" s="109" t="str">
        <f>IFERROR(__xludf.DUMMYFUNCTION("""COMPUTED_VALUE"""),"")</f>
        <v/>
      </c>
      <c r="O823" s="71" t="str">
        <f>IFERROR(__xludf.DUMMYFUNCTION("""COMPUTED_VALUE"""),"")</f>
        <v/>
      </c>
      <c r="P823" s="71" t="str">
        <f>IFERROR(__xludf.DUMMYFUNCTION("""COMPUTED_VALUE"""),"")</f>
        <v/>
      </c>
      <c r="Q823" s="78" t="str">
        <f>IFERROR(__xludf.DUMMYFUNCTION("""COMPUTED_VALUE"""),"")</f>
        <v/>
      </c>
      <c r="R823" s="78" t="str">
        <f>IFERROR(__xludf.DUMMYFUNCTION("""COMPUTED_VALUE"""),"")</f>
        <v/>
      </c>
      <c r="S823" s="80" t="str">
        <f>IFERROR(__xludf.DUMMYFUNCTION("""COMPUTED_VALUE"""),"")</f>
        <v/>
      </c>
      <c r="T823" s="80" t="str">
        <f>IFERROR(__xludf.DUMMYFUNCTION("""COMPUTED_VALUE"""),"")</f>
        <v/>
      </c>
      <c r="U823" s="71" t="str">
        <f>IFERROR(__xludf.DUMMYFUNCTION("""COMPUTED_VALUE"""),"")</f>
        <v/>
      </c>
      <c r="V823" s="78" t="str">
        <f>IFERROR(__xludf.DUMMYFUNCTION("""COMPUTED_VALUE"""),"")</f>
        <v/>
      </c>
      <c r="W823" s="62" t="str">
        <f>IFERROR(__xludf.DUMMYFUNCTION("""COMPUTED_VALUE"""),"")</f>
        <v/>
      </c>
      <c r="X823" s="80" t="str">
        <f>IFERROR(__xludf.DUMMYFUNCTION("""COMPUTED_VALUE"""),"")</f>
        <v/>
      </c>
      <c r="Y823" s="109" t="str">
        <f>IFERROR(__xludf.DUMMYFUNCTION("""COMPUTED_VALUE"""),"")</f>
        <v/>
      </c>
      <c r="Z823" s="71"/>
      <c r="AA823" s="71"/>
      <c r="AB823" s="71"/>
    </row>
    <row r="824">
      <c r="A824" s="71"/>
      <c r="B824" s="71"/>
      <c r="C824" s="71" t="str">
        <f>IFERROR(__xludf.DUMMYFUNCTION("""COMPUTED_VALUE"""),"")</f>
        <v/>
      </c>
      <c r="D824" s="71"/>
      <c r="E824" s="78"/>
      <c r="F824" s="71"/>
      <c r="G824" s="78" t="str">
        <f>IFERROR(__xludf.DUMMYFUNCTION("""COMPUTED_VALUE"""),"")</f>
        <v/>
      </c>
      <c r="H824" s="71"/>
      <c r="I824" s="80" t="str">
        <f>IFERROR(__xludf.DUMMYFUNCTION("""COMPUTED_VALUE"""),"")</f>
        <v/>
      </c>
      <c r="J824" s="71" t="str">
        <f>IFERROR(__xludf.DUMMYFUNCTION("""COMPUTED_VALUE"""),"")</f>
        <v/>
      </c>
      <c r="K824" s="71"/>
      <c r="L824" s="71" t="str">
        <f>IFERROR(__xludf.DUMMYFUNCTION("""COMPUTED_VALUE"""),"")</f>
        <v/>
      </c>
      <c r="M824" s="71"/>
      <c r="N824" s="109" t="str">
        <f>IFERROR(__xludf.DUMMYFUNCTION("""COMPUTED_VALUE"""),"")</f>
        <v/>
      </c>
      <c r="O824" s="71" t="str">
        <f>IFERROR(__xludf.DUMMYFUNCTION("""COMPUTED_VALUE"""),"")</f>
        <v/>
      </c>
      <c r="P824" s="71" t="str">
        <f>IFERROR(__xludf.DUMMYFUNCTION("""COMPUTED_VALUE"""),"")</f>
        <v/>
      </c>
      <c r="Q824" s="78" t="str">
        <f>IFERROR(__xludf.DUMMYFUNCTION("""COMPUTED_VALUE"""),"")</f>
        <v/>
      </c>
      <c r="R824" s="78" t="str">
        <f>IFERROR(__xludf.DUMMYFUNCTION("""COMPUTED_VALUE"""),"")</f>
        <v/>
      </c>
      <c r="S824" s="80" t="str">
        <f>IFERROR(__xludf.DUMMYFUNCTION("""COMPUTED_VALUE"""),"")</f>
        <v/>
      </c>
      <c r="T824" s="80" t="str">
        <f>IFERROR(__xludf.DUMMYFUNCTION("""COMPUTED_VALUE"""),"")</f>
        <v/>
      </c>
      <c r="U824" s="71" t="str">
        <f>IFERROR(__xludf.DUMMYFUNCTION("""COMPUTED_VALUE"""),"")</f>
        <v/>
      </c>
      <c r="V824" s="78" t="str">
        <f>IFERROR(__xludf.DUMMYFUNCTION("""COMPUTED_VALUE"""),"")</f>
        <v/>
      </c>
      <c r="W824" s="62" t="str">
        <f>IFERROR(__xludf.DUMMYFUNCTION("""COMPUTED_VALUE"""),"")</f>
        <v/>
      </c>
      <c r="X824" s="80" t="str">
        <f>IFERROR(__xludf.DUMMYFUNCTION("""COMPUTED_VALUE"""),"")</f>
        <v/>
      </c>
      <c r="Y824" s="109" t="str">
        <f>IFERROR(__xludf.DUMMYFUNCTION("""COMPUTED_VALUE"""),"")</f>
        <v/>
      </c>
      <c r="Z824" s="71"/>
      <c r="AA824" s="71"/>
      <c r="AB824" s="71"/>
    </row>
    <row r="825">
      <c r="A825" s="71"/>
      <c r="B825" s="71"/>
      <c r="C825" s="71" t="str">
        <f>IFERROR(__xludf.DUMMYFUNCTION("""COMPUTED_VALUE"""),"")</f>
        <v/>
      </c>
      <c r="D825" s="71"/>
      <c r="E825" s="78"/>
      <c r="F825" s="71"/>
      <c r="G825" s="78" t="str">
        <f>IFERROR(__xludf.DUMMYFUNCTION("""COMPUTED_VALUE"""),"")</f>
        <v/>
      </c>
      <c r="H825" s="71"/>
      <c r="I825" s="80" t="str">
        <f>IFERROR(__xludf.DUMMYFUNCTION("""COMPUTED_VALUE"""),"")</f>
        <v/>
      </c>
      <c r="J825" s="71" t="str">
        <f>IFERROR(__xludf.DUMMYFUNCTION("""COMPUTED_VALUE"""),"")</f>
        <v/>
      </c>
      <c r="K825" s="71"/>
      <c r="L825" s="71" t="str">
        <f>IFERROR(__xludf.DUMMYFUNCTION("""COMPUTED_VALUE"""),"")</f>
        <v/>
      </c>
      <c r="M825" s="71"/>
      <c r="N825" s="109" t="str">
        <f>IFERROR(__xludf.DUMMYFUNCTION("""COMPUTED_VALUE"""),"")</f>
        <v/>
      </c>
      <c r="O825" s="71" t="str">
        <f>IFERROR(__xludf.DUMMYFUNCTION("""COMPUTED_VALUE"""),"")</f>
        <v/>
      </c>
      <c r="P825" s="71" t="str">
        <f>IFERROR(__xludf.DUMMYFUNCTION("""COMPUTED_VALUE"""),"")</f>
        <v/>
      </c>
      <c r="Q825" s="78" t="str">
        <f>IFERROR(__xludf.DUMMYFUNCTION("""COMPUTED_VALUE"""),"")</f>
        <v/>
      </c>
      <c r="R825" s="78" t="str">
        <f>IFERROR(__xludf.DUMMYFUNCTION("""COMPUTED_VALUE"""),"")</f>
        <v/>
      </c>
      <c r="S825" s="80" t="str">
        <f>IFERROR(__xludf.DUMMYFUNCTION("""COMPUTED_VALUE"""),"")</f>
        <v/>
      </c>
      <c r="T825" s="80" t="str">
        <f>IFERROR(__xludf.DUMMYFUNCTION("""COMPUTED_VALUE"""),"")</f>
        <v/>
      </c>
      <c r="U825" s="71" t="str">
        <f>IFERROR(__xludf.DUMMYFUNCTION("""COMPUTED_VALUE"""),"")</f>
        <v/>
      </c>
      <c r="V825" s="78" t="str">
        <f>IFERROR(__xludf.DUMMYFUNCTION("""COMPUTED_VALUE"""),"")</f>
        <v/>
      </c>
      <c r="W825" s="62" t="str">
        <f>IFERROR(__xludf.DUMMYFUNCTION("""COMPUTED_VALUE"""),"")</f>
        <v/>
      </c>
      <c r="X825" s="80" t="str">
        <f>IFERROR(__xludf.DUMMYFUNCTION("""COMPUTED_VALUE"""),"")</f>
        <v/>
      </c>
      <c r="Y825" s="109" t="str">
        <f>IFERROR(__xludf.DUMMYFUNCTION("""COMPUTED_VALUE"""),"")</f>
        <v/>
      </c>
      <c r="Z825" s="71"/>
      <c r="AA825" s="71"/>
      <c r="AB825" s="71"/>
    </row>
    <row r="826">
      <c r="A826" s="71"/>
      <c r="B826" s="71"/>
      <c r="C826" s="71" t="str">
        <f>IFERROR(__xludf.DUMMYFUNCTION("""COMPUTED_VALUE"""),"")</f>
        <v/>
      </c>
      <c r="D826" s="71"/>
      <c r="E826" s="78"/>
      <c r="F826" s="71"/>
      <c r="G826" s="78" t="str">
        <f>IFERROR(__xludf.DUMMYFUNCTION("""COMPUTED_VALUE"""),"")</f>
        <v/>
      </c>
      <c r="H826" s="71"/>
      <c r="I826" s="80" t="str">
        <f>IFERROR(__xludf.DUMMYFUNCTION("""COMPUTED_VALUE"""),"")</f>
        <v/>
      </c>
      <c r="J826" s="71" t="str">
        <f>IFERROR(__xludf.DUMMYFUNCTION("""COMPUTED_VALUE"""),"")</f>
        <v/>
      </c>
      <c r="K826" s="71"/>
      <c r="L826" s="71" t="str">
        <f>IFERROR(__xludf.DUMMYFUNCTION("""COMPUTED_VALUE"""),"")</f>
        <v/>
      </c>
      <c r="M826" s="71"/>
      <c r="N826" s="109" t="str">
        <f>IFERROR(__xludf.DUMMYFUNCTION("""COMPUTED_VALUE"""),"")</f>
        <v/>
      </c>
      <c r="O826" s="71" t="str">
        <f>IFERROR(__xludf.DUMMYFUNCTION("""COMPUTED_VALUE"""),"")</f>
        <v/>
      </c>
      <c r="P826" s="71" t="str">
        <f>IFERROR(__xludf.DUMMYFUNCTION("""COMPUTED_VALUE"""),"")</f>
        <v/>
      </c>
      <c r="Q826" s="78" t="str">
        <f>IFERROR(__xludf.DUMMYFUNCTION("""COMPUTED_VALUE"""),"")</f>
        <v/>
      </c>
      <c r="R826" s="78" t="str">
        <f>IFERROR(__xludf.DUMMYFUNCTION("""COMPUTED_VALUE"""),"")</f>
        <v/>
      </c>
      <c r="S826" s="80" t="str">
        <f>IFERROR(__xludf.DUMMYFUNCTION("""COMPUTED_VALUE"""),"")</f>
        <v/>
      </c>
      <c r="T826" s="80" t="str">
        <f>IFERROR(__xludf.DUMMYFUNCTION("""COMPUTED_VALUE"""),"")</f>
        <v/>
      </c>
      <c r="U826" s="71" t="str">
        <f>IFERROR(__xludf.DUMMYFUNCTION("""COMPUTED_VALUE"""),"")</f>
        <v/>
      </c>
      <c r="V826" s="78" t="str">
        <f>IFERROR(__xludf.DUMMYFUNCTION("""COMPUTED_VALUE"""),"")</f>
        <v/>
      </c>
      <c r="W826" s="62" t="str">
        <f>IFERROR(__xludf.DUMMYFUNCTION("""COMPUTED_VALUE"""),"")</f>
        <v/>
      </c>
      <c r="X826" s="80" t="str">
        <f>IFERROR(__xludf.DUMMYFUNCTION("""COMPUTED_VALUE"""),"")</f>
        <v/>
      </c>
      <c r="Y826" s="109" t="str">
        <f>IFERROR(__xludf.DUMMYFUNCTION("""COMPUTED_VALUE"""),"")</f>
        <v/>
      </c>
      <c r="Z826" s="71"/>
      <c r="AA826" s="71"/>
      <c r="AB826" s="71"/>
    </row>
    <row r="827">
      <c r="A827" s="71"/>
      <c r="B827" s="71"/>
      <c r="C827" s="71" t="str">
        <f>IFERROR(__xludf.DUMMYFUNCTION("""COMPUTED_VALUE"""),"")</f>
        <v/>
      </c>
      <c r="D827" s="71"/>
      <c r="E827" s="78"/>
      <c r="F827" s="71"/>
      <c r="G827" s="78" t="str">
        <f>IFERROR(__xludf.DUMMYFUNCTION("""COMPUTED_VALUE"""),"")</f>
        <v/>
      </c>
      <c r="H827" s="71"/>
      <c r="I827" s="80" t="str">
        <f>IFERROR(__xludf.DUMMYFUNCTION("""COMPUTED_VALUE"""),"")</f>
        <v/>
      </c>
      <c r="J827" s="71" t="str">
        <f>IFERROR(__xludf.DUMMYFUNCTION("""COMPUTED_VALUE"""),"")</f>
        <v/>
      </c>
      <c r="K827" s="71"/>
      <c r="L827" s="71" t="str">
        <f>IFERROR(__xludf.DUMMYFUNCTION("""COMPUTED_VALUE"""),"")</f>
        <v/>
      </c>
      <c r="M827" s="71"/>
      <c r="N827" s="109" t="str">
        <f>IFERROR(__xludf.DUMMYFUNCTION("""COMPUTED_VALUE"""),"")</f>
        <v/>
      </c>
      <c r="O827" s="71" t="str">
        <f>IFERROR(__xludf.DUMMYFUNCTION("""COMPUTED_VALUE"""),"")</f>
        <v/>
      </c>
      <c r="P827" s="71" t="str">
        <f>IFERROR(__xludf.DUMMYFUNCTION("""COMPUTED_VALUE"""),"")</f>
        <v/>
      </c>
      <c r="Q827" s="78" t="str">
        <f>IFERROR(__xludf.DUMMYFUNCTION("""COMPUTED_VALUE"""),"")</f>
        <v/>
      </c>
      <c r="R827" s="78" t="str">
        <f>IFERROR(__xludf.DUMMYFUNCTION("""COMPUTED_VALUE"""),"")</f>
        <v/>
      </c>
      <c r="S827" s="80" t="str">
        <f>IFERROR(__xludf.DUMMYFUNCTION("""COMPUTED_VALUE"""),"")</f>
        <v/>
      </c>
      <c r="T827" s="80" t="str">
        <f>IFERROR(__xludf.DUMMYFUNCTION("""COMPUTED_VALUE"""),"")</f>
        <v/>
      </c>
      <c r="U827" s="71" t="str">
        <f>IFERROR(__xludf.DUMMYFUNCTION("""COMPUTED_VALUE"""),"")</f>
        <v/>
      </c>
      <c r="V827" s="78" t="str">
        <f>IFERROR(__xludf.DUMMYFUNCTION("""COMPUTED_VALUE"""),"")</f>
        <v/>
      </c>
      <c r="W827" s="62" t="str">
        <f>IFERROR(__xludf.DUMMYFUNCTION("""COMPUTED_VALUE"""),"")</f>
        <v/>
      </c>
      <c r="X827" s="80" t="str">
        <f>IFERROR(__xludf.DUMMYFUNCTION("""COMPUTED_VALUE"""),"")</f>
        <v/>
      </c>
      <c r="Y827" s="109" t="str">
        <f>IFERROR(__xludf.DUMMYFUNCTION("""COMPUTED_VALUE"""),"")</f>
        <v/>
      </c>
      <c r="Z827" s="71"/>
      <c r="AA827" s="71"/>
      <c r="AB827" s="71"/>
    </row>
    <row r="828">
      <c r="A828" s="71"/>
      <c r="B828" s="71"/>
      <c r="C828" s="71" t="str">
        <f>IFERROR(__xludf.DUMMYFUNCTION("""COMPUTED_VALUE"""),"")</f>
        <v/>
      </c>
      <c r="D828" s="71"/>
      <c r="E828" s="78"/>
      <c r="F828" s="71"/>
      <c r="G828" s="78" t="str">
        <f>IFERROR(__xludf.DUMMYFUNCTION("""COMPUTED_VALUE"""),"")</f>
        <v/>
      </c>
      <c r="H828" s="71"/>
      <c r="I828" s="80" t="str">
        <f>IFERROR(__xludf.DUMMYFUNCTION("""COMPUTED_VALUE"""),"")</f>
        <v/>
      </c>
      <c r="J828" s="71" t="str">
        <f>IFERROR(__xludf.DUMMYFUNCTION("""COMPUTED_VALUE"""),"")</f>
        <v/>
      </c>
      <c r="K828" s="71"/>
      <c r="L828" s="71" t="str">
        <f>IFERROR(__xludf.DUMMYFUNCTION("""COMPUTED_VALUE"""),"")</f>
        <v/>
      </c>
      <c r="M828" s="71"/>
      <c r="N828" s="109" t="str">
        <f>IFERROR(__xludf.DUMMYFUNCTION("""COMPUTED_VALUE"""),"")</f>
        <v/>
      </c>
      <c r="O828" s="71" t="str">
        <f>IFERROR(__xludf.DUMMYFUNCTION("""COMPUTED_VALUE"""),"")</f>
        <v/>
      </c>
      <c r="P828" s="71" t="str">
        <f>IFERROR(__xludf.DUMMYFUNCTION("""COMPUTED_VALUE"""),"")</f>
        <v/>
      </c>
      <c r="Q828" s="78" t="str">
        <f>IFERROR(__xludf.DUMMYFUNCTION("""COMPUTED_VALUE"""),"")</f>
        <v/>
      </c>
      <c r="R828" s="78" t="str">
        <f>IFERROR(__xludf.DUMMYFUNCTION("""COMPUTED_VALUE"""),"")</f>
        <v/>
      </c>
      <c r="S828" s="80" t="str">
        <f>IFERROR(__xludf.DUMMYFUNCTION("""COMPUTED_VALUE"""),"")</f>
        <v/>
      </c>
      <c r="T828" s="80" t="str">
        <f>IFERROR(__xludf.DUMMYFUNCTION("""COMPUTED_VALUE"""),"")</f>
        <v/>
      </c>
      <c r="U828" s="71" t="str">
        <f>IFERROR(__xludf.DUMMYFUNCTION("""COMPUTED_VALUE"""),"")</f>
        <v/>
      </c>
      <c r="V828" s="78" t="str">
        <f>IFERROR(__xludf.DUMMYFUNCTION("""COMPUTED_VALUE"""),"")</f>
        <v/>
      </c>
      <c r="W828" s="62" t="str">
        <f>IFERROR(__xludf.DUMMYFUNCTION("""COMPUTED_VALUE"""),"")</f>
        <v/>
      </c>
      <c r="X828" s="80" t="str">
        <f>IFERROR(__xludf.DUMMYFUNCTION("""COMPUTED_VALUE"""),"")</f>
        <v/>
      </c>
      <c r="Y828" s="109" t="str">
        <f>IFERROR(__xludf.DUMMYFUNCTION("""COMPUTED_VALUE"""),"")</f>
        <v/>
      </c>
      <c r="Z828" s="71"/>
      <c r="AA828" s="71"/>
      <c r="AB828" s="71"/>
    </row>
    <row r="829">
      <c r="A829" s="71"/>
      <c r="B829" s="71"/>
      <c r="C829" s="71" t="str">
        <f>IFERROR(__xludf.DUMMYFUNCTION("""COMPUTED_VALUE"""),"")</f>
        <v/>
      </c>
      <c r="D829" s="71"/>
      <c r="E829" s="78"/>
      <c r="F829" s="71"/>
      <c r="G829" s="78" t="str">
        <f>IFERROR(__xludf.DUMMYFUNCTION("""COMPUTED_VALUE"""),"")</f>
        <v/>
      </c>
      <c r="H829" s="71"/>
      <c r="I829" s="80" t="str">
        <f>IFERROR(__xludf.DUMMYFUNCTION("""COMPUTED_VALUE"""),"")</f>
        <v/>
      </c>
      <c r="J829" s="71" t="str">
        <f>IFERROR(__xludf.DUMMYFUNCTION("""COMPUTED_VALUE"""),"")</f>
        <v/>
      </c>
      <c r="K829" s="71"/>
      <c r="L829" s="71" t="str">
        <f>IFERROR(__xludf.DUMMYFUNCTION("""COMPUTED_VALUE"""),"")</f>
        <v/>
      </c>
      <c r="M829" s="71"/>
      <c r="N829" s="109" t="str">
        <f>IFERROR(__xludf.DUMMYFUNCTION("""COMPUTED_VALUE"""),"")</f>
        <v/>
      </c>
      <c r="O829" s="71" t="str">
        <f>IFERROR(__xludf.DUMMYFUNCTION("""COMPUTED_VALUE"""),"")</f>
        <v/>
      </c>
      <c r="P829" s="71" t="str">
        <f>IFERROR(__xludf.DUMMYFUNCTION("""COMPUTED_VALUE"""),"")</f>
        <v/>
      </c>
      <c r="Q829" s="78" t="str">
        <f>IFERROR(__xludf.DUMMYFUNCTION("""COMPUTED_VALUE"""),"")</f>
        <v/>
      </c>
      <c r="R829" s="78" t="str">
        <f>IFERROR(__xludf.DUMMYFUNCTION("""COMPUTED_VALUE"""),"")</f>
        <v/>
      </c>
      <c r="S829" s="80" t="str">
        <f>IFERROR(__xludf.DUMMYFUNCTION("""COMPUTED_VALUE"""),"")</f>
        <v/>
      </c>
      <c r="T829" s="80" t="str">
        <f>IFERROR(__xludf.DUMMYFUNCTION("""COMPUTED_VALUE"""),"")</f>
        <v/>
      </c>
      <c r="U829" s="71" t="str">
        <f>IFERROR(__xludf.DUMMYFUNCTION("""COMPUTED_VALUE"""),"")</f>
        <v/>
      </c>
      <c r="V829" s="78" t="str">
        <f>IFERROR(__xludf.DUMMYFUNCTION("""COMPUTED_VALUE"""),"")</f>
        <v/>
      </c>
      <c r="W829" s="62" t="str">
        <f>IFERROR(__xludf.DUMMYFUNCTION("""COMPUTED_VALUE"""),"")</f>
        <v/>
      </c>
      <c r="X829" s="80" t="str">
        <f>IFERROR(__xludf.DUMMYFUNCTION("""COMPUTED_VALUE"""),"")</f>
        <v/>
      </c>
      <c r="Y829" s="109" t="str">
        <f>IFERROR(__xludf.DUMMYFUNCTION("""COMPUTED_VALUE"""),"")</f>
        <v/>
      </c>
      <c r="Z829" s="71"/>
      <c r="AA829" s="71"/>
      <c r="AB829" s="71"/>
    </row>
    <row r="830">
      <c r="A830" s="71"/>
      <c r="B830" s="71"/>
      <c r="C830" s="71" t="str">
        <f>IFERROR(__xludf.DUMMYFUNCTION("""COMPUTED_VALUE"""),"")</f>
        <v/>
      </c>
      <c r="D830" s="71"/>
      <c r="E830" s="78"/>
      <c r="F830" s="71"/>
      <c r="G830" s="78" t="str">
        <f>IFERROR(__xludf.DUMMYFUNCTION("""COMPUTED_VALUE"""),"")</f>
        <v/>
      </c>
      <c r="H830" s="71"/>
      <c r="I830" s="80" t="str">
        <f>IFERROR(__xludf.DUMMYFUNCTION("""COMPUTED_VALUE"""),"")</f>
        <v/>
      </c>
      <c r="J830" s="71" t="str">
        <f>IFERROR(__xludf.DUMMYFUNCTION("""COMPUTED_VALUE"""),"")</f>
        <v/>
      </c>
      <c r="K830" s="71"/>
      <c r="L830" s="71" t="str">
        <f>IFERROR(__xludf.DUMMYFUNCTION("""COMPUTED_VALUE"""),"")</f>
        <v/>
      </c>
      <c r="M830" s="71"/>
      <c r="N830" s="109" t="str">
        <f>IFERROR(__xludf.DUMMYFUNCTION("""COMPUTED_VALUE"""),"")</f>
        <v/>
      </c>
      <c r="O830" s="71" t="str">
        <f>IFERROR(__xludf.DUMMYFUNCTION("""COMPUTED_VALUE"""),"")</f>
        <v/>
      </c>
      <c r="P830" s="71" t="str">
        <f>IFERROR(__xludf.DUMMYFUNCTION("""COMPUTED_VALUE"""),"")</f>
        <v/>
      </c>
      <c r="Q830" s="78" t="str">
        <f>IFERROR(__xludf.DUMMYFUNCTION("""COMPUTED_VALUE"""),"")</f>
        <v/>
      </c>
      <c r="R830" s="78" t="str">
        <f>IFERROR(__xludf.DUMMYFUNCTION("""COMPUTED_VALUE"""),"")</f>
        <v/>
      </c>
      <c r="S830" s="80" t="str">
        <f>IFERROR(__xludf.DUMMYFUNCTION("""COMPUTED_VALUE"""),"")</f>
        <v/>
      </c>
      <c r="T830" s="80" t="str">
        <f>IFERROR(__xludf.DUMMYFUNCTION("""COMPUTED_VALUE"""),"")</f>
        <v/>
      </c>
      <c r="U830" s="71" t="str">
        <f>IFERROR(__xludf.DUMMYFUNCTION("""COMPUTED_VALUE"""),"")</f>
        <v/>
      </c>
      <c r="V830" s="78" t="str">
        <f>IFERROR(__xludf.DUMMYFUNCTION("""COMPUTED_VALUE"""),"")</f>
        <v/>
      </c>
      <c r="W830" s="62" t="str">
        <f>IFERROR(__xludf.DUMMYFUNCTION("""COMPUTED_VALUE"""),"")</f>
        <v/>
      </c>
      <c r="X830" s="80" t="str">
        <f>IFERROR(__xludf.DUMMYFUNCTION("""COMPUTED_VALUE"""),"")</f>
        <v/>
      </c>
      <c r="Y830" s="109" t="str">
        <f>IFERROR(__xludf.DUMMYFUNCTION("""COMPUTED_VALUE"""),"")</f>
        <v/>
      </c>
      <c r="Z830" s="71"/>
      <c r="AA830" s="71"/>
      <c r="AB830" s="71"/>
    </row>
    <row r="831">
      <c r="A831" s="71"/>
      <c r="B831" s="71"/>
      <c r="C831" s="71" t="str">
        <f>IFERROR(__xludf.DUMMYFUNCTION("""COMPUTED_VALUE"""),"")</f>
        <v/>
      </c>
      <c r="D831" s="71"/>
      <c r="E831" s="78"/>
      <c r="F831" s="71"/>
      <c r="G831" s="78" t="str">
        <f>IFERROR(__xludf.DUMMYFUNCTION("""COMPUTED_VALUE"""),"")</f>
        <v/>
      </c>
      <c r="H831" s="71"/>
      <c r="I831" s="80" t="str">
        <f>IFERROR(__xludf.DUMMYFUNCTION("""COMPUTED_VALUE"""),"")</f>
        <v/>
      </c>
      <c r="J831" s="71" t="str">
        <f>IFERROR(__xludf.DUMMYFUNCTION("""COMPUTED_VALUE"""),"")</f>
        <v/>
      </c>
      <c r="K831" s="71"/>
      <c r="L831" s="71" t="str">
        <f>IFERROR(__xludf.DUMMYFUNCTION("""COMPUTED_VALUE"""),"")</f>
        <v/>
      </c>
      <c r="M831" s="71"/>
      <c r="N831" s="109" t="str">
        <f>IFERROR(__xludf.DUMMYFUNCTION("""COMPUTED_VALUE"""),"")</f>
        <v/>
      </c>
      <c r="O831" s="71" t="str">
        <f>IFERROR(__xludf.DUMMYFUNCTION("""COMPUTED_VALUE"""),"")</f>
        <v/>
      </c>
      <c r="P831" s="71" t="str">
        <f>IFERROR(__xludf.DUMMYFUNCTION("""COMPUTED_VALUE"""),"")</f>
        <v/>
      </c>
      <c r="Q831" s="78" t="str">
        <f>IFERROR(__xludf.DUMMYFUNCTION("""COMPUTED_VALUE"""),"")</f>
        <v/>
      </c>
      <c r="R831" s="78" t="str">
        <f>IFERROR(__xludf.DUMMYFUNCTION("""COMPUTED_VALUE"""),"")</f>
        <v/>
      </c>
      <c r="S831" s="80" t="str">
        <f>IFERROR(__xludf.DUMMYFUNCTION("""COMPUTED_VALUE"""),"")</f>
        <v/>
      </c>
      <c r="T831" s="80" t="str">
        <f>IFERROR(__xludf.DUMMYFUNCTION("""COMPUTED_VALUE"""),"")</f>
        <v/>
      </c>
      <c r="U831" s="71" t="str">
        <f>IFERROR(__xludf.DUMMYFUNCTION("""COMPUTED_VALUE"""),"")</f>
        <v/>
      </c>
      <c r="V831" s="78" t="str">
        <f>IFERROR(__xludf.DUMMYFUNCTION("""COMPUTED_VALUE"""),"")</f>
        <v/>
      </c>
      <c r="W831" s="62" t="str">
        <f>IFERROR(__xludf.DUMMYFUNCTION("""COMPUTED_VALUE"""),"")</f>
        <v/>
      </c>
      <c r="X831" s="80" t="str">
        <f>IFERROR(__xludf.DUMMYFUNCTION("""COMPUTED_VALUE"""),"")</f>
        <v/>
      </c>
      <c r="Y831" s="109" t="str">
        <f>IFERROR(__xludf.DUMMYFUNCTION("""COMPUTED_VALUE"""),"")</f>
        <v/>
      </c>
      <c r="Z831" s="71"/>
      <c r="AA831" s="71"/>
      <c r="AB831" s="71"/>
    </row>
    <row r="832">
      <c r="A832" s="71"/>
      <c r="B832" s="71"/>
      <c r="C832" s="71" t="str">
        <f>IFERROR(__xludf.DUMMYFUNCTION("""COMPUTED_VALUE"""),"")</f>
        <v/>
      </c>
      <c r="D832" s="71"/>
      <c r="E832" s="78"/>
      <c r="F832" s="71"/>
      <c r="G832" s="78" t="str">
        <f>IFERROR(__xludf.DUMMYFUNCTION("""COMPUTED_VALUE"""),"")</f>
        <v/>
      </c>
      <c r="H832" s="71"/>
      <c r="I832" s="80" t="str">
        <f>IFERROR(__xludf.DUMMYFUNCTION("""COMPUTED_VALUE"""),"")</f>
        <v/>
      </c>
      <c r="J832" s="71" t="str">
        <f>IFERROR(__xludf.DUMMYFUNCTION("""COMPUTED_VALUE"""),"")</f>
        <v/>
      </c>
      <c r="K832" s="71"/>
      <c r="L832" s="71" t="str">
        <f>IFERROR(__xludf.DUMMYFUNCTION("""COMPUTED_VALUE"""),"")</f>
        <v/>
      </c>
      <c r="M832" s="71"/>
      <c r="N832" s="109" t="str">
        <f>IFERROR(__xludf.DUMMYFUNCTION("""COMPUTED_VALUE"""),"")</f>
        <v/>
      </c>
      <c r="O832" s="71" t="str">
        <f>IFERROR(__xludf.DUMMYFUNCTION("""COMPUTED_VALUE"""),"")</f>
        <v/>
      </c>
      <c r="P832" s="71" t="str">
        <f>IFERROR(__xludf.DUMMYFUNCTION("""COMPUTED_VALUE"""),"")</f>
        <v/>
      </c>
      <c r="Q832" s="78" t="str">
        <f>IFERROR(__xludf.DUMMYFUNCTION("""COMPUTED_VALUE"""),"")</f>
        <v/>
      </c>
      <c r="R832" s="78" t="str">
        <f>IFERROR(__xludf.DUMMYFUNCTION("""COMPUTED_VALUE"""),"")</f>
        <v/>
      </c>
      <c r="S832" s="80" t="str">
        <f>IFERROR(__xludf.DUMMYFUNCTION("""COMPUTED_VALUE"""),"")</f>
        <v/>
      </c>
      <c r="T832" s="80" t="str">
        <f>IFERROR(__xludf.DUMMYFUNCTION("""COMPUTED_VALUE"""),"")</f>
        <v/>
      </c>
      <c r="U832" s="71" t="str">
        <f>IFERROR(__xludf.DUMMYFUNCTION("""COMPUTED_VALUE"""),"")</f>
        <v/>
      </c>
      <c r="V832" s="78" t="str">
        <f>IFERROR(__xludf.DUMMYFUNCTION("""COMPUTED_VALUE"""),"")</f>
        <v/>
      </c>
      <c r="W832" s="62" t="str">
        <f>IFERROR(__xludf.DUMMYFUNCTION("""COMPUTED_VALUE"""),"")</f>
        <v/>
      </c>
      <c r="X832" s="80" t="str">
        <f>IFERROR(__xludf.DUMMYFUNCTION("""COMPUTED_VALUE"""),"")</f>
        <v/>
      </c>
      <c r="Y832" s="109" t="str">
        <f>IFERROR(__xludf.DUMMYFUNCTION("""COMPUTED_VALUE"""),"")</f>
        <v/>
      </c>
      <c r="Z832" s="71"/>
      <c r="AA832" s="71"/>
      <c r="AB832" s="71"/>
    </row>
    <row r="833">
      <c r="A833" s="71"/>
      <c r="B833" s="71"/>
      <c r="C833" s="71" t="str">
        <f>IFERROR(__xludf.DUMMYFUNCTION("""COMPUTED_VALUE"""),"")</f>
        <v/>
      </c>
      <c r="D833" s="71"/>
      <c r="E833" s="78"/>
      <c r="F833" s="71"/>
      <c r="G833" s="78" t="str">
        <f>IFERROR(__xludf.DUMMYFUNCTION("""COMPUTED_VALUE"""),"")</f>
        <v/>
      </c>
      <c r="H833" s="71"/>
      <c r="I833" s="80" t="str">
        <f>IFERROR(__xludf.DUMMYFUNCTION("""COMPUTED_VALUE"""),"")</f>
        <v/>
      </c>
      <c r="J833" s="71" t="str">
        <f>IFERROR(__xludf.DUMMYFUNCTION("""COMPUTED_VALUE"""),"")</f>
        <v/>
      </c>
      <c r="K833" s="71"/>
      <c r="L833" s="71" t="str">
        <f>IFERROR(__xludf.DUMMYFUNCTION("""COMPUTED_VALUE"""),"")</f>
        <v/>
      </c>
      <c r="M833" s="71"/>
      <c r="N833" s="109" t="str">
        <f>IFERROR(__xludf.DUMMYFUNCTION("""COMPUTED_VALUE"""),"")</f>
        <v/>
      </c>
      <c r="O833" s="71" t="str">
        <f>IFERROR(__xludf.DUMMYFUNCTION("""COMPUTED_VALUE"""),"")</f>
        <v/>
      </c>
      <c r="P833" s="71" t="str">
        <f>IFERROR(__xludf.DUMMYFUNCTION("""COMPUTED_VALUE"""),"")</f>
        <v/>
      </c>
      <c r="Q833" s="78" t="str">
        <f>IFERROR(__xludf.DUMMYFUNCTION("""COMPUTED_VALUE"""),"")</f>
        <v/>
      </c>
      <c r="R833" s="78" t="str">
        <f>IFERROR(__xludf.DUMMYFUNCTION("""COMPUTED_VALUE"""),"")</f>
        <v/>
      </c>
      <c r="S833" s="80" t="str">
        <f>IFERROR(__xludf.DUMMYFUNCTION("""COMPUTED_VALUE"""),"")</f>
        <v/>
      </c>
      <c r="T833" s="80" t="str">
        <f>IFERROR(__xludf.DUMMYFUNCTION("""COMPUTED_VALUE"""),"")</f>
        <v/>
      </c>
      <c r="U833" s="71" t="str">
        <f>IFERROR(__xludf.DUMMYFUNCTION("""COMPUTED_VALUE"""),"")</f>
        <v/>
      </c>
      <c r="V833" s="78" t="str">
        <f>IFERROR(__xludf.DUMMYFUNCTION("""COMPUTED_VALUE"""),"")</f>
        <v/>
      </c>
      <c r="W833" s="62" t="str">
        <f>IFERROR(__xludf.DUMMYFUNCTION("""COMPUTED_VALUE"""),"")</f>
        <v/>
      </c>
      <c r="X833" s="80" t="str">
        <f>IFERROR(__xludf.DUMMYFUNCTION("""COMPUTED_VALUE"""),"")</f>
        <v/>
      </c>
      <c r="Y833" s="109" t="str">
        <f>IFERROR(__xludf.DUMMYFUNCTION("""COMPUTED_VALUE"""),"")</f>
        <v/>
      </c>
      <c r="Z833" s="71"/>
      <c r="AA833" s="71"/>
      <c r="AB833" s="71"/>
    </row>
    <row r="834">
      <c r="A834" s="71"/>
      <c r="B834" s="71"/>
      <c r="C834" s="71" t="str">
        <f>IFERROR(__xludf.DUMMYFUNCTION("""COMPUTED_VALUE"""),"")</f>
        <v/>
      </c>
      <c r="D834" s="71"/>
      <c r="E834" s="78"/>
      <c r="F834" s="71"/>
      <c r="G834" s="78" t="str">
        <f>IFERROR(__xludf.DUMMYFUNCTION("""COMPUTED_VALUE"""),"")</f>
        <v/>
      </c>
      <c r="H834" s="71"/>
      <c r="I834" s="80" t="str">
        <f>IFERROR(__xludf.DUMMYFUNCTION("""COMPUTED_VALUE"""),"")</f>
        <v/>
      </c>
      <c r="J834" s="71" t="str">
        <f>IFERROR(__xludf.DUMMYFUNCTION("""COMPUTED_VALUE"""),"")</f>
        <v/>
      </c>
      <c r="K834" s="71"/>
      <c r="L834" s="71" t="str">
        <f>IFERROR(__xludf.DUMMYFUNCTION("""COMPUTED_VALUE"""),"")</f>
        <v/>
      </c>
      <c r="M834" s="71"/>
      <c r="N834" s="109" t="str">
        <f>IFERROR(__xludf.DUMMYFUNCTION("""COMPUTED_VALUE"""),"")</f>
        <v/>
      </c>
      <c r="O834" s="71" t="str">
        <f>IFERROR(__xludf.DUMMYFUNCTION("""COMPUTED_VALUE"""),"")</f>
        <v/>
      </c>
      <c r="P834" s="71" t="str">
        <f>IFERROR(__xludf.DUMMYFUNCTION("""COMPUTED_VALUE"""),"")</f>
        <v/>
      </c>
      <c r="Q834" s="78" t="str">
        <f>IFERROR(__xludf.DUMMYFUNCTION("""COMPUTED_VALUE"""),"")</f>
        <v/>
      </c>
      <c r="R834" s="78" t="str">
        <f>IFERROR(__xludf.DUMMYFUNCTION("""COMPUTED_VALUE"""),"")</f>
        <v/>
      </c>
      <c r="S834" s="80" t="str">
        <f>IFERROR(__xludf.DUMMYFUNCTION("""COMPUTED_VALUE"""),"")</f>
        <v/>
      </c>
      <c r="T834" s="80" t="str">
        <f>IFERROR(__xludf.DUMMYFUNCTION("""COMPUTED_VALUE"""),"")</f>
        <v/>
      </c>
      <c r="U834" s="71" t="str">
        <f>IFERROR(__xludf.DUMMYFUNCTION("""COMPUTED_VALUE"""),"")</f>
        <v/>
      </c>
      <c r="V834" s="78" t="str">
        <f>IFERROR(__xludf.DUMMYFUNCTION("""COMPUTED_VALUE"""),"")</f>
        <v/>
      </c>
      <c r="W834" s="62" t="str">
        <f>IFERROR(__xludf.DUMMYFUNCTION("""COMPUTED_VALUE"""),"")</f>
        <v/>
      </c>
      <c r="X834" s="80" t="str">
        <f>IFERROR(__xludf.DUMMYFUNCTION("""COMPUTED_VALUE"""),"")</f>
        <v/>
      </c>
      <c r="Y834" s="109" t="str">
        <f>IFERROR(__xludf.DUMMYFUNCTION("""COMPUTED_VALUE"""),"")</f>
        <v/>
      </c>
      <c r="Z834" s="71"/>
      <c r="AA834" s="71"/>
      <c r="AB834" s="71"/>
    </row>
    <row r="835">
      <c r="A835" s="71"/>
      <c r="B835" s="71"/>
      <c r="C835" s="71" t="str">
        <f>IFERROR(__xludf.DUMMYFUNCTION("""COMPUTED_VALUE"""),"")</f>
        <v/>
      </c>
      <c r="D835" s="71"/>
      <c r="E835" s="78"/>
      <c r="F835" s="71"/>
      <c r="G835" s="78" t="str">
        <f>IFERROR(__xludf.DUMMYFUNCTION("""COMPUTED_VALUE"""),"")</f>
        <v/>
      </c>
      <c r="H835" s="71"/>
      <c r="I835" s="80" t="str">
        <f>IFERROR(__xludf.DUMMYFUNCTION("""COMPUTED_VALUE"""),"")</f>
        <v/>
      </c>
      <c r="J835" s="71" t="str">
        <f>IFERROR(__xludf.DUMMYFUNCTION("""COMPUTED_VALUE"""),"")</f>
        <v/>
      </c>
      <c r="K835" s="71"/>
      <c r="L835" s="71" t="str">
        <f>IFERROR(__xludf.DUMMYFUNCTION("""COMPUTED_VALUE"""),"")</f>
        <v/>
      </c>
      <c r="M835" s="71"/>
      <c r="N835" s="109" t="str">
        <f>IFERROR(__xludf.DUMMYFUNCTION("""COMPUTED_VALUE"""),"")</f>
        <v/>
      </c>
      <c r="O835" s="71" t="str">
        <f>IFERROR(__xludf.DUMMYFUNCTION("""COMPUTED_VALUE"""),"")</f>
        <v/>
      </c>
      <c r="P835" s="71" t="str">
        <f>IFERROR(__xludf.DUMMYFUNCTION("""COMPUTED_VALUE"""),"")</f>
        <v/>
      </c>
      <c r="Q835" s="78" t="str">
        <f>IFERROR(__xludf.DUMMYFUNCTION("""COMPUTED_VALUE"""),"")</f>
        <v/>
      </c>
      <c r="R835" s="78" t="str">
        <f>IFERROR(__xludf.DUMMYFUNCTION("""COMPUTED_VALUE"""),"")</f>
        <v/>
      </c>
      <c r="S835" s="80" t="str">
        <f>IFERROR(__xludf.DUMMYFUNCTION("""COMPUTED_VALUE"""),"")</f>
        <v/>
      </c>
      <c r="T835" s="80" t="str">
        <f>IFERROR(__xludf.DUMMYFUNCTION("""COMPUTED_VALUE"""),"")</f>
        <v/>
      </c>
      <c r="U835" s="71" t="str">
        <f>IFERROR(__xludf.DUMMYFUNCTION("""COMPUTED_VALUE"""),"")</f>
        <v/>
      </c>
      <c r="V835" s="78" t="str">
        <f>IFERROR(__xludf.DUMMYFUNCTION("""COMPUTED_VALUE"""),"")</f>
        <v/>
      </c>
      <c r="W835" s="62" t="str">
        <f>IFERROR(__xludf.DUMMYFUNCTION("""COMPUTED_VALUE"""),"")</f>
        <v/>
      </c>
      <c r="X835" s="80" t="str">
        <f>IFERROR(__xludf.DUMMYFUNCTION("""COMPUTED_VALUE"""),"")</f>
        <v/>
      </c>
      <c r="Y835" s="109" t="str">
        <f>IFERROR(__xludf.DUMMYFUNCTION("""COMPUTED_VALUE"""),"")</f>
        <v/>
      </c>
      <c r="Z835" s="71"/>
      <c r="AA835" s="71"/>
      <c r="AB835" s="71"/>
    </row>
    <row r="836">
      <c r="A836" s="71"/>
      <c r="B836" s="71"/>
      <c r="C836" s="71" t="str">
        <f>IFERROR(__xludf.DUMMYFUNCTION("""COMPUTED_VALUE"""),"")</f>
        <v/>
      </c>
      <c r="D836" s="71"/>
      <c r="E836" s="78"/>
      <c r="F836" s="71"/>
      <c r="G836" s="78" t="str">
        <f>IFERROR(__xludf.DUMMYFUNCTION("""COMPUTED_VALUE"""),"")</f>
        <v/>
      </c>
      <c r="H836" s="71"/>
      <c r="I836" s="80" t="str">
        <f>IFERROR(__xludf.DUMMYFUNCTION("""COMPUTED_VALUE"""),"")</f>
        <v/>
      </c>
      <c r="J836" s="71" t="str">
        <f>IFERROR(__xludf.DUMMYFUNCTION("""COMPUTED_VALUE"""),"")</f>
        <v/>
      </c>
      <c r="K836" s="71"/>
      <c r="L836" s="71" t="str">
        <f>IFERROR(__xludf.DUMMYFUNCTION("""COMPUTED_VALUE"""),"")</f>
        <v/>
      </c>
      <c r="M836" s="71"/>
      <c r="N836" s="109" t="str">
        <f>IFERROR(__xludf.DUMMYFUNCTION("""COMPUTED_VALUE"""),"")</f>
        <v/>
      </c>
      <c r="O836" s="71" t="str">
        <f>IFERROR(__xludf.DUMMYFUNCTION("""COMPUTED_VALUE"""),"")</f>
        <v/>
      </c>
      <c r="P836" s="71" t="str">
        <f>IFERROR(__xludf.DUMMYFUNCTION("""COMPUTED_VALUE"""),"")</f>
        <v/>
      </c>
      <c r="Q836" s="78" t="str">
        <f>IFERROR(__xludf.DUMMYFUNCTION("""COMPUTED_VALUE"""),"")</f>
        <v/>
      </c>
      <c r="R836" s="78" t="str">
        <f>IFERROR(__xludf.DUMMYFUNCTION("""COMPUTED_VALUE"""),"")</f>
        <v/>
      </c>
      <c r="S836" s="80" t="str">
        <f>IFERROR(__xludf.DUMMYFUNCTION("""COMPUTED_VALUE"""),"")</f>
        <v/>
      </c>
      <c r="T836" s="80" t="str">
        <f>IFERROR(__xludf.DUMMYFUNCTION("""COMPUTED_VALUE"""),"")</f>
        <v/>
      </c>
      <c r="U836" s="71" t="str">
        <f>IFERROR(__xludf.DUMMYFUNCTION("""COMPUTED_VALUE"""),"")</f>
        <v/>
      </c>
      <c r="V836" s="78" t="str">
        <f>IFERROR(__xludf.DUMMYFUNCTION("""COMPUTED_VALUE"""),"")</f>
        <v/>
      </c>
      <c r="W836" s="62" t="str">
        <f>IFERROR(__xludf.DUMMYFUNCTION("""COMPUTED_VALUE"""),"")</f>
        <v/>
      </c>
      <c r="X836" s="80" t="str">
        <f>IFERROR(__xludf.DUMMYFUNCTION("""COMPUTED_VALUE"""),"")</f>
        <v/>
      </c>
      <c r="Y836" s="109" t="str">
        <f>IFERROR(__xludf.DUMMYFUNCTION("""COMPUTED_VALUE"""),"")</f>
        <v/>
      </c>
      <c r="Z836" s="71"/>
      <c r="AA836" s="71"/>
      <c r="AB836" s="71"/>
    </row>
    <row r="837">
      <c r="A837" s="71"/>
      <c r="B837" s="71"/>
      <c r="C837" s="71" t="str">
        <f>IFERROR(__xludf.DUMMYFUNCTION("""COMPUTED_VALUE"""),"")</f>
        <v/>
      </c>
      <c r="D837" s="71"/>
      <c r="E837" s="78"/>
      <c r="F837" s="71"/>
      <c r="G837" s="78" t="str">
        <f>IFERROR(__xludf.DUMMYFUNCTION("""COMPUTED_VALUE"""),"")</f>
        <v/>
      </c>
      <c r="H837" s="71"/>
      <c r="I837" s="80" t="str">
        <f>IFERROR(__xludf.DUMMYFUNCTION("""COMPUTED_VALUE"""),"")</f>
        <v/>
      </c>
      <c r="J837" s="71" t="str">
        <f>IFERROR(__xludf.DUMMYFUNCTION("""COMPUTED_VALUE"""),"")</f>
        <v/>
      </c>
      <c r="K837" s="71"/>
      <c r="L837" s="71" t="str">
        <f>IFERROR(__xludf.DUMMYFUNCTION("""COMPUTED_VALUE"""),"")</f>
        <v/>
      </c>
      <c r="M837" s="71"/>
      <c r="N837" s="109" t="str">
        <f>IFERROR(__xludf.DUMMYFUNCTION("""COMPUTED_VALUE"""),"")</f>
        <v/>
      </c>
      <c r="O837" s="71" t="str">
        <f>IFERROR(__xludf.DUMMYFUNCTION("""COMPUTED_VALUE"""),"")</f>
        <v/>
      </c>
      <c r="P837" s="71" t="str">
        <f>IFERROR(__xludf.DUMMYFUNCTION("""COMPUTED_VALUE"""),"")</f>
        <v/>
      </c>
      <c r="Q837" s="78" t="str">
        <f>IFERROR(__xludf.DUMMYFUNCTION("""COMPUTED_VALUE"""),"")</f>
        <v/>
      </c>
      <c r="R837" s="78" t="str">
        <f>IFERROR(__xludf.DUMMYFUNCTION("""COMPUTED_VALUE"""),"")</f>
        <v/>
      </c>
      <c r="S837" s="80" t="str">
        <f>IFERROR(__xludf.DUMMYFUNCTION("""COMPUTED_VALUE"""),"")</f>
        <v/>
      </c>
      <c r="T837" s="80" t="str">
        <f>IFERROR(__xludf.DUMMYFUNCTION("""COMPUTED_VALUE"""),"")</f>
        <v/>
      </c>
      <c r="U837" s="71" t="str">
        <f>IFERROR(__xludf.DUMMYFUNCTION("""COMPUTED_VALUE"""),"")</f>
        <v/>
      </c>
      <c r="V837" s="78" t="str">
        <f>IFERROR(__xludf.DUMMYFUNCTION("""COMPUTED_VALUE"""),"")</f>
        <v/>
      </c>
      <c r="W837" s="62" t="str">
        <f>IFERROR(__xludf.DUMMYFUNCTION("""COMPUTED_VALUE"""),"")</f>
        <v/>
      </c>
      <c r="X837" s="80" t="str">
        <f>IFERROR(__xludf.DUMMYFUNCTION("""COMPUTED_VALUE"""),"")</f>
        <v/>
      </c>
      <c r="Y837" s="109" t="str">
        <f>IFERROR(__xludf.DUMMYFUNCTION("""COMPUTED_VALUE"""),"")</f>
        <v/>
      </c>
      <c r="Z837" s="71"/>
      <c r="AA837" s="71"/>
      <c r="AB837" s="71"/>
    </row>
    <row r="838">
      <c r="A838" s="71"/>
      <c r="B838" s="71"/>
      <c r="C838" s="71" t="str">
        <f>IFERROR(__xludf.DUMMYFUNCTION("""COMPUTED_VALUE"""),"")</f>
        <v/>
      </c>
      <c r="D838" s="71"/>
      <c r="E838" s="78"/>
      <c r="F838" s="71"/>
      <c r="G838" s="78" t="str">
        <f>IFERROR(__xludf.DUMMYFUNCTION("""COMPUTED_VALUE"""),"")</f>
        <v/>
      </c>
      <c r="H838" s="71"/>
      <c r="I838" s="80" t="str">
        <f>IFERROR(__xludf.DUMMYFUNCTION("""COMPUTED_VALUE"""),"")</f>
        <v/>
      </c>
      <c r="J838" s="71" t="str">
        <f>IFERROR(__xludf.DUMMYFUNCTION("""COMPUTED_VALUE"""),"")</f>
        <v/>
      </c>
      <c r="K838" s="71"/>
      <c r="L838" s="71" t="str">
        <f>IFERROR(__xludf.DUMMYFUNCTION("""COMPUTED_VALUE"""),"")</f>
        <v/>
      </c>
      <c r="M838" s="71"/>
      <c r="N838" s="109" t="str">
        <f>IFERROR(__xludf.DUMMYFUNCTION("""COMPUTED_VALUE"""),"")</f>
        <v/>
      </c>
      <c r="O838" s="71" t="str">
        <f>IFERROR(__xludf.DUMMYFUNCTION("""COMPUTED_VALUE"""),"")</f>
        <v/>
      </c>
      <c r="P838" s="71" t="str">
        <f>IFERROR(__xludf.DUMMYFUNCTION("""COMPUTED_VALUE"""),"")</f>
        <v/>
      </c>
      <c r="Q838" s="78" t="str">
        <f>IFERROR(__xludf.DUMMYFUNCTION("""COMPUTED_VALUE"""),"")</f>
        <v/>
      </c>
      <c r="R838" s="78" t="str">
        <f>IFERROR(__xludf.DUMMYFUNCTION("""COMPUTED_VALUE"""),"")</f>
        <v/>
      </c>
      <c r="S838" s="80" t="str">
        <f>IFERROR(__xludf.DUMMYFUNCTION("""COMPUTED_VALUE"""),"")</f>
        <v/>
      </c>
      <c r="T838" s="80" t="str">
        <f>IFERROR(__xludf.DUMMYFUNCTION("""COMPUTED_VALUE"""),"")</f>
        <v/>
      </c>
      <c r="U838" s="71" t="str">
        <f>IFERROR(__xludf.DUMMYFUNCTION("""COMPUTED_VALUE"""),"")</f>
        <v/>
      </c>
      <c r="V838" s="78" t="str">
        <f>IFERROR(__xludf.DUMMYFUNCTION("""COMPUTED_VALUE"""),"")</f>
        <v/>
      </c>
      <c r="W838" s="62" t="str">
        <f>IFERROR(__xludf.DUMMYFUNCTION("""COMPUTED_VALUE"""),"")</f>
        <v/>
      </c>
      <c r="X838" s="80" t="str">
        <f>IFERROR(__xludf.DUMMYFUNCTION("""COMPUTED_VALUE"""),"")</f>
        <v/>
      </c>
      <c r="Y838" s="109" t="str">
        <f>IFERROR(__xludf.DUMMYFUNCTION("""COMPUTED_VALUE"""),"")</f>
        <v/>
      </c>
      <c r="Z838" s="71"/>
      <c r="AA838" s="71"/>
      <c r="AB838" s="71"/>
    </row>
    <row r="839">
      <c r="A839" s="71"/>
      <c r="B839" s="71"/>
      <c r="C839" s="71" t="str">
        <f>IFERROR(__xludf.DUMMYFUNCTION("""COMPUTED_VALUE"""),"")</f>
        <v/>
      </c>
      <c r="D839" s="71"/>
      <c r="E839" s="78"/>
      <c r="F839" s="71"/>
      <c r="G839" s="78" t="str">
        <f>IFERROR(__xludf.DUMMYFUNCTION("""COMPUTED_VALUE"""),"")</f>
        <v/>
      </c>
      <c r="H839" s="71"/>
      <c r="I839" s="80" t="str">
        <f>IFERROR(__xludf.DUMMYFUNCTION("""COMPUTED_VALUE"""),"")</f>
        <v/>
      </c>
      <c r="J839" s="71" t="str">
        <f>IFERROR(__xludf.DUMMYFUNCTION("""COMPUTED_VALUE"""),"")</f>
        <v/>
      </c>
      <c r="K839" s="71"/>
      <c r="L839" s="71" t="str">
        <f>IFERROR(__xludf.DUMMYFUNCTION("""COMPUTED_VALUE"""),"")</f>
        <v/>
      </c>
      <c r="M839" s="71"/>
      <c r="N839" s="109" t="str">
        <f>IFERROR(__xludf.DUMMYFUNCTION("""COMPUTED_VALUE"""),"")</f>
        <v/>
      </c>
      <c r="O839" s="71" t="str">
        <f>IFERROR(__xludf.DUMMYFUNCTION("""COMPUTED_VALUE"""),"")</f>
        <v/>
      </c>
      <c r="P839" s="71" t="str">
        <f>IFERROR(__xludf.DUMMYFUNCTION("""COMPUTED_VALUE"""),"")</f>
        <v/>
      </c>
      <c r="Q839" s="78" t="str">
        <f>IFERROR(__xludf.DUMMYFUNCTION("""COMPUTED_VALUE"""),"")</f>
        <v/>
      </c>
      <c r="R839" s="78" t="str">
        <f>IFERROR(__xludf.DUMMYFUNCTION("""COMPUTED_VALUE"""),"")</f>
        <v/>
      </c>
      <c r="S839" s="80" t="str">
        <f>IFERROR(__xludf.DUMMYFUNCTION("""COMPUTED_VALUE"""),"")</f>
        <v/>
      </c>
      <c r="T839" s="80" t="str">
        <f>IFERROR(__xludf.DUMMYFUNCTION("""COMPUTED_VALUE"""),"")</f>
        <v/>
      </c>
      <c r="U839" s="71" t="str">
        <f>IFERROR(__xludf.DUMMYFUNCTION("""COMPUTED_VALUE"""),"")</f>
        <v/>
      </c>
      <c r="V839" s="78" t="str">
        <f>IFERROR(__xludf.DUMMYFUNCTION("""COMPUTED_VALUE"""),"")</f>
        <v/>
      </c>
      <c r="W839" s="62" t="str">
        <f>IFERROR(__xludf.DUMMYFUNCTION("""COMPUTED_VALUE"""),"")</f>
        <v/>
      </c>
      <c r="X839" s="80" t="str">
        <f>IFERROR(__xludf.DUMMYFUNCTION("""COMPUTED_VALUE"""),"")</f>
        <v/>
      </c>
      <c r="Y839" s="109" t="str">
        <f>IFERROR(__xludf.DUMMYFUNCTION("""COMPUTED_VALUE"""),"")</f>
        <v/>
      </c>
      <c r="Z839" s="71"/>
      <c r="AA839" s="71"/>
      <c r="AB839" s="71"/>
    </row>
    <row r="840">
      <c r="A840" s="71"/>
      <c r="B840" s="71"/>
      <c r="C840" s="71" t="str">
        <f>IFERROR(__xludf.DUMMYFUNCTION("""COMPUTED_VALUE"""),"")</f>
        <v/>
      </c>
      <c r="D840" s="71"/>
      <c r="E840" s="78"/>
      <c r="F840" s="71"/>
      <c r="G840" s="78" t="str">
        <f>IFERROR(__xludf.DUMMYFUNCTION("""COMPUTED_VALUE"""),"")</f>
        <v/>
      </c>
      <c r="H840" s="71"/>
      <c r="I840" s="80" t="str">
        <f>IFERROR(__xludf.DUMMYFUNCTION("""COMPUTED_VALUE"""),"")</f>
        <v/>
      </c>
      <c r="J840" s="71" t="str">
        <f>IFERROR(__xludf.DUMMYFUNCTION("""COMPUTED_VALUE"""),"")</f>
        <v/>
      </c>
      <c r="K840" s="71"/>
      <c r="L840" s="71" t="str">
        <f>IFERROR(__xludf.DUMMYFUNCTION("""COMPUTED_VALUE"""),"")</f>
        <v/>
      </c>
      <c r="M840" s="71"/>
      <c r="N840" s="109" t="str">
        <f>IFERROR(__xludf.DUMMYFUNCTION("""COMPUTED_VALUE"""),"")</f>
        <v/>
      </c>
      <c r="O840" s="71" t="str">
        <f>IFERROR(__xludf.DUMMYFUNCTION("""COMPUTED_VALUE"""),"")</f>
        <v/>
      </c>
      <c r="P840" s="71" t="str">
        <f>IFERROR(__xludf.DUMMYFUNCTION("""COMPUTED_VALUE"""),"")</f>
        <v/>
      </c>
      <c r="Q840" s="78" t="str">
        <f>IFERROR(__xludf.DUMMYFUNCTION("""COMPUTED_VALUE"""),"")</f>
        <v/>
      </c>
      <c r="R840" s="78" t="str">
        <f>IFERROR(__xludf.DUMMYFUNCTION("""COMPUTED_VALUE"""),"")</f>
        <v/>
      </c>
      <c r="S840" s="80" t="str">
        <f>IFERROR(__xludf.DUMMYFUNCTION("""COMPUTED_VALUE"""),"")</f>
        <v/>
      </c>
      <c r="T840" s="80" t="str">
        <f>IFERROR(__xludf.DUMMYFUNCTION("""COMPUTED_VALUE"""),"")</f>
        <v/>
      </c>
      <c r="U840" s="71" t="str">
        <f>IFERROR(__xludf.DUMMYFUNCTION("""COMPUTED_VALUE"""),"")</f>
        <v/>
      </c>
      <c r="V840" s="78" t="str">
        <f>IFERROR(__xludf.DUMMYFUNCTION("""COMPUTED_VALUE"""),"")</f>
        <v/>
      </c>
      <c r="W840" s="62" t="str">
        <f>IFERROR(__xludf.DUMMYFUNCTION("""COMPUTED_VALUE"""),"")</f>
        <v/>
      </c>
      <c r="X840" s="80" t="str">
        <f>IFERROR(__xludf.DUMMYFUNCTION("""COMPUTED_VALUE"""),"")</f>
        <v/>
      </c>
      <c r="Y840" s="109" t="str">
        <f>IFERROR(__xludf.DUMMYFUNCTION("""COMPUTED_VALUE"""),"")</f>
        <v/>
      </c>
      <c r="Z840" s="71"/>
      <c r="AA840" s="71"/>
      <c r="AB840" s="71"/>
    </row>
    <row r="841">
      <c r="A841" s="71"/>
      <c r="B841" s="71"/>
      <c r="C841" s="71" t="str">
        <f>IFERROR(__xludf.DUMMYFUNCTION("""COMPUTED_VALUE"""),"")</f>
        <v/>
      </c>
      <c r="D841" s="71"/>
      <c r="E841" s="78"/>
      <c r="F841" s="71"/>
      <c r="G841" s="78" t="str">
        <f>IFERROR(__xludf.DUMMYFUNCTION("""COMPUTED_VALUE"""),"")</f>
        <v/>
      </c>
      <c r="H841" s="71"/>
      <c r="I841" s="80" t="str">
        <f>IFERROR(__xludf.DUMMYFUNCTION("""COMPUTED_VALUE"""),"")</f>
        <v/>
      </c>
      <c r="J841" s="71" t="str">
        <f>IFERROR(__xludf.DUMMYFUNCTION("""COMPUTED_VALUE"""),"")</f>
        <v/>
      </c>
      <c r="K841" s="71"/>
      <c r="L841" s="71" t="str">
        <f>IFERROR(__xludf.DUMMYFUNCTION("""COMPUTED_VALUE"""),"")</f>
        <v/>
      </c>
      <c r="M841" s="71"/>
      <c r="N841" s="109" t="str">
        <f>IFERROR(__xludf.DUMMYFUNCTION("""COMPUTED_VALUE"""),"")</f>
        <v/>
      </c>
      <c r="O841" s="71" t="str">
        <f>IFERROR(__xludf.DUMMYFUNCTION("""COMPUTED_VALUE"""),"")</f>
        <v/>
      </c>
      <c r="P841" s="71" t="str">
        <f>IFERROR(__xludf.DUMMYFUNCTION("""COMPUTED_VALUE"""),"")</f>
        <v/>
      </c>
      <c r="Q841" s="78" t="str">
        <f>IFERROR(__xludf.DUMMYFUNCTION("""COMPUTED_VALUE"""),"")</f>
        <v/>
      </c>
      <c r="R841" s="78" t="str">
        <f>IFERROR(__xludf.DUMMYFUNCTION("""COMPUTED_VALUE"""),"")</f>
        <v/>
      </c>
      <c r="S841" s="80" t="str">
        <f>IFERROR(__xludf.DUMMYFUNCTION("""COMPUTED_VALUE"""),"")</f>
        <v/>
      </c>
      <c r="T841" s="80" t="str">
        <f>IFERROR(__xludf.DUMMYFUNCTION("""COMPUTED_VALUE"""),"")</f>
        <v/>
      </c>
      <c r="U841" s="71" t="str">
        <f>IFERROR(__xludf.DUMMYFUNCTION("""COMPUTED_VALUE"""),"")</f>
        <v/>
      </c>
      <c r="V841" s="78" t="str">
        <f>IFERROR(__xludf.DUMMYFUNCTION("""COMPUTED_VALUE"""),"")</f>
        <v/>
      </c>
      <c r="W841" s="62" t="str">
        <f>IFERROR(__xludf.DUMMYFUNCTION("""COMPUTED_VALUE"""),"")</f>
        <v/>
      </c>
      <c r="X841" s="80" t="str">
        <f>IFERROR(__xludf.DUMMYFUNCTION("""COMPUTED_VALUE"""),"")</f>
        <v/>
      </c>
      <c r="Y841" s="109" t="str">
        <f>IFERROR(__xludf.DUMMYFUNCTION("""COMPUTED_VALUE"""),"")</f>
        <v/>
      </c>
      <c r="Z841" s="71"/>
      <c r="AA841" s="71"/>
      <c r="AB841" s="71"/>
    </row>
    <row r="842">
      <c r="A842" s="71"/>
      <c r="B842" s="71"/>
      <c r="C842" s="71" t="str">
        <f>IFERROR(__xludf.DUMMYFUNCTION("""COMPUTED_VALUE"""),"")</f>
        <v/>
      </c>
      <c r="D842" s="71"/>
      <c r="E842" s="78"/>
      <c r="F842" s="71"/>
      <c r="G842" s="78" t="str">
        <f>IFERROR(__xludf.DUMMYFUNCTION("""COMPUTED_VALUE"""),"")</f>
        <v/>
      </c>
      <c r="H842" s="71"/>
      <c r="I842" s="80" t="str">
        <f>IFERROR(__xludf.DUMMYFUNCTION("""COMPUTED_VALUE"""),"")</f>
        <v/>
      </c>
      <c r="J842" s="71" t="str">
        <f>IFERROR(__xludf.DUMMYFUNCTION("""COMPUTED_VALUE"""),"")</f>
        <v/>
      </c>
      <c r="K842" s="71"/>
      <c r="L842" s="71" t="str">
        <f>IFERROR(__xludf.DUMMYFUNCTION("""COMPUTED_VALUE"""),"")</f>
        <v/>
      </c>
      <c r="M842" s="71"/>
      <c r="N842" s="109" t="str">
        <f>IFERROR(__xludf.DUMMYFUNCTION("""COMPUTED_VALUE"""),"")</f>
        <v/>
      </c>
      <c r="O842" s="71" t="str">
        <f>IFERROR(__xludf.DUMMYFUNCTION("""COMPUTED_VALUE"""),"")</f>
        <v/>
      </c>
      <c r="P842" s="71" t="str">
        <f>IFERROR(__xludf.DUMMYFUNCTION("""COMPUTED_VALUE"""),"")</f>
        <v/>
      </c>
      <c r="Q842" s="78" t="str">
        <f>IFERROR(__xludf.DUMMYFUNCTION("""COMPUTED_VALUE"""),"")</f>
        <v/>
      </c>
      <c r="R842" s="78" t="str">
        <f>IFERROR(__xludf.DUMMYFUNCTION("""COMPUTED_VALUE"""),"")</f>
        <v/>
      </c>
      <c r="S842" s="80" t="str">
        <f>IFERROR(__xludf.DUMMYFUNCTION("""COMPUTED_VALUE"""),"")</f>
        <v/>
      </c>
      <c r="T842" s="80" t="str">
        <f>IFERROR(__xludf.DUMMYFUNCTION("""COMPUTED_VALUE"""),"")</f>
        <v/>
      </c>
      <c r="U842" s="71" t="str">
        <f>IFERROR(__xludf.DUMMYFUNCTION("""COMPUTED_VALUE"""),"")</f>
        <v/>
      </c>
      <c r="V842" s="78" t="str">
        <f>IFERROR(__xludf.DUMMYFUNCTION("""COMPUTED_VALUE"""),"")</f>
        <v/>
      </c>
      <c r="W842" s="62" t="str">
        <f>IFERROR(__xludf.DUMMYFUNCTION("""COMPUTED_VALUE"""),"")</f>
        <v/>
      </c>
      <c r="X842" s="80" t="str">
        <f>IFERROR(__xludf.DUMMYFUNCTION("""COMPUTED_VALUE"""),"")</f>
        <v/>
      </c>
      <c r="Y842" s="109" t="str">
        <f>IFERROR(__xludf.DUMMYFUNCTION("""COMPUTED_VALUE"""),"")</f>
        <v/>
      </c>
      <c r="Z842" s="71"/>
      <c r="AA842" s="71"/>
      <c r="AB842" s="71"/>
    </row>
    <row r="843">
      <c r="A843" s="71"/>
      <c r="B843" s="71"/>
      <c r="C843" s="71" t="str">
        <f>IFERROR(__xludf.DUMMYFUNCTION("""COMPUTED_VALUE"""),"")</f>
        <v/>
      </c>
      <c r="D843" s="71"/>
      <c r="E843" s="78"/>
      <c r="F843" s="71"/>
      <c r="G843" s="78" t="str">
        <f>IFERROR(__xludf.DUMMYFUNCTION("""COMPUTED_VALUE"""),"")</f>
        <v/>
      </c>
      <c r="H843" s="71"/>
      <c r="I843" s="80" t="str">
        <f>IFERROR(__xludf.DUMMYFUNCTION("""COMPUTED_VALUE"""),"")</f>
        <v/>
      </c>
      <c r="J843" s="71" t="str">
        <f>IFERROR(__xludf.DUMMYFUNCTION("""COMPUTED_VALUE"""),"")</f>
        <v/>
      </c>
      <c r="K843" s="71"/>
      <c r="L843" s="71" t="str">
        <f>IFERROR(__xludf.DUMMYFUNCTION("""COMPUTED_VALUE"""),"")</f>
        <v/>
      </c>
      <c r="M843" s="71"/>
      <c r="N843" s="109" t="str">
        <f>IFERROR(__xludf.DUMMYFUNCTION("""COMPUTED_VALUE"""),"")</f>
        <v/>
      </c>
      <c r="O843" s="71" t="str">
        <f>IFERROR(__xludf.DUMMYFUNCTION("""COMPUTED_VALUE"""),"")</f>
        <v/>
      </c>
      <c r="P843" s="71" t="str">
        <f>IFERROR(__xludf.DUMMYFUNCTION("""COMPUTED_VALUE"""),"")</f>
        <v/>
      </c>
      <c r="Q843" s="78" t="str">
        <f>IFERROR(__xludf.DUMMYFUNCTION("""COMPUTED_VALUE"""),"")</f>
        <v/>
      </c>
      <c r="R843" s="78" t="str">
        <f>IFERROR(__xludf.DUMMYFUNCTION("""COMPUTED_VALUE"""),"")</f>
        <v/>
      </c>
      <c r="S843" s="80" t="str">
        <f>IFERROR(__xludf.DUMMYFUNCTION("""COMPUTED_VALUE"""),"")</f>
        <v/>
      </c>
      <c r="T843" s="80" t="str">
        <f>IFERROR(__xludf.DUMMYFUNCTION("""COMPUTED_VALUE"""),"")</f>
        <v/>
      </c>
      <c r="U843" s="71" t="str">
        <f>IFERROR(__xludf.DUMMYFUNCTION("""COMPUTED_VALUE"""),"")</f>
        <v/>
      </c>
      <c r="V843" s="78" t="str">
        <f>IFERROR(__xludf.DUMMYFUNCTION("""COMPUTED_VALUE"""),"")</f>
        <v/>
      </c>
      <c r="W843" s="62" t="str">
        <f>IFERROR(__xludf.DUMMYFUNCTION("""COMPUTED_VALUE"""),"")</f>
        <v/>
      </c>
      <c r="X843" s="80" t="str">
        <f>IFERROR(__xludf.DUMMYFUNCTION("""COMPUTED_VALUE"""),"")</f>
        <v/>
      </c>
      <c r="Y843" s="109" t="str">
        <f>IFERROR(__xludf.DUMMYFUNCTION("""COMPUTED_VALUE"""),"")</f>
        <v/>
      </c>
      <c r="Z843" s="71"/>
      <c r="AA843" s="71"/>
      <c r="AB843" s="71"/>
    </row>
    <row r="844">
      <c r="A844" s="71"/>
      <c r="B844" s="71"/>
      <c r="C844" s="71" t="str">
        <f>IFERROR(__xludf.DUMMYFUNCTION("""COMPUTED_VALUE"""),"")</f>
        <v/>
      </c>
      <c r="D844" s="71"/>
      <c r="E844" s="78"/>
      <c r="F844" s="71"/>
      <c r="G844" s="78" t="str">
        <f>IFERROR(__xludf.DUMMYFUNCTION("""COMPUTED_VALUE"""),"")</f>
        <v/>
      </c>
      <c r="H844" s="71"/>
      <c r="I844" s="80" t="str">
        <f>IFERROR(__xludf.DUMMYFUNCTION("""COMPUTED_VALUE"""),"")</f>
        <v/>
      </c>
      <c r="J844" s="71" t="str">
        <f>IFERROR(__xludf.DUMMYFUNCTION("""COMPUTED_VALUE"""),"")</f>
        <v/>
      </c>
      <c r="K844" s="71"/>
      <c r="L844" s="71" t="str">
        <f>IFERROR(__xludf.DUMMYFUNCTION("""COMPUTED_VALUE"""),"")</f>
        <v/>
      </c>
      <c r="M844" s="71"/>
      <c r="N844" s="109" t="str">
        <f>IFERROR(__xludf.DUMMYFUNCTION("""COMPUTED_VALUE"""),"")</f>
        <v/>
      </c>
      <c r="O844" s="71" t="str">
        <f>IFERROR(__xludf.DUMMYFUNCTION("""COMPUTED_VALUE"""),"")</f>
        <v/>
      </c>
      <c r="P844" s="71" t="str">
        <f>IFERROR(__xludf.DUMMYFUNCTION("""COMPUTED_VALUE"""),"")</f>
        <v/>
      </c>
      <c r="Q844" s="78" t="str">
        <f>IFERROR(__xludf.DUMMYFUNCTION("""COMPUTED_VALUE"""),"")</f>
        <v/>
      </c>
      <c r="R844" s="78" t="str">
        <f>IFERROR(__xludf.DUMMYFUNCTION("""COMPUTED_VALUE"""),"")</f>
        <v/>
      </c>
      <c r="S844" s="80" t="str">
        <f>IFERROR(__xludf.DUMMYFUNCTION("""COMPUTED_VALUE"""),"")</f>
        <v/>
      </c>
      <c r="T844" s="80" t="str">
        <f>IFERROR(__xludf.DUMMYFUNCTION("""COMPUTED_VALUE"""),"")</f>
        <v/>
      </c>
      <c r="U844" s="71" t="str">
        <f>IFERROR(__xludf.DUMMYFUNCTION("""COMPUTED_VALUE"""),"")</f>
        <v/>
      </c>
      <c r="V844" s="78" t="str">
        <f>IFERROR(__xludf.DUMMYFUNCTION("""COMPUTED_VALUE"""),"")</f>
        <v/>
      </c>
      <c r="W844" s="62" t="str">
        <f>IFERROR(__xludf.DUMMYFUNCTION("""COMPUTED_VALUE"""),"")</f>
        <v/>
      </c>
      <c r="X844" s="80" t="str">
        <f>IFERROR(__xludf.DUMMYFUNCTION("""COMPUTED_VALUE"""),"")</f>
        <v/>
      </c>
      <c r="Y844" s="109" t="str">
        <f>IFERROR(__xludf.DUMMYFUNCTION("""COMPUTED_VALUE"""),"")</f>
        <v/>
      </c>
      <c r="Z844" s="71"/>
      <c r="AA844" s="71"/>
      <c r="AB844" s="71"/>
    </row>
    <row r="845">
      <c r="A845" s="71"/>
      <c r="B845" s="71"/>
      <c r="C845" s="71" t="str">
        <f>IFERROR(__xludf.DUMMYFUNCTION("""COMPUTED_VALUE"""),"")</f>
        <v/>
      </c>
      <c r="D845" s="71"/>
      <c r="E845" s="78"/>
      <c r="F845" s="71"/>
      <c r="G845" s="78" t="str">
        <f>IFERROR(__xludf.DUMMYFUNCTION("""COMPUTED_VALUE"""),"")</f>
        <v/>
      </c>
      <c r="H845" s="71"/>
      <c r="I845" s="80" t="str">
        <f>IFERROR(__xludf.DUMMYFUNCTION("""COMPUTED_VALUE"""),"")</f>
        <v/>
      </c>
      <c r="J845" s="71" t="str">
        <f>IFERROR(__xludf.DUMMYFUNCTION("""COMPUTED_VALUE"""),"")</f>
        <v/>
      </c>
      <c r="K845" s="71"/>
      <c r="L845" s="71" t="str">
        <f>IFERROR(__xludf.DUMMYFUNCTION("""COMPUTED_VALUE"""),"")</f>
        <v/>
      </c>
      <c r="M845" s="71"/>
      <c r="N845" s="109" t="str">
        <f>IFERROR(__xludf.DUMMYFUNCTION("""COMPUTED_VALUE"""),"")</f>
        <v/>
      </c>
      <c r="O845" s="71" t="str">
        <f>IFERROR(__xludf.DUMMYFUNCTION("""COMPUTED_VALUE"""),"")</f>
        <v/>
      </c>
      <c r="P845" s="71" t="str">
        <f>IFERROR(__xludf.DUMMYFUNCTION("""COMPUTED_VALUE"""),"")</f>
        <v/>
      </c>
      <c r="Q845" s="78" t="str">
        <f>IFERROR(__xludf.DUMMYFUNCTION("""COMPUTED_VALUE"""),"")</f>
        <v/>
      </c>
      <c r="R845" s="78" t="str">
        <f>IFERROR(__xludf.DUMMYFUNCTION("""COMPUTED_VALUE"""),"")</f>
        <v/>
      </c>
      <c r="S845" s="80" t="str">
        <f>IFERROR(__xludf.DUMMYFUNCTION("""COMPUTED_VALUE"""),"")</f>
        <v/>
      </c>
      <c r="T845" s="80" t="str">
        <f>IFERROR(__xludf.DUMMYFUNCTION("""COMPUTED_VALUE"""),"")</f>
        <v/>
      </c>
      <c r="U845" s="71" t="str">
        <f>IFERROR(__xludf.DUMMYFUNCTION("""COMPUTED_VALUE"""),"")</f>
        <v/>
      </c>
      <c r="V845" s="78" t="str">
        <f>IFERROR(__xludf.DUMMYFUNCTION("""COMPUTED_VALUE"""),"")</f>
        <v/>
      </c>
      <c r="W845" s="62" t="str">
        <f>IFERROR(__xludf.DUMMYFUNCTION("""COMPUTED_VALUE"""),"")</f>
        <v/>
      </c>
      <c r="X845" s="80" t="str">
        <f>IFERROR(__xludf.DUMMYFUNCTION("""COMPUTED_VALUE"""),"")</f>
        <v/>
      </c>
      <c r="Y845" s="109" t="str">
        <f>IFERROR(__xludf.DUMMYFUNCTION("""COMPUTED_VALUE"""),"")</f>
        <v/>
      </c>
      <c r="Z845" s="71"/>
      <c r="AA845" s="71"/>
      <c r="AB845" s="71"/>
    </row>
    <row r="846">
      <c r="A846" s="71"/>
      <c r="B846" s="71"/>
      <c r="C846" s="71" t="str">
        <f>IFERROR(__xludf.DUMMYFUNCTION("""COMPUTED_VALUE"""),"")</f>
        <v/>
      </c>
      <c r="D846" s="71"/>
      <c r="E846" s="78"/>
      <c r="F846" s="71"/>
      <c r="G846" s="78" t="str">
        <f>IFERROR(__xludf.DUMMYFUNCTION("""COMPUTED_VALUE"""),"")</f>
        <v/>
      </c>
      <c r="H846" s="71"/>
      <c r="I846" s="80" t="str">
        <f>IFERROR(__xludf.DUMMYFUNCTION("""COMPUTED_VALUE"""),"")</f>
        <v/>
      </c>
      <c r="J846" s="71" t="str">
        <f>IFERROR(__xludf.DUMMYFUNCTION("""COMPUTED_VALUE"""),"")</f>
        <v/>
      </c>
      <c r="K846" s="71"/>
      <c r="L846" s="71" t="str">
        <f>IFERROR(__xludf.DUMMYFUNCTION("""COMPUTED_VALUE"""),"")</f>
        <v/>
      </c>
      <c r="M846" s="71"/>
      <c r="N846" s="109" t="str">
        <f>IFERROR(__xludf.DUMMYFUNCTION("""COMPUTED_VALUE"""),"")</f>
        <v/>
      </c>
      <c r="O846" s="71" t="str">
        <f>IFERROR(__xludf.DUMMYFUNCTION("""COMPUTED_VALUE"""),"")</f>
        <v/>
      </c>
      <c r="P846" s="71" t="str">
        <f>IFERROR(__xludf.DUMMYFUNCTION("""COMPUTED_VALUE"""),"")</f>
        <v/>
      </c>
      <c r="Q846" s="78" t="str">
        <f>IFERROR(__xludf.DUMMYFUNCTION("""COMPUTED_VALUE"""),"")</f>
        <v/>
      </c>
      <c r="R846" s="78" t="str">
        <f>IFERROR(__xludf.DUMMYFUNCTION("""COMPUTED_VALUE"""),"")</f>
        <v/>
      </c>
      <c r="S846" s="80" t="str">
        <f>IFERROR(__xludf.DUMMYFUNCTION("""COMPUTED_VALUE"""),"")</f>
        <v/>
      </c>
      <c r="T846" s="80" t="str">
        <f>IFERROR(__xludf.DUMMYFUNCTION("""COMPUTED_VALUE"""),"")</f>
        <v/>
      </c>
      <c r="U846" s="71" t="str">
        <f>IFERROR(__xludf.DUMMYFUNCTION("""COMPUTED_VALUE"""),"")</f>
        <v/>
      </c>
      <c r="V846" s="78" t="str">
        <f>IFERROR(__xludf.DUMMYFUNCTION("""COMPUTED_VALUE"""),"")</f>
        <v/>
      </c>
      <c r="W846" s="62" t="str">
        <f>IFERROR(__xludf.DUMMYFUNCTION("""COMPUTED_VALUE"""),"")</f>
        <v/>
      </c>
      <c r="X846" s="80" t="str">
        <f>IFERROR(__xludf.DUMMYFUNCTION("""COMPUTED_VALUE"""),"")</f>
        <v/>
      </c>
      <c r="Y846" s="109" t="str">
        <f>IFERROR(__xludf.DUMMYFUNCTION("""COMPUTED_VALUE"""),"")</f>
        <v/>
      </c>
      <c r="Z846" s="71"/>
      <c r="AA846" s="71"/>
      <c r="AB846" s="71"/>
    </row>
    <row r="847">
      <c r="A847" s="71"/>
      <c r="B847" s="71"/>
      <c r="C847" s="71" t="str">
        <f>IFERROR(__xludf.DUMMYFUNCTION("""COMPUTED_VALUE"""),"")</f>
        <v/>
      </c>
      <c r="D847" s="71"/>
      <c r="E847" s="78"/>
      <c r="F847" s="71"/>
      <c r="G847" s="78" t="str">
        <f>IFERROR(__xludf.DUMMYFUNCTION("""COMPUTED_VALUE"""),"")</f>
        <v/>
      </c>
      <c r="H847" s="71"/>
      <c r="I847" s="80" t="str">
        <f>IFERROR(__xludf.DUMMYFUNCTION("""COMPUTED_VALUE"""),"")</f>
        <v/>
      </c>
      <c r="J847" s="71" t="str">
        <f>IFERROR(__xludf.DUMMYFUNCTION("""COMPUTED_VALUE"""),"")</f>
        <v/>
      </c>
      <c r="K847" s="71"/>
      <c r="L847" s="71" t="str">
        <f>IFERROR(__xludf.DUMMYFUNCTION("""COMPUTED_VALUE"""),"")</f>
        <v/>
      </c>
      <c r="M847" s="71"/>
      <c r="N847" s="109" t="str">
        <f>IFERROR(__xludf.DUMMYFUNCTION("""COMPUTED_VALUE"""),"")</f>
        <v/>
      </c>
      <c r="O847" s="71" t="str">
        <f>IFERROR(__xludf.DUMMYFUNCTION("""COMPUTED_VALUE"""),"")</f>
        <v/>
      </c>
      <c r="P847" s="71" t="str">
        <f>IFERROR(__xludf.DUMMYFUNCTION("""COMPUTED_VALUE"""),"")</f>
        <v/>
      </c>
      <c r="Q847" s="78" t="str">
        <f>IFERROR(__xludf.DUMMYFUNCTION("""COMPUTED_VALUE"""),"")</f>
        <v/>
      </c>
      <c r="R847" s="78" t="str">
        <f>IFERROR(__xludf.DUMMYFUNCTION("""COMPUTED_VALUE"""),"")</f>
        <v/>
      </c>
      <c r="S847" s="80" t="str">
        <f>IFERROR(__xludf.DUMMYFUNCTION("""COMPUTED_VALUE"""),"")</f>
        <v/>
      </c>
      <c r="T847" s="80" t="str">
        <f>IFERROR(__xludf.DUMMYFUNCTION("""COMPUTED_VALUE"""),"")</f>
        <v/>
      </c>
      <c r="U847" s="71" t="str">
        <f>IFERROR(__xludf.DUMMYFUNCTION("""COMPUTED_VALUE"""),"")</f>
        <v/>
      </c>
      <c r="V847" s="78" t="str">
        <f>IFERROR(__xludf.DUMMYFUNCTION("""COMPUTED_VALUE"""),"")</f>
        <v/>
      </c>
      <c r="W847" s="62" t="str">
        <f>IFERROR(__xludf.DUMMYFUNCTION("""COMPUTED_VALUE"""),"")</f>
        <v/>
      </c>
      <c r="X847" s="80" t="str">
        <f>IFERROR(__xludf.DUMMYFUNCTION("""COMPUTED_VALUE"""),"")</f>
        <v/>
      </c>
      <c r="Y847" s="109" t="str">
        <f>IFERROR(__xludf.DUMMYFUNCTION("""COMPUTED_VALUE"""),"")</f>
        <v/>
      </c>
      <c r="Z847" s="71"/>
      <c r="AA847" s="71"/>
      <c r="AB847" s="71"/>
    </row>
    <row r="848">
      <c r="A848" s="71"/>
      <c r="B848" s="71"/>
      <c r="C848" s="71" t="str">
        <f>IFERROR(__xludf.DUMMYFUNCTION("""COMPUTED_VALUE"""),"")</f>
        <v/>
      </c>
      <c r="D848" s="71"/>
      <c r="E848" s="78"/>
      <c r="F848" s="71"/>
      <c r="G848" s="78" t="str">
        <f>IFERROR(__xludf.DUMMYFUNCTION("""COMPUTED_VALUE"""),"")</f>
        <v/>
      </c>
      <c r="H848" s="71"/>
      <c r="I848" s="80" t="str">
        <f>IFERROR(__xludf.DUMMYFUNCTION("""COMPUTED_VALUE"""),"")</f>
        <v/>
      </c>
      <c r="J848" s="71" t="str">
        <f>IFERROR(__xludf.DUMMYFUNCTION("""COMPUTED_VALUE"""),"")</f>
        <v/>
      </c>
      <c r="K848" s="71"/>
      <c r="L848" s="71" t="str">
        <f>IFERROR(__xludf.DUMMYFUNCTION("""COMPUTED_VALUE"""),"")</f>
        <v/>
      </c>
      <c r="M848" s="71"/>
      <c r="N848" s="109" t="str">
        <f>IFERROR(__xludf.DUMMYFUNCTION("""COMPUTED_VALUE"""),"")</f>
        <v/>
      </c>
      <c r="O848" s="71" t="str">
        <f>IFERROR(__xludf.DUMMYFUNCTION("""COMPUTED_VALUE"""),"")</f>
        <v/>
      </c>
      <c r="P848" s="71" t="str">
        <f>IFERROR(__xludf.DUMMYFUNCTION("""COMPUTED_VALUE"""),"")</f>
        <v/>
      </c>
      <c r="Q848" s="78" t="str">
        <f>IFERROR(__xludf.DUMMYFUNCTION("""COMPUTED_VALUE"""),"")</f>
        <v/>
      </c>
      <c r="R848" s="78" t="str">
        <f>IFERROR(__xludf.DUMMYFUNCTION("""COMPUTED_VALUE"""),"")</f>
        <v/>
      </c>
      <c r="S848" s="80" t="str">
        <f>IFERROR(__xludf.DUMMYFUNCTION("""COMPUTED_VALUE"""),"")</f>
        <v/>
      </c>
      <c r="T848" s="80" t="str">
        <f>IFERROR(__xludf.DUMMYFUNCTION("""COMPUTED_VALUE"""),"")</f>
        <v/>
      </c>
      <c r="U848" s="71" t="str">
        <f>IFERROR(__xludf.DUMMYFUNCTION("""COMPUTED_VALUE"""),"")</f>
        <v/>
      </c>
      <c r="V848" s="78" t="str">
        <f>IFERROR(__xludf.DUMMYFUNCTION("""COMPUTED_VALUE"""),"")</f>
        <v/>
      </c>
      <c r="W848" s="62" t="str">
        <f>IFERROR(__xludf.DUMMYFUNCTION("""COMPUTED_VALUE"""),"")</f>
        <v/>
      </c>
      <c r="X848" s="80" t="str">
        <f>IFERROR(__xludf.DUMMYFUNCTION("""COMPUTED_VALUE"""),"")</f>
        <v/>
      </c>
      <c r="Y848" s="109" t="str">
        <f>IFERROR(__xludf.DUMMYFUNCTION("""COMPUTED_VALUE"""),"")</f>
        <v/>
      </c>
      <c r="Z848" s="71"/>
      <c r="AA848" s="71"/>
      <c r="AB848" s="71"/>
    </row>
    <row r="849">
      <c r="A849" s="71"/>
      <c r="B849" s="71"/>
      <c r="C849" s="71" t="str">
        <f>IFERROR(__xludf.DUMMYFUNCTION("""COMPUTED_VALUE"""),"")</f>
        <v/>
      </c>
      <c r="D849" s="71"/>
      <c r="E849" s="78"/>
      <c r="F849" s="71"/>
      <c r="G849" s="78" t="str">
        <f>IFERROR(__xludf.DUMMYFUNCTION("""COMPUTED_VALUE"""),"")</f>
        <v/>
      </c>
      <c r="H849" s="71"/>
      <c r="I849" s="80" t="str">
        <f>IFERROR(__xludf.DUMMYFUNCTION("""COMPUTED_VALUE"""),"")</f>
        <v/>
      </c>
      <c r="J849" s="71" t="str">
        <f>IFERROR(__xludf.DUMMYFUNCTION("""COMPUTED_VALUE"""),"")</f>
        <v/>
      </c>
      <c r="K849" s="71"/>
      <c r="L849" s="71" t="str">
        <f>IFERROR(__xludf.DUMMYFUNCTION("""COMPUTED_VALUE"""),"")</f>
        <v/>
      </c>
      <c r="M849" s="71"/>
      <c r="N849" s="109" t="str">
        <f>IFERROR(__xludf.DUMMYFUNCTION("""COMPUTED_VALUE"""),"")</f>
        <v/>
      </c>
      <c r="O849" s="71" t="str">
        <f>IFERROR(__xludf.DUMMYFUNCTION("""COMPUTED_VALUE"""),"")</f>
        <v/>
      </c>
      <c r="P849" s="71" t="str">
        <f>IFERROR(__xludf.DUMMYFUNCTION("""COMPUTED_VALUE"""),"")</f>
        <v/>
      </c>
      <c r="Q849" s="78" t="str">
        <f>IFERROR(__xludf.DUMMYFUNCTION("""COMPUTED_VALUE"""),"")</f>
        <v/>
      </c>
      <c r="R849" s="78" t="str">
        <f>IFERROR(__xludf.DUMMYFUNCTION("""COMPUTED_VALUE"""),"")</f>
        <v/>
      </c>
      <c r="S849" s="80" t="str">
        <f>IFERROR(__xludf.DUMMYFUNCTION("""COMPUTED_VALUE"""),"")</f>
        <v/>
      </c>
      <c r="T849" s="80" t="str">
        <f>IFERROR(__xludf.DUMMYFUNCTION("""COMPUTED_VALUE"""),"")</f>
        <v/>
      </c>
      <c r="U849" s="71" t="str">
        <f>IFERROR(__xludf.DUMMYFUNCTION("""COMPUTED_VALUE"""),"")</f>
        <v/>
      </c>
      <c r="V849" s="78" t="str">
        <f>IFERROR(__xludf.DUMMYFUNCTION("""COMPUTED_VALUE"""),"")</f>
        <v/>
      </c>
      <c r="W849" s="62" t="str">
        <f>IFERROR(__xludf.DUMMYFUNCTION("""COMPUTED_VALUE"""),"")</f>
        <v/>
      </c>
      <c r="X849" s="80" t="str">
        <f>IFERROR(__xludf.DUMMYFUNCTION("""COMPUTED_VALUE"""),"")</f>
        <v/>
      </c>
      <c r="Y849" s="109" t="str">
        <f>IFERROR(__xludf.DUMMYFUNCTION("""COMPUTED_VALUE"""),"")</f>
        <v/>
      </c>
      <c r="Z849" s="71"/>
      <c r="AA849" s="71"/>
      <c r="AB849" s="71"/>
    </row>
    <row r="850">
      <c r="A850" s="71"/>
      <c r="B850" s="71"/>
      <c r="C850" s="71" t="str">
        <f>IFERROR(__xludf.DUMMYFUNCTION("""COMPUTED_VALUE"""),"")</f>
        <v/>
      </c>
      <c r="D850" s="71"/>
      <c r="E850" s="78"/>
      <c r="F850" s="71"/>
      <c r="G850" s="78" t="str">
        <f>IFERROR(__xludf.DUMMYFUNCTION("""COMPUTED_VALUE"""),"")</f>
        <v/>
      </c>
      <c r="H850" s="71"/>
      <c r="I850" s="80" t="str">
        <f>IFERROR(__xludf.DUMMYFUNCTION("""COMPUTED_VALUE"""),"")</f>
        <v/>
      </c>
      <c r="J850" s="71" t="str">
        <f>IFERROR(__xludf.DUMMYFUNCTION("""COMPUTED_VALUE"""),"")</f>
        <v/>
      </c>
      <c r="K850" s="71"/>
      <c r="L850" s="71" t="str">
        <f>IFERROR(__xludf.DUMMYFUNCTION("""COMPUTED_VALUE"""),"")</f>
        <v/>
      </c>
      <c r="M850" s="71"/>
      <c r="N850" s="109" t="str">
        <f>IFERROR(__xludf.DUMMYFUNCTION("""COMPUTED_VALUE"""),"")</f>
        <v/>
      </c>
      <c r="O850" s="71" t="str">
        <f>IFERROR(__xludf.DUMMYFUNCTION("""COMPUTED_VALUE"""),"")</f>
        <v/>
      </c>
      <c r="P850" s="71" t="str">
        <f>IFERROR(__xludf.DUMMYFUNCTION("""COMPUTED_VALUE"""),"")</f>
        <v/>
      </c>
      <c r="Q850" s="78" t="str">
        <f>IFERROR(__xludf.DUMMYFUNCTION("""COMPUTED_VALUE"""),"")</f>
        <v/>
      </c>
      <c r="R850" s="78" t="str">
        <f>IFERROR(__xludf.DUMMYFUNCTION("""COMPUTED_VALUE"""),"")</f>
        <v/>
      </c>
      <c r="S850" s="80" t="str">
        <f>IFERROR(__xludf.DUMMYFUNCTION("""COMPUTED_VALUE"""),"")</f>
        <v/>
      </c>
      <c r="T850" s="80" t="str">
        <f>IFERROR(__xludf.DUMMYFUNCTION("""COMPUTED_VALUE"""),"")</f>
        <v/>
      </c>
      <c r="U850" s="71" t="str">
        <f>IFERROR(__xludf.DUMMYFUNCTION("""COMPUTED_VALUE"""),"")</f>
        <v/>
      </c>
      <c r="V850" s="78" t="str">
        <f>IFERROR(__xludf.DUMMYFUNCTION("""COMPUTED_VALUE"""),"")</f>
        <v/>
      </c>
      <c r="W850" s="62" t="str">
        <f>IFERROR(__xludf.DUMMYFUNCTION("""COMPUTED_VALUE"""),"")</f>
        <v/>
      </c>
      <c r="X850" s="80" t="str">
        <f>IFERROR(__xludf.DUMMYFUNCTION("""COMPUTED_VALUE"""),"")</f>
        <v/>
      </c>
      <c r="Y850" s="109" t="str">
        <f>IFERROR(__xludf.DUMMYFUNCTION("""COMPUTED_VALUE"""),"")</f>
        <v/>
      </c>
      <c r="Z850" s="71"/>
      <c r="AA850" s="71"/>
      <c r="AB850" s="71"/>
    </row>
    <row r="851">
      <c r="A851" s="71"/>
      <c r="B851" s="71"/>
      <c r="C851" s="71" t="str">
        <f>IFERROR(__xludf.DUMMYFUNCTION("""COMPUTED_VALUE"""),"")</f>
        <v/>
      </c>
      <c r="D851" s="71"/>
      <c r="E851" s="78"/>
      <c r="F851" s="71"/>
      <c r="G851" s="78" t="str">
        <f>IFERROR(__xludf.DUMMYFUNCTION("""COMPUTED_VALUE"""),"")</f>
        <v/>
      </c>
      <c r="H851" s="71"/>
      <c r="I851" s="80" t="str">
        <f>IFERROR(__xludf.DUMMYFUNCTION("""COMPUTED_VALUE"""),"")</f>
        <v/>
      </c>
      <c r="J851" s="71" t="str">
        <f>IFERROR(__xludf.DUMMYFUNCTION("""COMPUTED_VALUE"""),"")</f>
        <v/>
      </c>
      <c r="K851" s="71"/>
      <c r="L851" s="71" t="str">
        <f>IFERROR(__xludf.DUMMYFUNCTION("""COMPUTED_VALUE"""),"")</f>
        <v/>
      </c>
      <c r="M851" s="71"/>
      <c r="N851" s="109" t="str">
        <f>IFERROR(__xludf.DUMMYFUNCTION("""COMPUTED_VALUE"""),"")</f>
        <v/>
      </c>
      <c r="O851" s="71" t="str">
        <f>IFERROR(__xludf.DUMMYFUNCTION("""COMPUTED_VALUE"""),"")</f>
        <v/>
      </c>
      <c r="P851" s="71" t="str">
        <f>IFERROR(__xludf.DUMMYFUNCTION("""COMPUTED_VALUE"""),"")</f>
        <v/>
      </c>
      <c r="Q851" s="78" t="str">
        <f>IFERROR(__xludf.DUMMYFUNCTION("""COMPUTED_VALUE"""),"")</f>
        <v/>
      </c>
      <c r="R851" s="78" t="str">
        <f>IFERROR(__xludf.DUMMYFUNCTION("""COMPUTED_VALUE"""),"")</f>
        <v/>
      </c>
      <c r="S851" s="80" t="str">
        <f>IFERROR(__xludf.DUMMYFUNCTION("""COMPUTED_VALUE"""),"")</f>
        <v/>
      </c>
      <c r="T851" s="80" t="str">
        <f>IFERROR(__xludf.DUMMYFUNCTION("""COMPUTED_VALUE"""),"")</f>
        <v/>
      </c>
      <c r="U851" s="71" t="str">
        <f>IFERROR(__xludf.DUMMYFUNCTION("""COMPUTED_VALUE"""),"")</f>
        <v/>
      </c>
      <c r="V851" s="78" t="str">
        <f>IFERROR(__xludf.DUMMYFUNCTION("""COMPUTED_VALUE"""),"")</f>
        <v/>
      </c>
      <c r="W851" s="62" t="str">
        <f>IFERROR(__xludf.DUMMYFUNCTION("""COMPUTED_VALUE"""),"")</f>
        <v/>
      </c>
      <c r="X851" s="80" t="str">
        <f>IFERROR(__xludf.DUMMYFUNCTION("""COMPUTED_VALUE"""),"")</f>
        <v/>
      </c>
      <c r="Y851" s="109" t="str">
        <f>IFERROR(__xludf.DUMMYFUNCTION("""COMPUTED_VALUE"""),"")</f>
        <v/>
      </c>
      <c r="Z851" s="71"/>
      <c r="AA851" s="71"/>
      <c r="AB851" s="71"/>
    </row>
    <row r="852">
      <c r="A852" s="71"/>
      <c r="B852" s="71"/>
      <c r="C852" s="71" t="str">
        <f>IFERROR(__xludf.DUMMYFUNCTION("""COMPUTED_VALUE"""),"")</f>
        <v/>
      </c>
      <c r="D852" s="71"/>
      <c r="E852" s="78"/>
      <c r="F852" s="71"/>
      <c r="G852" s="78" t="str">
        <f>IFERROR(__xludf.DUMMYFUNCTION("""COMPUTED_VALUE"""),"")</f>
        <v/>
      </c>
      <c r="H852" s="71"/>
      <c r="I852" s="80" t="str">
        <f>IFERROR(__xludf.DUMMYFUNCTION("""COMPUTED_VALUE"""),"")</f>
        <v/>
      </c>
      <c r="J852" s="71" t="str">
        <f>IFERROR(__xludf.DUMMYFUNCTION("""COMPUTED_VALUE"""),"")</f>
        <v/>
      </c>
      <c r="K852" s="71"/>
      <c r="L852" s="71" t="str">
        <f>IFERROR(__xludf.DUMMYFUNCTION("""COMPUTED_VALUE"""),"")</f>
        <v/>
      </c>
      <c r="M852" s="71"/>
      <c r="N852" s="109" t="str">
        <f>IFERROR(__xludf.DUMMYFUNCTION("""COMPUTED_VALUE"""),"")</f>
        <v/>
      </c>
      <c r="O852" s="71" t="str">
        <f>IFERROR(__xludf.DUMMYFUNCTION("""COMPUTED_VALUE"""),"")</f>
        <v/>
      </c>
      <c r="P852" s="71" t="str">
        <f>IFERROR(__xludf.DUMMYFUNCTION("""COMPUTED_VALUE"""),"")</f>
        <v/>
      </c>
      <c r="Q852" s="78" t="str">
        <f>IFERROR(__xludf.DUMMYFUNCTION("""COMPUTED_VALUE"""),"")</f>
        <v/>
      </c>
      <c r="R852" s="78" t="str">
        <f>IFERROR(__xludf.DUMMYFUNCTION("""COMPUTED_VALUE"""),"")</f>
        <v/>
      </c>
      <c r="S852" s="80" t="str">
        <f>IFERROR(__xludf.DUMMYFUNCTION("""COMPUTED_VALUE"""),"")</f>
        <v/>
      </c>
      <c r="T852" s="80" t="str">
        <f>IFERROR(__xludf.DUMMYFUNCTION("""COMPUTED_VALUE"""),"")</f>
        <v/>
      </c>
      <c r="U852" s="71" t="str">
        <f>IFERROR(__xludf.DUMMYFUNCTION("""COMPUTED_VALUE"""),"")</f>
        <v/>
      </c>
      <c r="V852" s="78" t="str">
        <f>IFERROR(__xludf.DUMMYFUNCTION("""COMPUTED_VALUE"""),"")</f>
        <v/>
      </c>
      <c r="W852" s="62" t="str">
        <f>IFERROR(__xludf.DUMMYFUNCTION("""COMPUTED_VALUE"""),"")</f>
        <v/>
      </c>
      <c r="X852" s="80" t="str">
        <f>IFERROR(__xludf.DUMMYFUNCTION("""COMPUTED_VALUE"""),"")</f>
        <v/>
      </c>
      <c r="Y852" s="109" t="str">
        <f>IFERROR(__xludf.DUMMYFUNCTION("""COMPUTED_VALUE"""),"")</f>
        <v/>
      </c>
      <c r="Z852" s="71"/>
      <c r="AA852" s="71"/>
      <c r="AB852" s="71"/>
    </row>
    <row r="853">
      <c r="A853" s="71"/>
      <c r="B853" s="71"/>
      <c r="C853" s="71" t="str">
        <f>IFERROR(__xludf.DUMMYFUNCTION("""COMPUTED_VALUE"""),"")</f>
        <v/>
      </c>
      <c r="D853" s="71"/>
      <c r="E853" s="78"/>
      <c r="F853" s="71"/>
      <c r="G853" s="78" t="str">
        <f>IFERROR(__xludf.DUMMYFUNCTION("""COMPUTED_VALUE"""),"")</f>
        <v/>
      </c>
      <c r="H853" s="71"/>
      <c r="I853" s="80" t="str">
        <f>IFERROR(__xludf.DUMMYFUNCTION("""COMPUTED_VALUE"""),"")</f>
        <v/>
      </c>
      <c r="J853" s="71" t="str">
        <f>IFERROR(__xludf.DUMMYFUNCTION("""COMPUTED_VALUE"""),"")</f>
        <v/>
      </c>
      <c r="K853" s="71"/>
      <c r="L853" s="71" t="str">
        <f>IFERROR(__xludf.DUMMYFUNCTION("""COMPUTED_VALUE"""),"")</f>
        <v/>
      </c>
      <c r="M853" s="71"/>
      <c r="N853" s="109" t="str">
        <f>IFERROR(__xludf.DUMMYFUNCTION("""COMPUTED_VALUE"""),"")</f>
        <v/>
      </c>
      <c r="O853" s="71" t="str">
        <f>IFERROR(__xludf.DUMMYFUNCTION("""COMPUTED_VALUE"""),"")</f>
        <v/>
      </c>
      <c r="P853" s="71" t="str">
        <f>IFERROR(__xludf.DUMMYFUNCTION("""COMPUTED_VALUE"""),"")</f>
        <v/>
      </c>
      <c r="Q853" s="78" t="str">
        <f>IFERROR(__xludf.DUMMYFUNCTION("""COMPUTED_VALUE"""),"")</f>
        <v/>
      </c>
      <c r="R853" s="78" t="str">
        <f>IFERROR(__xludf.DUMMYFUNCTION("""COMPUTED_VALUE"""),"")</f>
        <v/>
      </c>
      <c r="S853" s="80" t="str">
        <f>IFERROR(__xludf.DUMMYFUNCTION("""COMPUTED_VALUE"""),"")</f>
        <v/>
      </c>
      <c r="T853" s="80" t="str">
        <f>IFERROR(__xludf.DUMMYFUNCTION("""COMPUTED_VALUE"""),"")</f>
        <v/>
      </c>
      <c r="U853" s="71" t="str">
        <f>IFERROR(__xludf.DUMMYFUNCTION("""COMPUTED_VALUE"""),"")</f>
        <v/>
      </c>
      <c r="V853" s="78" t="str">
        <f>IFERROR(__xludf.DUMMYFUNCTION("""COMPUTED_VALUE"""),"")</f>
        <v/>
      </c>
      <c r="W853" s="62" t="str">
        <f>IFERROR(__xludf.DUMMYFUNCTION("""COMPUTED_VALUE"""),"")</f>
        <v/>
      </c>
      <c r="X853" s="80" t="str">
        <f>IFERROR(__xludf.DUMMYFUNCTION("""COMPUTED_VALUE"""),"")</f>
        <v/>
      </c>
      <c r="Y853" s="109" t="str">
        <f>IFERROR(__xludf.DUMMYFUNCTION("""COMPUTED_VALUE"""),"")</f>
        <v/>
      </c>
      <c r="Z853" s="71"/>
      <c r="AA853" s="71"/>
      <c r="AB853" s="71"/>
    </row>
    <row r="854">
      <c r="A854" s="71"/>
      <c r="B854" s="71"/>
      <c r="C854" s="71" t="str">
        <f>IFERROR(__xludf.DUMMYFUNCTION("""COMPUTED_VALUE"""),"")</f>
        <v/>
      </c>
      <c r="D854" s="71"/>
      <c r="E854" s="78"/>
      <c r="F854" s="71"/>
      <c r="G854" s="78" t="str">
        <f>IFERROR(__xludf.DUMMYFUNCTION("""COMPUTED_VALUE"""),"")</f>
        <v/>
      </c>
      <c r="H854" s="71"/>
      <c r="I854" s="80" t="str">
        <f>IFERROR(__xludf.DUMMYFUNCTION("""COMPUTED_VALUE"""),"")</f>
        <v/>
      </c>
      <c r="J854" s="71" t="str">
        <f>IFERROR(__xludf.DUMMYFUNCTION("""COMPUTED_VALUE"""),"")</f>
        <v/>
      </c>
      <c r="K854" s="71"/>
      <c r="L854" s="71" t="str">
        <f>IFERROR(__xludf.DUMMYFUNCTION("""COMPUTED_VALUE"""),"")</f>
        <v/>
      </c>
      <c r="M854" s="71"/>
      <c r="N854" s="109" t="str">
        <f>IFERROR(__xludf.DUMMYFUNCTION("""COMPUTED_VALUE"""),"")</f>
        <v/>
      </c>
      <c r="O854" s="71" t="str">
        <f>IFERROR(__xludf.DUMMYFUNCTION("""COMPUTED_VALUE"""),"")</f>
        <v/>
      </c>
      <c r="P854" s="71" t="str">
        <f>IFERROR(__xludf.DUMMYFUNCTION("""COMPUTED_VALUE"""),"")</f>
        <v/>
      </c>
      <c r="Q854" s="78" t="str">
        <f>IFERROR(__xludf.DUMMYFUNCTION("""COMPUTED_VALUE"""),"")</f>
        <v/>
      </c>
      <c r="R854" s="78" t="str">
        <f>IFERROR(__xludf.DUMMYFUNCTION("""COMPUTED_VALUE"""),"")</f>
        <v/>
      </c>
      <c r="S854" s="80" t="str">
        <f>IFERROR(__xludf.DUMMYFUNCTION("""COMPUTED_VALUE"""),"")</f>
        <v/>
      </c>
      <c r="T854" s="80" t="str">
        <f>IFERROR(__xludf.DUMMYFUNCTION("""COMPUTED_VALUE"""),"")</f>
        <v/>
      </c>
      <c r="U854" s="71" t="str">
        <f>IFERROR(__xludf.DUMMYFUNCTION("""COMPUTED_VALUE"""),"")</f>
        <v/>
      </c>
      <c r="V854" s="78" t="str">
        <f>IFERROR(__xludf.DUMMYFUNCTION("""COMPUTED_VALUE"""),"")</f>
        <v/>
      </c>
      <c r="W854" s="62" t="str">
        <f>IFERROR(__xludf.DUMMYFUNCTION("""COMPUTED_VALUE"""),"")</f>
        <v/>
      </c>
      <c r="X854" s="80" t="str">
        <f>IFERROR(__xludf.DUMMYFUNCTION("""COMPUTED_VALUE"""),"")</f>
        <v/>
      </c>
      <c r="Y854" s="109" t="str">
        <f>IFERROR(__xludf.DUMMYFUNCTION("""COMPUTED_VALUE"""),"")</f>
        <v/>
      </c>
      <c r="Z854" s="71"/>
      <c r="AA854" s="71"/>
      <c r="AB854" s="71"/>
    </row>
    <row r="855">
      <c r="A855" s="71"/>
      <c r="B855" s="71"/>
      <c r="C855" s="71" t="str">
        <f>IFERROR(__xludf.DUMMYFUNCTION("""COMPUTED_VALUE"""),"")</f>
        <v/>
      </c>
      <c r="D855" s="71"/>
      <c r="E855" s="78"/>
      <c r="F855" s="71"/>
      <c r="G855" s="78" t="str">
        <f>IFERROR(__xludf.DUMMYFUNCTION("""COMPUTED_VALUE"""),"")</f>
        <v/>
      </c>
      <c r="H855" s="71"/>
      <c r="I855" s="80" t="str">
        <f>IFERROR(__xludf.DUMMYFUNCTION("""COMPUTED_VALUE"""),"")</f>
        <v/>
      </c>
      <c r="J855" s="71" t="str">
        <f>IFERROR(__xludf.DUMMYFUNCTION("""COMPUTED_VALUE"""),"")</f>
        <v/>
      </c>
      <c r="K855" s="71"/>
      <c r="L855" s="71" t="str">
        <f>IFERROR(__xludf.DUMMYFUNCTION("""COMPUTED_VALUE"""),"")</f>
        <v/>
      </c>
      <c r="M855" s="71"/>
      <c r="N855" s="109" t="str">
        <f>IFERROR(__xludf.DUMMYFUNCTION("""COMPUTED_VALUE"""),"")</f>
        <v/>
      </c>
      <c r="O855" s="71" t="str">
        <f>IFERROR(__xludf.DUMMYFUNCTION("""COMPUTED_VALUE"""),"")</f>
        <v/>
      </c>
      <c r="P855" s="71" t="str">
        <f>IFERROR(__xludf.DUMMYFUNCTION("""COMPUTED_VALUE"""),"")</f>
        <v/>
      </c>
      <c r="Q855" s="78" t="str">
        <f>IFERROR(__xludf.DUMMYFUNCTION("""COMPUTED_VALUE"""),"")</f>
        <v/>
      </c>
      <c r="R855" s="78" t="str">
        <f>IFERROR(__xludf.DUMMYFUNCTION("""COMPUTED_VALUE"""),"")</f>
        <v/>
      </c>
      <c r="S855" s="80" t="str">
        <f>IFERROR(__xludf.DUMMYFUNCTION("""COMPUTED_VALUE"""),"")</f>
        <v/>
      </c>
      <c r="T855" s="80" t="str">
        <f>IFERROR(__xludf.DUMMYFUNCTION("""COMPUTED_VALUE"""),"")</f>
        <v/>
      </c>
      <c r="U855" s="71" t="str">
        <f>IFERROR(__xludf.DUMMYFUNCTION("""COMPUTED_VALUE"""),"")</f>
        <v/>
      </c>
      <c r="V855" s="78" t="str">
        <f>IFERROR(__xludf.DUMMYFUNCTION("""COMPUTED_VALUE"""),"")</f>
        <v/>
      </c>
      <c r="W855" s="62" t="str">
        <f>IFERROR(__xludf.DUMMYFUNCTION("""COMPUTED_VALUE"""),"")</f>
        <v/>
      </c>
      <c r="X855" s="80" t="str">
        <f>IFERROR(__xludf.DUMMYFUNCTION("""COMPUTED_VALUE"""),"")</f>
        <v/>
      </c>
      <c r="Y855" s="109" t="str">
        <f>IFERROR(__xludf.DUMMYFUNCTION("""COMPUTED_VALUE"""),"")</f>
        <v/>
      </c>
      <c r="Z855" s="71"/>
      <c r="AA855" s="71"/>
      <c r="AB855" s="71"/>
    </row>
    <row r="856">
      <c r="A856" s="71"/>
      <c r="B856" s="71"/>
      <c r="C856" s="71" t="str">
        <f>IFERROR(__xludf.DUMMYFUNCTION("""COMPUTED_VALUE"""),"")</f>
        <v/>
      </c>
      <c r="D856" s="71"/>
      <c r="E856" s="78"/>
      <c r="F856" s="71"/>
      <c r="G856" s="78" t="str">
        <f>IFERROR(__xludf.DUMMYFUNCTION("""COMPUTED_VALUE"""),"")</f>
        <v/>
      </c>
      <c r="H856" s="71"/>
      <c r="I856" s="80" t="str">
        <f>IFERROR(__xludf.DUMMYFUNCTION("""COMPUTED_VALUE"""),"")</f>
        <v/>
      </c>
      <c r="J856" s="71" t="str">
        <f>IFERROR(__xludf.DUMMYFUNCTION("""COMPUTED_VALUE"""),"")</f>
        <v/>
      </c>
      <c r="K856" s="71"/>
      <c r="L856" s="71" t="str">
        <f>IFERROR(__xludf.DUMMYFUNCTION("""COMPUTED_VALUE"""),"")</f>
        <v/>
      </c>
      <c r="M856" s="71"/>
      <c r="N856" s="109" t="str">
        <f>IFERROR(__xludf.DUMMYFUNCTION("""COMPUTED_VALUE"""),"")</f>
        <v/>
      </c>
      <c r="O856" s="71" t="str">
        <f>IFERROR(__xludf.DUMMYFUNCTION("""COMPUTED_VALUE"""),"")</f>
        <v/>
      </c>
      <c r="P856" s="71" t="str">
        <f>IFERROR(__xludf.DUMMYFUNCTION("""COMPUTED_VALUE"""),"")</f>
        <v/>
      </c>
      <c r="Q856" s="78" t="str">
        <f>IFERROR(__xludf.DUMMYFUNCTION("""COMPUTED_VALUE"""),"")</f>
        <v/>
      </c>
      <c r="R856" s="78" t="str">
        <f>IFERROR(__xludf.DUMMYFUNCTION("""COMPUTED_VALUE"""),"")</f>
        <v/>
      </c>
      <c r="S856" s="80" t="str">
        <f>IFERROR(__xludf.DUMMYFUNCTION("""COMPUTED_VALUE"""),"")</f>
        <v/>
      </c>
      <c r="T856" s="80" t="str">
        <f>IFERROR(__xludf.DUMMYFUNCTION("""COMPUTED_VALUE"""),"")</f>
        <v/>
      </c>
      <c r="U856" s="71" t="str">
        <f>IFERROR(__xludf.DUMMYFUNCTION("""COMPUTED_VALUE"""),"")</f>
        <v/>
      </c>
      <c r="V856" s="78" t="str">
        <f>IFERROR(__xludf.DUMMYFUNCTION("""COMPUTED_VALUE"""),"")</f>
        <v/>
      </c>
      <c r="W856" s="62" t="str">
        <f>IFERROR(__xludf.DUMMYFUNCTION("""COMPUTED_VALUE"""),"")</f>
        <v/>
      </c>
      <c r="X856" s="80" t="str">
        <f>IFERROR(__xludf.DUMMYFUNCTION("""COMPUTED_VALUE"""),"")</f>
        <v/>
      </c>
      <c r="Y856" s="109" t="str">
        <f>IFERROR(__xludf.DUMMYFUNCTION("""COMPUTED_VALUE"""),"")</f>
        <v/>
      </c>
      <c r="Z856" s="71"/>
      <c r="AA856" s="71"/>
      <c r="AB856" s="71"/>
    </row>
    <row r="857">
      <c r="A857" s="71"/>
      <c r="B857" s="71"/>
      <c r="C857" s="71" t="str">
        <f>IFERROR(__xludf.DUMMYFUNCTION("""COMPUTED_VALUE"""),"")</f>
        <v/>
      </c>
      <c r="D857" s="71"/>
      <c r="E857" s="78"/>
      <c r="F857" s="71"/>
      <c r="G857" s="78" t="str">
        <f>IFERROR(__xludf.DUMMYFUNCTION("""COMPUTED_VALUE"""),"")</f>
        <v/>
      </c>
      <c r="H857" s="71"/>
      <c r="I857" s="80" t="str">
        <f>IFERROR(__xludf.DUMMYFUNCTION("""COMPUTED_VALUE"""),"")</f>
        <v/>
      </c>
      <c r="J857" s="71" t="str">
        <f>IFERROR(__xludf.DUMMYFUNCTION("""COMPUTED_VALUE"""),"")</f>
        <v/>
      </c>
      <c r="K857" s="71"/>
      <c r="L857" s="71" t="str">
        <f>IFERROR(__xludf.DUMMYFUNCTION("""COMPUTED_VALUE"""),"")</f>
        <v/>
      </c>
      <c r="M857" s="71"/>
      <c r="N857" s="109" t="str">
        <f>IFERROR(__xludf.DUMMYFUNCTION("""COMPUTED_VALUE"""),"")</f>
        <v/>
      </c>
      <c r="O857" s="71" t="str">
        <f>IFERROR(__xludf.DUMMYFUNCTION("""COMPUTED_VALUE"""),"")</f>
        <v/>
      </c>
      <c r="P857" s="71" t="str">
        <f>IFERROR(__xludf.DUMMYFUNCTION("""COMPUTED_VALUE"""),"")</f>
        <v/>
      </c>
      <c r="Q857" s="78" t="str">
        <f>IFERROR(__xludf.DUMMYFUNCTION("""COMPUTED_VALUE"""),"")</f>
        <v/>
      </c>
      <c r="R857" s="78" t="str">
        <f>IFERROR(__xludf.DUMMYFUNCTION("""COMPUTED_VALUE"""),"")</f>
        <v/>
      </c>
      <c r="S857" s="80" t="str">
        <f>IFERROR(__xludf.DUMMYFUNCTION("""COMPUTED_VALUE"""),"")</f>
        <v/>
      </c>
      <c r="T857" s="80" t="str">
        <f>IFERROR(__xludf.DUMMYFUNCTION("""COMPUTED_VALUE"""),"")</f>
        <v/>
      </c>
      <c r="U857" s="71" t="str">
        <f>IFERROR(__xludf.DUMMYFUNCTION("""COMPUTED_VALUE"""),"")</f>
        <v/>
      </c>
      <c r="V857" s="78" t="str">
        <f>IFERROR(__xludf.DUMMYFUNCTION("""COMPUTED_VALUE"""),"")</f>
        <v/>
      </c>
      <c r="W857" s="62" t="str">
        <f>IFERROR(__xludf.DUMMYFUNCTION("""COMPUTED_VALUE"""),"")</f>
        <v/>
      </c>
      <c r="X857" s="80" t="str">
        <f>IFERROR(__xludf.DUMMYFUNCTION("""COMPUTED_VALUE"""),"")</f>
        <v/>
      </c>
      <c r="Y857" s="109" t="str">
        <f>IFERROR(__xludf.DUMMYFUNCTION("""COMPUTED_VALUE"""),"")</f>
        <v/>
      </c>
      <c r="Z857" s="71"/>
      <c r="AA857" s="71"/>
      <c r="AB857" s="71"/>
    </row>
    <row r="858">
      <c r="A858" s="71"/>
      <c r="B858" s="71"/>
      <c r="C858" s="71" t="str">
        <f>IFERROR(__xludf.DUMMYFUNCTION("""COMPUTED_VALUE"""),"")</f>
        <v/>
      </c>
      <c r="D858" s="71"/>
      <c r="E858" s="78"/>
      <c r="F858" s="71"/>
      <c r="G858" s="78" t="str">
        <f>IFERROR(__xludf.DUMMYFUNCTION("""COMPUTED_VALUE"""),"")</f>
        <v/>
      </c>
      <c r="H858" s="71"/>
      <c r="I858" s="80" t="str">
        <f>IFERROR(__xludf.DUMMYFUNCTION("""COMPUTED_VALUE"""),"")</f>
        <v/>
      </c>
      <c r="J858" s="71" t="str">
        <f>IFERROR(__xludf.DUMMYFUNCTION("""COMPUTED_VALUE"""),"")</f>
        <v/>
      </c>
      <c r="K858" s="71"/>
      <c r="L858" s="71" t="str">
        <f>IFERROR(__xludf.DUMMYFUNCTION("""COMPUTED_VALUE"""),"")</f>
        <v/>
      </c>
      <c r="M858" s="71"/>
      <c r="N858" s="109" t="str">
        <f>IFERROR(__xludf.DUMMYFUNCTION("""COMPUTED_VALUE"""),"")</f>
        <v/>
      </c>
      <c r="O858" s="71" t="str">
        <f>IFERROR(__xludf.DUMMYFUNCTION("""COMPUTED_VALUE"""),"")</f>
        <v/>
      </c>
      <c r="P858" s="71" t="str">
        <f>IFERROR(__xludf.DUMMYFUNCTION("""COMPUTED_VALUE"""),"")</f>
        <v/>
      </c>
      <c r="Q858" s="78" t="str">
        <f>IFERROR(__xludf.DUMMYFUNCTION("""COMPUTED_VALUE"""),"")</f>
        <v/>
      </c>
      <c r="R858" s="78" t="str">
        <f>IFERROR(__xludf.DUMMYFUNCTION("""COMPUTED_VALUE"""),"")</f>
        <v/>
      </c>
      <c r="S858" s="80" t="str">
        <f>IFERROR(__xludf.DUMMYFUNCTION("""COMPUTED_VALUE"""),"")</f>
        <v/>
      </c>
      <c r="T858" s="80" t="str">
        <f>IFERROR(__xludf.DUMMYFUNCTION("""COMPUTED_VALUE"""),"")</f>
        <v/>
      </c>
      <c r="U858" s="71" t="str">
        <f>IFERROR(__xludf.DUMMYFUNCTION("""COMPUTED_VALUE"""),"")</f>
        <v/>
      </c>
      <c r="V858" s="78" t="str">
        <f>IFERROR(__xludf.DUMMYFUNCTION("""COMPUTED_VALUE"""),"")</f>
        <v/>
      </c>
      <c r="W858" s="62" t="str">
        <f>IFERROR(__xludf.DUMMYFUNCTION("""COMPUTED_VALUE"""),"")</f>
        <v/>
      </c>
      <c r="X858" s="80" t="str">
        <f>IFERROR(__xludf.DUMMYFUNCTION("""COMPUTED_VALUE"""),"")</f>
        <v/>
      </c>
      <c r="Y858" s="109" t="str">
        <f>IFERROR(__xludf.DUMMYFUNCTION("""COMPUTED_VALUE"""),"")</f>
        <v/>
      </c>
      <c r="Z858" s="71"/>
      <c r="AA858" s="71"/>
      <c r="AB858" s="71"/>
    </row>
    <row r="859">
      <c r="A859" s="71"/>
      <c r="B859" s="71"/>
      <c r="C859" s="71" t="str">
        <f>IFERROR(__xludf.DUMMYFUNCTION("""COMPUTED_VALUE"""),"")</f>
        <v/>
      </c>
      <c r="D859" s="71"/>
      <c r="E859" s="78"/>
      <c r="F859" s="71"/>
      <c r="G859" s="78" t="str">
        <f>IFERROR(__xludf.DUMMYFUNCTION("""COMPUTED_VALUE"""),"")</f>
        <v/>
      </c>
      <c r="H859" s="71"/>
      <c r="I859" s="80" t="str">
        <f>IFERROR(__xludf.DUMMYFUNCTION("""COMPUTED_VALUE"""),"")</f>
        <v/>
      </c>
      <c r="J859" s="71" t="str">
        <f>IFERROR(__xludf.DUMMYFUNCTION("""COMPUTED_VALUE"""),"")</f>
        <v/>
      </c>
      <c r="K859" s="71"/>
      <c r="L859" s="71" t="str">
        <f>IFERROR(__xludf.DUMMYFUNCTION("""COMPUTED_VALUE"""),"")</f>
        <v/>
      </c>
      <c r="M859" s="71"/>
      <c r="N859" s="109" t="str">
        <f>IFERROR(__xludf.DUMMYFUNCTION("""COMPUTED_VALUE"""),"")</f>
        <v/>
      </c>
      <c r="O859" s="71" t="str">
        <f>IFERROR(__xludf.DUMMYFUNCTION("""COMPUTED_VALUE"""),"")</f>
        <v/>
      </c>
      <c r="P859" s="71" t="str">
        <f>IFERROR(__xludf.DUMMYFUNCTION("""COMPUTED_VALUE"""),"")</f>
        <v/>
      </c>
      <c r="Q859" s="78" t="str">
        <f>IFERROR(__xludf.DUMMYFUNCTION("""COMPUTED_VALUE"""),"")</f>
        <v/>
      </c>
      <c r="R859" s="78" t="str">
        <f>IFERROR(__xludf.DUMMYFUNCTION("""COMPUTED_VALUE"""),"")</f>
        <v/>
      </c>
      <c r="S859" s="80" t="str">
        <f>IFERROR(__xludf.DUMMYFUNCTION("""COMPUTED_VALUE"""),"")</f>
        <v/>
      </c>
      <c r="T859" s="80" t="str">
        <f>IFERROR(__xludf.DUMMYFUNCTION("""COMPUTED_VALUE"""),"")</f>
        <v/>
      </c>
      <c r="U859" s="71" t="str">
        <f>IFERROR(__xludf.DUMMYFUNCTION("""COMPUTED_VALUE"""),"")</f>
        <v/>
      </c>
      <c r="V859" s="78" t="str">
        <f>IFERROR(__xludf.DUMMYFUNCTION("""COMPUTED_VALUE"""),"")</f>
        <v/>
      </c>
      <c r="W859" s="62" t="str">
        <f>IFERROR(__xludf.DUMMYFUNCTION("""COMPUTED_VALUE"""),"")</f>
        <v/>
      </c>
      <c r="X859" s="80" t="str">
        <f>IFERROR(__xludf.DUMMYFUNCTION("""COMPUTED_VALUE"""),"")</f>
        <v/>
      </c>
      <c r="Y859" s="109" t="str">
        <f>IFERROR(__xludf.DUMMYFUNCTION("""COMPUTED_VALUE"""),"")</f>
        <v/>
      </c>
      <c r="Z859" s="71"/>
      <c r="AA859" s="71"/>
      <c r="AB859" s="71"/>
    </row>
    <row r="860">
      <c r="A860" s="71"/>
      <c r="B860" s="71"/>
      <c r="C860" s="71" t="str">
        <f>IFERROR(__xludf.DUMMYFUNCTION("""COMPUTED_VALUE"""),"")</f>
        <v/>
      </c>
      <c r="D860" s="71"/>
      <c r="E860" s="78"/>
      <c r="F860" s="71"/>
      <c r="G860" s="78" t="str">
        <f>IFERROR(__xludf.DUMMYFUNCTION("""COMPUTED_VALUE"""),"")</f>
        <v/>
      </c>
      <c r="H860" s="71"/>
      <c r="I860" s="80" t="str">
        <f>IFERROR(__xludf.DUMMYFUNCTION("""COMPUTED_VALUE"""),"")</f>
        <v/>
      </c>
      <c r="J860" s="71" t="str">
        <f>IFERROR(__xludf.DUMMYFUNCTION("""COMPUTED_VALUE"""),"")</f>
        <v/>
      </c>
      <c r="K860" s="71"/>
      <c r="L860" s="71" t="str">
        <f>IFERROR(__xludf.DUMMYFUNCTION("""COMPUTED_VALUE"""),"")</f>
        <v/>
      </c>
      <c r="M860" s="71"/>
      <c r="N860" s="109" t="str">
        <f>IFERROR(__xludf.DUMMYFUNCTION("""COMPUTED_VALUE"""),"")</f>
        <v/>
      </c>
      <c r="O860" s="71" t="str">
        <f>IFERROR(__xludf.DUMMYFUNCTION("""COMPUTED_VALUE"""),"")</f>
        <v/>
      </c>
      <c r="P860" s="71" t="str">
        <f>IFERROR(__xludf.DUMMYFUNCTION("""COMPUTED_VALUE"""),"")</f>
        <v/>
      </c>
      <c r="Q860" s="78" t="str">
        <f>IFERROR(__xludf.DUMMYFUNCTION("""COMPUTED_VALUE"""),"")</f>
        <v/>
      </c>
      <c r="R860" s="78" t="str">
        <f>IFERROR(__xludf.DUMMYFUNCTION("""COMPUTED_VALUE"""),"")</f>
        <v/>
      </c>
      <c r="S860" s="80" t="str">
        <f>IFERROR(__xludf.DUMMYFUNCTION("""COMPUTED_VALUE"""),"")</f>
        <v/>
      </c>
      <c r="T860" s="80" t="str">
        <f>IFERROR(__xludf.DUMMYFUNCTION("""COMPUTED_VALUE"""),"")</f>
        <v/>
      </c>
      <c r="U860" s="71" t="str">
        <f>IFERROR(__xludf.DUMMYFUNCTION("""COMPUTED_VALUE"""),"")</f>
        <v/>
      </c>
      <c r="V860" s="78" t="str">
        <f>IFERROR(__xludf.DUMMYFUNCTION("""COMPUTED_VALUE"""),"")</f>
        <v/>
      </c>
      <c r="W860" s="62" t="str">
        <f>IFERROR(__xludf.DUMMYFUNCTION("""COMPUTED_VALUE"""),"")</f>
        <v/>
      </c>
      <c r="X860" s="80" t="str">
        <f>IFERROR(__xludf.DUMMYFUNCTION("""COMPUTED_VALUE"""),"")</f>
        <v/>
      </c>
      <c r="Y860" s="109" t="str">
        <f>IFERROR(__xludf.DUMMYFUNCTION("""COMPUTED_VALUE"""),"")</f>
        <v/>
      </c>
      <c r="Z860" s="71"/>
      <c r="AA860" s="71"/>
      <c r="AB860" s="71"/>
    </row>
    <row r="861">
      <c r="A861" s="71"/>
      <c r="B861" s="71"/>
      <c r="C861" s="71" t="str">
        <f>IFERROR(__xludf.DUMMYFUNCTION("""COMPUTED_VALUE"""),"")</f>
        <v/>
      </c>
      <c r="D861" s="71"/>
      <c r="E861" s="78"/>
      <c r="F861" s="71"/>
      <c r="G861" s="78" t="str">
        <f>IFERROR(__xludf.DUMMYFUNCTION("""COMPUTED_VALUE"""),"")</f>
        <v/>
      </c>
      <c r="H861" s="71"/>
      <c r="I861" s="80" t="str">
        <f>IFERROR(__xludf.DUMMYFUNCTION("""COMPUTED_VALUE"""),"")</f>
        <v/>
      </c>
      <c r="J861" s="71" t="str">
        <f>IFERROR(__xludf.DUMMYFUNCTION("""COMPUTED_VALUE"""),"")</f>
        <v/>
      </c>
      <c r="K861" s="71"/>
      <c r="L861" s="71" t="str">
        <f>IFERROR(__xludf.DUMMYFUNCTION("""COMPUTED_VALUE"""),"")</f>
        <v/>
      </c>
      <c r="M861" s="71"/>
      <c r="N861" s="109" t="str">
        <f>IFERROR(__xludf.DUMMYFUNCTION("""COMPUTED_VALUE"""),"")</f>
        <v/>
      </c>
      <c r="O861" s="71" t="str">
        <f>IFERROR(__xludf.DUMMYFUNCTION("""COMPUTED_VALUE"""),"")</f>
        <v/>
      </c>
      <c r="P861" s="71" t="str">
        <f>IFERROR(__xludf.DUMMYFUNCTION("""COMPUTED_VALUE"""),"")</f>
        <v/>
      </c>
      <c r="Q861" s="78" t="str">
        <f>IFERROR(__xludf.DUMMYFUNCTION("""COMPUTED_VALUE"""),"")</f>
        <v/>
      </c>
      <c r="R861" s="78" t="str">
        <f>IFERROR(__xludf.DUMMYFUNCTION("""COMPUTED_VALUE"""),"")</f>
        <v/>
      </c>
      <c r="S861" s="80" t="str">
        <f>IFERROR(__xludf.DUMMYFUNCTION("""COMPUTED_VALUE"""),"")</f>
        <v/>
      </c>
      <c r="T861" s="80" t="str">
        <f>IFERROR(__xludf.DUMMYFUNCTION("""COMPUTED_VALUE"""),"")</f>
        <v/>
      </c>
      <c r="U861" s="71" t="str">
        <f>IFERROR(__xludf.DUMMYFUNCTION("""COMPUTED_VALUE"""),"")</f>
        <v/>
      </c>
      <c r="V861" s="78" t="str">
        <f>IFERROR(__xludf.DUMMYFUNCTION("""COMPUTED_VALUE"""),"")</f>
        <v/>
      </c>
      <c r="W861" s="62" t="str">
        <f>IFERROR(__xludf.DUMMYFUNCTION("""COMPUTED_VALUE"""),"")</f>
        <v/>
      </c>
      <c r="X861" s="80" t="str">
        <f>IFERROR(__xludf.DUMMYFUNCTION("""COMPUTED_VALUE"""),"")</f>
        <v/>
      </c>
      <c r="Y861" s="109" t="str">
        <f>IFERROR(__xludf.DUMMYFUNCTION("""COMPUTED_VALUE"""),"")</f>
        <v/>
      </c>
      <c r="Z861" s="71"/>
      <c r="AA861" s="71"/>
      <c r="AB861" s="71"/>
    </row>
    <row r="862">
      <c r="A862" s="71"/>
      <c r="B862" s="71"/>
      <c r="C862" s="71" t="str">
        <f>IFERROR(__xludf.DUMMYFUNCTION("""COMPUTED_VALUE"""),"")</f>
        <v/>
      </c>
      <c r="D862" s="71"/>
      <c r="E862" s="78"/>
      <c r="F862" s="71"/>
      <c r="G862" s="78" t="str">
        <f>IFERROR(__xludf.DUMMYFUNCTION("""COMPUTED_VALUE"""),"")</f>
        <v/>
      </c>
      <c r="H862" s="71"/>
      <c r="I862" s="80" t="str">
        <f>IFERROR(__xludf.DUMMYFUNCTION("""COMPUTED_VALUE"""),"")</f>
        <v/>
      </c>
      <c r="J862" s="71" t="str">
        <f>IFERROR(__xludf.DUMMYFUNCTION("""COMPUTED_VALUE"""),"")</f>
        <v/>
      </c>
      <c r="K862" s="71"/>
      <c r="L862" s="71" t="str">
        <f>IFERROR(__xludf.DUMMYFUNCTION("""COMPUTED_VALUE"""),"")</f>
        <v/>
      </c>
      <c r="M862" s="71"/>
      <c r="N862" s="109" t="str">
        <f>IFERROR(__xludf.DUMMYFUNCTION("""COMPUTED_VALUE"""),"")</f>
        <v/>
      </c>
      <c r="O862" s="71" t="str">
        <f>IFERROR(__xludf.DUMMYFUNCTION("""COMPUTED_VALUE"""),"")</f>
        <v/>
      </c>
      <c r="P862" s="71" t="str">
        <f>IFERROR(__xludf.DUMMYFUNCTION("""COMPUTED_VALUE"""),"")</f>
        <v/>
      </c>
      <c r="Q862" s="78" t="str">
        <f>IFERROR(__xludf.DUMMYFUNCTION("""COMPUTED_VALUE"""),"")</f>
        <v/>
      </c>
      <c r="R862" s="78" t="str">
        <f>IFERROR(__xludf.DUMMYFUNCTION("""COMPUTED_VALUE"""),"")</f>
        <v/>
      </c>
      <c r="S862" s="80" t="str">
        <f>IFERROR(__xludf.DUMMYFUNCTION("""COMPUTED_VALUE"""),"")</f>
        <v/>
      </c>
      <c r="T862" s="80" t="str">
        <f>IFERROR(__xludf.DUMMYFUNCTION("""COMPUTED_VALUE"""),"")</f>
        <v/>
      </c>
      <c r="U862" s="71" t="str">
        <f>IFERROR(__xludf.DUMMYFUNCTION("""COMPUTED_VALUE"""),"")</f>
        <v/>
      </c>
      <c r="V862" s="78" t="str">
        <f>IFERROR(__xludf.DUMMYFUNCTION("""COMPUTED_VALUE"""),"")</f>
        <v/>
      </c>
      <c r="W862" s="62" t="str">
        <f>IFERROR(__xludf.DUMMYFUNCTION("""COMPUTED_VALUE"""),"")</f>
        <v/>
      </c>
      <c r="X862" s="80" t="str">
        <f>IFERROR(__xludf.DUMMYFUNCTION("""COMPUTED_VALUE"""),"")</f>
        <v/>
      </c>
      <c r="Y862" s="109" t="str">
        <f>IFERROR(__xludf.DUMMYFUNCTION("""COMPUTED_VALUE"""),"")</f>
        <v/>
      </c>
      <c r="Z862" s="71"/>
      <c r="AA862" s="71"/>
      <c r="AB862" s="71"/>
    </row>
    <row r="863">
      <c r="A863" s="71"/>
      <c r="B863" s="71"/>
      <c r="C863" s="71" t="str">
        <f>IFERROR(__xludf.DUMMYFUNCTION("""COMPUTED_VALUE"""),"")</f>
        <v/>
      </c>
      <c r="D863" s="71"/>
      <c r="E863" s="78"/>
      <c r="F863" s="71"/>
      <c r="G863" s="78" t="str">
        <f>IFERROR(__xludf.DUMMYFUNCTION("""COMPUTED_VALUE"""),"")</f>
        <v/>
      </c>
      <c r="H863" s="71"/>
      <c r="I863" s="80" t="str">
        <f>IFERROR(__xludf.DUMMYFUNCTION("""COMPUTED_VALUE"""),"")</f>
        <v/>
      </c>
      <c r="J863" s="71" t="str">
        <f>IFERROR(__xludf.DUMMYFUNCTION("""COMPUTED_VALUE"""),"")</f>
        <v/>
      </c>
      <c r="K863" s="71"/>
      <c r="L863" s="71" t="str">
        <f>IFERROR(__xludf.DUMMYFUNCTION("""COMPUTED_VALUE"""),"")</f>
        <v/>
      </c>
      <c r="M863" s="71"/>
      <c r="N863" s="109" t="str">
        <f>IFERROR(__xludf.DUMMYFUNCTION("""COMPUTED_VALUE"""),"")</f>
        <v/>
      </c>
      <c r="O863" s="71" t="str">
        <f>IFERROR(__xludf.DUMMYFUNCTION("""COMPUTED_VALUE"""),"")</f>
        <v/>
      </c>
      <c r="P863" s="71" t="str">
        <f>IFERROR(__xludf.DUMMYFUNCTION("""COMPUTED_VALUE"""),"")</f>
        <v/>
      </c>
      <c r="Q863" s="78" t="str">
        <f>IFERROR(__xludf.DUMMYFUNCTION("""COMPUTED_VALUE"""),"")</f>
        <v/>
      </c>
      <c r="R863" s="78" t="str">
        <f>IFERROR(__xludf.DUMMYFUNCTION("""COMPUTED_VALUE"""),"")</f>
        <v/>
      </c>
      <c r="S863" s="80" t="str">
        <f>IFERROR(__xludf.DUMMYFUNCTION("""COMPUTED_VALUE"""),"")</f>
        <v/>
      </c>
      <c r="T863" s="80" t="str">
        <f>IFERROR(__xludf.DUMMYFUNCTION("""COMPUTED_VALUE"""),"")</f>
        <v/>
      </c>
      <c r="U863" s="71" t="str">
        <f>IFERROR(__xludf.DUMMYFUNCTION("""COMPUTED_VALUE"""),"")</f>
        <v/>
      </c>
      <c r="V863" s="78" t="str">
        <f>IFERROR(__xludf.DUMMYFUNCTION("""COMPUTED_VALUE"""),"")</f>
        <v/>
      </c>
      <c r="W863" s="62" t="str">
        <f>IFERROR(__xludf.DUMMYFUNCTION("""COMPUTED_VALUE"""),"")</f>
        <v/>
      </c>
      <c r="X863" s="80" t="str">
        <f>IFERROR(__xludf.DUMMYFUNCTION("""COMPUTED_VALUE"""),"")</f>
        <v/>
      </c>
      <c r="Y863" s="109" t="str">
        <f>IFERROR(__xludf.DUMMYFUNCTION("""COMPUTED_VALUE"""),"")</f>
        <v/>
      </c>
      <c r="Z863" s="71"/>
      <c r="AA863" s="71"/>
      <c r="AB863" s="71"/>
    </row>
    <row r="864">
      <c r="A864" s="71"/>
      <c r="B864" s="71"/>
      <c r="C864" s="71" t="str">
        <f>IFERROR(__xludf.DUMMYFUNCTION("""COMPUTED_VALUE"""),"")</f>
        <v/>
      </c>
      <c r="D864" s="71"/>
      <c r="E864" s="78"/>
      <c r="F864" s="71"/>
      <c r="G864" s="78" t="str">
        <f>IFERROR(__xludf.DUMMYFUNCTION("""COMPUTED_VALUE"""),"")</f>
        <v/>
      </c>
      <c r="H864" s="71"/>
      <c r="I864" s="80" t="str">
        <f>IFERROR(__xludf.DUMMYFUNCTION("""COMPUTED_VALUE"""),"")</f>
        <v/>
      </c>
      <c r="J864" s="71" t="str">
        <f>IFERROR(__xludf.DUMMYFUNCTION("""COMPUTED_VALUE"""),"")</f>
        <v/>
      </c>
      <c r="K864" s="71"/>
      <c r="L864" s="71" t="str">
        <f>IFERROR(__xludf.DUMMYFUNCTION("""COMPUTED_VALUE"""),"")</f>
        <v/>
      </c>
      <c r="M864" s="71"/>
      <c r="N864" s="109" t="str">
        <f>IFERROR(__xludf.DUMMYFUNCTION("""COMPUTED_VALUE"""),"")</f>
        <v/>
      </c>
      <c r="O864" s="71" t="str">
        <f>IFERROR(__xludf.DUMMYFUNCTION("""COMPUTED_VALUE"""),"")</f>
        <v/>
      </c>
      <c r="P864" s="71" t="str">
        <f>IFERROR(__xludf.DUMMYFUNCTION("""COMPUTED_VALUE"""),"")</f>
        <v/>
      </c>
      <c r="Q864" s="78" t="str">
        <f>IFERROR(__xludf.DUMMYFUNCTION("""COMPUTED_VALUE"""),"")</f>
        <v/>
      </c>
      <c r="R864" s="78" t="str">
        <f>IFERROR(__xludf.DUMMYFUNCTION("""COMPUTED_VALUE"""),"")</f>
        <v/>
      </c>
      <c r="S864" s="80" t="str">
        <f>IFERROR(__xludf.DUMMYFUNCTION("""COMPUTED_VALUE"""),"")</f>
        <v/>
      </c>
      <c r="T864" s="80" t="str">
        <f>IFERROR(__xludf.DUMMYFUNCTION("""COMPUTED_VALUE"""),"")</f>
        <v/>
      </c>
      <c r="U864" s="71" t="str">
        <f>IFERROR(__xludf.DUMMYFUNCTION("""COMPUTED_VALUE"""),"")</f>
        <v/>
      </c>
      <c r="V864" s="78" t="str">
        <f>IFERROR(__xludf.DUMMYFUNCTION("""COMPUTED_VALUE"""),"")</f>
        <v/>
      </c>
      <c r="W864" s="62" t="str">
        <f>IFERROR(__xludf.DUMMYFUNCTION("""COMPUTED_VALUE"""),"")</f>
        <v/>
      </c>
      <c r="X864" s="80" t="str">
        <f>IFERROR(__xludf.DUMMYFUNCTION("""COMPUTED_VALUE"""),"")</f>
        <v/>
      </c>
      <c r="Y864" s="109" t="str">
        <f>IFERROR(__xludf.DUMMYFUNCTION("""COMPUTED_VALUE"""),"")</f>
        <v/>
      </c>
      <c r="Z864" s="71"/>
      <c r="AA864" s="71"/>
      <c r="AB864" s="71"/>
    </row>
    <row r="865">
      <c r="A865" s="71"/>
      <c r="B865" s="71"/>
      <c r="C865" s="71" t="str">
        <f>IFERROR(__xludf.DUMMYFUNCTION("""COMPUTED_VALUE"""),"")</f>
        <v/>
      </c>
      <c r="D865" s="71"/>
      <c r="E865" s="78"/>
      <c r="F865" s="71"/>
      <c r="G865" s="78" t="str">
        <f>IFERROR(__xludf.DUMMYFUNCTION("""COMPUTED_VALUE"""),"")</f>
        <v/>
      </c>
      <c r="H865" s="71"/>
      <c r="I865" s="80" t="str">
        <f>IFERROR(__xludf.DUMMYFUNCTION("""COMPUTED_VALUE"""),"")</f>
        <v/>
      </c>
      <c r="J865" s="71" t="str">
        <f>IFERROR(__xludf.DUMMYFUNCTION("""COMPUTED_VALUE"""),"")</f>
        <v/>
      </c>
      <c r="K865" s="71"/>
      <c r="L865" s="71" t="str">
        <f>IFERROR(__xludf.DUMMYFUNCTION("""COMPUTED_VALUE"""),"")</f>
        <v/>
      </c>
      <c r="M865" s="71"/>
      <c r="N865" s="109" t="str">
        <f>IFERROR(__xludf.DUMMYFUNCTION("""COMPUTED_VALUE"""),"")</f>
        <v/>
      </c>
      <c r="O865" s="71" t="str">
        <f>IFERROR(__xludf.DUMMYFUNCTION("""COMPUTED_VALUE"""),"")</f>
        <v/>
      </c>
      <c r="P865" s="71" t="str">
        <f>IFERROR(__xludf.DUMMYFUNCTION("""COMPUTED_VALUE"""),"")</f>
        <v/>
      </c>
      <c r="Q865" s="78" t="str">
        <f>IFERROR(__xludf.DUMMYFUNCTION("""COMPUTED_VALUE"""),"")</f>
        <v/>
      </c>
      <c r="R865" s="78" t="str">
        <f>IFERROR(__xludf.DUMMYFUNCTION("""COMPUTED_VALUE"""),"")</f>
        <v/>
      </c>
      <c r="S865" s="80" t="str">
        <f>IFERROR(__xludf.DUMMYFUNCTION("""COMPUTED_VALUE"""),"")</f>
        <v/>
      </c>
      <c r="T865" s="80" t="str">
        <f>IFERROR(__xludf.DUMMYFUNCTION("""COMPUTED_VALUE"""),"")</f>
        <v/>
      </c>
      <c r="U865" s="71" t="str">
        <f>IFERROR(__xludf.DUMMYFUNCTION("""COMPUTED_VALUE"""),"")</f>
        <v/>
      </c>
      <c r="V865" s="78" t="str">
        <f>IFERROR(__xludf.DUMMYFUNCTION("""COMPUTED_VALUE"""),"")</f>
        <v/>
      </c>
      <c r="W865" s="62" t="str">
        <f>IFERROR(__xludf.DUMMYFUNCTION("""COMPUTED_VALUE"""),"")</f>
        <v/>
      </c>
      <c r="X865" s="80" t="str">
        <f>IFERROR(__xludf.DUMMYFUNCTION("""COMPUTED_VALUE"""),"")</f>
        <v/>
      </c>
      <c r="Y865" s="109" t="str">
        <f>IFERROR(__xludf.DUMMYFUNCTION("""COMPUTED_VALUE"""),"")</f>
        <v/>
      </c>
      <c r="Z865" s="71"/>
      <c r="AA865" s="71"/>
      <c r="AB865" s="71"/>
    </row>
    <row r="866">
      <c r="A866" s="71"/>
      <c r="B866" s="71"/>
      <c r="C866" s="71" t="str">
        <f>IFERROR(__xludf.DUMMYFUNCTION("""COMPUTED_VALUE"""),"")</f>
        <v/>
      </c>
      <c r="D866" s="71"/>
      <c r="E866" s="78"/>
      <c r="F866" s="71"/>
      <c r="G866" s="78" t="str">
        <f>IFERROR(__xludf.DUMMYFUNCTION("""COMPUTED_VALUE"""),"")</f>
        <v/>
      </c>
      <c r="H866" s="71"/>
      <c r="I866" s="80" t="str">
        <f>IFERROR(__xludf.DUMMYFUNCTION("""COMPUTED_VALUE"""),"")</f>
        <v/>
      </c>
      <c r="J866" s="71" t="str">
        <f>IFERROR(__xludf.DUMMYFUNCTION("""COMPUTED_VALUE"""),"")</f>
        <v/>
      </c>
      <c r="K866" s="71"/>
      <c r="L866" s="71" t="str">
        <f>IFERROR(__xludf.DUMMYFUNCTION("""COMPUTED_VALUE"""),"")</f>
        <v/>
      </c>
      <c r="M866" s="71"/>
      <c r="N866" s="109" t="str">
        <f>IFERROR(__xludf.DUMMYFUNCTION("""COMPUTED_VALUE"""),"")</f>
        <v/>
      </c>
      <c r="O866" s="71" t="str">
        <f>IFERROR(__xludf.DUMMYFUNCTION("""COMPUTED_VALUE"""),"")</f>
        <v/>
      </c>
      <c r="P866" s="71" t="str">
        <f>IFERROR(__xludf.DUMMYFUNCTION("""COMPUTED_VALUE"""),"")</f>
        <v/>
      </c>
      <c r="Q866" s="78" t="str">
        <f>IFERROR(__xludf.DUMMYFUNCTION("""COMPUTED_VALUE"""),"")</f>
        <v/>
      </c>
      <c r="R866" s="78" t="str">
        <f>IFERROR(__xludf.DUMMYFUNCTION("""COMPUTED_VALUE"""),"")</f>
        <v/>
      </c>
      <c r="S866" s="80" t="str">
        <f>IFERROR(__xludf.DUMMYFUNCTION("""COMPUTED_VALUE"""),"")</f>
        <v/>
      </c>
      <c r="T866" s="80" t="str">
        <f>IFERROR(__xludf.DUMMYFUNCTION("""COMPUTED_VALUE"""),"")</f>
        <v/>
      </c>
      <c r="U866" s="71" t="str">
        <f>IFERROR(__xludf.DUMMYFUNCTION("""COMPUTED_VALUE"""),"")</f>
        <v/>
      </c>
      <c r="V866" s="78" t="str">
        <f>IFERROR(__xludf.DUMMYFUNCTION("""COMPUTED_VALUE"""),"")</f>
        <v/>
      </c>
      <c r="W866" s="62" t="str">
        <f>IFERROR(__xludf.DUMMYFUNCTION("""COMPUTED_VALUE"""),"")</f>
        <v/>
      </c>
      <c r="X866" s="80" t="str">
        <f>IFERROR(__xludf.DUMMYFUNCTION("""COMPUTED_VALUE"""),"")</f>
        <v/>
      </c>
      <c r="Y866" s="109" t="str">
        <f>IFERROR(__xludf.DUMMYFUNCTION("""COMPUTED_VALUE"""),"")</f>
        <v/>
      </c>
      <c r="Z866" s="71"/>
      <c r="AA866" s="71"/>
      <c r="AB866" s="71"/>
    </row>
    <row r="867">
      <c r="A867" s="71"/>
      <c r="B867" s="71"/>
      <c r="C867" s="71" t="str">
        <f>IFERROR(__xludf.DUMMYFUNCTION("""COMPUTED_VALUE"""),"")</f>
        <v/>
      </c>
      <c r="D867" s="71"/>
      <c r="E867" s="78"/>
      <c r="F867" s="71"/>
      <c r="G867" s="78" t="str">
        <f>IFERROR(__xludf.DUMMYFUNCTION("""COMPUTED_VALUE"""),"")</f>
        <v/>
      </c>
      <c r="H867" s="71"/>
      <c r="I867" s="80" t="str">
        <f>IFERROR(__xludf.DUMMYFUNCTION("""COMPUTED_VALUE"""),"")</f>
        <v/>
      </c>
      <c r="J867" s="71" t="str">
        <f>IFERROR(__xludf.DUMMYFUNCTION("""COMPUTED_VALUE"""),"")</f>
        <v/>
      </c>
      <c r="K867" s="71"/>
      <c r="L867" s="71" t="str">
        <f>IFERROR(__xludf.DUMMYFUNCTION("""COMPUTED_VALUE"""),"")</f>
        <v/>
      </c>
      <c r="M867" s="71"/>
      <c r="N867" s="109" t="str">
        <f>IFERROR(__xludf.DUMMYFUNCTION("""COMPUTED_VALUE"""),"")</f>
        <v/>
      </c>
      <c r="O867" s="71" t="str">
        <f>IFERROR(__xludf.DUMMYFUNCTION("""COMPUTED_VALUE"""),"")</f>
        <v/>
      </c>
      <c r="P867" s="71" t="str">
        <f>IFERROR(__xludf.DUMMYFUNCTION("""COMPUTED_VALUE"""),"")</f>
        <v/>
      </c>
      <c r="Q867" s="78" t="str">
        <f>IFERROR(__xludf.DUMMYFUNCTION("""COMPUTED_VALUE"""),"")</f>
        <v/>
      </c>
      <c r="R867" s="78" t="str">
        <f>IFERROR(__xludf.DUMMYFUNCTION("""COMPUTED_VALUE"""),"")</f>
        <v/>
      </c>
      <c r="S867" s="80" t="str">
        <f>IFERROR(__xludf.DUMMYFUNCTION("""COMPUTED_VALUE"""),"")</f>
        <v/>
      </c>
      <c r="T867" s="80" t="str">
        <f>IFERROR(__xludf.DUMMYFUNCTION("""COMPUTED_VALUE"""),"")</f>
        <v/>
      </c>
      <c r="U867" s="71" t="str">
        <f>IFERROR(__xludf.DUMMYFUNCTION("""COMPUTED_VALUE"""),"")</f>
        <v/>
      </c>
      <c r="V867" s="78" t="str">
        <f>IFERROR(__xludf.DUMMYFUNCTION("""COMPUTED_VALUE"""),"")</f>
        <v/>
      </c>
      <c r="W867" s="62" t="str">
        <f>IFERROR(__xludf.DUMMYFUNCTION("""COMPUTED_VALUE"""),"")</f>
        <v/>
      </c>
      <c r="X867" s="80" t="str">
        <f>IFERROR(__xludf.DUMMYFUNCTION("""COMPUTED_VALUE"""),"")</f>
        <v/>
      </c>
      <c r="Y867" s="109" t="str">
        <f>IFERROR(__xludf.DUMMYFUNCTION("""COMPUTED_VALUE"""),"")</f>
        <v/>
      </c>
      <c r="Z867" s="71"/>
      <c r="AA867" s="71"/>
      <c r="AB867" s="71"/>
    </row>
    <row r="868">
      <c r="A868" s="71"/>
      <c r="B868" s="71"/>
      <c r="C868" s="71" t="str">
        <f>IFERROR(__xludf.DUMMYFUNCTION("""COMPUTED_VALUE"""),"")</f>
        <v/>
      </c>
      <c r="D868" s="71"/>
      <c r="E868" s="78"/>
      <c r="F868" s="71"/>
      <c r="G868" s="78" t="str">
        <f>IFERROR(__xludf.DUMMYFUNCTION("""COMPUTED_VALUE"""),"")</f>
        <v/>
      </c>
      <c r="H868" s="71"/>
      <c r="I868" s="80" t="str">
        <f>IFERROR(__xludf.DUMMYFUNCTION("""COMPUTED_VALUE"""),"")</f>
        <v/>
      </c>
      <c r="J868" s="71" t="str">
        <f>IFERROR(__xludf.DUMMYFUNCTION("""COMPUTED_VALUE"""),"")</f>
        <v/>
      </c>
      <c r="K868" s="71"/>
      <c r="L868" s="71" t="str">
        <f>IFERROR(__xludf.DUMMYFUNCTION("""COMPUTED_VALUE"""),"")</f>
        <v/>
      </c>
      <c r="M868" s="71"/>
      <c r="N868" s="109" t="str">
        <f>IFERROR(__xludf.DUMMYFUNCTION("""COMPUTED_VALUE"""),"")</f>
        <v/>
      </c>
      <c r="O868" s="71" t="str">
        <f>IFERROR(__xludf.DUMMYFUNCTION("""COMPUTED_VALUE"""),"")</f>
        <v/>
      </c>
      <c r="P868" s="71" t="str">
        <f>IFERROR(__xludf.DUMMYFUNCTION("""COMPUTED_VALUE"""),"")</f>
        <v/>
      </c>
      <c r="Q868" s="78" t="str">
        <f>IFERROR(__xludf.DUMMYFUNCTION("""COMPUTED_VALUE"""),"")</f>
        <v/>
      </c>
      <c r="R868" s="78" t="str">
        <f>IFERROR(__xludf.DUMMYFUNCTION("""COMPUTED_VALUE"""),"")</f>
        <v/>
      </c>
      <c r="S868" s="80" t="str">
        <f>IFERROR(__xludf.DUMMYFUNCTION("""COMPUTED_VALUE"""),"")</f>
        <v/>
      </c>
      <c r="T868" s="80" t="str">
        <f>IFERROR(__xludf.DUMMYFUNCTION("""COMPUTED_VALUE"""),"")</f>
        <v/>
      </c>
      <c r="U868" s="71" t="str">
        <f>IFERROR(__xludf.DUMMYFUNCTION("""COMPUTED_VALUE"""),"")</f>
        <v/>
      </c>
      <c r="V868" s="78" t="str">
        <f>IFERROR(__xludf.DUMMYFUNCTION("""COMPUTED_VALUE"""),"")</f>
        <v/>
      </c>
      <c r="W868" s="62" t="str">
        <f>IFERROR(__xludf.DUMMYFUNCTION("""COMPUTED_VALUE"""),"")</f>
        <v/>
      </c>
      <c r="X868" s="80" t="str">
        <f>IFERROR(__xludf.DUMMYFUNCTION("""COMPUTED_VALUE"""),"")</f>
        <v/>
      </c>
      <c r="Y868" s="109" t="str">
        <f>IFERROR(__xludf.DUMMYFUNCTION("""COMPUTED_VALUE"""),"")</f>
        <v/>
      </c>
      <c r="Z868" s="71"/>
      <c r="AA868" s="71"/>
      <c r="AB868" s="71"/>
    </row>
    <row r="869">
      <c r="A869" s="71"/>
      <c r="B869" s="71"/>
      <c r="C869" s="71" t="str">
        <f>IFERROR(__xludf.DUMMYFUNCTION("""COMPUTED_VALUE"""),"")</f>
        <v/>
      </c>
      <c r="D869" s="71"/>
      <c r="E869" s="78"/>
      <c r="F869" s="71"/>
      <c r="G869" s="78" t="str">
        <f>IFERROR(__xludf.DUMMYFUNCTION("""COMPUTED_VALUE"""),"")</f>
        <v/>
      </c>
      <c r="H869" s="71"/>
      <c r="I869" s="80" t="str">
        <f>IFERROR(__xludf.DUMMYFUNCTION("""COMPUTED_VALUE"""),"")</f>
        <v/>
      </c>
      <c r="J869" s="71" t="str">
        <f>IFERROR(__xludf.DUMMYFUNCTION("""COMPUTED_VALUE"""),"")</f>
        <v/>
      </c>
      <c r="K869" s="71"/>
      <c r="L869" s="71" t="str">
        <f>IFERROR(__xludf.DUMMYFUNCTION("""COMPUTED_VALUE"""),"")</f>
        <v/>
      </c>
      <c r="M869" s="71"/>
      <c r="N869" s="109" t="str">
        <f>IFERROR(__xludf.DUMMYFUNCTION("""COMPUTED_VALUE"""),"")</f>
        <v/>
      </c>
      <c r="O869" s="71" t="str">
        <f>IFERROR(__xludf.DUMMYFUNCTION("""COMPUTED_VALUE"""),"")</f>
        <v/>
      </c>
      <c r="P869" s="71" t="str">
        <f>IFERROR(__xludf.DUMMYFUNCTION("""COMPUTED_VALUE"""),"")</f>
        <v/>
      </c>
      <c r="Q869" s="78" t="str">
        <f>IFERROR(__xludf.DUMMYFUNCTION("""COMPUTED_VALUE"""),"")</f>
        <v/>
      </c>
      <c r="R869" s="78" t="str">
        <f>IFERROR(__xludf.DUMMYFUNCTION("""COMPUTED_VALUE"""),"")</f>
        <v/>
      </c>
      <c r="S869" s="80" t="str">
        <f>IFERROR(__xludf.DUMMYFUNCTION("""COMPUTED_VALUE"""),"")</f>
        <v/>
      </c>
      <c r="T869" s="80" t="str">
        <f>IFERROR(__xludf.DUMMYFUNCTION("""COMPUTED_VALUE"""),"")</f>
        <v/>
      </c>
      <c r="U869" s="71" t="str">
        <f>IFERROR(__xludf.DUMMYFUNCTION("""COMPUTED_VALUE"""),"")</f>
        <v/>
      </c>
      <c r="V869" s="78" t="str">
        <f>IFERROR(__xludf.DUMMYFUNCTION("""COMPUTED_VALUE"""),"")</f>
        <v/>
      </c>
      <c r="W869" s="62" t="str">
        <f>IFERROR(__xludf.DUMMYFUNCTION("""COMPUTED_VALUE"""),"")</f>
        <v/>
      </c>
      <c r="X869" s="80" t="str">
        <f>IFERROR(__xludf.DUMMYFUNCTION("""COMPUTED_VALUE"""),"")</f>
        <v/>
      </c>
      <c r="Y869" s="109" t="str">
        <f>IFERROR(__xludf.DUMMYFUNCTION("""COMPUTED_VALUE"""),"")</f>
        <v/>
      </c>
      <c r="Z869" s="71"/>
      <c r="AA869" s="71"/>
      <c r="AB869" s="71"/>
    </row>
    <row r="870">
      <c r="A870" s="71"/>
      <c r="B870" s="71"/>
      <c r="C870" s="71" t="str">
        <f>IFERROR(__xludf.DUMMYFUNCTION("""COMPUTED_VALUE"""),"")</f>
        <v/>
      </c>
      <c r="D870" s="71"/>
      <c r="E870" s="78"/>
      <c r="F870" s="71"/>
      <c r="G870" s="78" t="str">
        <f>IFERROR(__xludf.DUMMYFUNCTION("""COMPUTED_VALUE"""),"")</f>
        <v/>
      </c>
      <c r="H870" s="71"/>
      <c r="I870" s="80" t="str">
        <f>IFERROR(__xludf.DUMMYFUNCTION("""COMPUTED_VALUE"""),"")</f>
        <v/>
      </c>
      <c r="J870" s="71" t="str">
        <f>IFERROR(__xludf.DUMMYFUNCTION("""COMPUTED_VALUE"""),"")</f>
        <v/>
      </c>
      <c r="K870" s="71"/>
      <c r="L870" s="71" t="str">
        <f>IFERROR(__xludf.DUMMYFUNCTION("""COMPUTED_VALUE"""),"")</f>
        <v/>
      </c>
      <c r="M870" s="71"/>
      <c r="N870" s="109" t="str">
        <f>IFERROR(__xludf.DUMMYFUNCTION("""COMPUTED_VALUE"""),"")</f>
        <v/>
      </c>
      <c r="O870" s="71" t="str">
        <f>IFERROR(__xludf.DUMMYFUNCTION("""COMPUTED_VALUE"""),"")</f>
        <v/>
      </c>
      <c r="P870" s="71" t="str">
        <f>IFERROR(__xludf.DUMMYFUNCTION("""COMPUTED_VALUE"""),"")</f>
        <v/>
      </c>
      <c r="Q870" s="78" t="str">
        <f>IFERROR(__xludf.DUMMYFUNCTION("""COMPUTED_VALUE"""),"")</f>
        <v/>
      </c>
      <c r="R870" s="78" t="str">
        <f>IFERROR(__xludf.DUMMYFUNCTION("""COMPUTED_VALUE"""),"")</f>
        <v/>
      </c>
      <c r="S870" s="80" t="str">
        <f>IFERROR(__xludf.DUMMYFUNCTION("""COMPUTED_VALUE"""),"")</f>
        <v/>
      </c>
      <c r="T870" s="80" t="str">
        <f>IFERROR(__xludf.DUMMYFUNCTION("""COMPUTED_VALUE"""),"")</f>
        <v/>
      </c>
      <c r="U870" s="71" t="str">
        <f>IFERROR(__xludf.DUMMYFUNCTION("""COMPUTED_VALUE"""),"")</f>
        <v/>
      </c>
      <c r="V870" s="78" t="str">
        <f>IFERROR(__xludf.DUMMYFUNCTION("""COMPUTED_VALUE"""),"")</f>
        <v/>
      </c>
      <c r="W870" s="62" t="str">
        <f>IFERROR(__xludf.DUMMYFUNCTION("""COMPUTED_VALUE"""),"")</f>
        <v/>
      </c>
      <c r="X870" s="80" t="str">
        <f>IFERROR(__xludf.DUMMYFUNCTION("""COMPUTED_VALUE"""),"")</f>
        <v/>
      </c>
      <c r="Y870" s="109" t="str">
        <f>IFERROR(__xludf.DUMMYFUNCTION("""COMPUTED_VALUE"""),"")</f>
        <v/>
      </c>
      <c r="Z870" s="71"/>
      <c r="AA870" s="71"/>
      <c r="AB870" s="71"/>
    </row>
    <row r="871">
      <c r="A871" s="71"/>
      <c r="B871" s="71"/>
      <c r="C871" s="71" t="str">
        <f>IFERROR(__xludf.DUMMYFUNCTION("""COMPUTED_VALUE"""),"")</f>
        <v/>
      </c>
      <c r="D871" s="71"/>
      <c r="E871" s="78"/>
      <c r="F871" s="71"/>
      <c r="G871" s="78" t="str">
        <f>IFERROR(__xludf.DUMMYFUNCTION("""COMPUTED_VALUE"""),"")</f>
        <v/>
      </c>
      <c r="H871" s="71"/>
      <c r="I871" s="80" t="str">
        <f>IFERROR(__xludf.DUMMYFUNCTION("""COMPUTED_VALUE"""),"")</f>
        <v/>
      </c>
      <c r="J871" s="71" t="str">
        <f>IFERROR(__xludf.DUMMYFUNCTION("""COMPUTED_VALUE"""),"")</f>
        <v/>
      </c>
      <c r="K871" s="71"/>
      <c r="L871" s="71" t="str">
        <f>IFERROR(__xludf.DUMMYFUNCTION("""COMPUTED_VALUE"""),"")</f>
        <v/>
      </c>
      <c r="M871" s="71"/>
      <c r="N871" s="109" t="str">
        <f>IFERROR(__xludf.DUMMYFUNCTION("""COMPUTED_VALUE"""),"")</f>
        <v/>
      </c>
      <c r="O871" s="71" t="str">
        <f>IFERROR(__xludf.DUMMYFUNCTION("""COMPUTED_VALUE"""),"")</f>
        <v/>
      </c>
      <c r="P871" s="71" t="str">
        <f>IFERROR(__xludf.DUMMYFUNCTION("""COMPUTED_VALUE"""),"")</f>
        <v/>
      </c>
      <c r="Q871" s="78" t="str">
        <f>IFERROR(__xludf.DUMMYFUNCTION("""COMPUTED_VALUE"""),"")</f>
        <v/>
      </c>
      <c r="R871" s="78" t="str">
        <f>IFERROR(__xludf.DUMMYFUNCTION("""COMPUTED_VALUE"""),"")</f>
        <v/>
      </c>
      <c r="S871" s="80" t="str">
        <f>IFERROR(__xludf.DUMMYFUNCTION("""COMPUTED_VALUE"""),"")</f>
        <v/>
      </c>
      <c r="T871" s="80" t="str">
        <f>IFERROR(__xludf.DUMMYFUNCTION("""COMPUTED_VALUE"""),"")</f>
        <v/>
      </c>
      <c r="U871" s="71" t="str">
        <f>IFERROR(__xludf.DUMMYFUNCTION("""COMPUTED_VALUE"""),"")</f>
        <v/>
      </c>
      <c r="V871" s="78" t="str">
        <f>IFERROR(__xludf.DUMMYFUNCTION("""COMPUTED_VALUE"""),"")</f>
        <v/>
      </c>
      <c r="W871" s="62" t="str">
        <f>IFERROR(__xludf.DUMMYFUNCTION("""COMPUTED_VALUE"""),"")</f>
        <v/>
      </c>
      <c r="X871" s="80" t="str">
        <f>IFERROR(__xludf.DUMMYFUNCTION("""COMPUTED_VALUE"""),"")</f>
        <v/>
      </c>
      <c r="Y871" s="109" t="str">
        <f>IFERROR(__xludf.DUMMYFUNCTION("""COMPUTED_VALUE"""),"")</f>
        <v/>
      </c>
      <c r="Z871" s="71"/>
      <c r="AA871" s="71"/>
      <c r="AB871" s="71"/>
    </row>
    <row r="872">
      <c r="A872" s="71"/>
      <c r="B872" s="71"/>
      <c r="C872" s="71" t="str">
        <f>IFERROR(__xludf.DUMMYFUNCTION("""COMPUTED_VALUE"""),"")</f>
        <v/>
      </c>
      <c r="D872" s="71"/>
      <c r="E872" s="78"/>
      <c r="F872" s="71"/>
      <c r="G872" s="78" t="str">
        <f>IFERROR(__xludf.DUMMYFUNCTION("""COMPUTED_VALUE"""),"")</f>
        <v/>
      </c>
      <c r="H872" s="71"/>
      <c r="I872" s="80" t="str">
        <f>IFERROR(__xludf.DUMMYFUNCTION("""COMPUTED_VALUE"""),"")</f>
        <v/>
      </c>
      <c r="J872" s="71" t="str">
        <f>IFERROR(__xludf.DUMMYFUNCTION("""COMPUTED_VALUE"""),"")</f>
        <v/>
      </c>
      <c r="K872" s="71"/>
      <c r="L872" s="71" t="str">
        <f>IFERROR(__xludf.DUMMYFUNCTION("""COMPUTED_VALUE"""),"")</f>
        <v/>
      </c>
      <c r="M872" s="71"/>
      <c r="N872" s="109" t="str">
        <f>IFERROR(__xludf.DUMMYFUNCTION("""COMPUTED_VALUE"""),"")</f>
        <v/>
      </c>
      <c r="O872" s="71" t="str">
        <f>IFERROR(__xludf.DUMMYFUNCTION("""COMPUTED_VALUE"""),"")</f>
        <v/>
      </c>
      <c r="P872" s="71" t="str">
        <f>IFERROR(__xludf.DUMMYFUNCTION("""COMPUTED_VALUE"""),"")</f>
        <v/>
      </c>
      <c r="Q872" s="78" t="str">
        <f>IFERROR(__xludf.DUMMYFUNCTION("""COMPUTED_VALUE"""),"")</f>
        <v/>
      </c>
      <c r="R872" s="78" t="str">
        <f>IFERROR(__xludf.DUMMYFUNCTION("""COMPUTED_VALUE"""),"")</f>
        <v/>
      </c>
      <c r="S872" s="80" t="str">
        <f>IFERROR(__xludf.DUMMYFUNCTION("""COMPUTED_VALUE"""),"")</f>
        <v/>
      </c>
      <c r="T872" s="80" t="str">
        <f>IFERROR(__xludf.DUMMYFUNCTION("""COMPUTED_VALUE"""),"")</f>
        <v/>
      </c>
      <c r="U872" s="71" t="str">
        <f>IFERROR(__xludf.DUMMYFUNCTION("""COMPUTED_VALUE"""),"")</f>
        <v/>
      </c>
      <c r="V872" s="78" t="str">
        <f>IFERROR(__xludf.DUMMYFUNCTION("""COMPUTED_VALUE"""),"")</f>
        <v/>
      </c>
      <c r="W872" s="62" t="str">
        <f>IFERROR(__xludf.DUMMYFUNCTION("""COMPUTED_VALUE"""),"")</f>
        <v/>
      </c>
      <c r="X872" s="80" t="str">
        <f>IFERROR(__xludf.DUMMYFUNCTION("""COMPUTED_VALUE"""),"")</f>
        <v/>
      </c>
      <c r="Y872" s="109" t="str">
        <f>IFERROR(__xludf.DUMMYFUNCTION("""COMPUTED_VALUE"""),"")</f>
        <v/>
      </c>
      <c r="Z872" s="71"/>
      <c r="AA872" s="71"/>
      <c r="AB872" s="71"/>
    </row>
    <row r="873">
      <c r="A873" s="71"/>
      <c r="B873" s="71"/>
      <c r="C873" s="71" t="str">
        <f>IFERROR(__xludf.DUMMYFUNCTION("""COMPUTED_VALUE"""),"")</f>
        <v/>
      </c>
      <c r="D873" s="71"/>
      <c r="E873" s="78"/>
      <c r="F873" s="71"/>
      <c r="G873" s="78" t="str">
        <f>IFERROR(__xludf.DUMMYFUNCTION("""COMPUTED_VALUE"""),"")</f>
        <v/>
      </c>
      <c r="H873" s="71"/>
      <c r="I873" s="80" t="str">
        <f>IFERROR(__xludf.DUMMYFUNCTION("""COMPUTED_VALUE"""),"")</f>
        <v/>
      </c>
      <c r="J873" s="71" t="str">
        <f>IFERROR(__xludf.DUMMYFUNCTION("""COMPUTED_VALUE"""),"")</f>
        <v/>
      </c>
      <c r="K873" s="71"/>
      <c r="L873" s="71" t="str">
        <f>IFERROR(__xludf.DUMMYFUNCTION("""COMPUTED_VALUE"""),"")</f>
        <v/>
      </c>
      <c r="M873" s="71"/>
      <c r="N873" s="109" t="str">
        <f>IFERROR(__xludf.DUMMYFUNCTION("""COMPUTED_VALUE"""),"")</f>
        <v/>
      </c>
      <c r="O873" s="71" t="str">
        <f>IFERROR(__xludf.DUMMYFUNCTION("""COMPUTED_VALUE"""),"")</f>
        <v/>
      </c>
      <c r="P873" s="71" t="str">
        <f>IFERROR(__xludf.DUMMYFUNCTION("""COMPUTED_VALUE"""),"")</f>
        <v/>
      </c>
      <c r="Q873" s="78" t="str">
        <f>IFERROR(__xludf.DUMMYFUNCTION("""COMPUTED_VALUE"""),"")</f>
        <v/>
      </c>
      <c r="R873" s="78" t="str">
        <f>IFERROR(__xludf.DUMMYFUNCTION("""COMPUTED_VALUE"""),"")</f>
        <v/>
      </c>
      <c r="S873" s="80" t="str">
        <f>IFERROR(__xludf.DUMMYFUNCTION("""COMPUTED_VALUE"""),"")</f>
        <v/>
      </c>
      <c r="T873" s="80" t="str">
        <f>IFERROR(__xludf.DUMMYFUNCTION("""COMPUTED_VALUE"""),"")</f>
        <v/>
      </c>
      <c r="U873" s="71" t="str">
        <f>IFERROR(__xludf.DUMMYFUNCTION("""COMPUTED_VALUE"""),"")</f>
        <v/>
      </c>
      <c r="V873" s="78" t="str">
        <f>IFERROR(__xludf.DUMMYFUNCTION("""COMPUTED_VALUE"""),"")</f>
        <v/>
      </c>
      <c r="W873" s="62" t="str">
        <f>IFERROR(__xludf.DUMMYFUNCTION("""COMPUTED_VALUE"""),"")</f>
        <v/>
      </c>
      <c r="X873" s="80" t="str">
        <f>IFERROR(__xludf.DUMMYFUNCTION("""COMPUTED_VALUE"""),"")</f>
        <v/>
      </c>
      <c r="Y873" s="109" t="str">
        <f>IFERROR(__xludf.DUMMYFUNCTION("""COMPUTED_VALUE"""),"")</f>
        <v/>
      </c>
      <c r="Z873" s="71"/>
      <c r="AA873" s="71"/>
      <c r="AB873" s="71"/>
    </row>
    <row r="874">
      <c r="A874" s="71"/>
      <c r="B874" s="71"/>
      <c r="C874" s="71" t="str">
        <f>IFERROR(__xludf.DUMMYFUNCTION("""COMPUTED_VALUE"""),"")</f>
        <v/>
      </c>
      <c r="D874" s="71"/>
      <c r="E874" s="78"/>
      <c r="F874" s="71"/>
      <c r="G874" s="78" t="str">
        <f>IFERROR(__xludf.DUMMYFUNCTION("""COMPUTED_VALUE"""),"")</f>
        <v/>
      </c>
      <c r="H874" s="71"/>
      <c r="I874" s="80" t="str">
        <f>IFERROR(__xludf.DUMMYFUNCTION("""COMPUTED_VALUE"""),"")</f>
        <v/>
      </c>
      <c r="J874" s="71" t="str">
        <f>IFERROR(__xludf.DUMMYFUNCTION("""COMPUTED_VALUE"""),"")</f>
        <v/>
      </c>
      <c r="K874" s="71"/>
      <c r="L874" s="71" t="str">
        <f>IFERROR(__xludf.DUMMYFUNCTION("""COMPUTED_VALUE"""),"")</f>
        <v/>
      </c>
      <c r="M874" s="71"/>
      <c r="N874" s="109" t="str">
        <f>IFERROR(__xludf.DUMMYFUNCTION("""COMPUTED_VALUE"""),"")</f>
        <v/>
      </c>
      <c r="O874" s="71" t="str">
        <f>IFERROR(__xludf.DUMMYFUNCTION("""COMPUTED_VALUE"""),"")</f>
        <v/>
      </c>
      <c r="P874" s="71" t="str">
        <f>IFERROR(__xludf.DUMMYFUNCTION("""COMPUTED_VALUE"""),"")</f>
        <v/>
      </c>
      <c r="Q874" s="78" t="str">
        <f>IFERROR(__xludf.DUMMYFUNCTION("""COMPUTED_VALUE"""),"")</f>
        <v/>
      </c>
      <c r="R874" s="78" t="str">
        <f>IFERROR(__xludf.DUMMYFUNCTION("""COMPUTED_VALUE"""),"")</f>
        <v/>
      </c>
      <c r="S874" s="80" t="str">
        <f>IFERROR(__xludf.DUMMYFUNCTION("""COMPUTED_VALUE"""),"")</f>
        <v/>
      </c>
      <c r="T874" s="80" t="str">
        <f>IFERROR(__xludf.DUMMYFUNCTION("""COMPUTED_VALUE"""),"")</f>
        <v/>
      </c>
      <c r="U874" s="71" t="str">
        <f>IFERROR(__xludf.DUMMYFUNCTION("""COMPUTED_VALUE"""),"")</f>
        <v/>
      </c>
      <c r="V874" s="78" t="str">
        <f>IFERROR(__xludf.DUMMYFUNCTION("""COMPUTED_VALUE"""),"")</f>
        <v/>
      </c>
      <c r="W874" s="62" t="str">
        <f>IFERROR(__xludf.DUMMYFUNCTION("""COMPUTED_VALUE"""),"")</f>
        <v/>
      </c>
      <c r="X874" s="80" t="str">
        <f>IFERROR(__xludf.DUMMYFUNCTION("""COMPUTED_VALUE"""),"")</f>
        <v/>
      </c>
      <c r="Y874" s="109" t="str">
        <f>IFERROR(__xludf.DUMMYFUNCTION("""COMPUTED_VALUE"""),"")</f>
        <v/>
      </c>
      <c r="Z874" s="71"/>
      <c r="AA874" s="71"/>
      <c r="AB874" s="71"/>
    </row>
    <row r="875">
      <c r="A875" s="71"/>
      <c r="B875" s="71"/>
      <c r="C875" s="71" t="str">
        <f>IFERROR(__xludf.DUMMYFUNCTION("""COMPUTED_VALUE"""),"")</f>
        <v/>
      </c>
      <c r="D875" s="71"/>
      <c r="E875" s="78"/>
      <c r="F875" s="71"/>
      <c r="G875" s="78" t="str">
        <f>IFERROR(__xludf.DUMMYFUNCTION("""COMPUTED_VALUE"""),"")</f>
        <v/>
      </c>
      <c r="H875" s="71"/>
      <c r="I875" s="80" t="str">
        <f>IFERROR(__xludf.DUMMYFUNCTION("""COMPUTED_VALUE"""),"")</f>
        <v/>
      </c>
      <c r="J875" s="71" t="str">
        <f>IFERROR(__xludf.DUMMYFUNCTION("""COMPUTED_VALUE"""),"")</f>
        <v/>
      </c>
      <c r="K875" s="71"/>
      <c r="L875" s="71" t="str">
        <f>IFERROR(__xludf.DUMMYFUNCTION("""COMPUTED_VALUE"""),"")</f>
        <v/>
      </c>
      <c r="M875" s="71"/>
      <c r="N875" s="109" t="str">
        <f>IFERROR(__xludf.DUMMYFUNCTION("""COMPUTED_VALUE"""),"")</f>
        <v/>
      </c>
      <c r="O875" s="71" t="str">
        <f>IFERROR(__xludf.DUMMYFUNCTION("""COMPUTED_VALUE"""),"")</f>
        <v/>
      </c>
      <c r="P875" s="71" t="str">
        <f>IFERROR(__xludf.DUMMYFUNCTION("""COMPUTED_VALUE"""),"")</f>
        <v/>
      </c>
      <c r="Q875" s="78" t="str">
        <f>IFERROR(__xludf.DUMMYFUNCTION("""COMPUTED_VALUE"""),"")</f>
        <v/>
      </c>
      <c r="R875" s="78" t="str">
        <f>IFERROR(__xludf.DUMMYFUNCTION("""COMPUTED_VALUE"""),"")</f>
        <v/>
      </c>
      <c r="S875" s="80" t="str">
        <f>IFERROR(__xludf.DUMMYFUNCTION("""COMPUTED_VALUE"""),"")</f>
        <v/>
      </c>
      <c r="T875" s="80" t="str">
        <f>IFERROR(__xludf.DUMMYFUNCTION("""COMPUTED_VALUE"""),"")</f>
        <v/>
      </c>
      <c r="U875" s="71" t="str">
        <f>IFERROR(__xludf.DUMMYFUNCTION("""COMPUTED_VALUE"""),"")</f>
        <v/>
      </c>
      <c r="V875" s="78" t="str">
        <f>IFERROR(__xludf.DUMMYFUNCTION("""COMPUTED_VALUE"""),"")</f>
        <v/>
      </c>
      <c r="W875" s="62" t="str">
        <f>IFERROR(__xludf.DUMMYFUNCTION("""COMPUTED_VALUE"""),"")</f>
        <v/>
      </c>
      <c r="X875" s="80" t="str">
        <f>IFERROR(__xludf.DUMMYFUNCTION("""COMPUTED_VALUE"""),"")</f>
        <v/>
      </c>
      <c r="Y875" s="109" t="str">
        <f>IFERROR(__xludf.DUMMYFUNCTION("""COMPUTED_VALUE"""),"")</f>
        <v/>
      </c>
      <c r="Z875" s="71"/>
      <c r="AA875" s="71"/>
      <c r="AB875" s="71"/>
    </row>
    <row r="876">
      <c r="A876" s="71"/>
      <c r="B876" s="71"/>
      <c r="C876" s="71" t="str">
        <f>IFERROR(__xludf.DUMMYFUNCTION("""COMPUTED_VALUE"""),"")</f>
        <v/>
      </c>
      <c r="D876" s="71"/>
      <c r="E876" s="78"/>
      <c r="F876" s="71"/>
      <c r="G876" s="78" t="str">
        <f>IFERROR(__xludf.DUMMYFUNCTION("""COMPUTED_VALUE"""),"")</f>
        <v/>
      </c>
      <c r="H876" s="71"/>
      <c r="I876" s="80" t="str">
        <f>IFERROR(__xludf.DUMMYFUNCTION("""COMPUTED_VALUE"""),"")</f>
        <v/>
      </c>
      <c r="J876" s="71" t="str">
        <f>IFERROR(__xludf.DUMMYFUNCTION("""COMPUTED_VALUE"""),"")</f>
        <v/>
      </c>
      <c r="K876" s="71"/>
      <c r="L876" s="71" t="str">
        <f>IFERROR(__xludf.DUMMYFUNCTION("""COMPUTED_VALUE"""),"")</f>
        <v/>
      </c>
      <c r="M876" s="71"/>
      <c r="N876" s="109" t="str">
        <f>IFERROR(__xludf.DUMMYFUNCTION("""COMPUTED_VALUE"""),"")</f>
        <v/>
      </c>
      <c r="O876" s="71" t="str">
        <f>IFERROR(__xludf.DUMMYFUNCTION("""COMPUTED_VALUE"""),"")</f>
        <v/>
      </c>
      <c r="P876" s="71" t="str">
        <f>IFERROR(__xludf.DUMMYFUNCTION("""COMPUTED_VALUE"""),"")</f>
        <v/>
      </c>
      <c r="Q876" s="78" t="str">
        <f>IFERROR(__xludf.DUMMYFUNCTION("""COMPUTED_VALUE"""),"")</f>
        <v/>
      </c>
      <c r="R876" s="78" t="str">
        <f>IFERROR(__xludf.DUMMYFUNCTION("""COMPUTED_VALUE"""),"")</f>
        <v/>
      </c>
      <c r="S876" s="80" t="str">
        <f>IFERROR(__xludf.DUMMYFUNCTION("""COMPUTED_VALUE"""),"")</f>
        <v/>
      </c>
      <c r="T876" s="80" t="str">
        <f>IFERROR(__xludf.DUMMYFUNCTION("""COMPUTED_VALUE"""),"")</f>
        <v/>
      </c>
      <c r="U876" s="71" t="str">
        <f>IFERROR(__xludf.DUMMYFUNCTION("""COMPUTED_VALUE"""),"")</f>
        <v/>
      </c>
      <c r="V876" s="78" t="str">
        <f>IFERROR(__xludf.DUMMYFUNCTION("""COMPUTED_VALUE"""),"")</f>
        <v/>
      </c>
      <c r="W876" s="62" t="str">
        <f>IFERROR(__xludf.DUMMYFUNCTION("""COMPUTED_VALUE"""),"")</f>
        <v/>
      </c>
      <c r="X876" s="80" t="str">
        <f>IFERROR(__xludf.DUMMYFUNCTION("""COMPUTED_VALUE"""),"")</f>
        <v/>
      </c>
      <c r="Y876" s="109" t="str">
        <f>IFERROR(__xludf.DUMMYFUNCTION("""COMPUTED_VALUE"""),"")</f>
        <v/>
      </c>
      <c r="Z876" s="71"/>
      <c r="AA876" s="71"/>
      <c r="AB876" s="71"/>
    </row>
    <row r="877">
      <c r="A877" s="71"/>
      <c r="B877" s="71"/>
      <c r="C877" s="71" t="str">
        <f>IFERROR(__xludf.DUMMYFUNCTION("""COMPUTED_VALUE"""),"")</f>
        <v/>
      </c>
      <c r="D877" s="71"/>
      <c r="E877" s="78"/>
      <c r="F877" s="71"/>
      <c r="G877" s="78" t="str">
        <f>IFERROR(__xludf.DUMMYFUNCTION("""COMPUTED_VALUE"""),"")</f>
        <v/>
      </c>
      <c r="H877" s="71"/>
      <c r="I877" s="80" t="str">
        <f>IFERROR(__xludf.DUMMYFUNCTION("""COMPUTED_VALUE"""),"")</f>
        <v/>
      </c>
      <c r="J877" s="71" t="str">
        <f>IFERROR(__xludf.DUMMYFUNCTION("""COMPUTED_VALUE"""),"")</f>
        <v/>
      </c>
      <c r="K877" s="71"/>
      <c r="L877" s="71" t="str">
        <f>IFERROR(__xludf.DUMMYFUNCTION("""COMPUTED_VALUE"""),"")</f>
        <v/>
      </c>
      <c r="M877" s="71"/>
      <c r="N877" s="109" t="str">
        <f>IFERROR(__xludf.DUMMYFUNCTION("""COMPUTED_VALUE"""),"")</f>
        <v/>
      </c>
      <c r="O877" s="71" t="str">
        <f>IFERROR(__xludf.DUMMYFUNCTION("""COMPUTED_VALUE"""),"")</f>
        <v/>
      </c>
      <c r="P877" s="71" t="str">
        <f>IFERROR(__xludf.DUMMYFUNCTION("""COMPUTED_VALUE"""),"")</f>
        <v/>
      </c>
      <c r="Q877" s="78" t="str">
        <f>IFERROR(__xludf.DUMMYFUNCTION("""COMPUTED_VALUE"""),"")</f>
        <v/>
      </c>
      <c r="R877" s="78" t="str">
        <f>IFERROR(__xludf.DUMMYFUNCTION("""COMPUTED_VALUE"""),"")</f>
        <v/>
      </c>
      <c r="S877" s="80" t="str">
        <f>IFERROR(__xludf.DUMMYFUNCTION("""COMPUTED_VALUE"""),"")</f>
        <v/>
      </c>
      <c r="T877" s="80" t="str">
        <f>IFERROR(__xludf.DUMMYFUNCTION("""COMPUTED_VALUE"""),"")</f>
        <v/>
      </c>
      <c r="U877" s="71" t="str">
        <f>IFERROR(__xludf.DUMMYFUNCTION("""COMPUTED_VALUE"""),"")</f>
        <v/>
      </c>
      <c r="V877" s="78" t="str">
        <f>IFERROR(__xludf.DUMMYFUNCTION("""COMPUTED_VALUE"""),"")</f>
        <v/>
      </c>
      <c r="W877" s="62" t="str">
        <f>IFERROR(__xludf.DUMMYFUNCTION("""COMPUTED_VALUE"""),"")</f>
        <v/>
      </c>
      <c r="X877" s="80" t="str">
        <f>IFERROR(__xludf.DUMMYFUNCTION("""COMPUTED_VALUE"""),"")</f>
        <v/>
      </c>
      <c r="Y877" s="109" t="str">
        <f>IFERROR(__xludf.DUMMYFUNCTION("""COMPUTED_VALUE"""),"")</f>
        <v/>
      </c>
      <c r="Z877" s="71"/>
      <c r="AA877" s="71"/>
      <c r="AB877" s="71"/>
    </row>
    <row r="878">
      <c r="A878" s="71"/>
      <c r="B878" s="71"/>
      <c r="C878" s="71" t="str">
        <f>IFERROR(__xludf.DUMMYFUNCTION("""COMPUTED_VALUE"""),"")</f>
        <v/>
      </c>
      <c r="D878" s="71"/>
      <c r="E878" s="78"/>
      <c r="F878" s="71"/>
      <c r="G878" s="78" t="str">
        <f>IFERROR(__xludf.DUMMYFUNCTION("""COMPUTED_VALUE"""),"")</f>
        <v/>
      </c>
      <c r="H878" s="71"/>
      <c r="I878" s="80" t="str">
        <f>IFERROR(__xludf.DUMMYFUNCTION("""COMPUTED_VALUE"""),"")</f>
        <v/>
      </c>
      <c r="J878" s="71" t="str">
        <f>IFERROR(__xludf.DUMMYFUNCTION("""COMPUTED_VALUE"""),"")</f>
        <v/>
      </c>
      <c r="K878" s="71"/>
      <c r="L878" s="71" t="str">
        <f>IFERROR(__xludf.DUMMYFUNCTION("""COMPUTED_VALUE"""),"")</f>
        <v/>
      </c>
      <c r="M878" s="71"/>
      <c r="N878" s="109" t="str">
        <f>IFERROR(__xludf.DUMMYFUNCTION("""COMPUTED_VALUE"""),"")</f>
        <v/>
      </c>
      <c r="O878" s="71" t="str">
        <f>IFERROR(__xludf.DUMMYFUNCTION("""COMPUTED_VALUE"""),"")</f>
        <v/>
      </c>
      <c r="P878" s="71" t="str">
        <f>IFERROR(__xludf.DUMMYFUNCTION("""COMPUTED_VALUE"""),"")</f>
        <v/>
      </c>
      <c r="Q878" s="78" t="str">
        <f>IFERROR(__xludf.DUMMYFUNCTION("""COMPUTED_VALUE"""),"")</f>
        <v/>
      </c>
      <c r="R878" s="78" t="str">
        <f>IFERROR(__xludf.DUMMYFUNCTION("""COMPUTED_VALUE"""),"")</f>
        <v/>
      </c>
      <c r="S878" s="80" t="str">
        <f>IFERROR(__xludf.DUMMYFUNCTION("""COMPUTED_VALUE"""),"")</f>
        <v/>
      </c>
      <c r="T878" s="80" t="str">
        <f>IFERROR(__xludf.DUMMYFUNCTION("""COMPUTED_VALUE"""),"")</f>
        <v/>
      </c>
      <c r="U878" s="71" t="str">
        <f>IFERROR(__xludf.DUMMYFUNCTION("""COMPUTED_VALUE"""),"")</f>
        <v/>
      </c>
      <c r="V878" s="78" t="str">
        <f>IFERROR(__xludf.DUMMYFUNCTION("""COMPUTED_VALUE"""),"")</f>
        <v/>
      </c>
      <c r="W878" s="62" t="str">
        <f>IFERROR(__xludf.DUMMYFUNCTION("""COMPUTED_VALUE"""),"")</f>
        <v/>
      </c>
      <c r="X878" s="80" t="str">
        <f>IFERROR(__xludf.DUMMYFUNCTION("""COMPUTED_VALUE"""),"")</f>
        <v/>
      </c>
      <c r="Y878" s="109" t="str">
        <f>IFERROR(__xludf.DUMMYFUNCTION("""COMPUTED_VALUE"""),"")</f>
        <v/>
      </c>
      <c r="Z878" s="71"/>
      <c r="AA878" s="71"/>
      <c r="AB878" s="71"/>
    </row>
    <row r="879">
      <c r="A879" s="71"/>
      <c r="B879" s="71"/>
      <c r="C879" s="71" t="str">
        <f>IFERROR(__xludf.DUMMYFUNCTION("""COMPUTED_VALUE"""),"")</f>
        <v/>
      </c>
      <c r="D879" s="71"/>
      <c r="E879" s="78"/>
      <c r="F879" s="71"/>
      <c r="G879" s="78" t="str">
        <f>IFERROR(__xludf.DUMMYFUNCTION("""COMPUTED_VALUE"""),"")</f>
        <v/>
      </c>
      <c r="H879" s="71"/>
      <c r="I879" s="80" t="str">
        <f>IFERROR(__xludf.DUMMYFUNCTION("""COMPUTED_VALUE"""),"")</f>
        <v/>
      </c>
      <c r="J879" s="71" t="str">
        <f>IFERROR(__xludf.DUMMYFUNCTION("""COMPUTED_VALUE"""),"")</f>
        <v/>
      </c>
      <c r="K879" s="71"/>
      <c r="L879" s="71" t="str">
        <f>IFERROR(__xludf.DUMMYFUNCTION("""COMPUTED_VALUE"""),"")</f>
        <v/>
      </c>
      <c r="M879" s="71"/>
      <c r="N879" s="109" t="str">
        <f>IFERROR(__xludf.DUMMYFUNCTION("""COMPUTED_VALUE"""),"")</f>
        <v/>
      </c>
      <c r="O879" s="71" t="str">
        <f>IFERROR(__xludf.DUMMYFUNCTION("""COMPUTED_VALUE"""),"")</f>
        <v/>
      </c>
      <c r="P879" s="71" t="str">
        <f>IFERROR(__xludf.DUMMYFUNCTION("""COMPUTED_VALUE"""),"")</f>
        <v/>
      </c>
      <c r="Q879" s="78" t="str">
        <f>IFERROR(__xludf.DUMMYFUNCTION("""COMPUTED_VALUE"""),"")</f>
        <v/>
      </c>
      <c r="R879" s="78" t="str">
        <f>IFERROR(__xludf.DUMMYFUNCTION("""COMPUTED_VALUE"""),"")</f>
        <v/>
      </c>
      <c r="S879" s="80" t="str">
        <f>IFERROR(__xludf.DUMMYFUNCTION("""COMPUTED_VALUE"""),"")</f>
        <v/>
      </c>
      <c r="T879" s="80" t="str">
        <f>IFERROR(__xludf.DUMMYFUNCTION("""COMPUTED_VALUE"""),"")</f>
        <v/>
      </c>
      <c r="U879" s="71" t="str">
        <f>IFERROR(__xludf.DUMMYFUNCTION("""COMPUTED_VALUE"""),"")</f>
        <v/>
      </c>
      <c r="V879" s="78" t="str">
        <f>IFERROR(__xludf.DUMMYFUNCTION("""COMPUTED_VALUE"""),"")</f>
        <v/>
      </c>
      <c r="W879" s="62" t="str">
        <f>IFERROR(__xludf.DUMMYFUNCTION("""COMPUTED_VALUE"""),"")</f>
        <v/>
      </c>
      <c r="X879" s="80" t="str">
        <f>IFERROR(__xludf.DUMMYFUNCTION("""COMPUTED_VALUE"""),"")</f>
        <v/>
      </c>
      <c r="Y879" s="109" t="str">
        <f>IFERROR(__xludf.DUMMYFUNCTION("""COMPUTED_VALUE"""),"")</f>
        <v/>
      </c>
      <c r="Z879" s="71"/>
      <c r="AA879" s="71"/>
      <c r="AB879" s="71"/>
    </row>
    <row r="880">
      <c r="A880" s="71"/>
      <c r="B880" s="71"/>
      <c r="C880" s="71" t="str">
        <f>IFERROR(__xludf.DUMMYFUNCTION("""COMPUTED_VALUE"""),"")</f>
        <v/>
      </c>
      <c r="D880" s="71"/>
      <c r="E880" s="78"/>
      <c r="F880" s="71"/>
      <c r="G880" s="78" t="str">
        <f>IFERROR(__xludf.DUMMYFUNCTION("""COMPUTED_VALUE"""),"")</f>
        <v/>
      </c>
      <c r="H880" s="71"/>
      <c r="I880" s="80" t="str">
        <f>IFERROR(__xludf.DUMMYFUNCTION("""COMPUTED_VALUE"""),"")</f>
        <v/>
      </c>
      <c r="J880" s="71" t="str">
        <f>IFERROR(__xludf.DUMMYFUNCTION("""COMPUTED_VALUE"""),"")</f>
        <v/>
      </c>
      <c r="K880" s="71"/>
      <c r="L880" s="71" t="str">
        <f>IFERROR(__xludf.DUMMYFUNCTION("""COMPUTED_VALUE"""),"")</f>
        <v/>
      </c>
      <c r="M880" s="71"/>
      <c r="N880" s="109" t="str">
        <f>IFERROR(__xludf.DUMMYFUNCTION("""COMPUTED_VALUE"""),"")</f>
        <v/>
      </c>
      <c r="O880" s="71" t="str">
        <f>IFERROR(__xludf.DUMMYFUNCTION("""COMPUTED_VALUE"""),"")</f>
        <v/>
      </c>
      <c r="P880" s="71" t="str">
        <f>IFERROR(__xludf.DUMMYFUNCTION("""COMPUTED_VALUE"""),"")</f>
        <v/>
      </c>
      <c r="Q880" s="78" t="str">
        <f>IFERROR(__xludf.DUMMYFUNCTION("""COMPUTED_VALUE"""),"")</f>
        <v/>
      </c>
      <c r="R880" s="78" t="str">
        <f>IFERROR(__xludf.DUMMYFUNCTION("""COMPUTED_VALUE"""),"")</f>
        <v/>
      </c>
      <c r="S880" s="80" t="str">
        <f>IFERROR(__xludf.DUMMYFUNCTION("""COMPUTED_VALUE"""),"")</f>
        <v/>
      </c>
      <c r="T880" s="80" t="str">
        <f>IFERROR(__xludf.DUMMYFUNCTION("""COMPUTED_VALUE"""),"")</f>
        <v/>
      </c>
      <c r="U880" s="71" t="str">
        <f>IFERROR(__xludf.DUMMYFUNCTION("""COMPUTED_VALUE"""),"")</f>
        <v/>
      </c>
      <c r="V880" s="78" t="str">
        <f>IFERROR(__xludf.DUMMYFUNCTION("""COMPUTED_VALUE"""),"")</f>
        <v/>
      </c>
      <c r="W880" s="62" t="str">
        <f>IFERROR(__xludf.DUMMYFUNCTION("""COMPUTED_VALUE"""),"")</f>
        <v/>
      </c>
      <c r="X880" s="80" t="str">
        <f>IFERROR(__xludf.DUMMYFUNCTION("""COMPUTED_VALUE"""),"")</f>
        <v/>
      </c>
      <c r="Y880" s="109" t="str">
        <f>IFERROR(__xludf.DUMMYFUNCTION("""COMPUTED_VALUE"""),"")</f>
        <v/>
      </c>
      <c r="Z880" s="71"/>
      <c r="AA880" s="71"/>
      <c r="AB880" s="71"/>
    </row>
    <row r="881">
      <c r="A881" s="71"/>
      <c r="B881" s="71"/>
      <c r="C881" s="71" t="str">
        <f>IFERROR(__xludf.DUMMYFUNCTION("""COMPUTED_VALUE"""),"")</f>
        <v/>
      </c>
      <c r="D881" s="71"/>
      <c r="E881" s="78"/>
      <c r="F881" s="71"/>
      <c r="G881" s="78" t="str">
        <f>IFERROR(__xludf.DUMMYFUNCTION("""COMPUTED_VALUE"""),"")</f>
        <v/>
      </c>
      <c r="H881" s="71"/>
      <c r="I881" s="80" t="str">
        <f>IFERROR(__xludf.DUMMYFUNCTION("""COMPUTED_VALUE"""),"")</f>
        <v/>
      </c>
      <c r="J881" s="71" t="str">
        <f>IFERROR(__xludf.DUMMYFUNCTION("""COMPUTED_VALUE"""),"")</f>
        <v/>
      </c>
      <c r="K881" s="71"/>
      <c r="L881" s="71" t="str">
        <f>IFERROR(__xludf.DUMMYFUNCTION("""COMPUTED_VALUE"""),"")</f>
        <v/>
      </c>
      <c r="M881" s="71"/>
      <c r="N881" s="109" t="str">
        <f>IFERROR(__xludf.DUMMYFUNCTION("""COMPUTED_VALUE"""),"")</f>
        <v/>
      </c>
      <c r="O881" s="71" t="str">
        <f>IFERROR(__xludf.DUMMYFUNCTION("""COMPUTED_VALUE"""),"")</f>
        <v/>
      </c>
      <c r="P881" s="71" t="str">
        <f>IFERROR(__xludf.DUMMYFUNCTION("""COMPUTED_VALUE"""),"")</f>
        <v/>
      </c>
      <c r="Q881" s="78" t="str">
        <f>IFERROR(__xludf.DUMMYFUNCTION("""COMPUTED_VALUE"""),"")</f>
        <v/>
      </c>
      <c r="R881" s="78" t="str">
        <f>IFERROR(__xludf.DUMMYFUNCTION("""COMPUTED_VALUE"""),"")</f>
        <v/>
      </c>
      <c r="S881" s="80" t="str">
        <f>IFERROR(__xludf.DUMMYFUNCTION("""COMPUTED_VALUE"""),"")</f>
        <v/>
      </c>
      <c r="T881" s="80" t="str">
        <f>IFERROR(__xludf.DUMMYFUNCTION("""COMPUTED_VALUE"""),"")</f>
        <v/>
      </c>
      <c r="U881" s="71" t="str">
        <f>IFERROR(__xludf.DUMMYFUNCTION("""COMPUTED_VALUE"""),"")</f>
        <v/>
      </c>
      <c r="V881" s="78" t="str">
        <f>IFERROR(__xludf.DUMMYFUNCTION("""COMPUTED_VALUE"""),"")</f>
        <v/>
      </c>
      <c r="W881" s="62" t="str">
        <f>IFERROR(__xludf.DUMMYFUNCTION("""COMPUTED_VALUE"""),"")</f>
        <v/>
      </c>
      <c r="X881" s="80" t="str">
        <f>IFERROR(__xludf.DUMMYFUNCTION("""COMPUTED_VALUE"""),"")</f>
        <v/>
      </c>
      <c r="Y881" s="109" t="str">
        <f>IFERROR(__xludf.DUMMYFUNCTION("""COMPUTED_VALUE"""),"")</f>
        <v/>
      </c>
      <c r="Z881" s="71"/>
      <c r="AA881" s="71"/>
      <c r="AB881" s="71"/>
    </row>
    <row r="882">
      <c r="A882" s="71"/>
      <c r="B882" s="71"/>
      <c r="C882" s="71" t="str">
        <f>IFERROR(__xludf.DUMMYFUNCTION("""COMPUTED_VALUE"""),"")</f>
        <v/>
      </c>
      <c r="D882" s="71"/>
      <c r="E882" s="78"/>
      <c r="F882" s="71"/>
      <c r="G882" s="78" t="str">
        <f>IFERROR(__xludf.DUMMYFUNCTION("""COMPUTED_VALUE"""),"")</f>
        <v/>
      </c>
      <c r="H882" s="71"/>
      <c r="I882" s="80" t="str">
        <f>IFERROR(__xludf.DUMMYFUNCTION("""COMPUTED_VALUE"""),"")</f>
        <v/>
      </c>
      <c r="J882" s="71" t="str">
        <f>IFERROR(__xludf.DUMMYFUNCTION("""COMPUTED_VALUE"""),"")</f>
        <v/>
      </c>
      <c r="K882" s="71"/>
      <c r="L882" s="71" t="str">
        <f>IFERROR(__xludf.DUMMYFUNCTION("""COMPUTED_VALUE"""),"")</f>
        <v/>
      </c>
      <c r="M882" s="71"/>
      <c r="N882" s="109" t="str">
        <f>IFERROR(__xludf.DUMMYFUNCTION("""COMPUTED_VALUE"""),"")</f>
        <v/>
      </c>
      <c r="O882" s="71" t="str">
        <f>IFERROR(__xludf.DUMMYFUNCTION("""COMPUTED_VALUE"""),"")</f>
        <v/>
      </c>
      <c r="P882" s="71" t="str">
        <f>IFERROR(__xludf.DUMMYFUNCTION("""COMPUTED_VALUE"""),"")</f>
        <v/>
      </c>
      <c r="Q882" s="78" t="str">
        <f>IFERROR(__xludf.DUMMYFUNCTION("""COMPUTED_VALUE"""),"")</f>
        <v/>
      </c>
      <c r="R882" s="78" t="str">
        <f>IFERROR(__xludf.DUMMYFUNCTION("""COMPUTED_VALUE"""),"")</f>
        <v/>
      </c>
      <c r="S882" s="80" t="str">
        <f>IFERROR(__xludf.DUMMYFUNCTION("""COMPUTED_VALUE"""),"")</f>
        <v/>
      </c>
      <c r="T882" s="80" t="str">
        <f>IFERROR(__xludf.DUMMYFUNCTION("""COMPUTED_VALUE"""),"")</f>
        <v/>
      </c>
      <c r="U882" s="71" t="str">
        <f>IFERROR(__xludf.DUMMYFUNCTION("""COMPUTED_VALUE"""),"")</f>
        <v/>
      </c>
      <c r="V882" s="78" t="str">
        <f>IFERROR(__xludf.DUMMYFUNCTION("""COMPUTED_VALUE"""),"")</f>
        <v/>
      </c>
      <c r="W882" s="62" t="str">
        <f>IFERROR(__xludf.DUMMYFUNCTION("""COMPUTED_VALUE"""),"")</f>
        <v/>
      </c>
      <c r="X882" s="80" t="str">
        <f>IFERROR(__xludf.DUMMYFUNCTION("""COMPUTED_VALUE"""),"")</f>
        <v/>
      </c>
      <c r="Y882" s="109" t="str">
        <f>IFERROR(__xludf.DUMMYFUNCTION("""COMPUTED_VALUE"""),"")</f>
        <v/>
      </c>
      <c r="Z882" s="71"/>
      <c r="AA882" s="71"/>
      <c r="AB882" s="71"/>
    </row>
    <row r="883">
      <c r="A883" s="71"/>
      <c r="B883" s="71"/>
      <c r="C883" s="71" t="str">
        <f>IFERROR(__xludf.DUMMYFUNCTION("""COMPUTED_VALUE"""),"")</f>
        <v/>
      </c>
      <c r="D883" s="71"/>
      <c r="E883" s="78"/>
      <c r="F883" s="71"/>
      <c r="G883" s="78" t="str">
        <f>IFERROR(__xludf.DUMMYFUNCTION("""COMPUTED_VALUE"""),"")</f>
        <v/>
      </c>
      <c r="H883" s="71"/>
      <c r="I883" s="80" t="str">
        <f>IFERROR(__xludf.DUMMYFUNCTION("""COMPUTED_VALUE"""),"")</f>
        <v/>
      </c>
      <c r="J883" s="71" t="str">
        <f>IFERROR(__xludf.DUMMYFUNCTION("""COMPUTED_VALUE"""),"")</f>
        <v/>
      </c>
      <c r="K883" s="71"/>
      <c r="L883" s="71" t="str">
        <f>IFERROR(__xludf.DUMMYFUNCTION("""COMPUTED_VALUE"""),"")</f>
        <v/>
      </c>
      <c r="M883" s="71"/>
      <c r="N883" s="109" t="str">
        <f>IFERROR(__xludf.DUMMYFUNCTION("""COMPUTED_VALUE"""),"")</f>
        <v/>
      </c>
      <c r="O883" s="71" t="str">
        <f>IFERROR(__xludf.DUMMYFUNCTION("""COMPUTED_VALUE"""),"")</f>
        <v/>
      </c>
      <c r="P883" s="71" t="str">
        <f>IFERROR(__xludf.DUMMYFUNCTION("""COMPUTED_VALUE"""),"")</f>
        <v/>
      </c>
      <c r="Q883" s="78" t="str">
        <f>IFERROR(__xludf.DUMMYFUNCTION("""COMPUTED_VALUE"""),"")</f>
        <v/>
      </c>
      <c r="R883" s="78" t="str">
        <f>IFERROR(__xludf.DUMMYFUNCTION("""COMPUTED_VALUE"""),"")</f>
        <v/>
      </c>
      <c r="S883" s="80" t="str">
        <f>IFERROR(__xludf.DUMMYFUNCTION("""COMPUTED_VALUE"""),"")</f>
        <v/>
      </c>
      <c r="T883" s="80" t="str">
        <f>IFERROR(__xludf.DUMMYFUNCTION("""COMPUTED_VALUE"""),"")</f>
        <v/>
      </c>
      <c r="U883" s="71" t="str">
        <f>IFERROR(__xludf.DUMMYFUNCTION("""COMPUTED_VALUE"""),"")</f>
        <v/>
      </c>
      <c r="V883" s="78" t="str">
        <f>IFERROR(__xludf.DUMMYFUNCTION("""COMPUTED_VALUE"""),"")</f>
        <v/>
      </c>
      <c r="W883" s="62" t="str">
        <f>IFERROR(__xludf.DUMMYFUNCTION("""COMPUTED_VALUE"""),"")</f>
        <v/>
      </c>
      <c r="X883" s="80" t="str">
        <f>IFERROR(__xludf.DUMMYFUNCTION("""COMPUTED_VALUE"""),"")</f>
        <v/>
      </c>
      <c r="Y883" s="109" t="str">
        <f>IFERROR(__xludf.DUMMYFUNCTION("""COMPUTED_VALUE"""),"")</f>
        <v/>
      </c>
      <c r="Z883" s="71"/>
      <c r="AA883" s="71"/>
      <c r="AB883" s="71"/>
    </row>
    <row r="884">
      <c r="A884" s="71"/>
      <c r="B884" s="71"/>
      <c r="C884" s="71" t="str">
        <f>IFERROR(__xludf.DUMMYFUNCTION("""COMPUTED_VALUE"""),"")</f>
        <v/>
      </c>
      <c r="D884" s="71"/>
      <c r="E884" s="78"/>
      <c r="F884" s="71"/>
      <c r="G884" s="78" t="str">
        <f>IFERROR(__xludf.DUMMYFUNCTION("""COMPUTED_VALUE"""),"")</f>
        <v/>
      </c>
      <c r="H884" s="71"/>
      <c r="I884" s="80" t="str">
        <f>IFERROR(__xludf.DUMMYFUNCTION("""COMPUTED_VALUE"""),"")</f>
        <v/>
      </c>
      <c r="J884" s="71" t="str">
        <f>IFERROR(__xludf.DUMMYFUNCTION("""COMPUTED_VALUE"""),"")</f>
        <v/>
      </c>
      <c r="K884" s="71"/>
      <c r="L884" s="71" t="str">
        <f>IFERROR(__xludf.DUMMYFUNCTION("""COMPUTED_VALUE"""),"")</f>
        <v/>
      </c>
      <c r="M884" s="71"/>
      <c r="N884" s="109" t="str">
        <f>IFERROR(__xludf.DUMMYFUNCTION("""COMPUTED_VALUE"""),"")</f>
        <v/>
      </c>
      <c r="O884" s="71" t="str">
        <f>IFERROR(__xludf.DUMMYFUNCTION("""COMPUTED_VALUE"""),"")</f>
        <v/>
      </c>
      <c r="P884" s="71" t="str">
        <f>IFERROR(__xludf.DUMMYFUNCTION("""COMPUTED_VALUE"""),"")</f>
        <v/>
      </c>
      <c r="Q884" s="78" t="str">
        <f>IFERROR(__xludf.DUMMYFUNCTION("""COMPUTED_VALUE"""),"")</f>
        <v/>
      </c>
      <c r="R884" s="78" t="str">
        <f>IFERROR(__xludf.DUMMYFUNCTION("""COMPUTED_VALUE"""),"")</f>
        <v/>
      </c>
      <c r="S884" s="80" t="str">
        <f>IFERROR(__xludf.DUMMYFUNCTION("""COMPUTED_VALUE"""),"")</f>
        <v/>
      </c>
      <c r="T884" s="80" t="str">
        <f>IFERROR(__xludf.DUMMYFUNCTION("""COMPUTED_VALUE"""),"")</f>
        <v/>
      </c>
      <c r="U884" s="71" t="str">
        <f>IFERROR(__xludf.DUMMYFUNCTION("""COMPUTED_VALUE"""),"")</f>
        <v/>
      </c>
      <c r="V884" s="78" t="str">
        <f>IFERROR(__xludf.DUMMYFUNCTION("""COMPUTED_VALUE"""),"")</f>
        <v/>
      </c>
      <c r="W884" s="62" t="str">
        <f>IFERROR(__xludf.DUMMYFUNCTION("""COMPUTED_VALUE"""),"")</f>
        <v/>
      </c>
      <c r="X884" s="80" t="str">
        <f>IFERROR(__xludf.DUMMYFUNCTION("""COMPUTED_VALUE"""),"")</f>
        <v/>
      </c>
      <c r="Y884" s="109" t="str">
        <f>IFERROR(__xludf.DUMMYFUNCTION("""COMPUTED_VALUE"""),"")</f>
        <v/>
      </c>
      <c r="Z884" s="71"/>
      <c r="AA884" s="71"/>
      <c r="AB884" s="71"/>
    </row>
    <row r="885">
      <c r="A885" s="71"/>
      <c r="B885" s="71"/>
      <c r="C885" s="71" t="str">
        <f>IFERROR(__xludf.DUMMYFUNCTION("""COMPUTED_VALUE"""),"")</f>
        <v/>
      </c>
      <c r="D885" s="71"/>
      <c r="E885" s="78"/>
      <c r="F885" s="71"/>
      <c r="G885" s="78" t="str">
        <f>IFERROR(__xludf.DUMMYFUNCTION("""COMPUTED_VALUE"""),"")</f>
        <v/>
      </c>
      <c r="H885" s="71"/>
      <c r="I885" s="80" t="str">
        <f>IFERROR(__xludf.DUMMYFUNCTION("""COMPUTED_VALUE"""),"")</f>
        <v/>
      </c>
      <c r="J885" s="71" t="str">
        <f>IFERROR(__xludf.DUMMYFUNCTION("""COMPUTED_VALUE"""),"")</f>
        <v/>
      </c>
      <c r="K885" s="71"/>
      <c r="L885" s="71" t="str">
        <f>IFERROR(__xludf.DUMMYFUNCTION("""COMPUTED_VALUE"""),"")</f>
        <v/>
      </c>
      <c r="M885" s="71"/>
      <c r="N885" s="109" t="str">
        <f>IFERROR(__xludf.DUMMYFUNCTION("""COMPUTED_VALUE"""),"")</f>
        <v/>
      </c>
      <c r="O885" s="71" t="str">
        <f>IFERROR(__xludf.DUMMYFUNCTION("""COMPUTED_VALUE"""),"")</f>
        <v/>
      </c>
      <c r="P885" s="71" t="str">
        <f>IFERROR(__xludf.DUMMYFUNCTION("""COMPUTED_VALUE"""),"")</f>
        <v/>
      </c>
      <c r="Q885" s="78" t="str">
        <f>IFERROR(__xludf.DUMMYFUNCTION("""COMPUTED_VALUE"""),"")</f>
        <v/>
      </c>
      <c r="R885" s="78" t="str">
        <f>IFERROR(__xludf.DUMMYFUNCTION("""COMPUTED_VALUE"""),"")</f>
        <v/>
      </c>
      <c r="S885" s="80" t="str">
        <f>IFERROR(__xludf.DUMMYFUNCTION("""COMPUTED_VALUE"""),"")</f>
        <v/>
      </c>
      <c r="T885" s="80" t="str">
        <f>IFERROR(__xludf.DUMMYFUNCTION("""COMPUTED_VALUE"""),"")</f>
        <v/>
      </c>
      <c r="U885" s="71" t="str">
        <f>IFERROR(__xludf.DUMMYFUNCTION("""COMPUTED_VALUE"""),"")</f>
        <v/>
      </c>
      <c r="V885" s="78" t="str">
        <f>IFERROR(__xludf.DUMMYFUNCTION("""COMPUTED_VALUE"""),"")</f>
        <v/>
      </c>
      <c r="W885" s="62" t="str">
        <f>IFERROR(__xludf.DUMMYFUNCTION("""COMPUTED_VALUE"""),"")</f>
        <v/>
      </c>
      <c r="X885" s="80" t="str">
        <f>IFERROR(__xludf.DUMMYFUNCTION("""COMPUTED_VALUE"""),"")</f>
        <v/>
      </c>
      <c r="Y885" s="109" t="str">
        <f>IFERROR(__xludf.DUMMYFUNCTION("""COMPUTED_VALUE"""),"")</f>
        <v/>
      </c>
      <c r="Z885" s="71"/>
      <c r="AA885" s="71"/>
      <c r="AB885" s="71"/>
    </row>
    <row r="886">
      <c r="A886" s="71"/>
      <c r="B886" s="71"/>
      <c r="C886" s="71" t="str">
        <f>IFERROR(__xludf.DUMMYFUNCTION("""COMPUTED_VALUE"""),"")</f>
        <v/>
      </c>
      <c r="D886" s="71"/>
      <c r="E886" s="78"/>
      <c r="F886" s="71"/>
      <c r="G886" s="78" t="str">
        <f>IFERROR(__xludf.DUMMYFUNCTION("""COMPUTED_VALUE"""),"")</f>
        <v/>
      </c>
      <c r="H886" s="71"/>
      <c r="I886" s="80" t="str">
        <f>IFERROR(__xludf.DUMMYFUNCTION("""COMPUTED_VALUE"""),"")</f>
        <v/>
      </c>
      <c r="J886" s="71" t="str">
        <f>IFERROR(__xludf.DUMMYFUNCTION("""COMPUTED_VALUE"""),"")</f>
        <v/>
      </c>
      <c r="K886" s="71"/>
      <c r="L886" s="71" t="str">
        <f>IFERROR(__xludf.DUMMYFUNCTION("""COMPUTED_VALUE"""),"")</f>
        <v/>
      </c>
      <c r="M886" s="71"/>
      <c r="N886" s="109" t="str">
        <f>IFERROR(__xludf.DUMMYFUNCTION("""COMPUTED_VALUE"""),"")</f>
        <v/>
      </c>
      <c r="O886" s="71" t="str">
        <f>IFERROR(__xludf.DUMMYFUNCTION("""COMPUTED_VALUE"""),"")</f>
        <v/>
      </c>
      <c r="P886" s="71" t="str">
        <f>IFERROR(__xludf.DUMMYFUNCTION("""COMPUTED_VALUE"""),"")</f>
        <v/>
      </c>
      <c r="Q886" s="78" t="str">
        <f>IFERROR(__xludf.DUMMYFUNCTION("""COMPUTED_VALUE"""),"")</f>
        <v/>
      </c>
      <c r="R886" s="78" t="str">
        <f>IFERROR(__xludf.DUMMYFUNCTION("""COMPUTED_VALUE"""),"")</f>
        <v/>
      </c>
      <c r="S886" s="80" t="str">
        <f>IFERROR(__xludf.DUMMYFUNCTION("""COMPUTED_VALUE"""),"")</f>
        <v/>
      </c>
      <c r="T886" s="80" t="str">
        <f>IFERROR(__xludf.DUMMYFUNCTION("""COMPUTED_VALUE"""),"")</f>
        <v/>
      </c>
      <c r="U886" s="71" t="str">
        <f>IFERROR(__xludf.DUMMYFUNCTION("""COMPUTED_VALUE"""),"")</f>
        <v/>
      </c>
      <c r="V886" s="78" t="str">
        <f>IFERROR(__xludf.DUMMYFUNCTION("""COMPUTED_VALUE"""),"")</f>
        <v/>
      </c>
      <c r="W886" s="62" t="str">
        <f>IFERROR(__xludf.DUMMYFUNCTION("""COMPUTED_VALUE"""),"")</f>
        <v/>
      </c>
      <c r="X886" s="80" t="str">
        <f>IFERROR(__xludf.DUMMYFUNCTION("""COMPUTED_VALUE"""),"")</f>
        <v/>
      </c>
      <c r="Y886" s="109" t="str">
        <f>IFERROR(__xludf.DUMMYFUNCTION("""COMPUTED_VALUE"""),"")</f>
        <v/>
      </c>
      <c r="Z886" s="71"/>
      <c r="AA886" s="71"/>
      <c r="AB886" s="71"/>
    </row>
    <row r="887">
      <c r="A887" s="71"/>
      <c r="B887" s="71"/>
      <c r="C887" s="71" t="str">
        <f>IFERROR(__xludf.DUMMYFUNCTION("""COMPUTED_VALUE"""),"")</f>
        <v/>
      </c>
      <c r="D887" s="71"/>
      <c r="E887" s="78"/>
      <c r="F887" s="71"/>
      <c r="G887" s="78" t="str">
        <f>IFERROR(__xludf.DUMMYFUNCTION("""COMPUTED_VALUE"""),"")</f>
        <v/>
      </c>
      <c r="H887" s="71"/>
      <c r="I887" s="80" t="str">
        <f>IFERROR(__xludf.DUMMYFUNCTION("""COMPUTED_VALUE"""),"")</f>
        <v/>
      </c>
      <c r="J887" s="71" t="str">
        <f>IFERROR(__xludf.DUMMYFUNCTION("""COMPUTED_VALUE"""),"")</f>
        <v/>
      </c>
      <c r="K887" s="71"/>
      <c r="L887" s="71" t="str">
        <f>IFERROR(__xludf.DUMMYFUNCTION("""COMPUTED_VALUE"""),"")</f>
        <v/>
      </c>
      <c r="M887" s="71"/>
      <c r="N887" s="109" t="str">
        <f>IFERROR(__xludf.DUMMYFUNCTION("""COMPUTED_VALUE"""),"")</f>
        <v/>
      </c>
      <c r="O887" s="71" t="str">
        <f>IFERROR(__xludf.DUMMYFUNCTION("""COMPUTED_VALUE"""),"")</f>
        <v/>
      </c>
      <c r="P887" s="71" t="str">
        <f>IFERROR(__xludf.DUMMYFUNCTION("""COMPUTED_VALUE"""),"")</f>
        <v/>
      </c>
      <c r="Q887" s="78" t="str">
        <f>IFERROR(__xludf.DUMMYFUNCTION("""COMPUTED_VALUE"""),"")</f>
        <v/>
      </c>
      <c r="R887" s="78" t="str">
        <f>IFERROR(__xludf.DUMMYFUNCTION("""COMPUTED_VALUE"""),"")</f>
        <v/>
      </c>
      <c r="S887" s="80" t="str">
        <f>IFERROR(__xludf.DUMMYFUNCTION("""COMPUTED_VALUE"""),"")</f>
        <v/>
      </c>
      <c r="T887" s="80" t="str">
        <f>IFERROR(__xludf.DUMMYFUNCTION("""COMPUTED_VALUE"""),"")</f>
        <v/>
      </c>
      <c r="U887" s="71" t="str">
        <f>IFERROR(__xludf.DUMMYFUNCTION("""COMPUTED_VALUE"""),"")</f>
        <v/>
      </c>
      <c r="V887" s="78" t="str">
        <f>IFERROR(__xludf.DUMMYFUNCTION("""COMPUTED_VALUE"""),"")</f>
        <v/>
      </c>
      <c r="W887" s="62" t="str">
        <f>IFERROR(__xludf.DUMMYFUNCTION("""COMPUTED_VALUE"""),"")</f>
        <v/>
      </c>
      <c r="X887" s="80" t="str">
        <f>IFERROR(__xludf.DUMMYFUNCTION("""COMPUTED_VALUE"""),"")</f>
        <v/>
      </c>
      <c r="Y887" s="109" t="str">
        <f>IFERROR(__xludf.DUMMYFUNCTION("""COMPUTED_VALUE"""),"")</f>
        <v/>
      </c>
      <c r="Z887" s="71"/>
      <c r="AA887" s="71"/>
      <c r="AB887" s="71"/>
    </row>
    <row r="888">
      <c r="A888" s="71"/>
      <c r="B888" s="71"/>
      <c r="C888" s="71" t="str">
        <f>IFERROR(__xludf.DUMMYFUNCTION("""COMPUTED_VALUE"""),"")</f>
        <v/>
      </c>
      <c r="D888" s="71"/>
      <c r="E888" s="78"/>
      <c r="F888" s="71"/>
      <c r="G888" s="78" t="str">
        <f>IFERROR(__xludf.DUMMYFUNCTION("""COMPUTED_VALUE"""),"")</f>
        <v/>
      </c>
      <c r="H888" s="71"/>
      <c r="I888" s="80" t="str">
        <f>IFERROR(__xludf.DUMMYFUNCTION("""COMPUTED_VALUE"""),"")</f>
        <v/>
      </c>
      <c r="J888" s="71" t="str">
        <f>IFERROR(__xludf.DUMMYFUNCTION("""COMPUTED_VALUE"""),"")</f>
        <v/>
      </c>
      <c r="K888" s="71"/>
      <c r="L888" s="71" t="str">
        <f>IFERROR(__xludf.DUMMYFUNCTION("""COMPUTED_VALUE"""),"")</f>
        <v/>
      </c>
      <c r="M888" s="71"/>
      <c r="N888" s="109" t="str">
        <f>IFERROR(__xludf.DUMMYFUNCTION("""COMPUTED_VALUE"""),"")</f>
        <v/>
      </c>
      <c r="O888" s="71" t="str">
        <f>IFERROR(__xludf.DUMMYFUNCTION("""COMPUTED_VALUE"""),"")</f>
        <v/>
      </c>
      <c r="P888" s="71" t="str">
        <f>IFERROR(__xludf.DUMMYFUNCTION("""COMPUTED_VALUE"""),"")</f>
        <v/>
      </c>
      <c r="Q888" s="78" t="str">
        <f>IFERROR(__xludf.DUMMYFUNCTION("""COMPUTED_VALUE"""),"")</f>
        <v/>
      </c>
      <c r="R888" s="78" t="str">
        <f>IFERROR(__xludf.DUMMYFUNCTION("""COMPUTED_VALUE"""),"")</f>
        <v/>
      </c>
      <c r="S888" s="80" t="str">
        <f>IFERROR(__xludf.DUMMYFUNCTION("""COMPUTED_VALUE"""),"")</f>
        <v/>
      </c>
      <c r="T888" s="80" t="str">
        <f>IFERROR(__xludf.DUMMYFUNCTION("""COMPUTED_VALUE"""),"")</f>
        <v/>
      </c>
      <c r="U888" s="71" t="str">
        <f>IFERROR(__xludf.DUMMYFUNCTION("""COMPUTED_VALUE"""),"")</f>
        <v/>
      </c>
      <c r="V888" s="78" t="str">
        <f>IFERROR(__xludf.DUMMYFUNCTION("""COMPUTED_VALUE"""),"")</f>
        <v/>
      </c>
      <c r="W888" s="62" t="str">
        <f>IFERROR(__xludf.DUMMYFUNCTION("""COMPUTED_VALUE"""),"")</f>
        <v/>
      </c>
      <c r="X888" s="80" t="str">
        <f>IFERROR(__xludf.DUMMYFUNCTION("""COMPUTED_VALUE"""),"")</f>
        <v/>
      </c>
      <c r="Y888" s="109" t="str">
        <f>IFERROR(__xludf.DUMMYFUNCTION("""COMPUTED_VALUE"""),"")</f>
        <v/>
      </c>
      <c r="Z888" s="71"/>
      <c r="AA888" s="71"/>
      <c r="AB888" s="71"/>
    </row>
    <row r="889">
      <c r="A889" s="71"/>
      <c r="B889" s="71"/>
      <c r="C889" s="71" t="str">
        <f>IFERROR(__xludf.DUMMYFUNCTION("""COMPUTED_VALUE"""),"")</f>
        <v/>
      </c>
      <c r="D889" s="71"/>
      <c r="E889" s="78"/>
      <c r="F889" s="71"/>
      <c r="G889" s="78" t="str">
        <f>IFERROR(__xludf.DUMMYFUNCTION("""COMPUTED_VALUE"""),"")</f>
        <v/>
      </c>
      <c r="H889" s="71"/>
      <c r="I889" s="80" t="str">
        <f>IFERROR(__xludf.DUMMYFUNCTION("""COMPUTED_VALUE"""),"")</f>
        <v/>
      </c>
      <c r="J889" s="71" t="str">
        <f>IFERROR(__xludf.DUMMYFUNCTION("""COMPUTED_VALUE"""),"")</f>
        <v/>
      </c>
      <c r="K889" s="71"/>
      <c r="L889" s="71" t="str">
        <f>IFERROR(__xludf.DUMMYFUNCTION("""COMPUTED_VALUE"""),"")</f>
        <v/>
      </c>
      <c r="M889" s="71"/>
      <c r="N889" s="109" t="str">
        <f>IFERROR(__xludf.DUMMYFUNCTION("""COMPUTED_VALUE"""),"")</f>
        <v/>
      </c>
      <c r="O889" s="71" t="str">
        <f>IFERROR(__xludf.DUMMYFUNCTION("""COMPUTED_VALUE"""),"")</f>
        <v/>
      </c>
      <c r="P889" s="71" t="str">
        <f>IFERROR(__xludf.DUMMYFUNCTION("""COMPUTED_VALUE"""),"")</f>
        <v/>
      </c>
      <c r="Q889" s="78" t="str">
        <f>IFERROR(__xludf.DUMMYFUNCTION("""COMPUTED_VALUE"""),"")</f>
        <v/>
      </c>
      <c r="R889" s="78" t="str">
        <f>IFERROR(__xludf.DUMMYFUNCTION("""COMPUTED_VALUE"""),"")</f>
        <v/>
      </c>
      <c r="S889" s="80" t="str">
        <f>IFERROR(__xludf.DUMMYFUNCTION("""COMPUTED_VALUE"""),"")</f>
        <v/>
      </c>
      <c r="T889" s="80" t="str">
        <f>IFERROR(__xludf.DUMMYFUNCTION("""COMPUTED_VALUE"""),"")</f>
        <v/>
      </c>
      <c r="U889" s="71" t="str">
        <f>IFERROR(__xludf.DUMMYFUNCTION("""COMPUTED_VALUE"""),"")</f>
        <v/>
      </c>
      <c r="V889" s="78" t="str">
        <f>IFERROR(__xludf.DUMMYFUNCTION("""COMPUTED_VALUE"""),"")</f>
        <v/>
      </c>
      <c r="W889" s="62" t="str">
        <f>IFERROR(__xludf.DUMMYFUNCTION("""COMPUTED_VALUE"""),"")</f>
        <v/>
      </c>
      <c r="X889" s="80" t="str">
        <f>IFERROR(__xludf.DUMMYFUNCTION("""COMPUTED_VALUE"""),"")</f>
        <v/>
      </c>
      <c r="Y889" s="109" t="str">
        <f>IFERROR(__xludf.DUMMYFUNCTION("""COMPUTED_VALUE"""),"")</f>
        <v/>
      </c>
      <c r="Z889" s="71"/>
      <c r="AA889" s="71"/>
      <c r="AB889" s="71"/>
    </row>
    <row r="890">
      <c r="A890" s="71"/>
      <c r="B890" s="71"/>
      <c r="C890" s="71" t="str">
        <f>IFERROR(__xludf.DUMMYFUNCTION("""COMPUTED_VALUE"""),"")</f>
        <v/>
      </c>
      <c r="D890" s="71"/>
      <c r="E890" s="78"/>
      <c r="F890" s="71"/>
      <c r="G890" s="78" t="str">
        <f>IFERROR(__xludf.DUMMYFUNCTION("""COMPUTED_VALUE"""),"")</f>
        <v/>
      </c>
      <c r="H890" s="71"/>
      <c r="I890" s="80" t="str">
        <f>IFERROR(__xludf.DUMMYFUNCTION("""COMPUTED_VALUE"""),"")</f>
        <v/>
      </c>
      <c r="J890" s="71" t="str">
        <f>IFERROR(__xludf.DUMMYFUNCTION("""COMPUTED_VALUE"""),"")</f>
        <v/>
      </c>
      <c r="K890" s="71"/>
      <c r="L890" s="71" t="str">
        <f>IFERROR(__xludf.DUMMYFUNCTION("""COMPUTED_VALUE"""),"")</f>
        <v/>
      </c>
      <c r="M890" s="71"/>
      <c r="N890" s="109" t="str">
        <f>IFERROR(__xludf.DUMMYFUNCTION("""COMPUTED_VALUE"""),"")</f>
        <v/>
      </c>
      <c r="O890" s="71" t="str">
        <f>IFERROR(__xludf.DUMMYFUNCTION("""COMPUTED_VALUE"""),"")</f>
        <v/>
      </c>
      <c r="P890" s="71" t="str">
        <f>IFERROR(__xludf.DUMMYFUNCTION("""COMPUTED_VALUE"""),"")</f>
        <v/>
      </c>
      <c r="Q890" s="78" t="str">
        <f>IFERROR(__xludf.DUMMYFUNCTION("""COMPUTED_VALUE"""),"")</f>
        <v/>
      </c>
      <c r="R890" s="78" t="str">
        <f>IFERROR(__xludf.DUMMYFUNCTION("""COMPUTED_VALUE"""),"")</f>
        <v/>
      </c>
      <c r="S890" s="80" t="str">
        <f>IFERROR(__xludf.DUMMYFUNCTION("""COMPUTED_VALUE"""),"")</f>
        <v/>
      </c>
      <c r="T890" s="80" t="str">
        <f>IFERROR(__xludf.DUMMYFUNCTION("""COMPUTED_VALUE"""),"")</f>
        <v/>
      </c>
      <c r="U890" s="71" t="str">
        <f>IFERROR(__xludf.DUMMYFUNCTION("""COMPUTED_VALUE"""),"")</f>
        <v/>
      </c>
      <c r="V890" s="78" t="str">
        <f>IFERROR(__xludf.DUMMYFUNCTION("""COMPUTED_VALUE"""),"")</f>
        <v/>
      </c>
      <c r="W890" s="62" t="str">
        <f>IFERROR(__xludf.DUMMYFUNCTION("""COMPUTED_VALUE"""),"")</f>
        <v/>
      </c>
      <c r="X890" s="80" t="str">
        <f>IFERROR(__xludf.DUMMYFUNCTION("""COMPUTED_VALUE"""),"")</f>
        <v/>
      </c>
      <c r="Y890" s="109" t="str">
        <f>IFERROR(__xludf.DUMMYFUNCTION("""COMPUTED_VALUE"""),"")</f>
        <v/>
      </c>
      <c r="Z890" s="71"/>
      <c r="AA890" s="71"/>
      <c r="AB890" s="71"/>
    </row>
    <row r="891">
      <c r="A891" s="71"/>
      <c r="B891" s="71"/>
      <c r="C891" s="71" t="str">
        <f>IFERROR(__xludf.DUMMYFUNCTION("""COMPUTED_VALUE"""),"")</f>
        <v/>
      </c>
      <c r="D891" s="71"/>
      <c r="E891" s="78"/>
      <c r="F891" s="71"/>
      <c r="G891" s="78" t="str">
        <f>IFERROR(__xludf.DUMMYFUNCTION("""COMPUTED_VALUE"""),"")</f>
        <v/>
      </c>
      <c r="H891" s="71"/>
      <c r="I891" s="80" t="str">
        <f>IFERROR(__xludf.DUMMYFUNCTION("""COMPUTED_VALUE"""),"")</f>
        <v/>
      </c>
      <c r="J891" s="71" t="str">
        <f>IFERROR(__xludf.DUMMYFUNCTION("""COMPUTED_VALUE"""),"")</f>
        <v/>
      </c>
      <c r="K891" s="71"/>
      <c r="L891" s="71" t="str">
        <f>IFERROR(__xludf.DUMMYFUNCTION("""COMPUTED_VALUE"""),"")</f>
        <v/>
      </c>
      <c r="M891" s="71"/>
      <c r="N891" s="109" t="str">
        <f>IFERROR(__xludf.DUMMYFUNCTION("""COMPUTED_VALUE"""),"")</f>
        <v/>
      </c>
      <c r="O891" s="71" t="str">
        <f>IFERROR(__xludf.DUMMYFUNCTION("""COMPUTED_VALUE"""),"")</f>
        <v/>
      </c>
      <c r="P891" s="71" t="str">
        <f>IFERROR(__xludf.DUMMYFUNCTION("""COMPUTED_VALUE"""),"")</f>
        <v/>
      </c>
      <c r="Q891" s="78" t="str">
        <f>IFERROR(__xludf.DUMMYFUNCTION("""COMPUTED_VALUE"""),"")</f>
        <v/>
      </c>
      <c r="R891" s="78" t="str">
        <f>IFERROR(__xludf.DUMMYFUNCTION("""COMPUTED_VALUE"""),"")</f>
        <v/>
      </c>
      <c r="S891" s="80" t="str">
        <f>IFERROR(__xludf.DUMMYFUNCTION("""COMPUTED_VALUE"""),"")</f>
        <v/>
      </c>
      <c r="T891" s="80" t="str">
        <f>IFERROR(__xludf.DUMMYFUNCTION("""COMPUTED_VALUE"""),"")</f>
        <v/>
      </c>
      <c r="U891" s="71" t="str">
        <f>IFERROR(__xludf.DUMMYFUNCTION("""COMPUTED_VALUE"""),"")</f>
        <v/>
      </c>
      <c r="V891" s="78" t="str">
        <f>IFERROR(__xludf.DUMMYFUNCTION("""COMPUTED_VALUE"""),"")</f>
        <v/>
      </c>
      <c r="W891" s="62" t="str">
        <f>IFERROR(__xludf.DUMMYFUNCTION("""COMPUTED_VALUE"""),"")</f>
        <v/>
      </c>
      <c r="X891" s="80" t="str">
        <f>IFERROR(__xludf.DUMMYFUNCTION("""COMPUTED_VALUE"""),"")</f>
        <v/>
      </c>
      <c r="Y891" s="109" t="str">
        <f>IFERROR(__xludf.DUMMYFUNCTION("""COMPUTED_VALUE"""),"")</f>
        <v/>
      </c>
      <c r="Z891" s="71"/>
      <c r="AA891" s="71"/>
      <c r="AB891" s="71"/>
    </row>
    <row r="892">
      <c r="A892" s="71"/>
      <c r="B892" s="71"/>
      <c r="C892" s="71" t="str">
        <f>IFERROR(__xludf.DUMMYFUNCTION("""COMPUTED_VALUE"""),"")</f>
        <v/>
      </c>
      <c r="D892" s="71"/>
      <c r="E892" s="78"/>
      <c r="F892" s="71"/>
      <c r="G892" s="78" t="str">
        <f>IFERROR(__xludf.DUMMYFUNCTION("""COMPUTED_VALUE"""),"")</f>
        <v/>
      </c>
      <c r="H892" s="71"/>
      <c r="I892" s="80" t="str">
        <f>IFERROR(__xludf.DUMMYFUNCTION("""COMPUTED_VALUE"""),"")</f>
        <v/>
      </c>
      <c r="J892" s="71" t="str">
        <f>IFERROR(__xludf.DUMMYFUNCTION("""COMPUTED_VALUE"""),"")</f>
        <v/>
      </c>
      <c r="K892" s="71"/>
      <c r="L892" s="71" t="str">
        <f>IFERROR(__xludf.DUMMYFUNCTION("""COMPUTED_VALUE"""),"")</f>
        <v/>
      </c>
      <c r="M892" s="71"/>
      <c r="N892" s="109" t="str">
        <f>IFERROR(__xludf.DUMMYFUNCTION("""COMPUTED_VALUE"""),"")</f>
        <v/>
      </c>
      <c r="O892" s="71" t="str">
        <f>IFERROR(__xludf.DUMMYFUNCTION("""COMPUTED_VALUE"""),"")</f>
        <v/>
      </c>
      <c r="P892" s="71" t="str">
        <f>IFERROR(__xludf.DUMMYFUNCTION("""COMPUTED_VALUE"""),"")</f>
        <v/>
      </c>
      <c r="Q892" s="78" t="str">
        <f>IFERROR(__xludf.DUMMYFUNCTION("""COMPUTED_VALUE"""),"")</f>
        <v/>
      </c>
      <c r="R892" s="78" t="str">
        <f>IFERROR(__xludf.DUMMYFUNCTION("""COMPUTED_VALUE"""),"")</f>
        <v/>
      </c>
      <c r="S892" s="80" t="str">
        <f>IFERROR(__xludf.DUMMYFUNCTION("""COMPUTED_VALUE"""),"")</f>
        <v/>
      </c>
      <c r="T892" s="80" t="str">
        <f>IFERROR(__xludf.DUMMYFUNCTION("""COMPUTED_VALUE"""),"")</f>
        <v/>
      </c>
      <c r="U892" s="71" t="str">
        <f>IFERROR(__xludf.DUMMYFUNCTION("""COMPUTED_VALUE"""),"")</f>
        <v/>
      </c>
      <c r="V892" s="78" t="str">
        <f>IFERROR(__xludf.DUMMYFUNCTION("""COMPUTED_VALUE"""),"")</f>
        <v/>
      </c>
      <c r="W892" s="62" t="str">
        <f>IFERROR(__xludf.DUMMYFUNCTION("""COMPUTED_VALUE"""),"")</f>
        <v/>
      </c>
      <c r="X892" s="80" t="str">
        <f>IFERROR(__xludf.DUMMYFUNCTION("""COMPUTED_VALUE"""),"")</f>
        <v/>
      </c>
      <c r="Y892" s="109" t="str">
        <f>IFERROR(__xludf.DUMMYFUNCTION("""COMPUTED_VALUE"""),"")</f>
        <v/>
      </c>
      <c r="Z892" s="71"/>
      <c r="AA892" s="71"/>
      <c r="AB892" s="71"/>
    </row>
    <row r="893">
      <c r="A893" s="71"/>
      <c r="B893" s="71"/>
      <c r="C893" s="71" t="str">
        <f>IFERROR(__xludf.DUMMYFUNCTION("""COMPUTED_VALUE"""),"")</f>
        <v/>
      </c>
      <c r="D893" s="71"/>
      <c r="E893" s="78"/>
      <c r="F893" s="71"/>
      <c r="G893" s="78" t="str">
        <f>IFERROR(__xludf.DUMMYFUNCTION("""COMPUTED_VALUE"""),"")</f>
        <v/>
      </c>
      <c r="H893" s="71"/>
      <c r="I893" s="80" t="str">
        <f>IFERROR(__xludf.DUMMYFUNCTION("""COMPUTED_VALUE"""),"")</f>
        <v/>
      </c>
      <c r="J893" s="71" t="str">
        <f>IFERROR(__xludf.DUMMYFUNCTION("""COMPUTED_VALUE"""),"")</f>
        <v/>
      </c>
      <c r="K893" s="71"/>
      <c r="L893" s="71" t="str">
        <f>IFERROR(__xludf.DUMMYFUNCTION("""COMPUTED_VALUE"""),"")</f>
        <v/>
      </c>
      <c r="M893" s="71"/>
      <c r="N893" s="109" t="str">
        <f>IFERROR(__xludf.DUMMYFUNCTION("""COMPUTED_VALUE"""),"")</f>
        <v/>
      </c>
      <c r="O893" s="71" t="str">
        <f>IFERROR(__xludf.DUMMYFUNCTION("""COMPUTED_VALUE"""),"")</f>
        <v/>
      </c>
      <c r="P893" s="71" t="str">
        <f>IFERROR(__xludf.DUMMYFUNCTION("""COMPUTED_VALUE"""),"")</f>
        <v/>
      </c>
      <c r="Q893" s="78" t="str">
        <f>IFERROR(__xludf.DUMMYFUNCTION("""COMPUTED_VALUE"""),"")</f>
        <v/>
      </c>
      <c r="R893" s="78" t="str">
        <f>IFERROR(__xludf.DUMMYFUNCTION("""COMPUTED_VALUE"""),"")</f>
        <v/>
      </c>
      <c r="S893" s="80" t="str">
        <f>IFERROR(__xludf.DUMMYFUNCTION("""COMPUTED_VALUE"""),"")</f>
        <v/>
      </c>
      <c r="T893" s="80" t="str">
        <f>IFERROR(__xludf.DUMMYFUNCTION("""COMPUTED_VALUE"""),"")</f>
        <v/>
      </c>
      <c r="U893" s="71" t="str">
        <f>IFERROR(__xludf.DUMMYFUNCTION("""COMPUTED_VALUE"""),"")</f>
        <v/>
      </c>
      <c r="V893" s="78" t="str">
        <f>IFERROR(__xludf.DUMMYFUNCTION("""COMPUTED_VALUE"""),"")</f>
        <v/>
      </c>
      <c r="W893" s="62" t="str">
        <f>IFERROR(__xludf.DUMMYFUNCTION("""COMPUTED_VALUE"""),"")</f>
        <v/>
      </c>
      <c r="X893" s="80" t="str">
        <f>IFERROR(__xludf.DUMMYFUNCTION("""COMPUTED_VALUE"""),"")</f>
        <v/>
      </c>
      <c r="Y893" s="109" t="str">
        <f>IFERROR(__xludf.DUMMYFUNCTION("""COMPUTED_VALUE"""),"")</f>
        <v/>
      </c>
      <c r="Z893" s="71"/>
      <c r="AA893" s="71"/>
      <c r="AB893" s="71"/>
    </row>
    <row r="894">
      <c r="A894" s="71"/>
      <c r="B894" s="71"/>
      <c r="C894" s="71" t="str">
        <f>IFERROR(__xludf.DUMMYFUNCTION("""COMPUTED_VALUE"""),"")</f>
        <v/>
      </c>
      <c r="D894" s="71"/>
      <c r="E894" s="78"/>
      <c r="F894" s="71"/>
      <c r="G894" s="78" t="str">
        <f>IFERROR(__xludf.DUMMYFUNCTION("""COMPUTED_VALUE"""),"")</f>
        <v/>
      </c>
      <c r="H894" s="71"/>
      <c r="I894" s="80" t="str">
        <f>IFERROR(__xludf.DUMMYFUNCTION("""COMPUTED_VALUE"""),"")</f>
        <v/>
      </c>
      <c r="J894" s="71" t="str">
        <f>IFERROR(__xludf.DUMMYFUNCTION("""COMPUTED_VALUE"""),"")</f>
        <v/>
      </c>
      <c r="K894" s="71"/>
      <c r="L894" s="71" t="str">
        <f>IFERROR(__xludf.DUMMYFUNCTION("""COMPUTED_VALUE"""),"")</f>
        <v/>
      </c>
      <c r="M894" s="71"/>
      <c r="N894" s="109" t="str">
        <f>IFERROR(__xludf.DUMMYFUNCTION("""COMPUTED_VALUE"""),"")</f>
        <v/>
      </c>
      <c r="O894" s="71" t="str">
        <f>IFERROR(__xludf.DUMMYFUNCTION("""COMPUTED_VALUE"""),"")</f>
        <v/>
      </c>
      <c r="P894" s="71" t="str">
        <f>IFERROR(__xludf.DUMMYFUNCTION("""COMPUTED_VALUE"""),"")</f>
        <v/>
      </c>
      <c r="Q894" s="78" t="str">
        <f>IFERROR(__xludf.DUMMYFUNCTION("""COMPUTED_VALUE"""),"")</f>
        <v/>
      </c>
      <c r="R894" s="78" t="str">
        <f>IFERROR(__xludf.DUMMYFUNCTION("""COMPUTED_VALUE"""),"")</f>
        <v/>
      </c>
      <c r="S894" s="80" t="str">
        <f>IFERROR(__xludf.DUMMYFUNCTION("""COMPUTED_VALUE"""),"")</f>
        <v/>
      </c>
      <c r="T894" s="80" t="str">
        <f>IFERROR(__xludf.DUMMYFUNCTION("""COMPUTED_VALUE"""),"")</f>
        <v/>
      </c>
      <c r="U894" s="71" t="str">
        <f>IFERROR(__xludf.DUMMYFUNCTION("""COMPUTED_VALUE"""),"")</f>
        <v/>
      </c>
      <c r="V894" s="78" t="str">
        <f>IFERROR(__xludf.DUMMYFUNCTION("""COMPUTED_VALUE"""),"")</f>
        <v/>
      </c>
      <c r="W894" s="62" t="str">
        <f>IFERROR(__xludf.DUMMYFUNCTION("""COMPUTED_VALUE"""),"")</f>
        <v/>
      </c>
      <c r="X894" s="80" t="str">
        <f>IFERROR(__xludf.DUMMYFUNCTION("""COMPUTED_VALUE"""),"")</f>
        <v/>
      </c>
      <c r="Y894" s="109" t="str">
        <f>IFERROR(__xludf.DUMMYFUNCTION("""COMPUTED_VALUE"""),"")</f>
        <v/>
      </c>
      <c r="Z894" s="71"/>
      <c r="AA894" s="71"/>
      <c r="AB894" s="71"/>
    </row>
    <row r="895">
      <c r="A895" s="71"/>
      <c r="B895" s="71"/>
      <c r="C895" s="71" t="str">
        <f>IFERROR(__xludf.DUMMYFUNCTION("""COMPUTED_VALUE"""),"")</f>
        <v/>
      </c>
      <c r="D895" s="71"/>
      <c r="E895" s="78"/>
      <c r="F895" s="71"/>
      <c r="G895" s="78" t="str">
        <f>IFERROR(__xludf.DUMMYFUNCTION("""COMPUTED_VALUE"""),"")</f>
        <v/>
      </c>
      <c r="H895" s="71"/>
      <c r="I895" s="80" t="str">
        <f>IFERROR(__xludf.DUMMYFUNCTION("""COMPUTED_VALUE"""),"")</f>
        <v/>
      </c>
      <c r="J895" s="71" t="str">
        <f>IFERROR(__xludf.DUMMYFUNCTION("""COMPUTED_VALUE"""),"")</f>
        <v/>
      </c>
      <c r="K895" s="71"/>
      <c r="L895" s="71" t="str">
        <f>IFERROR(__xludf.DUMMYFUNCTION("""COMPUTED_VALUE"""),"")</f>
        <v/>
      </c>
      <c r="M895" s="71"/>
      <c r="N895" s="109" t="str">
        <f>IFERROR(__xludf.DUMMYFUNCTION("""COMPUTED_VALUE"""),"")</f>
        <v/>
      </c>
      <c r="O895" s="71" t="str">
        <f>IFERROR(__xludf.DUMMYFUNCTION("""COMPUTED_VALUE"""),"")</f>
        <v/>
      </c>
      <c r="P895" s="71" t="str">
        <f>IFERROR(__xludf.DUMMYFUNCTION("""COMPUTED_VALUE"""),"")</f>
        <v/>
      </c>
      <c r="Q895" s="78" t="str">
        <f>IFERROR(__xludf.DUMMYFUNCTION("""COMPUTED_VALUE"""),"")</f>
        <v/>
      </c>
      <c r="R895" s="78" t="str">
        <f>IFERROR(__xludf.DUMMYFUNCTION("""COMPUTED_VALUE"""),"")</f>
        <v/>
      </c>
      <c r="S895" s="80" t="str">
        <f>IFERROR(__xludf.DUMMYFUNCTION("""COMPUTED_VALUE"""),"")</f>
        <v/>
      </c>
      <c r="T895" s="80" t="str">
        <f>IFERROR(__xludf.DUMMYFUNCTION("""COMPUTED_VALUE"""),"")</f>
        <v/>
      </c>
      <c r="U895" s="71" t="str">
        <f>IFERROR(__xludf.DUMMYFUNCTION("""COMPUTED_VALUE"""),"")</f>
        <v/>
      </c>
      <c r="V895" s="78" t="str">
        <f>IFERROR(__xludf.DUMMYFUNCTION("""COMPUTED_VALUE"""),"")</f>
        <v/>
      </c>
      <c r="W895" s="62" t="str">
        <f>IFERROR(__xludf.DUMMYFUNCTION("""COMPUTED_VALUE"""),"")</f>
        <v/>
      </c>
      <c r="X895" s="80" t="str">
        <f>IFERROR(__xludf.DUMMYFUNCTION("""COMPUTED_VALUE"""),"")</f>
        <v/>
      </c>
      <c r="Y895" s="109" t="str">
        <f>IFERROR(__xludf.DUMMYFUNCTION("""COMPUTED_VALUE"""),"")</f>
        <v/>
      </c>
      <c r="Z895" s="71"/>
      <c r="AA895" s="71"/>
      <c r="AB895" s="71"/>
    </row>
    <row r="896">
      <c r="A896" s="71"/>
      <c r="B896" s="71"/>
      <c r="C896" s="71" t="str">
        <f>IFERROR(__xludf.DUMMYFUNCTION("""COMPUTED_VALUE"""),"")</f>
        <v/>
      </c>
      <c r="D896" s="71"/>
      <c r="E896" s="78"/>
      <c r="F896" s="71"/>
      <c r="G896" s="78" t="str">
        <f>IFERROR(__xludf.DUMMYFUNCTION("""COMPUTED_VALUE"""),"")</f>
        <v/>
      </c>
      <c r="H896" s="71"/>
      <c r="I896" s="80" t="str">
        <f>IFERROR(__xludf.DUMMYFUNCTION("""COMPUTED_VALUE"""),"")</f>
        <v/>
      </c>
      <c r="J896" s="71" t="str">
        <f>IFERROR(__xludf.DUMMYFUNCTION("""COMPUTED_VALUE"""),"")</f>
        <v/>
      </c>
      <c r="K896" s="71"/>
      <c r="L896" s="71" t="str">
        <f>IFERROR(__xludf.DUMMYFUNCTION("""COMPUTED_VALUE"""),"")</f>
        <v/>
      </c>
      <c r="M896" s="71"/>
      <c r="N896" s="109" t="str">
        <f>IFERROR(__xludf.DUMMYFUNCTION("""COMPUTED_VALUE"""),"")</f>
        <v/>
      </c>
      <c r="O896" s="71" t="str">
        <f>IFERROR(__xludf.DUMMYFUNCTION("""COMPUTED_VALUE"""),"")</f>
        <v/>
      </c>
      <c r="P896" s="71" t="str">
        <f>IFERROR(__xludf.DUMMYFUNCTION("""COMPUTED_VALUE"""),"")</f>
        <v/>
      </c>
      <c r="Q896" s="78" t="str">
        <f>IFERROR(__xludf.DUMMYFUNCTION("""COMPUTED_VALUE"""),"")</f>
        <v/>
      </c>
      <c r="R896" s="78" t="str">
        <f>IFERROR(__xludf.DUMMYFUNCTION("""COMPUTED_VALUE"""),"")</f>
        <v/>
      </c>
      <c r="S896" s="80" t="str">
        <f>IFERROR(__xludf.DUMMYFUNCTION("""COMPUTED_VALUE"""),"")</f>
        <v/>
      </c>
      <c r="T896" s="80" t="str">
        <f>IFERROR(__xludf.DUMMYFUNCTION("""COMPUTED_VALUE"""),"")</f>
        <v/>
      </c>
      <c r="U896" s="71" t="str">
        <f>IFERROR(__xludf.DUMMYFUNCTION("""COMPUTED_VALUE"""),"")</f>
        <v/>
      </c>
      <c r="V896" s="78" t="str">
        <f>IFERROR(__xludf.DUMMYFUNCTION("""COMPUTED_VALUE"""),"")</f>
        <v/>
      </c>
      <c r="W896" s="62" t="str">
        <f>IFERROR(__xludf.DUMMYFUNCTION("""COMPUTED_VALUE"""),"")</f>
        <v/>
      </c>
      <c r="X896" s="80" t="str">
        <f>IFERROR(__xludf.DUMMYFUNCTION("""COMPUTED_VALUE"""),"")</f>
        <v/>
      </c>
      <c r="Y896" s="109" t="str">
        <f>IFERROR(__xludf.DUMMYFUNCTION("""COMPUTED_VALUE"""),"")</f>
        <v/>
      </c>
      <c r="Z896" s="71"/>
      <c r="AA896" s="71"/>
      <c r="AB896" s="71"/>
    </row>
    <row r="897">
      <c r="A897" s="71"/>
      <c r="B897" s="71"/>
      <c r="C897" s="71" t="str">
        <f>IFERROR(__xludf.DUMMYFUNCTION("""COMPUTED_VALUE"""),"")</f>
        <v/>
      </c>
      <c r="D897" s="71"/>
      <c r="E897" s="78"/>
      <c r="F897" s="71"/>
      <c r="G897" s="78" t="str">
        <f>IFERROR(__xludf.DUMMYFUNCTION("""COMPUTED_VALUE"""),"")</f>
        <v/>
      </c>
      <c r="H897" s="71"/>
      <c r="I897" s="80" t="str">
        <f>IFERROR(__xludf.DUMMYFUNCTION("""COMPUTED_VALUE"""),"")</f>
        <v/>
      </c>
      <c r="J897" s="71" t="str">
        <f>IFERROR(__xludf.DUMMYFUNCTION("""COMPUTED_VALUE"""),"")</f>
        <v/>
      </c>
      <c r="K897" s="71"/>
      <c r="L897" s="71" t="str">
        <f>IFERROR(__xludf.DUMMYFUNCTION("""COMPUTED_VALUE"""),"")</f>
        <v/>
      </c>
      <c r="M897" s="71"/>
      <c r="N897" s="109" t="str">
        <f>IFERROR(__xludf.DUMMYFUNCTION("""COMPUTED_VALUE"""),"")</f>
        <v/>
      </c>
      <c r="O897" s="71" t="str">
        <f>IFERROR(__xludf.DUMMYFUNCTION("""COMPUTED_VALUE"""),"")</f>
        <v/>
      </c>
      <c r="P897" s="71" t="str">
        <f>IFERROR(__xludf.DUMMYFUNCTION("""COMPUTED_VALUE"""),"")</f>
        <v/>
      </c>
      <c r="Q897" s="78" t="str">
        <f>IFERROR(__xludf.DUMMYFUNCTION("""COMPUTED_VALUE"""),"")</f>
        <v/>
      </c>
      <c r="R897" s="78" t="str">
        <f>IFERROR(__xludf.DUMMYFUNCTION("""COMPUTED_VALUE"""),"")</f>
        <v/>
      </c>
      <c r="S897" s="80" t="str">
        <f>IFERROR(__xludf.DUMMYFUNCTION("""COMPUTED_VALUE"""),"")</f>
        <v/>
      </c>
      <c r="T897" s="80" t="str">
        <f>IFERROR(__xludf.DUMMYFUNCTION("""COMPUTED_VALUE"""),"")</f>
        <v/>
      </c>
      <c r="U897" s="71" t="str">
        <f>IFERROR(__xludf.DUMMYFUNCTION("""COMPUTED_VALUE"""),"")</f>
        <v/>
      </c>
      <c r="V897" s="78" t="str">
        <f>IFERROR(__xludf.DUMMYFUNCTION("""COMPUTED_VALUE"""),"")</f>
        <v/>
      </c>
      <c r="W897" s="62" t="str">
        <f>IFERROR(__xludf.DUMMYFUNCTION("""COMPUTED_VALUE"""),"")</f>
        <v/>
      </c>
      <c r="X897" s="80" t="str">
        <f>IFERROR(__xludf.DUMMYFUNCTION("""COMPUTED_VALUE"""),"")</f>
        <v/>
      </c>
      <c r="Y897" s="109" t="str">
        <f>IFERROR(__xludf.DUMMYFUNCTION("""COMPUTED_VALUE"""),"")</f>
        <v/>
      </c>
      <c r="Z897" s="71"/>
      <c r="AA897" s="71"/>
      <c r="AB897" s="71"/>
    </row>
    <row r="898">
      <c r="A898" s="71"/>
      <c r="B898" s="71"/>
      <c r="C898" s="71" t="str">
        <f>IFERROR(__xludf.DUMMYFUNCTION("""COMPUTED_VALUE"""),"")</f>
        <v/>
      </c>
      <c r="D898" s="71"/>
      <c r="E898" s="78"/>
      <c r="F898" s="71"/>
      <c r="G898" s="78" t="str">
        <f>IFERROR(__xludf.DUMMYFUNCTION("""COMPUTED_VALUE"""),"")</f>
        <v/>
      </c>
      <c r="H898" s="71"/>
      <c r="I898" s="80" t="str">
        <f>IFERROR(__xludf.DUMMYFUNCTION("""COMPUTED_VALUE"""),"")</f>
        <v/>
      </c>
      <c r="J898" s="71" t="str">
        <f>IFERROR(__xludf.DUMMYFUNCTION("""COMPUTED_VALUE"""),"")</f>
        <v/>
      </c>
      <c r="K898" s="71"/>
      <c r="L898" s="71" t="str">
        <f>IFERROR(__xludf.DUMMYFUNCTION("""COMPUTED_VALUE"""),"")</f>
        <v/>
      </c>
      <c r="M898" s="71"/>
      <c r="N898" s="109" t="str">
        <f>IFERROR(__xludf.DUMMYFUNCTION("""COMPUTED_VALUE"""),"")</f>
        <v/>
      </c>
      <c r="O898" s="71" t="str">
        <f>IFERROR(__xludf.DUMMYFUNCTION("""COMPUTED_VALUE"""),"")</f>
        <v/>
      </c>
      <c r="P898" s="71" t="str">
        <f>IFERROR(__xludf.DUMMYFUNCTION("""COMPUTED_VALUE"""),"")</f>
        <v/>
      </c>
      <c r="Q898" s="78" t="str">
        <f>IFERROR(__xludf.DUMMYFUNCTION("""COMPUTED_VALUE"""),"")</f>
        <v/>
      </c>
      <c r="R898" s="78" t="str">
        <f>IFERROR(__xludf.DUMMYFUNCTION("""COMPUTED_VALUE"""),"")</f>
        <v/>
      </c>
      <c r="S898" s="80" t="str">
        <f>IFERROR(__xludf.DUMMYFUNCTION("""COMPUTED_VALUE"""),"")</f>
        <v/>
      </c>
      <c r="T898" s="80" t="str">
        <f>IFERROR(__xludf.DUMMYFUNCTION("""COMPUTED_VALUE"""),"")</f>
        <v/>
      </c>
      <c r="U898" s="71" t="str">
        <f>IFERROR(__xludf.DUMMYFUNCTION("""COMPUTED_VALUE"""),"")</f>
        <v/>
      </c>
      <c r="V898" s="78" t="str">
        <f>IFERROR(__xludf.DUMMYFUNCTION("""COMPUTED_VALUE"""),"")</f>
        <v/>
      </c>
      <c r="W898" s="62" t="str">
        <f>IFERROR(__xludf.DUMMYFUNCTION("""COMPUTED_VALUE"""),"")</f>
        <v/>
      </c>
      <c r="X898" s="80" t="str">
        <f>IFERROR(__xludf.DUMMYFUNCTION("""COMPUTED_VALUE"""),"")</f>
        <v/>
      </c>
      <c r="Y898" s="109" t="str">
        <f>IFERROR(__xludf.DUMMYFUNCTION("""COMPUTED_VALUE"""),"")</f>
        <v/>
      </c>
      <c r="Z898" s="71"/>
      <c r="AA898" s="71"/>
      <c r="AB898" s="71"/>
    </row>
    <row r="899">
      <c r="A899" s="71"/>
      <c r="B899" s="71"/>
      <c r="C899" s="71" t="str">
        <f>IFERROR(__xludf.DUMMYFUNCTION("""COMPUTED_VALUE"""),"")</f>
        <v/>
      </c>
      <c r="D899" s="71"/>
      <c r="E899" s="78"/>
      <c r="F899" s="71"/>
      <c r="G899" s="78" t="str">
        <f>IFERROR(__xludf.DUMMYFUNCTION("""COMPUTED_VALUE"""),"")</f>
        <v/>
      </c>
      <c r="H899" s="71"/>
      <c r="I899" s="80" t="str">
        <f>IFERROR(__xludf.DUMMYFUNCTION("""COMPUTED_VALUE"""),"")</f>
        <v/>
      </c>
      <c r="J899" s="71" t="str">
        <f>IFERROR(__xludf.DUMMYFUNCTION("""COMPUTED_VALUE"""),"")</f>
        <v/>
      </c>
      <c r="K899" s="71"/>
      <c r="L899" s="71" t="str">
        <f>IFERROR(__xludf.DUMMYFUNCTION("""COMPUTED_VALUE"""),"")</f>
        <v/>
      </c>
      <c r="M899" s="71"/>
      <c r="N899" s="109" t="str">
        <f>IFERROR(__xludf.DUMMYFUNCTION("""COMPUTED_VALUE"""),"")</f>
        <v/>
      </c>
      <c r="O899" s="71" t="str">
        <f>IFERROR(__xludf.DUMMYFUNCTION("""COMPUTED_VALUE"""),"")</f>
        <v/>
      </c>
      <c r="P899" s="71" t="str">
        <f>IFERROR(__xludf.DUMMYFUNCTION("""COMPUTED_VALUE"""),"")</f>
        <v/>
      </c>
      <c r="Q899" s="78" t="str">
        <f>IFERROR(__xludf.DUMMYFUNCTION("""COMPUTED_VALUE"""),"")</f>
        <v/>
      </c>
      <c r="R899" s="78" t="str">
        <f>IFERROR(__xludf.DUMMYFUNCTION("""COMPUTED_VALUE"""),"")</f>
        <v/>
      </c>
      <c r="S899" s="80" t="str">
        <f>IFERROR(__xludf.DUMMYFUNCTION("""COMPUTED_VALUE"""),"")</f>
        <v/>
      </c>
      <c r="T899" s="80" t="str">
        <f>IFERROR(__xludf.DUMMYFUNCTION("""COMPUTED_VALUE"""),"")</f>
        <v/>
      </c>
      <c r="U899" s="71" t="str">
        <f>IFERROR(__xludf.DUMMYFUNCTION("""COMPUTED_VALUE"""),"")</f>
        <v/>
      </c>
      <c r="V899" s="78" t="str">
        <f>IFERROR(__xludf.DUMMYFUNCTION("""COMPUTED_VALUE"""),"")</f>
        <v/>
      </c>
      <c r="W899" s="62" t="str">
        <f>IFERROR(__xludf.DUMMYFUNCTION("""COMPUTED_VALUE"""),"")</f>
        <v/>
      </c>
      <c r="X899" s="80" t="str">
        <f>IFERROR(__xludf.DUMMYFUNCTION("""COMPUTED_VALUE"""),"")</f>
        <v/>
      </c>
      <c r="Y899" s="109" t="str">
        <f>IFERROR(__xludf.DUMMYFUNCTION("""COMPUTED_VALUE"""),"")</f>
        <v/>
      </c>
      <c r="Z899" s="71"/>
      <c r="AA899" s="71"/>
      <c r="AB899" s="71"/>
    </row>
    <row r="900">
      <c r="A900" s="71"/>
      <c r="B900" s="71"/>
      <c r="C900" s="71" t="str">
        <f>IFERROR(__xludf.DUMMYFUNCTION("""COMPUTED_VALUE"""),"")</f>
        <v/>
      </c>
      <c r="D900" s="71"/>
      <c r="E900" s="78"/>
      <c r="F900" s="71"/>
      <c r="G900" s="78" t="str">
        <f>IFERROR(__xludf.DUMMYFUNCTION("""COMPUTED_VALUE"""),"")</f>
        <v/>
      </c>
      <c r="H900" s="71"/>
      <c r="I900" s="80" t="str">
        <f>IFERROR(__xludf.DUMMYFUNCTION("""COMPUTED_VALUE"""),"")</f>
        <v/>
      </c>
      <c r="J900" s="71" t="str">
        <f>IFERROR(__xludf.DUMMYFUNCTION("""COMPUTED_VALUE"""),"")</f>
        <v/>
      </c>
      <c r="K900" s="71"/>
      <c r="L900" s="71" t="str">
        <f>IFERROR(__xludf.DUMMYFUNCTION("""COMPUTED_VALUE"""),"")</f>
        <v/>
      </c>
      <c r="M900" s="71"/>
      <c r="N900" s="109" t="str">
        <f>IFERROR(__xludf.DUMMYFUNCTION("""COMPUTED_VALUE"""),"")</f>
        <v/>
      </c>
      <c r="O900" s="71" t="str">
        <f>IFERROR(__xludf.DUMMYFUNCTION("""COMPUTED_VALUE"""),"")</f>
        <v/>
      </c>
      <c r="P900" s="71" t="str">
        <f>IFERROR(__xludf.DUMMYFUNCTION("""COMPUTED_VALUE"""),"")</f>
        <v/>
      </c>
      <c r="Q900" s="78" t="str">
        <f>IFERROR(__xludf.DUMMYFUNCTION("""COMPUTED_VALUE"""),"")</f>
        <v/>
      </c>
      <c r="R900" s="78" t="str">
        <f>IFERROR(__xludf.DUMMYFUNCTION("""COMPUTED_VALUE"""),"")</f>
        <v/>
      </c>
      <c r="S900" s="80" t="str">
        <f>IFERROR(__xludf.DUMMYFUNCTION("""COMPUTED_VALUE"""),"")</f>
        <v/>
      </c>
      <c r="T900" s="80" t="str">
        <f>IFERROR(__xludf.DUMMYFUNCTION("""COMPUTED_VALUE"""),"")</f>
        <v/>
      </c>
      <c r="U900" s="71" t="str">
        <f>IFERROR(__xludf.DUMMYFUNCTION("""COMPUTED_VALUE"""),"")</f>
        <v/>
      </c>
      <c r="V900" s="78" t="str">
        <f>IFERROR(__xludf.DUMMYFUNCTION("""COMPUTED_VALUE"""),"")</f>
        <v/>
      </c>
      <c r="W900" s="62" t="str">
        <f>IFERROR(__xludf.DUMMYFUNCTION("""COMPUTED_VALUE"""),"")</f>
        <v/>
      </c>
      <c r="X900" s="80" t="str">
        <f>IFERROR(__xludf.DUMMYFUNCTION("""COMPUTED_VALUE"""),"")</f>
        <v/>
      </c>
      <c r="Y900" s="109" t="str">
        <f>IFERROR(__xludf.DUMMYFUNCTION("""COMPUTED_VALUE"""),"")</f>
        <v/>
      </c>
      <c r="Z900" s="71"/>
      <c r="AA900" s="71"/>
      <c r="AB900" s="71"/>
    </row>
    <row r="901">
      <c r="A901" s="71"/>
      <c r="B901" s="71"/>
      <c r="C901" s="71" t="str">
        <f>IFERROR(__xludf.DUMMYFUNCTION("""COMPUTED_VALUE"""),"")</f>
        <v/>
      </c>
      <c r="D901" s="71"/>
      <c r="E901" s="78"/>
      <c r="F901" s="71"/>
      <c r="G901" s="78" t="str">
        <f>IFERROR(__xludf.DUMMYFUNCTION("""COMPUTED_VALUE"""),"")</f>
        <v/>
      </c>
      <c r="H901" s="71"/>
      <c r="I901" s="80" t="str">
        <f>IFERROR(__xludf.DUMMYFUNCTION("""COMPUTED_VALUE"""),"")</f>
        <v/>
      </c>
      <c r="J901" s="71" t="str">
        <f>IFERROR(__xludf.DUMMYFUNCTION("""COMPUTED_VALUE"""),"")</f>
        <v/>
      </c>
      <c r="K901" s="71"/>
      <c r="L901" s="71" t="str">
        <f>IFERROR(__xludf.DUMMYFUNCTION("""COMPUTED_VALUE"""),"")</f>
        <v/>
      </c>
      <c r="M901" s="71"/>
      <c r="N901" s="109" t="str">
        <f>IFERROR(__xludf.DUMMYFUNCTION("""COMPUTED_VALUE"""),"")</f>
        <v/>
      </c>
      <c r="O901" s="71" t="str">
        <f>IFERROR(__xludf.DUMMYFUNCTION("""COMPUTED_VALUE"""),"")</f>
        <v/>
      </c>
      <c r="P901" s="71" t="str">
        <f>IFERROR(__xludf.DUMMYFUNCTION("""COMPUTED_VALUE"""),"")</f>
        <v/>
      </c>
      <c r="Q901" s="78" t="str">
        <f>IFERROR(__xludf.DUMMYFUNCTION("""COMPUTED_VALUE"""),"")</f>
        <v/>
      </c>
      <c r="R901" s="78" t="str">
        <f>IFERROR(__xludf.DUMMYFUNCTION("""COMPUTED_VALUE"""),"")</f>
        <v/>
      </c>
      <c r="S901" s="80" t="str">
        <f>IFERROR(__xludf.DUMMYFUNCTION("""COMPUTED_VALUE"""),"")</f>
        <v/>
      </c>
      <c r="T901" s="80" t="str">
        <f>IFERROR(__xludf.DUMMYFUNCTION("""COMPUTED_VALUE"""),"")</f>
        <v/>
      </c>
      <c r="U901" s="71" t="str">
        <f>IFERROR(__xludf.DUMMYFUNCTION("""COMPUTED_VALUE"""),"")</f>
        <v/>
      </c>
      <c r="V901" s="78" t="str">
        <f>IFERROR(__xludf.DUMMYFUNCTION("""COMPUTED_VALUE"""),"")</f>
        <v/>
      </c>
      <c r="W901" s="62" t="str">
        <f>IFERROR(__xludf.DUMMYFUNCTION("""COMPUTED_VALUE"""),"")</f>
        <v/>
      </c>
      <c r="X901" s="80" t="str">
        <f>IFERROR(__xludf.DUMMYFUNCTION("""COMPUTED_VALUE"""),"")</f>
        <v/>
      </c>
      <c r="Y901" s="109" t="str">
        <f>IFERROR(__xludf.DUMMYFUNCTION("""COMPUTED_VALUE"""),"")</f>
        <v/>
      </c>
      <c r="Z901" s="71"/>
      <c r="AA901" s="71"/>
      <c r="AB901" s="71"/>
    </row>
    <row r="902">
      <c r="A902" s="71"/>
      <c r="B902" s="71"/>
      <c r="C902" s="71" t="str">
        <f>IFERROR(__xludf.DUMMYFUNCTION("""COMPUTED_VALUE"""),"")</f>
        <v/>
      </c>
      <c r="D902" s="71"/>
      <c r="E902" s="78"/>
      <c r="F902" s="71"/>
      <c r="G902" s="78" t="str">
        <f>IFERROR(__xludf.DUMMYFUNCTION("""COMPUTED_VALUE"""),"")</f>
        <v/>
      </c>
      <c r="H902" s="71"/>
      <c r="I902" s="80" t="str">
        <f>IFERROR(__xludf.DUMMYFUNCTION("""COMPUTED_VALUE"""),"")</f>
        <v/>
      </c>
      <c r="J902" s="71" t="str">
        <f>IFERROR(__xludf.DUMMYFUNCTION("""COMPUTED_VALUE"""),"")</f>
        <v/>
      </c>
      <c r="K902" s="71"/>
      <c r="L902" s="71" t="str">
        <f>IFERROR(__xludf.DUMMYFUNCTION("""COMPUTED_VALUE"""),"")</f>
        <v/>
      </c>
      <c r="M902" s="71"/>
      <c r="N902" s="109" t="str">
        <f>IFERROR(__xludf.DUMMYFUNCTION("""COMPUTED_VALUE"""),"")</f>
        <v/>
      </c>
      <c r="O902" s="71" t="str">
        <f>IFERROR(__xludf.DUMMYFUNCTION("""COMPUTED_VALUE"""),"")</f>
        <v/>
      </c>
      <c r="P902" s="71" t="str">
        <f>IFERROR(__xludf.DUMMYFUNCTION("""COMPUTED_VALUE"""),"")</f>
        <v/>
      </c>
      <c r="Q902" s="78" t="str">
        <f>IFERROR(__xludf.DUMMYFUNCTION("""COMPUTED_VALUE"""),"")</f>
        <v/>
      </c>
      <c r="R902" s="78" t="str">
        <f>IFERROR(__xludf.DUMMYFUNCTION("""COMPUTED_VALUE"""),"")</f>
        <v/>
      </c>
      <c r="S902" s="80" t="str">
        <f>IFERROR(__xludf.DUMMYFUNCTION("""COMPUTED_VALUE"""),"")</f>
        <v/>
      </c>
      <c r="T902" s="80" t="str">
        <f>IFERROR(__xludf.DUMMYFUNCTION("""COMPUTED_VALUE"""),"")</f>
        <v/>
      </c>
      <c r="U902" s="71" t="str">
        <f>IFERROR(__xludf.DUMMYFUNCTION("""COMPUTED_VALUE"""),"")</f>
        <v/>
      </c>
      <c r="V902" s="78" t="str">
        <f>IFERROR(__xludf.DUMMYFUNCTION("""COMPUTED_VALUE"""),"")</f>
        <v/>
      </c>
      <c r="W902" s="62" t="str">
        <f>IFERROR(__xludf.DUMMYFUNCTION("""COMPUTED_VALUE"""),"")</f>
        <v/>
      </c>
      <c r="X902" s="80" t="str">
        <f>IFERROR(__xludf.DUMMYFUNCTION("""COMPUTED_VALUE"""),"")</f>
        <v/>
      </c>
      <c r="Y902" s="109" t="str">
        <f>IFERROR(__xludf.DUMMYFUNCTION("""COMPUTED_VALUE"""),"")</f>
        <v/>
      </c>
      <c r="Z902" s="71"/>
      <c r="AA902" s="71"/>
      <c r="AB902" s="71"/>
    </row>
    <row r="903">
      <c r="A903" s="71"/>
      <c r="B903" s="71"/>
      <c r="C903" s="71" t="str">
        <f>IFERROR(__xludf.DUMMYFUNCTION("""COMPUTED_VALUE"""),"")</f>
        <v/>
      </c>
      <c r="D903" s="71"/>
      <c r="E903" s="78"/>
      <c r="F903" s="71"/>
      <c r="G903" s="78" t="str">
        <f>IFERROR(__xludf.DUMMYFUNCTION("""COMPUTED_VALUE"""),"")</f>
        <v/>
      </c>
      <c r="H903" s="71"/>
      <c r="I903" s="80" t="str">
        <f>IFERROR(__xludf.DUMMYFUNCTION("""COMPUTED_VALUE"""),"")</f>
        <v/>
      </c>
      <c r="J903" s="71" t="str">
        <f>IFERROR(__xludf.DUMMYFUNCTION("""COMPUTED_VALUE"""),"")</f>
        <v/>
      </c>
      <c r="K903" s="71"/>
      <c r="L903" s="71" t="str">
        <f>IFERROR(__xludf.DUMMYFUNCTION("""COMPUTED_VALUE"""),"")</f>
        <v/>
      </c>
      <c r="M903" s="71"/>
      <c r="N903" s="109" t="str">
        <f>IFERROR(__xludf.DUMMYFUNCTION("""COMPUTED_VALUE"""),"")</f>
        <v/>
      </c>
      <c r="O903" s="71" t="str">
        <f>IFERROR(__xludf.DUMMYFUNCTION("""COMPUTED_VALUE"""),"")</f>
        <v/>
      </c>
      <c r="P903" s="71" t="str">
        <f>IFERROR(__xludf.DUMMYFUNCTION("""COMPUTED_VALUE"""),"")</f>
        <v/>
      </c>
      <c r="Q903" s="78" t="str">
        <f>IFERROR(__xludf.DUMMYFUNCTION("""COMPUTED_VALUE"""),"")</f>
        <v/>
      </c>
      <c r="R903" s="78" t="str">
        <f>IFERROR(__xludf.DUMMYFUNCTION("""COMPUTED_VALUE"""),"")</f>
        <v/>
      </c>
      <c r="S903" s="80" t="str">
        <f>IFERROR(__xludf.DUMMYFUNCTION("""COMPUTED_VALUE"""),"")</f>
        <v/>
      </c>
      <c r="T903" s="80" t="str">
        <f>IFERROR(__xludf.DUMMYFUNCTION("""COMPUTED_VALUE"""),"")</f>
        <v/>
      </c>
      <c r="U903" s="71" t="str">
        <f>IFERROR(__xludf.DUMMYFUNCTION("""COMPUTED_VALUE"""),"")</f>
        <v/>
      </c>
      <c r="V903" s="78" t="str">
        <f>IFERROR(__xludf.DUMMYFUNCTION("""COMPUTED_VALUE"""),"")</f>
        <v/>
      </c>
      <c r="W903" s="62" t="str">
        <f>IFERROR(__xludf.DUMMYFUNCTION("""COMPUTED_VALUE"""),"")</f>
        <v/>
      </c>
      <c r="X903" s="80" t="str">
        <f>IFERROR(__xludf.DUMMYFUNCTION("""COMPUTED_VALUE"""),"")</f>
        <v/>
      </c>
      <c r="Y903" s="109" t="str">
        <f>IFERROR(__xludf.DUMMYFUNCTION("""COMPUTED_VALUE"""),"")</f>
        <v/>
      </c>
      <c r="Z903" s="71"/>
      <c r="AA903" s="71"/>
      <c r="AB903" s="71"/>
    </row>
    <row r="904">
      <c r="A904" s="71"/>
      <c r="B904" s="71"/>
      <c r="C904" s="71" t="str">
        <f>IFERROR(__xludf.DUMMYFUNCTION("""COMPUTED_VALUE"""),"")</f>
        <v/>
      </c>
      <c r="D904" s="71"/>
      <c r="E904" s="78"/>
      <c r="F904" s="71"/>
      <c r="G904" s="78" t="str">
        <f>IFERROR(__xludf.DUMMYFUNCTION("""COMPUTED_VALUE"""),"")</f>
        <v/>
      </c>
      <c r="H904" s="71"/>
      <c r="I904" s="80" t="str">
        <f>IFERROR(__xludf.DUMMYFUNCTION("""COMPUTED_VALUE"""),"")</f>
        <v/>
      </c>
      <c r="J904" s="71" t="str">
        <f>IFERROR(__xludf.DUMMYFUNCTION("""COMPUTED_VALUE"""),"")</f>
        <v/>
      </c>
      <c r="K904" s="71"/>
      <c r="L904" s="71" t="str">
        <f>IFERROR(__xludf.DUMMYFUNCTION("""COMPUTED_VALUE"""),"")</f>
        <v/>
      </c>
      <c r="M904" s="71"/>
      <c r="N904" s="109" t="str">
        <f>IFERROR(__xludf.DUMMYFUNCTION("""COMPUTED_VALUE"""),"")</f>
        <v/>
      </c>
      <c r="O904" s="71" t="str">
        <f>IFERROR(__xludf.DUMMYFUNCTION("""COMPUTED_VALUE"""),"")</f>
        <v/>
      </c>
      <c r="P904" s="71" t="str">
        <f>IFERROR(__xludf.DUMMYFUNCTION("""COMPUTED_VALUE"""),"")</f>
        <v/>
      </c>
      <c r="Q904" s="78" t="str">
        <f>IFERROR(__xludf.DUMMYFUNCTION("""COMPUTED_VALUE"""),"")</f>
        <v/>
      </c>
      <c r="R904" s="78" t="str">
        <f>IFERROR(__xludf.DUMMYFUNCTION("""COMPUTED_VALUE"""),"")</f>
        <v/>
      </c>
      <c r="S904" s="80" t="str">
        <f>IFERROR(__xludf.DUMMYFUNCTION("""COMPUTED_VALUE"""),"")</f>
        <v/>
      </c>
      <c r="T904" s="80" t="str">
        <f>IFERROR(__xludf.DUMMYFUNCTION("""COMPUTED_VALUE"""),"")</f>
        <v/>
      </c>
      <c r="U904" s="71" t="str">
        <f>IFERROR(__xludf.DUMMYFUNCTION("""COMPUTED_VALUE"""),"")</f>
        <v/>
      </c>
      <c r="V904" s="78" t="str">
        <f>IFERROR(__xludf.DUMMYFUNCTION("""COMPUTED_VALUE"""),"")</f>
        <v/>
      </c>
      <c r="W904" s="62" t="str">
        <f>IFERROR(__xludf.DUMMYFUNCTION("""COMPUTED_VALUE"""),"")</f>
        <v/>
      </c>
      <c r="X904" s="80" t="str">
        <f>IFERROR(__xludf.DUMMYFUNCTION("""COMPUTED_VALUE"""),"")</f>
        <v/>
      </c>
      <c r="Y904" s="109" t="str">
        <f>IFERROR(__xludf.DUMMYFUNCTION("""COMPUTED_VALUE"""),"")</f>
        <v/>
      </c>
      <c r="Z904" s="71"/>
      <c r="AA904" s="71"/>
      <c r="AB904" s="71"/>
    </row>
    <row r="905">
      <c r="A905" s="71"/>
      <c r="B905" s="71"/>
      <c r="C905" s="71" t="str">
        <f>IFERROR(__xludf.DUMMYFUNCTION("""COMPUTED_VALUE"""),"")</f>
        <v/>
      </c>
      <c r="D905" s="71"/>
      <c r="E905" s="78"/>
      <c r="F905" s="71"/>
      <c r="G905" s="78" t="str">
        <f>IFERROR(__xludf.DUMMYFUNCTION("""COMPUTED_VALUE"""),"")</f>
        <v/>
      </c>
      <c r="H905" s="71"/>
      <c r="I905" s="80" t="str">
        <f>IFERROR(__xludf.DUMMYFUNCTION("""COMPUTED_VALUE"""),"")</f>
        <v/>
      </c>
      <c r="J905" s="71" t="str">
        <f>IFERROR(__xludf.DUMMYFUNCTION("""COMPUTED_VALUE"""),"")</f>
        <v/>
      </c>
      <c r="K905" s="71"/>
      <c r="L905" s="71" t="str">
        <f>IFERROR(__xludf.DUMMYFUNCTION("""COMPUTED_VALUE"""),"")</f>
        <v/>
      </c>
      <c r="M905" s="71"/>
      <c r="N905" s="109" t="str">
        <f>IFERROR(__xludf.DUMMYFUNCTION("""COMPUTED_VALUE"""),"")</f>
        <v/>
      </c>
      <c r="O905" s="71" t="str">
        <f>IFERROR(__xludf.DUMMYFUNCTION("""COMPUTED_VALUE"""),"")</f>
        <v/>
      </c>
      <c r="P905" s="71" t="str">
        <f>IFERROR(__xludf.DUMMYFUNCTION("""COMPUTED_VALUE"""),"")</f>
        <v/>
      </c>
      <c r="Q905" s="78" t="str">
        <f>IFERROR(__xludf.DUMMYFUNCTION("""COMPUTED_VALUE"""),"")</f>
        <v/>
      </c>
      <c r="R905" s="78" t="str">
        <f>IFERROR(__xludf.DUMMYFUNCTION("""COMPUTED_VALUE"""),"")</f>
        <v/>
      </c>
      <c r="S905" s="80" t="str">
        <f>IFERROR(__xludf.DUMMYFUNCTION("""COMPUTED_VALUE"""),"")</f>
        <v/>
      </c>
      <c r="T905" s="80" t="str">
        <f>IFERROR(__xludf.DUMMYFUNCTION("""COMPUTED_VALUE"""),"")</f>
        <v/>
      </c>
      <c r="U905" s="71" t="str">
        <f>IFERROR(__xludf.DUMMYFUNCTION("""COMPUTED_VALUE"""),"")</f>
        <v/>
      </c>
      <c r="V905" s="78" t="str">
        <f>IFERROR(__xludf.DUMMYFUNCTION("""COMPUTED_VALUE"""),"")</f>
        <v/>
      </c>
      <c r="W905" s="62" t="str">
        <f>IFERROR(__xludf.DUMMYFUNCTION("""COMPUTED_VALUE"""),"")</f>
        <v/>
      </c>
      <c r="X905" s="80" t="str">
        <f>IFERROR(__xludf.DUMMYFUNCTION("""COMPUTED_VALUE"""),"")</f>
        <v/>
      </c>
      <c r="Y905" s="109" t="str">
        <f>IFERROR(__xludf.DUMMYFUNCTION("""COMPUTED_VALUE"""),"")</f>
        <v/>
      </c>
      <c r="Z905" s="71"/>
      <c r="AA905" s="71"/>
      <c r="AB905" s="71"/>
    </row>
    <row r="906">
      <c r="A906" s="71"/>
      <c r="B906" s="71"/>
      <c r="C906" s="71" t="str">
        <f>IFERROR(__xludf.DUMMYFUNCTION("""COMPUTED_VALUE"""),"")</f>
        <v/>
      </c>
      <c r="D906" s="71"/>
      <c r="E906" s="78"/>
      <c r="F906" s="71"/>
      <c r="G906" s="78" t="str">
        <f>IFERROR(__xludf.DUMMYFUNCTION("""COMPUTED_VALUE"""),"")</f>
        <v/>
      </c>
      <c r="H906" s="71"/>
      <c r="I906" s="80" t="str">
        <f>IFERROR(__xludf.DUMMYFUNCTION("""COMPUTED_VALUE"""),"")</f>
        <v/>
      </c>
      <c r="J906" s="71" t="str">
        <f>IFERROR(__xludf.DUMMYFUNCTION("""COMPUTED_VALUE"""),"")</f>
        <v/>
      </c>
      <c r="K906" s="71"/>
      <c r="L906" s="71" t="str">
        <f>IFERROR(__xludf.DUMMYFUNCTION("""COMPUTED_VALUE"""),"")</f>
        <v/>
      </c>
      <c r="M906" s="71"/>
      <c r="N906" s="109" t="str">
        <f>IFERROR(__xludf.DUMMYFUNCTION("""COMPUTED_VALUE"""),"")</f>
        <v/>
      </c>
      <c r="O906" s="71" t="str">
        <f>IFERROR(__xludf.DUMMYFUNCTION("""COMPUTED_VALUE"""),"")</f>
        <v/>
      </c>
      <c r="P906" s="71" t="str">
        <f>IFERROR(__xludf.DUMMYFUNCTION("""COMPUTED_VALUE"""),"")</f>
        <v/>
      </c>
      <c r="Q906" s="78" t="str">
        <f>IFERROR(__xludf.DUMMYFUNCTION("""COMPUTED_VALUE"""),"")</f>
        <v/>
      </c>
      <c r="R906" s="78" t="str">
        <f>IFERROR(__xludf.DUMMYFUNCTION("""COMPUTED_VALUE"""),"")</f>
        <v/>
      </c>
      <c r="S906" s="80" t="str">
        <f>IFERROR(__xludf.DUMMYFUNCTION("""COMPUTED_VALUE"""),"")</f>
        <v/>
      </c>
      <c r="T906" s="80" t="str">
        <f>IFERROR(__xludf.DUMMYFUNCTION("""COMPUTED_VALUE"""),"")</f>
        <v/>
      </c>
      <c r="U906" s="71" t="str">
        <f>IFERROR(__xludf.DUMMYFUNCTION("""COMPUTED_VALUE"""),"")</f>
        <v/>
      </c>
      <c r="V906" s="78" t="str">
        <f>IFERROR(__xludf.DUMMYFUNCTION("""COMPUTED_VALUE"""),"")</f>
        <v/>
      </c>
      <c r="W906" s="62" t="str">
        <f>IFERROR(__xludf.DUMMYFUNCTION("""COMPUTED_VALUE"""),"")</f>
        <v/>
      </c>
      <c r="X906" s="80" t="str">
        <f>IFERROR(__xludf.DUMMYFUNCTION("""COMPUTED_VALUE"""),"")</f>
        <v/>
      </c>
      <c r="Y906" s="109" t="str">
        <f>IFERROR(__xludf.DUMMYFUNCTION("""COMPUTED_VALUE"""),"")</f>
        <v/>
      </c>
      <c r="Z906" s="71"/>
      <c r="AA906" s="71"/>
      <c r="AB906" s="71"/>
    </row>
    <row r="907">
      <c r="A907" s="71"/>
      <c r="B907" s="71"/>
      <c r="C907" s="71" t="str">
        <f>IFERROR(__xludf.DUMMYFUNCTION("""COMPUTED_VALUE"""),"")</f>
        <v/>
      </c>
      <c r="D907" s="71"/>
      <c r="E907" s="78"/>
      <c r="F907" s="71"/>
      <c r="G907" s="78" t="str">
        <f>IFERROR(__xludf.DUMMYFUNCTION("""COMPUTED_VALUE"""),"")</f>
        <v/>
      </c>
      <c r="H907" s="71"/>
      <c r="I907" s="80" t="str">
        <f>IFERROR(__xludf.DUMMYFUNCTION("""COMPUTED_VALUE"""),"")</f>
        <v/>
      </c>
      <c r="J907" s="71" t="str">
        <f>IFERROR(__xludf.DUMMYFUNCTION("""COMPUTED_VALUE"""),"")</f>
        <v/>
      </c>
      <c r="K907" s="71"/>
      <c r="L907" s="71" t="str">
        <f>IFERROR(__xludf.DUMMYFUNCTION("""COMPUTED_VALUE"""),"")</f>
        <v/>
      </c>
      <c r="M907" s="71"/>
      <c r="N907" s="109" t="str">
        <f>IFERROR(__xludf.DUMMYFUNCTION("""COMPUTED_VALUE"""),"")</f>
        <v/>
      </c>
      <c r="O907" s="71" t="str">
        <f>IFERROR(__xludf.DUMMYFUNCTION("""COMPUTED_VALUE"""),"")</f>
        <v/>
      </c>
      <c r="P907" s="71" t="str">
        <f>IFERROR(__xludf.DUMMYFUNCTION("""COMPUTED_VALUE"""),"")</f>
        <v/>
      </c>
      <c r="Q907" s="78" t="str">
        <f>IFERROR(__xludf.DUMMYFUNCTION("""COMPUTED_VALUE"""),"")</f>
        <v/>
      </c>
      <c r="R907" s="78" t="str">
        <f>IFERROR(__xludf.DUMMYFUNCTION("""COMPUTED_VALUE"""),"")</f>
        <v/>
      </c>
      <c r="S907" s="80" t="str">
        <f>IFERROR(__xludf.DUMMYFUNCTION("""COMPUTED_VALUE"""),"")</f>
        <v/>
      </c>
      <c r="T907" s="80" t="str">
        <f>IFERROR(__xludf.DUMMYFUNCTION("""COMPUTED_VALUE"""),"")</f>
        <v/>
      </c>
      <c r="U907" s="71" t="str">
        <f>IFERROR(__xludf.DUMMYFUNCTION("""COMPUTED_VALUE"""),"")</f>
        <v/>
      </c>
      <c r="V907" s="78" t="str">
        <f>IFERROR(__xludf.DUMMYFUNCTION("""COMPUTED_VALUE"""),"")</f>
        <v/>
      </c>
      <c r="W907" s="62" t="str">
        <f>IFERROR(__xludf.DUMMYFUNCTION("""COMPUTED_VALUE"""),"")</f>
        <v/>
      </c>
      <c r="X907" s="80" t="str">
        <f>IFERROR(__xludf.DUMMYFUNCTION("""COMPUTED_VALUE"""),"")</f>
        <v/>
      </c>
      <c r="Y907" s="109" t="str">
        <f>IFERROR(__xludf.DUMMYFUNCTION("""COMPUTED_VALUE"""),"")</f>
        <v/>
      </c>
      <c r="Z907" s="71"/>
      <c r="AA907" s="71"/>
      <c r="AB907" s="71"/>
    </row>
    <row r="908">
      <c r="A908" s="71"/>
      <c r="B908" s="71"/>
      <c r="C908" s="71" t="str">
        <f>IFERROR(__xludf.DUMMYFUNCTION("""COMPUTED_VALUE"""),"")</f>
        <v/>
      </c>
      <c r="D908" s="71"/>
      <c r="E908" s="78"/>
      <c r="F908" s="71"/>
      <c r="G908" s="78" t="str">
        <f>IFERROR(__xludf.DUMMYFUNCTION("""COMPUTED_VALUE"""),"")</f>
        <v/>
      </c>
      <c r="H908" s="71"/>
      <c r="I908" s="80" t="str">
        <f>IFERROR(__xludf.DUMMYFUNCTION("""COMPUTED_VALUE"""),"")</f>
        <v/>
      </c>
      <c r="J908" s="71" t="str">
        <f>IFERROR(__xludf.DUMMYFUNCTION("""COMPUTED_VALUE"""),"")</f>
        <v/>
      </c>
      <c r="K908" s="71"/>
      <c r="L908" s="71" t="str">
        <f>IFERROR(__xludf.DUMMYFUNCTION("""COMPUTED_VALUE"""),"")</f>
        <v/>
      </c>
      <c r="M908" s="71"/>
      <c r="N908" s="109" t="str">
        <f>IFERROR(__xludf.DUMMYFUNCTION("""COMPUTED_VALUE"""),"")</f>
        <v/>
      </c>
      <c r="O908" s="71" t="str">
        <f>IFERROR(__xludf.DUMMYFUNCTION("""COMPUTED_VALUE"""),"")</f>
        <v/>
      </c>
      <c r="P908" s="71" t="str">
        <f>IFERROR(__xludf.DUMMYFUNCTION("""COMPUTED_VALUE"""),"")</f>
        <v/>
      </c>
      <c r="Q908" s="78" t="str">
        <f>IFERROR(__xludf.DUMMYFUNCTION("""COMPUTED_VALUE"""),"")</f>
        <v/>
      </c>
      <c r="R908" s="78" t="str">
        <f>IFERROR(__xludf.DUMMYFUNCTION("""COMPUTED_VALUE"""),"")</f>
        <v/>
      </c>
      <c r="S908" s="80" t="str">
        <f>IFERROR(__xludf.DUMMYFUNCTION("""COMPUTED_VALUE"""),"")</f>
        <v/>
      </c>
      <c r="T908" s="80" t="str">
        <f>IFERROR(__xludf.DUMMYFUNCTION("""COMPUTED_VALUE"""),"")</f>
        <v/>
      </c>
      <c r="U908" s="71" t="str">
        <f>IFERROR(__xludf.DUMMYFUNCTION("""COMPUTED_VALUE"""),"")</f>
        <v/>
      </c>
      <c r="V908" s="78" t="str">
        <f>IFERROR(__xludf.DUMMYFUNCTION("""COMPUTED_VALUE"""),"")</f>
        <v/>
      </c>
      <c r="W908" s="62" t="str">
        <f>IFERROR(__xludf.DUMMYFUNCTION("""COMPUTED_VALUE"""),"")</f>
        <v/>
      </c>
      <c r="X908" s="80" t="str">
        <f>IFERROR(__xludf.DUMMYFUNCTION("""COMPUTED_VALUE"""),"")</f>
        <v/>
      </c>
      <c r="Y908" s="109" t="str">
        <f>IFERROR(__xludf.DUMMYFUNCTION("""COMPUTED_VALUE"""),"")</f>
        <v/>
      </c>
      <c r="Z908" s="71"/>
      <c r="AA908" s="71"/>
      <c r="AB908" s="71"/>
    </row>
    <row r="909">
      <c r="A909" s="71"/>
      <c r="B909" s="71"/>
      <c r="C909" s="71" t="str">
        <f>IFERROR(__xludf.DUMMYFUNCTION("""COMPUTED_VALUE"""),"")</f>
        <v/>
      </c>
      <c r="D909" s="71"/>
      <c r="E909" s="78"/>
      <c r="F909" s="71"/>
      <c r="G909" s="78" t="str">
        <f>IFERROR(__xludf.DUMMYFUNCTION("""COMPUTED_VALUE"""),"")</f>
        <v/>
      </c>
      <c r="H909" s="71"/>
      <c r="I909" s="80" t="str">
        <f>IFERROR(__xludf.DUMMYFUNCTION("""COMPUTED_VALUE"""),"")</f>
        <v/>
      </c>
      <c r="J909" s="71" t="str">
        <f>IFERROR(__xludf.DUMMYFUNCTION("""COMPUTED_VALUE"""),"")</f>
        <v/>
      </c>
      <c r="K909" s="71"/>
      <c r="L909" s="71" t="str">
        <f>IFERROR(__xludf.DUMMYFUNCTION("""COMPUTED_VALUE"""),"")</f>
        <v/>
      </c>
      <c r="M909" s="71"/>
      <c r="N909" s="109" t="str">
        <f>IFERROR(__xludf.DUMMYFUNCTION("""COMPUTED_VALUE"""),"")</f>
        <v/>
      </c>
      <c r="O909" s="71" t="str">
        <f>IFERROR(__xludf.DUMMYFUNCTION("""COMPUTED_VALUE"""),"")</f>
        <v/>
      </c>
      <c r="P909" s="71" t="str">
        <f>IFERROR(__xludf.DUMMYFUNCTION("""COMPUTED_VALUE"""),"")</f>
        <v/>
      </c>
      <c r="Q909" s="78" t="str">
        <f>IFERROR(__xludf.DUMMYFUNCTION("""COMPUTED_VALUE"""),"")</f>
        <v/>
      </c>
      <c r="R909" s="78" t="str">
        <f>IFERROR(__xludf.DUMMYFUNCTION("""COMPUTED_VALUE"""),"")</f>
        <v/>
      </c>
      <c r="S909" s="80" t="str">
        <f>IFERROR(__xludf.DUMMYFUNCTION("""COMPUTED_VALUE"""),"")</f>
        <v/>
      </c>
      <c r="T909" s="80" t="str">
        <f>IFERROR(__xludf.DUMMYFUNCTION("""COMPUTED_VALUE"""),"")</f>
        <v/>
      </c>
      <c r="U909" s="71" t="str">
        <f>IFERROR(__xludf.DUMMYFUNCTION("""COMPUTED_VALUE"""),"")</f>
        <v/>
      </c>
      <c r="V909" s="78" t="str">
        <f>IFERROR(__xludf.DUMMYFUNCTION("""COMPUTED_VALUE"""),"")</f>
        <v/>
      </c>
      <c r="W909" s="62" t="str">
        <f>IFERROR(__xludf.DUMMYFUNCTION("""COMPUTED_VALUE"""),"")</f>
        <v/>
      </c>
      <c r="X909" s="80" t="str">
        <f>IFERROR(__xludf.DUMMYFUNCTION("""COMPUTED_VALUE"""),"")</f>
        <v/>
      </c>
      <c r="Y909" s="109" t="str">
        <f>IFERROR(__xludf.DUMMYFUNCTION("""COMPUTED_VALUE"""),"")</f>
        <v/>
      </c>
      <c r="Z909" s="71"/>
      <c r="AA909" s="71"/>
      <c r="AB909" s="71"/>
    </row>
    <row r="910">
      <c r="A910" s="71"/>
      <c r="B910" s="71"/>
      <c r="C910" s="71" t="str">
        <f>IFERROR(__xludf.DUMMYFUNCTION("""COMPUTED_VALUE"""),"")</f>
        <v/>
      </c>
      <c r="D910" s="71"/>
      <c r="E910" s="78"/>
      <c r="F910" s="71"/>
      <c r="G910" s="78" t="str">
        <f>IFERROR(__xludf.DUMMYFUNCTION("""COMPUTED_VALUE"""),"")</f>
        <v/>
      </c>
      <c r="H910" s="71"/>
      <c r="I910" s="80" t="str">
        <f>IFERROR(__xludf.DUMMYFUNCTION("""COMPUTED_VALUE"""),"")</f>
        <v/>
      </c>
      <c r="J910" s="71" t="str">
        <f>IFERROR(__xludf.DUMMYFUNCTION("""COMPUTED_VALUE"""),"")</f>
        <v/>
      </c>
      <c r="K910" s="71"/>
      <c r="L910" s="71" t="str">
        <f>IFERROR(__xludf.DUMMYFUNCTION("""COMPUTED_VALUE"""),"")</f>
        <v/>
      </c>
      <c r="M910" s="71"/>
      <c r="N910" s="109" t="str">
        <f>IFERROR(__xludf.DUMMYFUNCTION("""COMPUTED_VALUE"""),"")</f>
        <v/>
      </c>
      <c r="O910" s="71" t="str">
        <f>IFERROR(__xludf.DUMMYFUNCTION("""COMPUTED_VALUE"""),"")</f>
        <v/>
      </c>
      <c r="P910" s="71" t="str">
        <f>IFERROR(__xludf.DUMMYFUNCTION("""COMPUTED_VALUE"""),"")</f>
        <v/>
      </c>
      <c r="Q910" s="78" t="str">
        <f>IFERROR(__xludf.DUMMYFUNCTION("""COMPUTED_VALUE"""),"")</f>
        <v/>
      </c>
      <c r="R910" s="78" t="str">
        <f>IFERROR(__xludf.DUMMYFUNCTION("""COMPUTED_VALUE"""),"")</f>
        <v/>
      </c>
      <c r="S910" s="80" t="str">
        <f>IFERROR(__xludf.DUMMYFUNCTION("""COMPUTED_VALUE"""),"")</f>
        <v/>
      </c>
      <c r="T910" s="80" t="str">
        <f>IFERROR(__xludf.DUMMYFUNCTION("""COMPUTED_VALUE"""),"")</f>
        <v/>
      </c>
      <c r="U910" s="71" t="str">
        <f>IFERROR(__xludf.DUMMYFUNCTION("""COMPUTED_VALUE"""),"")</f>
        <v/>
      </c>
      <c r="V910" s="78" t="str">
        <f>IFERROR(__xludf.DUMMYFUNCTION("""COMPUTED_VALUE"""),"")</f>
        <v/>
      </c>
      <c r="W910" s="62" t="str">
        <f>IFERROR(__xludf.DUMMYFUNCTION("""COMPUTED_VALUE"""),"")</f>
        <v/>
      </c>
      <c r="X910" s="80" t="str">
        <f>IFERROR(__xludf.DUMMYFUNCTION("""COMPUTED_VALUE"""),"")</f>
        <v/>
      </c>
      <c r="Y910" s="109" t="str">
        <f>IFERROR(__xludf.DUMMYFUNCTION("""COMPUTED_VALUE"""),"")</f>
        <v/>
      </c>
      <c r="Z910" s="71"/>
      <c r="AA910" s="71"/>
      <c r="AB910" s="71"/>
    </row>
    <row r="911">
      <c r="A911" s="71"/>
      <c r="B911" s="71"/>
      <c r="C911" s="71" t="str">
        <f>IFERROR(__xludf.DUMMYFUNCTION("""COMPUTED_VALUE"""),"")</f>
        <v/>
      </c>
      <c r="D911" s="71"/>
      <c r="E911" s="78"/>
      <c r="F911" s="71"/>
      <c r="G911" s="78" t="str">
        <f>IFERROR(__xludf.DUMMYFUNCTION("""COMPUTED_VALUE"""),"")</f>
        <v/>
      </c>
      <c r="H911" s="71"/>
      <c r="I911" s="80" t="str">
        <f>IFERROR(__xludf.DUMMYFUNCTION("""COMPUTED_VALUE"""),"")</f>
        <v/>
      </c>
      <c r="J911" s="71" t="str">
        <f>IFERROR(__xludf.DUMMYFUNCTION("""COMPUTED_VALUE"""),"")</f>
        <v/>
      </c>
      <c r="K911" s="71"/>
      <c r="L911" s="71" t="str">
        <f>IFERROR(__xludf.DUMMYFUNCTION("""COMPUTED_VALUE"""),"")</f>
        <v/>
      </c>
      <c r="M911" s="71"/>
      <c r="N911" s="109" t="str">
        <f>IFERROR(__xludf.DUMMYFUNCTION("""COMPUTED_VALUE"""),"")</f>
        <v/>
      </c>
      <c r="O911" s="71" t="str">
        <f>IFERROR(__xludf.DUMMYFUNCTION("""COMPUTED_VALUE"""),"")</f>
        <v/>
      </c>
      <c r="P911" s="71" t="str">
        <f>IFERROR(__xludf.DUMMYFUNCTION("""COMPUTED_VALUE"""),"")</f>
        <v/>
      </c>
      <c r="Q911" s="78" t="str">
        <f>IFERROR(__xludf.DUMMYFUNCTION("""COMPUTED_VALUE"""),"")</f>
        <v/>
      </c>
      <c r="R911" s="78" t="str">
        <f>IFERROR(__xludf.DUMMYFUNCTION("""COMPUTED_VALUE"""),"")</f>
        <v/>
      </c>
      <c r="S911" s="80" t="str">
        <f>IFERROR(__xludf.DUMMYFUNCTION("""COMPUTED_VALUE"""),"")</f>
        <v/>
      </c>
      <c r="T911" s="80" t="str">
        <f>IFERROR(__xludf.DUMMYFUNCTION("""COMPUTED_VALUE"""),"")</f>
        <v/>
      </c>
      <c r="U911" s="71" t="str">
        <f>IFERROR(__xludf.DUMMYFUNCTION("""COMPUTED_VALUE"""),"")</f>
        <v/>
      </c>
      <c r="V911" s="78" t="str">
        <f>IFERROR(__xludf.DUMMYFUNCTION("""COMPUTED_VALUE"""),"")</f>
        <v/>
      </c>
      <c r="W911" s="62" t="str">
        <f>IFERROR(__xludf.DUMMYFUNCTION("""COMPUTED_VALUE"""),"")</f>
        <v/>
      </c>
      <c r="X911" s="80" t="str">
        <f>IFERROR(__xludf.DUMMYFUNCTION("""COMPUTED_VALUE"""),"")</f>
        <v/>
      </c>
      <c r="Y911" s="109" t="str">
        <f>IFERROR(__xludf.DUMMYFUNCTION("""COMPUTED_VALUE"""),"")</f>
        <v/>
      </c>
      <c r="Z911" s="71"/>
      <c r="AA911" s="71"/>
      <c r="AB911" s="71"/>
    </row>
    <row r="912">
      <c r="A912" s="71"/>
      <c r="B912" s="71"/>
      <c r="C912" s="71" t="str">
        <f>IFERROR(__xludf.DUMMYFUNCTION("""COMPUTED_VALUE"""),"")</f>
        <v/>
      </c>
      <c r="D912" s="71"/>
      <c r="E912" s="78"/>
      <c r="F912" s="71"/>
      <c r="G912" s="78" t="str">
        <f>IFERROR(__xludf.DUMMYFUNCTION("""COMPUTED_VALUE"""),"")</f>
        <v/>
      </c>
      <c r="H912" s="71"/>
      <c r="I912" s="80" t="str">
        <f>IFERROR(__xludf.DUMMYFUNCTION("""COMPUTED_VALUE"""),"")</f>
        <v/>
      </c>
      <c r="J912" s="71" t="str">
        <f>IFERROR(__xludf.DUMMYFUNCTION("""COMPUTED_VALUE"""),"")</f>
        <v/>
      </c>
      <c r="K912" s="71"/>
      <c r="L912" s="71" t="str">
        <f>IFERROR(__xludf.DUMMYFUNCTION("""COMPUTED_VALUE"""),"")</f>
        <v/>
      </c>
      <c r="M912" s="71"/>
      <c r="N912" s="109" t="str">
        <f>IFERROR(__xludf.DUMMYFUNCTION("""COMPUTED_VALUE"""),"")</f>
        <v/>
      </c>
      <c r="O912" s="71" t="str">
        <f>IFERROR(__xludf.DUMMYFUNCTION("""COMPUTED_VALUE"""),"")</f>
        <v/>
      </c>
      <c r="P912" s="71" t="str">
        <f>IFERROR(__xludf.DUMMYFUNCTION("""COMPUTED_VALUE"""),"")</f>
        <v/>
      </c>
      <c r="Q912" s="78" t="str">
        <f>IFERROR(__xludf.DUMMYFUNCTION("""COMPUTED_VALUE"""),"")</f>
        <v/>
      </c>
      <c r="R912" s="78" t="str">
        <f>IFERROR(__xludf.DUMMYFUNCTION("""COMPUTED_VALUE"""),"")</f>
        <v/>
      </c>
      <c r="S912" s="80" t="str">
        <f>IFERROR(__xludf.DUMMYFUNCTION("""COMPUTED_VALUE"""),"")</f>
        <v/>
      </c>
      <c r="T912" s="80" t="str">
        <f>IFERROR(__xludf.DUMMYFUNCTION("""COMPUTED_VALUE"""),"")</f>
        <v/>
      </c>
      <c r="U912" s="71" t="str">
        <f>IFERROR(__xludf.DUMMYFUNCTION("""COMPUTED_VALUE"""),"")</f>
        <v/>
      </c>
      <c r="V912" s="78" t="str">
        <f>IFERROR(__xludf.DUMMYFUNCTION("""COMPUTED_VALUE"""),"")</f>
        <v/>
      </c>
      <c r="W912" s="62" t="str">
        <f>IFERROR(__xludf.DUMMYFUNCTION("""COMPUTED_VALUE"""),"")</f>
        <v/>
      </c>
      <c r="X912" s="80" t="str">
        <f>IFERROR(__xludf.DUMMYFUNCTION("""COMPUTED_VALUE"""),"")</f>
        <v/>
      </c>
      <c r="Y912" s="109" t="str">
        <f>IFERROR(__xludf.DUMMYFUNCTION("""COMPUTED_VALUE"""),"")</f>
        <v/>
      </c>
      <c r="Z912" s="71"/>
      <c r="AA912" s="71"/>
      <c r="AB912" s="71"/>
    </row>
    <row r="913">
      <c r="A913" s="71"/>
      <c r="B913" s="71"/>
      <c r="C913" s="71" t="str">
        <f>IFERROR(__xludf.DUMMYFUNCTION("""COMPUTED_VALUE"""),"")</f>
        <v/>
      </c>
      <c r="D913" s="71"/>
      <c r="E913" s="78"/>
      <c r="F913" s="71"/>
      <c r="G913" s="78" t="str">
        <f>IFERROR(__xludf.DUMMYFUNCTION("""COMPUTED_VALUE"""),"")</f>
        <v/>
      </c>
      <c r="H913" s="71"/>
      <c r="I913" s="80" t="str">
        <f>IFERROR(__xludf.DUMMYFUNCTION("""COMPUTED_VALUE"""),"")</f>
        <v/>
      </c>
      <c r="J913" s="71" t="str">
        <f>IFERROR(__xludf.DUMMYFUNCTION("""COMPUTED_VALUE"""),"")</f>
        <v/>
      </c>
      <c r="K913" s="71"/>
      <c r="L913" s="71" t="str">
        <f>IFERROR(__xludf.DUMMYFUNCTION("""COMPUTED_VALUE"""),"")</f>
        <v/>
      </c>
      <c r="M913" s="71"/>
      <c r="N913" s="109" t="str">
        <f>IFERROR(__xludf.DUMMYFUNCTION("""COMPUTED_VALUE"""),"")</f>
        <v/>
      </c>
      <c r="O913" s="71" t="str">
        <f>IFERROR(__xludf.DUMMYFUNCTION("""COMPUTED_VALUE"""),"")</f>
        <v/>
      </c>
      <c r="P913" s="71" t="str">
        <f>IFERROR(__xludf.DUMMYFUNCTION("""COMPUTED_VALUE"""),"")</f>
        <v/>
      </c>
      <c r="Q913" s="78" t="str">
        <f>IFERROR(__xludf.DUMMYFUNCTION("""COMPUTED_VALUE"""),"")</f>
        <v/>
      </c>
      <c r="R913" s="78" t="str">
        <f>IFERROR(__xludf.DUMMYFUNCTION("""COMPUTED_VALUE"""),"")</f>
        <v/>
      </c>
      <c r="S913" s="80" t="str">
        <f>IFERROR(__xludf.DUMMYFUNCTION("""COMPUTED_VALUE"""),"")</f>
        <v/>
      </c>
      <c r="T913" s="80" t="str">
        <f>IFERROR(__xludf.DUMMYFUNCTION("""COMPUTED_VALUE"""),"")</f>
        <v/>
      </c>
      <c r="U913" s="71" t="str">
        <f>IFERROR(__xludf.DUMMYFUNCTION("""COMPUTED_VALUE"""),"")</f>
        <v/>
      </c>
      <c r="V913" s="78" t="str">
        <f>IFERROR(__xludf.DUMMYFUNCTION("""COMPUTED_VALUE"""),"")</f>
        <v/>
      </c>
      <c r="W913" s="62" t="str">
        <f>IFERROR(__xludf.DUMMYFUNCTION("""COMPUTED_VALUE"""),"")</f>
        <v/>
      </c>
      <c r="X913" s="80" t="str">
        <f>IFERROR(__xludf.DUMMYFUNCTION("""COMPUTED_VALUE"""),"")</f>
        <v/>
      </c>
      <c r="Y913" s="109" t="str">
        <f>IFERROR(__xludf.DUMMYFUNCTION("""COMPUTED_VALUE"""),"")</f>
        <v/>
      </c>
      <c r="Z913" s="71"/>
      <c r="AA913" s="71"/>
      <c r="AB913" s="71"/>
    </row>
    <row r="914">
      <c r="A914" s="71"/>
      <c r="B914" s="71"/>
      <c r="C914" s="71" t="str">
        <f>IFERROR(__xludf.DUMMYFUNCTION("""COMPUTED_VALUE"""),"")</f>
        <v/>
      </c>
      <c r="D914" s="71"/>
      <c r="E914" s="78"/>
      <c r="F914" s="71"/>
      <c r="G914" s="78" t="str">
        <f>IFERROR(__xludf.DUMMYFUNCTION("""COMPUTED_VALUE"""),"")</f>
        <v/>
      </c>
      <c r="H914" s="71"/>
      <c r="I914" s="80" t="str">
        <f>IFERROR(__xludf.DUMMYFUNCTION("""COMPUTED_VALUE"""),"")</f>
        <v/>
      </c>
      <c r="J914" s="71" t="str">
        <f>IFERROR(__xludf.DUMMYFUNCTION("""COMPUTED_VALUE"""),"")</f>
        <v/>
      </c>
      <c r="K914" s="71"/>
      <c r="L914" s="71" t="str">
        <f>IFERROR(__xludf.DUMMYFUNCTION("""COMPUTED_VALUE"""),"")</f>
        <v/>
      </c>
      <c r="M914" s="71"/>
      <c r="N914" s="109" t="str">
        <f>IFERROR(__xludf.DUMMYFUNCTION("""COMPUTED_VALUE"""),"")</f>
        <v/>
      </c>
      <c r="O914" s="71" t="str">
        <f>IFERROR(__xludf.DUMMYFUNCTION("""COMPUTED_VALUE"""),"")</f>
        <v/>
      </c>
      <c r="P914" s="71" t="str">
        <f>IFERROR(__xludf.DUMMYFUNCTION("""COMPUTED_VALUE"""),"")</f>
        <v/>
      </c>
      <c r="Q914" s="78" t="str">
        <f>IFERROR(__xludf.DUMMYFUNCTION("""COMPUTED_VALUE"""),"")</f>
        <v/>
      </c>
      <c r="R914" s="78" t="str">
        <f>IFERROR(__xludf.DUMMYFUNCTION("""COMPUTED_VALUE"""),"")</f>
        <v/>
      </c>
      <c r="S914" s="80" t="str">
        <f>IFERROR(__xludf.DUMMYFUNCTION("""COMPUTED_VALUE"""),"")</f>
        <v/>
      </c>
      <c r="T914" s="80" t="str">
        <f>IFERROR(__xludf.DUMMYFUNCTION("""COMPUTED_VALUE"""),"")</f>
        <v/>
      </c>
      <c r="U914" s="71" t="str">
        <f>IFERROR(__xludf.DUMMYFUNCTION("""COMPUTED_VALUE"""),"")</f>
        <v/>
      </c>
      <c r="V914" s="78" t="str">
        <f>IFERROR(__xludf.DUMMYFUNCTION("""COMPUTED_VALUE"""),"")</f>
        <v/>
      </c>
      <c r="W914" s="62" t="str">
        <f>IFERROR(__xludf.DUMMYFUNCTION("""COMPUTED_VALUE"""),"")</f>
        <v/>
      </c>
      <c r="X914" s="80" t="str">
        <f>IFERROR(__xludf.DUMMYFUNCTION("""COMPUTED_VALUE"""),"")</f>
        <v/>
      </c>
      <c r="Y914" s="109" t="str">
        <f>IFERROR(__xludf.DUMMYFUNCTION("""COMPUTED_VALUE"""),"")</f>
        <v/>
      </c>
      <c r="Z914" s="71"/>
      <c r="AA914" s="71"/>
      <c r="AB914" s="71"/>
    </row>
    <row r="915">
      <c r="A915" s="71"/>
      <c r="B915" s="71"/>
      <c r="C915" s="71" t="str">
        <f>IFERROR(__xludf.DUMMYFUNCTION("""COMPUTED_VALUE"""),"")</f>
        <v/>
      </c>
      <c r="D915" s="71"/>
      <c r="E915" s="78"/>
      <c r="F915" s="71"/>
      <c r="G915" s="78" t="str">
        <f>IFERROR(__xludf.DUMMYFUNCTION("""COMPUTED_VALUE"""),"")</f>
        <v/>
      </c>
      <c r="H915" s="71"/>
      <c r="I915" s="80" t="str">
        <f>IFERROR(__xludf.DUMMYFUNCTION("""COMPUTED_VALUE"""),"")</f>
        <v/>
      </c>
      <c r="J915" s="71" t="str">
        <f>IFERROR(__xludf.DUMMYFUNCTION("""COMPUTED_VALUE"""),"")</f>
        <v/>
      </c>
      <c r="K915" s="71"/>
      <c r="L915" s="71" t="str">
        <f>IFERROR(__xludf.DUMMYFUNCTION("""COMPUTED_VALUE"""),"")</f>
        <v/>
      </c>
      <c r="M915" s="71"/>
      <c r="N915" s="109" t="str">
        <f>IFERROR(__xludf.DUMMYFUNCTION("""COMPUTED_VALUE"""),"")</f>
        <v/>
      </c>
      <c r="O915" s="71" t="str">
        <f>IFERROR(__xludf.DUMMYFUNCTION("""COMPUTED_VALUE"""),"")</f>
        <v/>
      </c>
      <c r="P915" s="71" t="str">
        <f>IFERROR(__xludf.DUMMYFUNCTION("""COMPUTED_VALUE"""),"")</f>
        <v/>
      </c>
      <c r="Q915" s="78" t="str">
        <f>IFERROR(__xludf.DUMMYFUNCTION("""COMPUTED_VALUE"""),"")</f>
        <v/>
      </c>
      <c r="R915" s="78" t="str">
        <f>IFERROR(__xludf.DUMMYFUNCTION("""COMPUTED_VALUE"""),"")</f>
        <v/>
      </c>
      <c r="S915" s="80" t="str">
        <f>IFERROR(__xludf.DUMMYFUNCTION("""COMPUTED_VALUE"""),"")</f>
        <v/>
      </c>
      <c r="T915" s="80" t="str">
        <f>IFERROR(__xludf.DUMMYFUNCTION("""COMPUTED_VALUE"""),"")</f>
        <v/>
      </c>
      <c r="U915" s="71" t="str">
        <f>IFERROR(__xludf.DUMMYFUNCTION("""COMPUTED_VALUE"""),"")</f>
        <v/>
      </c>
      <c r="V915" s="78" t="str">
        <f>IFERROR(__xludf.DUMMYFUNCTION("""COMPUTED_VALUE"""),"")</f>
        <v/>
      </c>
      <c r="W915" s="62" t="str">
        <f>IFERROR(__xludf.DUMMYFUNCTION("""COMPUTED_VALUE"""),"")</f>
        <v/>
      </c>
      <c r="X915" s="80" t="str">
        <f>IFERROR(__xludf.DUMMYFUNCTION("""COMPUTED_VALUE"""),"")</f>
        <v/>
      </c>
      <c r="Y915" s="109" t="str">
        <f>IFERROR(__xludf.DUMMYFUNCTION("""COMPUTED_VALUE"""),"")</f>
        <v/>
      </c>
      <c r="Z915" s="71"/>
      <c r="AA915" s="71"/>
      <c r="AB915" s="71"/>
    </row>
    <row r="916">
      <c r="A916" s="71"/>
      <c r="B916" s="71"/>
      <c r="C916" s="71" t="str">
        <f>IFERROR(__xludf.DUMMYFUNCTION("""COMPUTED_VALUE"""),"")</f>
        <v/>
      </c>
      <c r="D916" s="71"/>
      <c r="E916" s="78"/>
      <c r="F916" s="71"/>
      <c r="G916" s="78" t="str">
        <f>IFERROR(__xludf.DUMMYFUNCTION("""COMPUTED_VALUE"""),"")</f>
        <v/>
      </c>
      <c r="H916" s="71"/>
      <c r="I916" s="80" t="str">
        <f>IFERROR(__xludf.DUMMYFUNCTION("""COMPUTED_VALUE"""),"")</f>
        <v/>
      </c>
      <c r="J916" s="71" t="str">
        <f>IFERROR(__xludf.DUMMYFUNCTION("""COMPUTED_VALUE"""),"")</f>
        <v/>
      </c>
      <c r="K916" s="71"/>
      <c r="L916" s="71" t="str">
        <f>IFERROR(__xludf.DUMMYFUNCTION("""COMPUTED_VALUE"""),"")</f>
        <v/>
      </c>
      <c r="M916" s="71"/>
      <c r="N916" s="109" t="str">
        <f>IFERROR(__xludf.DUMMYFUNCTION("""COMPUTED_VALUE"""),"")</f>
        <v/>
      </c>
      <c r="O916" s="71" t="str">
        <f>IFERROR(__xludf.DUMMYFUNCTION("""COMPUTED_VALUE"""),"")</f>
        <v/>
      </c>
      <c r="P916" s="71" t="str">
        <f>IFERROR(__xludf.DUMMYFUNCTION("""COMPUTED_VALUE"""),"")</f>
        <v/>
      </c>
      <c r="Q916" s="78" t="str">
        <f>IFERROR(__xludf.DUMMYFUNCTION("""COMPUTED_VALUE"""),"")</f>
        <v/>
      </c>
      <c r="R916" s="78" t="str">
        <f>IFERROR(__xludf.DUMMYFUNCTION("""COMPUTED_VALUE"""),"")</f>
        <v/>
      </c>
      <c r="S916" s="80" t="str">
        <f>IFERROR(__xludf.DUMMYFUNCTION("""COMPUTED_VALUE"""),"")</f>
        <v/>
      </c>
      <c r="T916" s="80" t="str">
        <f>IFERROR(__xludf.DUMMYFUNCTION("""COMPUTED_VALUE"""),"")</f>
        <v/>
      </c>
      <c r="U916" s="71" t="str">
        <f>IFERROR(__xludf.DUMMYFUNCTION("""COMPUTED_VALUE"""),"")</f>
        <v/>
      </c>
      <c r="V916" s="78" t="str">
        <f>IFERROR(__xludf.DUMMYFUNCTION("""COMPUTED_VALUE"""),"")</f>
        <v/>
      </c>
      <c r="W916" s="62" t="str">
        <f>IFERROR(__xludf.DUMMYFUNCTION("""COMPUTED_VALUE"""),"")</f>
        <v/>
      </c>
      <c r="X916" s="80" t="str">
        <f>IFERROR(__xludf.DUMMYFUNCTION("""COMPUTED_VALUE"""),"")</f>
        <v/>
      </c>
      <c r="Y916" s="109" t="str">
        <f>IFERROR(__xludf.DUMMYFUNCTION("""COMPUTED_VALUE"""),"")</f>
        <v/>
      </c>
      <c r="Z916" s="71"/>
      <c r="AA916" s="71"/>
      <c r="AB916" s="71"/>
    </row>
    <row r="917">
      <c r="A917" s="71"/>
      <c r="B917" s="71"/>
      <c r="C917" s="71" t="str">
        <f>IFERROR(__xludf.DUMMYFUNCTION("""COMPUTED_VALUE"""),"")</f>
        <v/>
      </c>
      <c r="D917" s="71"/>
      <c r="E917" s="78"/>
      <c r="F917" s="71"/>
      <c r="G917" s="78" t="str">
        <f>IFERROR(__xludf.DUMMYFUNCTION("""COMPUTED_VALUE"""),"")</f>
        <v/>
      </c>
      <c r="H917" s="71"/>
      <c r="I917" s="80" t="str">
        <f>IFERROR(__xludf.DUMMYFUNCTION("""COMPUTED_VALUE"""),"")</f>
        <v/>
      </c>
      <c r="J917" s="71" t="str">
        <f>IFERROR(__xludf.DUMMYFUNCTION("""COMPUTED_VALUE"""),"")</f>
        <v/>
      </c>
      <c r="K917" s="71"/>
      <c r="L917" s="71" t="str">
        <f>IFERROR(__xludf.DUMMYFUNCTION("""COMPUTED_VALUE"""),"")</f>
        <v/>
      </c>
      <c r="M917" s="71"/>
      <c r="N917" s="109" t="str">
        <f>IFERROR(__xludf.DUMMYFUNCTION("""COMPUTED_VALUE"""),"")</f>
        <v/>
      </c>
      <c r="O917" s="71" t="str">
        <f>IFERROR(__xludf.DUMMYFUNCTION("""COMPUTED_VALUE"""),"")</f>
        <v/>
      </c>
      <c r="P917" s="71" t="str">
        <f>IFERROR(__xludf.DUMMYFUNCTION("""COMPUTED_VALUE"""),"")</f>
        <v/>
      </c>
      <c r="Q917" s="78" t="str">
        <f>IFERROR(__xludf.DUMMYFUNCTION("""COMPUTED_VALUE"""),"")</f>
        <v/>
      </c>
      <c r="R917" s="78" t="str">
        <f>IFERROR(__xludf.DUMMYFUNCTION("""COMPUTED_VALUE"""),"")</f>
        <v/>
      </c>
      <c r="S917" s="80" t="str">
        <f>IFERROR(__xludf.DUMMYFUNCTION("""COMPUTED_VALUE"""),"")</f>
        <v/>
      </c>
      <c r="T917" s="80" t="str">
        <f>IFERROR(__xludf.DUMMYFUNCTION("""COMPUTED_VALUE"""),"")</f>
        <v/>
      </c>
      <c r="U917" s="71" t="str">
        <f>IFERROR(__xludf.DUMMYFUNCTION("""COMPUTED_VALUE"""),"")</f>
        <v/>
      </c>
      <c r="V917" s="78" t="str">
        <f>IFERROR(__xludf.DUMMYFUNCTION("""COMPUTED_VALUE"""),"")</f>
        <v/>
      </c>
      <c r="W917" s="62" t="str">
        <f>IFERROR(__xludf.DUMMYFUNCTION("""COMPUTED_VALUE"""),"")</f>
        <v/>
      </c>
      <c r="X917" s="80" t="str">
        <f>IFERROR(__xludf.DUMMYFUNCTION("""COMPUTED_VALUE"""),"")</f>
        <v/>
      </c>
      <c r="Y917" s="109" t="str">
        <f>IFERROR(__xludf.DUMMYFUNCTION("""COMPUTED_VALUE"""),"")</f>
        <v/>
      </c>
      <c r="Z917" s="71"/>
      <c r="AA917" s="71"/>
      <c r="AB917" s="71"/>
    </row>
    <row r="918">
      <c r="A918" s="71"/>
      <c r="B918" s="71"/>
      <c r="C918" s="71" t="str">
        <f>IFERROR(__xludf.DUMMYFUNCTION("""COMPUTED_VALUE"""),"")</f>
        <v/>
      </c>
      <c r="D918" s="71"/>
      <c r="E918" s="78"/>
      <c r="F918" s="71"/>
      <c r="G918" s="78" t="str">
        <f>IFERROR(__xludf.DUMMYFUNCTION("""COMPUTED_VALUE"""),"")</f>
        <v/>
      </c>
      <c r="H918" s="71"/>
      <c r="I918" s="80" t="str">
        <f>IFERROR(__xludf.DUMMYFUNCTION("""COMPUTED_VALUE"""),"")</f>
        <v/>
      </c>
      <c r="J918" s="71" t="str">
        <f>IFERROR(__xludf.DUMMYFUNCTION("""COMPUTED_VALUE"""),"")</f>
        <v/>
      </c>
      <c r="K918" s="71"/>
      <c r="L918" s="71" t="str">
        <f>IFERROR(__xludf.DUMMYFUNCTION("""COMPUTED_VALUE"""),"")</f>
        <v/>
      </c>
      <c r="M918" s="71"/>
      <c r="N918" s="109" t="str">
        <f>IFERROR(__xludf.DUMMYFUNCTION("""COMPUTED_VALUE"""),"")</f>
        <v/>
      </c>
      <c r="O918" s="71" t="str">
        <f>IFERROR(__xludf.DUMMYFUNCTION("""COMPUTED_VALUE"""),"")</f>
        <v/>
      </c>
      <c r="P918" s="71" t="str">
        <f>IFERROR(__xludf.DUMMYFUNCTION("""COMPUTED_VALUE"""),"")</f>
        <v/>
      </c>
      <c r="Q918" s="78" t="str">
        <f>IFERROR(__xludf.DUMMYFUNCTION("""COMPUTED_VALUE"""),"")</f>
        <v/>
      </c>
      <c r="R918" s="78" t="str">
        <f>IFERROR(__xludf.DUMMYFUNCTION("""COMPUTED_VALUE"""),"")</f>
        <v/>
      </c>
      <c r="S918" s="80" t="str">
        <f>IFERROR(__xludf.DUMMYFUNCTION("""COMPUTED_VALUE"""),"")</f>
        <v/>
      </c>
      <c r="T918" s="80" t="str">
        <f>IFERROR(__xludf.DUMMYFUNCTION("""COMPUTED_VALUE"""),"")</f>
        <v/>
      </c>
      <c r="U918" s="71" t="str">
        <f>IFERROR(__xludf.DUMMYFUNCTION("""COMPUTED_VALUE"""),"")</f>
        <v/>
      </c>
      <c r="V918" s="78" t="str">
        <f>IFERROR(__xludf.DUMMYFUNCTION("""COMPUTED_VALUE"""),"")</f>
        <v/>
      </c>
      <c r="W918" s="62" t="str">
        <f>IFERROR(__xludf.DUMMYFUNCTION("""COMPUTED_VALUE"""),"")</f>
        <v/>
      </c>
      <c r="X918" s="80" t="str">
        <f>IFERROR(__xludf.DUMMYFUNCTION("""COMPUTED_VALUE"""),"")</f>
        <v/>
      </c>
      <c r="Y918" s="109" t="str">
        <f>IFERROR(__xludf.DUMMYFUNCTION("""COMPUTED_VALUE"""),"")</f>
        <v/>
      </c>
      <c r="Z918" s="71"/>
      <c r="AA918" s="71"/>
      <c r="AB918" s="71"/>
    </row>
    <row r="919">
      <c r="A919" s="71"/>
      <c r="B919" s="71"/>
      <c r="C919" s="71" t="str">
        <f>IFERROR(__xludf.DUMMYFUNCTION("""COMPUTED_VALUE"""),"")</f>
        <v/>
      </c>
      <c r="D919" s="71"/>
      <c r="E919" s="78"/>
      <c r="F919" s="71"/>
      <c r="G919" s="78" t="str">
        <f>IFERROR(__xludf.DUMMYFUNCTION("""COMPUTED_VALUE"""),"")</f>
        <v/>
      </c>
      <c r="H919" s="71"/>
      <c r="I919" s="80" t="str">
        <f>IFERROR(__xludf.DUMMYFUNCTION("""COMPUTED_VALUE"""),"")</f>
        <v/>
      </c>
      <c r="J919" s="71" t="str">
        <f>IFERROR(__xludf.DUMMYFUNCTION("""COMPUTED_VALUE"""),"")</f>
        <v/>
      </c>
      <c r="K919" s="71"/>
      <c r="L919" s="71" t="str">
        <f>IFERROR(__xludf.DUMMYFUNCTION("""COMPUTED_VALUE"""),"")</f>
        <v/>
      </c>
      <c r="M919" s="71"/>
      <c r="N919" s="109" t="str">
        <f>IFERROR(__xludf.DUMMYFUNCTION("""COMPUTED_VALUE"""),"")</f>
        <v/>
      </c>
      <c r="O919" s="71" t="str">
        <f>IFERROR(__xludf.DUMMYFUNCTION("""COMPUTED_VALUE"""),"")</f>
        <v/>
      </c>
      <c r="P919" s="71" t="str">
        <f>IFERROR(__xludf.DUMMYFUNCTION("""COMPUTED_VALUE"""),"")</f>
        <v/>
      </c>
      <c r="Q919" s="78" t="str">
        <f>IFERROR(__xludf.DUMMYFUNCTION("""COMPUTED_VALUE"""),"")</f>
        <v/>
      </c>
      <c r="R919" s="78" t="str">
        <f>IFERROR(__xludf.DUMMYFUNCTION("""COMPUTED_VALUE"""),"")</f>
        <v/>
      </c>
      <c r="S919" s="80" t="str">
        <f>IFERROR(__xludf.DUMMYFUNCTION("""COMPUTED_VALUE"""),"")</f>
        <v/>
      </c>
      <c r="T919" s="80" t="str">
        <f>IFERROR(__xludf.DUMMYFUNCTION("""COMPUTED_VALUE"""),"")</f>
        <v/>
      </c>
      <c r="U919" s="71" t="str">
        <f>IFERROR(__xludf.DUMMYFUNCTION("""COMPUTED_VALUE"""),"")</f>
        <v/>
      </c>
      <c r="V919" s="78" t="str">
        <f>IFERROR(__xludf.DUMMYFUNCTION("""COMPUTED_VALUE"""),"")</f>
        <v/>
      </c>
      <c r="W919" s="62" t="str">
        <f>IFERROR(__xludf.DUMMYFUNCTION("""COMPUTED_VALUE"""),"")</f>
        <v/>
      </c>
      <c r="X919" s="80" t="str">
        <f>IFERROR(__xludf.DUMMYFUNCTION("""COMPUTED_VALUE"""),"")</f>
        <v/>
      </c>
      <c r="Y919" s="109" t="str">
        <f>IFERROR(__xludf.DUMMYFUNCTION("""COMPUTED_VALUE"""),"")</f>
        <v/>
      </c>
      <c r="Z919" s="71"/>
      <c r="AA919" s="71"/>
      <c r="AB919" s="71"/>
    </row>
    <row r="920">
      <c r="A920" s="71"/>
      <c r="B920" s="71"/>
      <c r="C920" s="71" t="str">
        <f>IFERROR(__xludf.DUMMYFUNCTION("""COMPUTED_VALUE"""),"")</f>
        <v/>
      </c>
      <c r="D920" s="71"/>
      <c r="E920" s="78"/>
      <c r="F920" s="71"/>
      <c r="G920" s="78" t="str">
        <f>IFERROR(__xludf.DUMMYFUNCTION("""COMPUTED_VALUE"""),"")</f>
        <v/>
      </c>
      <c r="H920" s="71"/>
      <c r="I920" s="80" t="str">
        <f>IFERROR(__xludf.DUMMYFUNCTION("""COMPUTED_VALUE"""),"")</f>
        <v/>
      </c>
      <c r="J920" s="71" t="str">
        <f>IFERROR(__xludf.DUMMYFUNCTION("""COMPUTED_VALUE"""),"")</f>
        <v/>
      </c>
      <c r="K920" s="71"/>
      <c r="L920" s="71" t="str">
        <f>IFERROR(__xludf.DUMMYFUNCTION("""COMPUTED_VALUE"""),"")</f>
        <v/>
      </c>
      <c r="M920" s="71"/>
      <c r="N920" s="109" t="str">
        <f>IFERROR(__xludf.DUMMYFUNCTION("""COMPUTED_VALUE"""),"")</f>
        <v/>
      </c>
      <c r="O920" s="71" t="str">
        <f>IFERROR(__xludf.DUMMYFUNCTION("""COMPUTED_VALUE"""),"")</f>
        <v/>
      </c>
      <c r="P920" s="71" t="str">
        <f>IFERROR(__xludf.DUMMYFUNCTION("""COMPUTED_VALUE"""),"")</f>
        <v/>
      </c>
      <c r="Q920" s="78" t="str">
        <f>IFERROR(__xludf.DUMMYFUNCTION("""COMPUTED_VALUE"""),"")</f>
        <v/>
      </c>
      <c r="R920" s="78" t="str">
        <f>IFERROR(__xludf.DUMMYFUNCTION("""COMPUTED_VALUE"""),"")</f>
        <v/>
      </c>
      <c r="S920" s="80" t="str">
        <f>IFERROR(__xludf.DUMMYFUNCTION("""COMPUTED_VALUE"""),"")</f>
        <v/>
      </c>
      <c r="T920" s="80" t="str">
        <f>IFERROR(__xludf.DUMMYFUNCTION("""COMPUTED_VALUE"""),"")</f>
        <v/>
      </c>
      <c r="U920" s="71" t="str">
        <f>IFERROR(__xludf.DUMMYFUNCTION("""COMPUTED_VALUE"""),"")</f>
        <v/>
      </c>
      <c r="V920" s="78" t="str">
        <f>IFERROR(__xludf.DUMMYFUNCTION("""COMPUTED_VALUE"""),"")</f>
        <v/>
      </c>
      <c r="W920" s="62" t="str">
        <f>IFERROR(__xludf.DUMMYFUNCTION("""COMPUTED_VALUE"""),"")</f>
        <v/>
      </c>
      <c r="X920" s="80" t="str">
        <f>IFERROR(__xludf.DUMMYFUNCTION("""COMPUTED_VALUE"""),"")</f>
        <v/>
      </c>
      <c r="Y920" s="109" t="str">
        <f>IFERROR(__xludf.DUMMYFUNCTION("""COMPUTED_VALUE"""),"")</f>
        <v/>
      </c>
      <c r="Z920" s="71"/>
      <c r="AA920" s="71"/>
      <c r="AB920" s="71"/>
    </row>
    <row r="921">
      <c r="A921" s="71"/>
      <c r="B921" s="71"/>
      <c r="C921" s="71" t="str">
        <f>IFERROR(__xludf.DUMMYFUNCTION("""COMPUTED_VALUE"""),"")</f>
        <v/>
      </c>
      <c r="D921" s="71"/>
      <c r="E921" s="78"/>
      <c r="F921" s="71"/>
      <c r="G921" s="78" t="str">
        <f>IFERROR(__xludf.DUMMYFUNCTION("""COMPUTED_VALUE"""),"")</f>
        <v/>
      </c>
      <c r="H921" s="71"/>
      <c r="I921" s="80" t="str">
        <f>IFERROR(__xludf.DUMMYFUNCTION("""COMPUTED_VALUE"""),"")</f>
        <v/>
      </c>
      <c r="J921" s="71" t="str">
        <f>IFERROR(__xludf.DUMMYFUNCTION("""COMPUTED_VALUE"""),"")</f>
        <v/>
      </c>
      <c r="K921" s="71"/>
      <c r="L921" s="71" t="str">
        <f>IFERROR(__xludf.DUMMYFUNCTION("""COMPUTED_VALUE"""),"")</f>
        <v/>
      </c>
      <c r="M921" s="71"/>
      <c r="N921" s="109" t="str">
        <f>IFERROR(__xludf.DUMMYFUNCTION("""COMPUTED_VALUE"""),"")</f>
        <v/>
      </c>
      <c r="O921" s="71" t="str">
        <f>IFERROR(__xludf.DUMMYFUNCTION("""COMPUTED_VALUE"""),"")</f>
        <v/>
      </c>
      <c r="P921" s="71" t="str">
        <f>IFERROR(__xludf.DUMMYFUNCTION("""COMPUTED_VALUE"""),"")</f>
        <v/>
      </c>
      <c r="Q921" s="78" t="str">
        <f>IFERROR(__xludf.DUMMYFUNCTION("""COMPUTED_VALUE"""),"")</f>
        <v/>
      </c>
      <c r="R921" s="78" t="str">
        <f>IFERROR(__xludf.DUMMYFUNCTION("""COMPUTED_VALUE"""),"")</f>
        <v/>
      </c>
      <c r="S921" s="80" t="str">
        <f>IFERROR(__xludf.DUMMYFUNCTION("""COMPUTED_VALUE"""),"")</f>
        <v/>
      </c>
      <c r="T921" s="80" t="str">
        <f>IFERROR(__xludf.DUMMYFUNCTION("""COMPUTED_VALUE"""),"")</f>
        <v/>
      </c>
      <c r="U921" s="71" t="str">
        <f>IFERROR(__xludf.DUMMYFUNCTION("""COMPUTED_VALUE"""),"")</f>
        <v/>
      </c>
      <c r="V921" s="78" t="str">
        <f>IFERROR(__xludf.DUMMYFUNCTION("""COMPUTED_VALUE"""),"")</f>
        <v/>
      </c>
      <c r="W921" s="62" t="str">
        <f>IFERROR(__xludf.DUMMYFUNCTION("""COMPUTED_VALUE"""),"")</f>
        <v/>
      </c>
      <c r="X921" s="80" t="str">
        <f>IFERROR(__xludf.DUMMYFUNCTION("""COMPUTED_VALUE"""),"")</f>
        <v/>
      </c>
      <c r="Y921" s="109" t="str">
        <f>IFERROR(__xludf.DUMMYFUNCTION("""COMPUTED_VALUE"""),"")</f>
        <v/>
      </c>
      <c r="Z921" s="71"/>
      <c r="AA921" s="71"/>
      <c r="AB921" s="71"/>
    </row>
    <row r="922">
      <c r="A922" s="71"/>
      <c r="B922" s="71"/>
      <c r="C922" s="71" t="str">
        <f>IFERROR(__xludf.DUMMYFUNCTION("""COMPUTED_VALUE"""),"")</f>
        <v/>
      </c>
      <c r="D922" s="71"/>
      <c r="E922" s="78"/>
      <c r="F922" s="71"/>
      <c r="G922" s="78" t="str">
        <f>IFERROR(__xludf.DUMMYFUNCTION("""COMPUTED_VALUE"""),"")</f>
        <v/>
      </c>
      <c r="H922" s="71"/>
      <c r="I922" s="80" t="str">
        <f>IFERROR(__xludf.DUMMYFUNCTION("""COMPUTED_VALUE"""),"")</f>
        <v/>
      </c>
      <c r="J922" s="71" t="str">
        <f>IFERROR(__xludf.DUMMYFUNCTION("""COMPUTED_VALUE"""),"")</f>
        <v/>
      </c>
      <c r="K922" s="71"/>
      <c r="L922" s="71" t="str">
        <f>IFERROR(__xludf.DUMMYFUNCTION("""COMPUTED_VALUE"""),"")</f>
        <v/>
      </c>
      <c r="M922" s="71"/>
      <c r="N922" s="109" t="str">
        <f>IFERROR(__xludf.DUMMYFUNCTION("""COMPUTED_VALUE"""),"")</f>
        <v/>
      </c>
      <c r="O922" s="71" t="str">
        <f>IFERROR(__xludf.DUMMYFUNCTION("""COMPUTED_VALUE"""),"")</f>
        <v/>
      </c>
      <c r="P922" s="71" t="str">
        <f>IFERROR(__xludf.DUMMYFUNCTION("""COMPUTED_VALUE"""),"")</f>
        <v/>
      </c>
      <c r="Q922" s="78" t="str">
        <f>IFERROR(__xludf.DUMMYFUNCTION("""COMPUTED_VALUE"""),"")</f>
        <v/>
      </c>
      <c r="R922" s="78" t="str">
        <f>IFERROR(__xludf.DUMMYFUNCTION("""COMPUTED_VALUE"""),"")</f>
        <v/>
      </c>
      <c r="S922" s="80" t="str">
        <f>IFERROR(__xludf.DUMMYFUNCTION("""COMPUTED_VALUE"""),"")</f>
        <v/>
      </c>
      <c r="T922" s="80" t="str">
        <f>IFERROR(__xludf.DUMMYFUNCTION("""COMPUTED_VALUE"""),"")</f>
        <v/>
      </c>
      <c r="U922" s="71" t="str">
        <f>IFERROR(__xludf.DUMMYFUNCTION("""COMPUTED_VALUE"""),"")</f>
        <v/>
      </c>
      <c r="V922" s="78" t="str">
        <f>IFERROR(__xludf.DUMMYFUNCTION("""COMPUTED_VALUE"""),"")</f>
        <v/>
      </c>
      <c r="W922" s="62" t="str">
        <f>IFERROR(__xludf.DUMMYFUNCTION("""COMPUTED_VALUE"""),"")</f>
        <v/>
      </c>
      <c r="X922" s="80" t="str">
        <f>IFERROR(__xludf.DUMMYFUNCTION("""COMPUTED_VALUE"""),"")</f>
        <v/>
      </c>
      <c r="Y922" s="109" t="str">
        <f>IFERROR(__xludf.DUMMYFUNCTION("""COMPUTED_VALUE"""),"")</f>
        <v/>
      </c>
      <c r="Z922" s="71"/>
      <c r="AA922" s="71"/>
      <c r="AB922" s="71"/>
    </row>
    <row r="923">
      <c r="A923" s="71"/>
      <c r="B923" s="71"/>
      <c r="C923" s="71" t="str">
        <f>IFERROR(__xludf.DUMMYFUNCTION("""COMPUTED_VALUE"""),"")</f>
        <v/>
      </c>
      <c r="D923" s="71"/>
      <c r="E923" s="78"/>
      <c r="F923" s="71"/>
      <c r="G923" s="78" t="str">
        <f>IFERROR(__xludf.DUMMYFUNCTION("""COMPUTED_VALUE"""),"")</f>
        <v/>
      </c>
      <c r="H923" s="71"/>
      <c r="I923" s="80" t="str">
        <f>IFERROR(__xludf.DUMMYFUNCTION("""COMPUTED_VALUE"""),"")</f>
        <v/>
      </c>
      <c r="J923" s="71" t="str">
        <f>IFERROR(__xludf.DUMMYFUNCTION("""COMPUTED_VALUE"""),"")</f>
        <v/>
      </c>
      <c r="K923" s="71"/>
      <c r="L923" s="71" t="str">
        <f>IFERROR(__xludf.DUMMYFUNCTION("""COMPUTED_VALUE"""),"")</f>
        <v/>
      </c>
      <c r="M923" s="71"/>
      <c r="N923" s="109" t="str">
        <f>IFERROR(__xludf.DUMMYFUNCTION("""COMPUTED_VALUE"""),"")</f>
        <v/>
      </c>
      <c r="O923" s="71" t="str">
        <f>IFERROR(__xludf.DUMMYFUNCTION("""COMPUTED_VALUE"""),"")</f>
        <v/>
      </c>
      <c r="P923" s="71" t="str">
        <f>IFERROR(__xludf.DUMMYFUNCTION("""COMPUTED_VALUE"""),"")</f>
        <v/>
      </c>
      <c r="Q923" s="78" t="str">
        <f>IFERROR(__xludf.DUMMYFUNCTION("""COMPUTED_VALUE"""),"")</f>
        <v/>
      </c>
      <c r="R923" s="78" t="str">
        <f>IFERROR(__xludf.DUMMYFUNCTION("""COMPUTED_VALUE"""),"")</f>
        <v/>
      </c>
      <c r="S923" s="80" t="str">
        <f>IFERROR(__xludf.DUMMYFUNCTION("""COMPUTED_VALUE"""),"")</f>
        <v/>
      </c>
      <c r="T923" s="80" t="str">
        <f>IFERROR(__xludf.DUMMYFUNCTION("""COMPUTED_VALUE"""),"")</f>
        <v/>
      </c>
      <c r="U923" s="71" t="str">
        <f>IFERROR(__xludf.DUMMYFUNCTION("""COMPUTED_VALUE"""),"")</f>
        <v/>
      </c>
      <c r="V923" s="78" t="str">
        <f>IFERROR(__xludf.DUMMYFUNCTION("""COMPUTED_VALUE"""),"")</f>
        <v/>
      </c>
      <c r="W923" s="62" t="str">
        <f>IFERROR(__xludf.DUMMYFUNCTION("""COMPUTED_VALUE"""),"")</f>
        <v/>
      </c>
      <c r="X923" s="80" t="str">
        <f>IFERROR(__xludf.DUMMYFUNCTION("""COMPUTED_VALUE"""),"")</f>
        <v/>
      </c>
      <c r="Y923" s="109" t="str">
        <f>IFERROR(__xludf.DUMMYFUNCTION("""COMPUTED_VALUE"""),"")</f>
        <v/>
      </c>
      <c r="Z923" s="71"/>
      <c r="AA923" s="71"/>
      <c r="AB923" s="71"/>
    </row>
    <row r="924">
      <c r="A924" s="71"/>
      <c r="B924" s="71"/>
      <c r="C924" s="71" t="str">
        <f>IFERROR(__xludf.DUMMYFUNCTION("""COMPUTED_VALUE"""),"")</f>
        <v/>
      </c>
      <c r="D924" s="71"/>
      <c r="E924" s="78"/>
      <c r="F924" s="71"/>
      <c r="G924" s="78" t="str">
        <f>IFERROR(__xludf.DUMMYFUNCTION("""COMPUTED_VALUE"""),"")</f>
        <v/>
      </c>
      <c r="H924" s="71"/>
      <c r="I924" s="80" t="str">
        <f>IFERROR(__xludf.DUMMYFUNCTION("""COMPUTED_VALUE"""),"")</f>
        <v/>
      </c>
      <c r="J924" s="71" t="str">
        <f>IFERROR(__xludf.DUMMYFUNCTION("""COMPUTED_VALUE"""),"")</f>
        <v/>
      </c>
      <c r="K924" s="71"/>
      <c r="L924" s="71" t="str">
        <f>IFERROR(__xludf.DUMMYFUNCTION("""COMPUTED_VALUE"""),"")</f>
        <v/>
      </c>
      <c r="M924" s="71"/>
      <c r="N924" s="109" t="str">
        <f>IFERROR(__xludf.DUMMYFUNCTION("""COMPUTED_VALUE"""),"")</f>
        <v/>
      </c>
      <c r="O924" s="71" t="str">
        <f>IFERROR(__xludf.DUMMYFUNCTION("""COMPUTED_VALUE"""),"")</f>
        <v/>
      </c>
      <c r="P924" s="71" t="str">
        <f>IFERROR(__xludf.DUMMYFUNCTION("""COMPUTED_VALUE"""),"")</f>
        <v/>
      </c>
      <c r="Q924" s="78" t="str">
        <f>IFERROR(__xludf.DUMMYFUNCTION("""COMPUTED_VALUE"""),"")</f>
        <v/>
      </c>
      <c r="R924" s="78" t="str">
        <f>IFERROR(__xludf.DUMMYFUNCTION("""COMPUTED_VALUE"""),"")</f>
        <v/>
      </c>
      <c r="S924" s="80" t="str">
        <f>IFERROR(__xludf.DUMMYFUNCTION("""COMPUTED_VALUE"""),"")</f>
        <v/>
      </c>
      <c r="T924" s="80" t="str">
        <f>IFERROR(__xludf.DUMMYFUNCTION("""COMPUTED_VALUE"""),"")</f>
        <v/>
      </c>
      <c r="U924" s="71" t="str">
        <f>IFERROR(__xludf.DUMMYFUNCTION("""COMPUTED_VALUE"""),"")</f>
        <v/>
      </c>
      <c r="V924" s="78" t="str">
        <f>IFERROR(__xludf.DUMMYFUNCTION("""COMPUTED_VALUE"""),"")</f>
        <v/>
      </c>
      <c r="W924" s="62" t="str">
        <f>IFERROR(__xludf.DUMMYFUNCTION("""COMPUTED_VALUE"""),"")</f>
        <v/>
      </c>
      <c r="X924" s="80" t="str">
        <f>IFERROR(__xludf.DUMMYFUNCTION("""COMPUTED_VALUE"""),"")</f>
        <v/>
      </c>
      <c r="Y924" s="109" t="str">
        <f>IFERROR(__xludf.DUMMYFUNCTION("""COMPUTED_VALUE"""),"")</f>
        <v/>
      </c>
      <c r="Z924" s="71"/>
      <c r="AA924" s="71"/>
      <c r="AB924" s="71"/>
    </row>
    <row r="925">
      <c r="A925" s="71"/>
      <c r="B925" s="71"/>
      <c r="C925" s="71" t="str">
        <f>IFERROR(__xludf.DUMMYFUNCTION("""COMPUTED_VALUE"""),"")</f>
        <v/>
      </c>
      <c r="D925" s="71"/>
      <c r="E925" s="78"/>
      <c r="F925" s="71"/>
      <c r="G925" s="78" t="str">
        <f>IFERROR(__xludf.DUMMYFUNCTION("""COMPUTED_VALUE"""),"")</f>
        <v/>
      </c>
      <c r="H925" s="71"/>
      <c r="I925" s="80" t="str">
        <f>IFERROR(__xludf.DUMMYFUNCTION("""COMPUTED_VALUE"""),"")</f>
        <v/>
      </c>
      <c r="J925" s="71" t="str">
        <f>IFERROR(__xludf.DUMMYFUNCTION("""COMPUTED_VALUE"""),"")</f>
        <v/>
      </c>
      <c r="K925" s="71"/>
      <c r="L925" s="71" t="str">
        <f>IFERROR(__xludf.DUMMYFUNCTION("""COMPUTED_VALUE"""),"")</f>
        <v/>
      </c>
      <c r="M925" s="71"/>
      <c r="N925" s="109" t="str">
        <f>IFERROR(__xludf.DUMMYFUNCTION("""COMPUTED_VALUE"""),"")</f>
        <v/>
      </c>
      <c r="O925" s="71" t="str">
        <f>IFERROR(__xludf.DUMMYFUNCTION("""COMPUTED_VALUE"""),"")</f>
        <v/>
      </c>
      <c r="P925" s="71" t="str">
        <f>IFERROR(__xludf.DUMMYFUNCTION("""COMPUTED_VALUE"""),"")</f>
        <v/>
      </c>
      <c r="Q925" s="78" t="str">
        <f>IFERROR(__xludf.DUMMYFUNCTION("""COMPUTED_VALUE"""),"")</f>
        <v/>
      </c>
      <c r="R925" s="78" t="str">
        <f>IFERROR(__xludf.DUMMYFUNCTION("""COMPUTED_VALUE"""),"")</f>
        <v/>
      </c>
      <c r="S925" s="80" t="str">
        <f>IFERROR(__xludf.DUMMYFUNCTION("""COMPUTED_VALUE"""),"")</f>
        <v/>
      </c>
      <c r="T925" s="80" t="str">
        <f>IFERROR(__xludf.DUMMYFUNCTION("""COMPUTED_VALUE"""),"")</f>
        <v/>
      </c>
      <c r="U925" s="71" t="str">
        <f>IFERROR(__xludf.DUMMYFUNCTION("""COMPUTED_VALUE"""),"")</f>
        <v/>
      </c>
      <c r="V925" s="78" t="str">
        <f>IFERROR(__xludf.DUMMYFUNCTION("""COMPUTED_VALUE"""),"")</f>
        <v/>
      </c>
      <c r="W925" s="62" t="str">
        <f>IFERROR(__xludf.DUMMYFUNCTION("""COMPUTED_VALUE"""),"")</f>
        <v/>
      </c>
      <c r="X925" s="80" t="str">
        <f>IFERROR(__xludf.DUMMYFUNCTION("""COMPUTED_VALUE"""),"")</f>
        <v/>
      </c>
      <c r="Y925" s="109" t="str">
        <f>IFERROR(__xludf.DUMMYFUNCTION("""COMPUTED_VALUE"""),"")</f>
        <v/>
      </c>
      <c r="Z925" s="71"/>
      <c r="AA925" s="71"/>
      <c r="AB925" s="71"/>
    </row>
    <row r="926">
      <c r="A926" s="71"/>
      <c r="B926" s="71"/>
      <c r="C926" s="71" t="str">
        <f>IFERROR(__xludf.DUMMYFUNCTION("""COMPUTED_VALUE"""),"")</f>
        <v/>
      </c>
      <c r="D926" s="71"/>
      <c r="E926" s="78"/>
      <c r="F926" s="71"/>
      <c r="G926" s="78" t="str">
        <f>IFERROR(__xludf.DUMMYFUNCTION("""COMPUTED_VALUE"""),"")</f>
        <v/>
      </c>
      <c r="H926" s="71"/>
      <c r="I926" s="80" t="str">
        <f>IFERROR(__xludf.DUMMYFUNCTION("""COMPUTED_VALUE"""),"")</f>
        <v/>
      </c>
      <c r="J926" s="71" t="str">
        <f>IFERROR(__xludf.DUMMYFUNCTION("""COMPUTED_VALUE"""),"")</f>
        <v/>
      </c>
      <c r="K926" s="71"/>
      <c r="L926" s="71" t="str">
        <f>IFERROR(__xludf.DUMMYFUNCTION("""COMPUTED_VALUE"""),"")</f>
        <v/>
      </c>
      <c r="M926" s="71"/>
      <c r="N926" s="109" t="str">
        <f>IFERROR(__xludf.DUMMYFUNCTION("""COMPUTED_VALUE"""),"")</f>
        <v/>
      </c>
      <c r="O926" s="71" t="str">
        <f>IFERROR(__xludf.DUMMYFUNCTION("""COMPUTED_VALUE"""),"")</f>
        <v/>
      </c>
      <c r="P926" s="71" t="str">
        <f>IFERROR(__xludf.DUMMYFUNCTION("""COMPUTED_VALUE"""),"")</f>
        <v/>
      </c>
      <c r="Q926" s="78" t="str">
        <f>IFERROR(__xludf.DUMMYFUNCTION("""COMPUTED_VALUE"""),"")</f>
        <v/>
      </c>
      <c r="R926" s="78" t="str">
        <f>IFERROR(__xludf.DUMMYFUNCTION("""COMPUTED_VALUE"""),"")</f>
        <v/>
      </c>
      <c r="S926" s="80" t="str">
        <f>IFERROR(__xludf.DUMMYFUNCTION("""COMPUTED_VALUE"""),"")</f>
        <v/>
      </c>
      <c r="T926" s="80" t="str">
        <f>IFERROR(__xludf.DUMMYFUNCTION("""COMPUTED_VALUE"""),"")</f>
        <v/>
      </c>
      <c r="U926" s="71" t="str">
        <f>IFERROR(__xludf.DUMMYFUNCTION("""COMPUTED_VALUE"""),"")</f>
        <v/>
      </c>
      <c r="V926" s="78" t="str">
        <f>IFERROR(__xludf.DUMMYFUNCTION("""COMPUTED_VALUE"""),"")</f>
        <v/>
      </c>
      <c r="W926" s="62" t="str">
        <f>IFERROR(__xludf.DUMMYFUNCTION("""COMPUTED_VALUE"""),"")</f>
        <v/>
      </c>
      <c r="X926" s="80" t="str">
        <f>IFERROR(__xludf.DUMMYFUNCTION("""COMPUTED_VALUE"""),"")</f>
        <v/>
      </c>
      <c r="Y926" s="109" t="str">
        <f>IFERROR(__xludf.DUMMYFUNCTION("""COMPUTED_VALUE"""),"")</f>
        <v/>
      </c>
      <c r="Z926" s="71"/>
      <c r="AA926" s="71"/>
      <c r="AB926" s="71"/>
    </row>
    <row r="927">
      <c r="A927" s="71"/>
      <c r="B927" s="71"/>
      <c r="C927" s="71" t="str">
        <f>IFERROR(__xludf.DUMMYFUNCTION("""COMPUTED_VALUE"""),"")</f>
        <v/>
      </c>
      <c r="D927" s="71"/>
      <c r="E927" s="78"/>
      <c r="F927" s="71"/>
      <c r="G927" s="78" t="str">
        <f>IFERROR(__xludf.DUMMYFUNCTION("""COMPUTED_VALUE"""),"")</f>
        <v/>
      </c>
      <c r="H927" s="71"/>
      <c r="I927" s="80" t="str">
        <f>IFERROR(__xludf.DUMMYFUNCTION("""COMPUTED_VALUE"""),"")</f>
        <v/>
      </c>
      <c r="J927" s="71" t="str">
        <f>IFERROR(__xludf.DUMMYFUNCTION("""COMPUTED_VALUE"""),"")</f>
        <v/>
      </c>
      <c r="K927" s="71"/>
      <c r="L927" s="71" t="str">
        <f>IFERROR(__xludf.DUMMYFUNCTION("""COMPUTED_VALUE"""),"")</f>
        <v/>
      </c>
      <c r="M927" s="71"/>
      <c r="N927" s="109" t="str">
        <f>IFERROR(__xludf.DUMMYFUNCTION("""COMPUTED_VALUE"""),"")</f>
        <v/>
      </c>
      <c r="O927" s="71" t="str">
        <f>IFERROR(__xludf.DUMMYFUNCTION("""COMPUTED_VALUE"""),"")</f>
        <v/>
      </c>
      <c r="P927" s="71" t="str">
        <f>IFERROR(__xludf.DUMMYFUNCTION("""COMPUTED_VALUE"""),"")</f>
        <v/>
      </c>
      <c r="Q927" s="78" t="str">
        <f>IFERROR(__xludf.DUMMYFUNCTION("""COMPUTED_VALUE"""),"")</f>
        <v/>
      </c>
      <c r="R927" s="78" t="str">
        <f>IFERROR(__xludf.DUMMYFUNCTION("""COMPUTED_VALUE"""),"")</f>
        <v/>
      </c>
      <c r="S927" s="80" t="str">
        <f>IFERROR(__xludf.DUMMYFUNCTION("""COMPUTED_VALUE"""),"")</f>
        <v/>
      </c>
      <c r="T927" s="80" t="str">
        <f>IFERROR(__xludf.DUMMYFUNCTION("""COMPUTED_VALUE"""),"")</f>
        <v/>
      </c>
      <c r="U927" s="71" t="str">
        <f>IFERROR(__xludf.DUMMYFUNCTION("""COMPUTED_VALUE"""),"")</f>
        <v/>
      </c>
      <c r="V927" s="78" t="str">
        <f>IFERROR(__xludf.DUMMYFUNCTION("""COMPUTED_VALUE"""),"")</f>
        <v/>
      </c>
      <c r="W927" s="62" t="str">
        <f>IFERROR(__xludf.DUMMYFUNCTION("""COMPUTED_VALUE"""),"")</f>
        <v/>
      </c>
      <c r="X927" s="80" t="str">
        <f>IFERROR(__xludf.DUMMYFUNCTION("""COMPUTED_VALUE"""),"")</f>
        <v/>
      </c>
      <c r="Y927" s="109" t="str">
        <f>IFERROR(__xludf.DUMMYFUNCTION("""COMPUTED_VALUE"""),"")</f>
        <v/>
      </c>
      <c r="Z927" s="71"/>
      <c r="AA927" s="71"/>
      <c r="AB927" s="71"/>
    </row>
    <row r="928">
      <c r="A928" s="71"/>
      <c r="B928" s="71"/>
      <c r="C928" s="71" t="str">
        <f>IFERROR(__xludf.DUMMYFUNCTION("""COMPUTED_VALUE"""),"")</f>
        <v/>
      </c>
      <c r="D928" s="71"/>
      <c r="E928" s="78"/>
      <c r="F928" s="71"/>
      <c r="G928" s="78" t="str">
        <f>IFERROR(__xludf.DUMMYFUNCTION("""COMPUTED_VALUE"""),"")</f>
        <v/>
      </c>
      <c r="H928" s="71"/>
      <c r="I928" s="80" t="str">
        <f>IFERROR(__xludf.DUMMYFUNCTION("""COMPUTED_VALUE"""),"")</f>
        <v/>
      </c>
      <c r="J928" s="71" t="str">
        <f>IFERROR(__xludf.DUMMYFUNCTION("""COMPUTED_VALUE"""),"")</f>
        <v/>
      </c>
      <c r="K928" s="71"/>
      <c r="L928" s="71" t="str">
        <f>IFERROR(__xludf.DUMMYFUNCTION("""COMPUTED_VALUE"""),"")</f>
        <v/>
      </c>
      <c r="M928" s="71"/>
      <c r="N928" s="109" t="str">
        <f>IFERROR(__xludf.DUMMYFUNCTION("""COMPUTED_VALUE"""),"")</f>
        <v/>
      </c>
      <c r="O928" s="71" t="str">
        <f>IFERROR(__xludf.DUMMYFUNCTION("""COMPUTED_VALUE"""),"")</f>
        <v/>
      </c>
      <c r="P928" s="71" t="str">
        <f>IFERROR(__xludf.DUMMYFUNCTION("""COMPUTED_VALUE"""),"")</f>
        <v/>
      </c>
      <c r="Q928" s="78" t="str">
        <f>IFERROR(__xludf.DUMMYFUNCTION("""COMPUTED_VALUE"""),"")</f>
        <v/>
      </c>
      <c r="R928" s="78" t="str">
        <f>IFERROR(__xludf.DUMMYFUNCTION("""COMPUTED_VALUE"""),"")</f>
        <v/>
      </c>
      <c r="S928" s="80" t="str">
        <f>IFERROR(__xludf.DUMMYFUNCTION("""COMPUTED_VALUE"""),"")</f>
        <v/>
      </c>
      <c r="T928" s="80" t="str">
        <f>IFERROR(__xludf.DUMMYFUNCTION("""COMPUTED_VALUE"""),"")</f>
        <v/>
      </c>
      <c r="U928" s="71" t="str">
        <f>IFERROR(__xludf.DUMMYFUNCTION("""COMPUTED_VALUE"""),"")</f>
        <v/>
      </c>
      <c r="V928" s="78" t="str">
        <f>IFERROR(__xludf.DUMMYFUNCTION("""COMPUTED_VALUE"""),"")</f>
        <v/>
      </c>
      <c r="W928" s="62" t="str">
        <f>IFERROR(__xludf.DUMMYFUNCTION("""COMPUTED_VALUE"""),"")</f>
        <v/>
      </c>
      <c r="X928" s="80" t="str">
        <f>IFERROR(__xludf.DUMMYFUNCTION("""COMPUTED_VALUE"""),"")</f>
        <v/>
      </c>
      <c r="Y928" s="109" t="str">
        <f>IFERROR(__xludf.DUMMYFUNCTION("""COMPUTED_VALUE"""),"")</f>
        <v/>
      </c>
      <c r="Z928" s="71"/>
      <c r="AA928" s="71"/>
      <c r="AB928" s="71"/>
    </row>
    <row r="929">
      <c r="A929" s="71"/>
      <c r="B929" s="71"/>
      <c r="C929" s="71" t="str">
        <f>IFERROR(__xludf.DUMMYFUNCTION("""COMPUTED_VALUE"""),"")</f>
        <v/>
      </c>
      <c r="D929" s="71"/>
      <c r="E929" s="78"/>
      <c r="F929" s="71"/>
      <c r="G929" s="78" t="str">
        <f>IFERROR(__xludf.DUMMYFUNCTION("""COMPUTED_VALUE"""),"")</f>
        <v/>
      </c>
      <c r="H929" s="71"/>
      <c r="I929" s="80" t="str">
        <f>IFERROR(__xludf.DUMMYFUNCTION("""COMPUTED_VALUE"""),"")</f>
        <v/>
      </c>
      <c r="J929" s="71" t="str">
        <f>IFERROR(__xludf.DUMMYFUNCTION("""COMPUTED_VALUE"""),"")</f>
        <v/>
      </c>
      <c r="K929" s="71"/>
      <c r="L929" s="71" t="str">
        <f>IFERROR(__xludf.DUMMYFUNCTION("""COMPUTED_VALUE"""),"")</f>
        <v/>
      </c>
      <c r="M929" s="71"/>
      <c r="N929" s="109" t="str">
        <f>IFERROR(__xludf.DUMMYFUNCTION("""COMPUTED_VALUE"""),"")</f>
        <v/>
      </c>
      <c r="O929" s="71" t="str">
        <f>IFERROR(__xludf.DUMMYFUNCTION("""COMPUTED_VALUE"""),"")</f>
        <v/>
      </c>
      <c r="P929" s="71" t="str">
        <f>IFERROR(__xludf.DUMMYFUNCTION("""COMPUTED_VALUE"""),"")</f>
        <v/>
      </c>
      <c r="Q929" s="78" t="str">
        <f>IFERROR(__xludf.DUMMYFUNCTION("""COMPUTED_VALUE"""),"")</f>
        <v/>
      </c>
      <c r="R929" s="78" t="str">
        <f>IFERROR(__xludf.DUMMYFUNCTION("""COMPUTED_VALUE"""),"")</f>
        <v/>
      </c>
      <c r="S929" s="80" t="str">
        <f>IFERROR(__xludf.DUMMYFUNCTION("""COMPUTED_VALUE"""),"")</f>
        <v/>
      </c>
      <c r="T929" s="80" t="str">
        <f>IFERROR(__xludf.DUMMYFUNCTION("""COMPUTED_VALUE"""),"")</f>
        <v/>
      </c>
      <c r="U929" s="71" t="str">
        <f>IFERROR(__xludf.DUMMYFUNCTION("""COMPUTED_VALUE"""),"")</f>
        <v/>
      </c>
      <c r="V929" s="78" t="str">
        <f>IFERROR(__xludf.DUMMYFUNCTION("""COMPUTED_VALUE"""),"")</f>
        <v/>
      </c>
      <c r="W929" s="62" t="str">
        <f>IFERROR(__xludf.DUMMYFUNCTION("""COMPUTED_VALUE"""),"")</f>
        <v/>
      </c>
      <c r="X929" s="80" t="str">
        <f>IFERROR(__xludf.DUMMYFUNCTION("""COMPUTED_VALUE"""),"")</f>
        <v/>
      </c>
      <c r="Y929" s="109" t="str">
        <f>IFERROR(__xludf.DUMMYFUNCTION("""COMPUTED_VALUE"""),"")</f>
        <v/>
      </c>
      <c r="Z929" s="71"/>
      <c r="AA929" s="71"/>
      <c r="AB929" s="71"/>
    </row>
    <row r="930">
      <c r="A930" s="71"/>
      <c r="B930" s="71"/>
      <c r="C930" s="71" t="str">
        <f>IFERROR(__xludf.DUMMYFUNCTION("""COMPUTED_VALUE"""),"")</f>
        <v/>
      </c>
      <c r="D930" s="71"/>
      <c r="E930" s="78"/>
      <c r="F930" s="71"/>
      <c r="G930" s="78" t="str">
        <f>IFERROR(__xludf.DUMMYFUNCTION("""COMPUTED_VALUE"""),"")</f>
        <v/>
      </c>
      <c r="H930" s="71"/>
      <c r="I930" s="80" t="str">
        <f>IFERROR(__xludf.DUMMYFUNCTION("""COMPUTED_VALUE"""),"")</f>
        <v/>
      </c>
      <c r="J930" s="71" t="str">
        <f>IFERROR(__xludf.DUMMYFUNCTION("""COMPUTED_VALUE"""),"")</f>
        <v/>
      </c>
      <c r="K930" s="71"/>
      <c r="L930" s="71" t="str">
        <f>IFERROR(__xludf.DUMMYFUNCTION("""COMPUTED_VALUE"""),"")</f>
        <v/>
      </c>
      <c r="M930" s="71"/>
      <c r="N930" s="109" t="str">
        <f>IFERROR(__xludf.DUMMYFUNCTION("""COMPUTED_VALUE"""),"")</f>
        <v/>
      </c>
      <c r="O930" s="71" t="str">
        <f>IFERROR(__xludf.DUMMYFUNCTION("""COMPUTED_VALUE"""),"")</f>
        <v/>
      </c>
      <c r="P930" s="71" t="str">
        <f>IFERROR(__xludf.DUMMYFUNCTION("""COMPUTED_VALUE"""),"")</f>
        <v/>
      </c>
      <c r="Q930" s="78" t="str">
        <f>IFERROR(__xludf.DUMMYFUNCTION("""COMPUTED_VALUE"""),"")</f>
        <v/>
      </c>
      <c r="R930" s="78" t="str">
        <f>IFERROR(__xludf.DUMMYFUNCTION("""COMPUTED_VALUE"""),"")</f>
        <v/>
      </c>
      <c r="S930" s="80" t="str">
        <f>IFERROR(__xludf.DUMMYFUNCTION("""COMPUTED_VALUE"""),"")</f>
        <v/>
      </c>
      <c r="T930" s="80" t="str">
        <f>IFERROR(__xludf.DUMMYFUNCTION("""COMPUTED_VALUE"""),"")</f>
        <v/>
      </c>
      <c r="U930" s="71" t="str">
        <f>IFERROR(__xludf.DUMMYFUNCTION("""COMPUTED_VALUE"""),"")</f>
        <v/>
      </c>
      <c r="V930" s="78" t="str">
        <f>IFERROR(__xludf.DUMMYFUNCTION("""COMPUTED_VALUE"""),"")</f>
        <v/>
      </c>
      <c r="W930" s="62" t="str">
        <f>IFERROR(__xludf.DUMMYFUNCTION("""COMPUTED_VALUE"""),"")</f>
        <v/>
      </c>
      <c r="X930" s="80" t="str">
        <f>IFERROR(__xludf.DUMMYFUNCTION("""COMPUTED_VALUE"""),"")</f>
        <v/>
      </c>
      <c r="Y930" s="109" t="str">
        <f>IFERROR(__xludf.DUMMYFUNCTION("""COMPUTED_VALUE"""),"")</f>
        <v/>
      </c>
      <c r="Z930" s="71"/>
      <c r="AA930" s="71"/>
      <c r="AB930" s="71"/>
    </row>
    <row r="931">
      <c r="A931" s="71"/>
      <c r="B931" s="71"/>
      <c r="C931" s="71" t="str">
        <f>IFERROR(__xludf.DUMMYFUNCTION("""COMPUTED_VALUE"""),"")</f>
        <v/>
      </c>
      <c r="D931" s="71"/>
      <c r="E931" s="78"/>
      <c r="F931" s="71"/>
      <c r="G931" s="78" t="str">
        <f>IFERROR(__xludf.DUMMYFUNCTION("""COMPUTED_VALUE"""),"")</f>
        <v/>
      </c>
      <c r="H931" s="71"/>
      <c r="I931" s="80" t="str">
        <f>IFERROR(__xludf.DUMMYFUNCTION("""COMPUTED_VALUE"""),"")</f>
        <v/>
      </c>
      <c r="J931" s="71" t="str">
        <f>IFERROR(__xludf.DUMMYFUNCTION("""COMPUTED_VALUE"""),"")</f>
        <v/>
      </c>
      <c r="K931" s="71"/>
      <c r="L931" s="71" t="str">
        <f>IFERROR(__xludf.DUMMYFUNCTION("""COMPUTED_VALUE"""),"")</f>
        <v/>
      </c>
      <c r="M931" s="71"/>
      <c r="N931" s="109" t="str">
        <f>IFERROR(__xludf.DUMMYFUNCTION("""COMPUTED_VALUE"""),"")</f>
        <v/>
      </c>
      <c r="O931" s="71" t="str">
        <f>IFERROR(__xludf.DUMMYFUNCTION("""COMPUTED_VALUE"""),"")</f>
        <v/>
      </c>
      <c r="P931" s="71" t="str">
        <f>IFERROR(__xludf.DUMMYFUNCTION("""COMPUTED_VALUE"""),"")</f>
        <v/>
      </c>
      <c r="Q931" s="78" t="str">
        <f>IFERROR(__xludf.DUMMYFUNCTION("""COMPUTED_VALUE"""),"")</f>
        <v/>
      </c>
      <c r="R931" s="78" t="str">
        <f>IFERROR(__xludf.DUMMYFUNCTION("""COMPUTED_VALUE"""),"")</f>
        <v/>
      </c>
      <c r="S931" s="80" t="str">
        <f>IFERROR(__xludf.DUMMYFUNCTION("""COMPUTED_VALUE"""),"")</f>
        <v/>
      </c>
      <c r="T931" s="80" t="str">
        <f>IFERROR(__xludf.DUMMYFUNCTION("""COMPUTED_VALUE"""),"")</f>
        <v/>
      </c>
      <c r="U931" s="71" t="str">
        <f>IFERROR(__xludf.DUMMYFUNCTION("""COMPUTED_VALUE"""),"")</f>
        <v/>
      </c>
      <c r="V931" s="78" t="str">
        <f>IFERROR(__xludf.DUMMYFUNCTION("""COMPUTED_VALUE"""),"")</f>
        <v/>
      </c>
      <c r="W931" s="62" t="str">
        <f>IFERROR(__xludf.DUMMYFUNCTION("""COMPUTED_VALUE"""),"")</f>
        <v/>
      </c>
      <c r="X931" s="80" t="str">
        <f>IFERROR(__xludf.DUMMYFUNCTION("""COMPUTED_VALUE"""),"")</f>
        <v/>
      </c>
      <c r="Y931" s="109" t="str">
        <f>IFERROR(__xludf.DUMMYFUNCTION("""COMPUTED_VALUE"""),"")</f>
        <v/>
      </c>
      <c r="Z931" s="71"/>
      <c r="AA931" s="71"/>
      <c r="AB931" s="71"/>
    </row>
    <row r="932">
      <c r="A932" s="71"/>
      <c r="B932" s="71"/>
      <c r="C932" s="71" t="str">
        <f>IFERROR(__xludf.DUMMYFUNCTION("""COMPUTED_VALUE"""),"")</f>
        <v/>
      </c>
      <c r="D932" s="71"/>
      <c r="E932" s="78"/>
      <c r="F932" s="71"/>
      <c r="G932" s="78" t="str">
        <f>IFERROR(__xludf.DUMMYFUNCTION("""COMPUTED_VALUE"""),"")</f>
        <v/>
      </c>
      <c r="H932" s="71"/>
      <c r="I932" s="80" t="str">
        <f>IFERROR(__xludf.DUMMYFUNCTION("""COMPUTED_VALUE"""),"")</f>
        <v/>
      </c>
      <c r="J932" s="71" t="str">
        <f>IFERROR(__xludf.DUMMYFUNCTION("""COMPUTED_VALUE"""),"")</f>
        <v/>
      </c>
      <c r="K932" s="71"/>
      <c r="L932" s="71" t="str">
        <f>IFERROR(__xludf.DUMMYFUNCTION("""COMPUTED_VALUE"""),"")</f>
        <v/>
      </c>
      <c r="M932" s="71"/>
      <c r="N932" s="109" t="str">
        <f>IFERROR(__xludf.DUMMYFUNCTION("""COMPUTED_VALUE"""),"")</f>
        <v/>
      </c>
      <c r="O932" s="71" t="str">
        <f>IFERROR(__xludf.DUMMYFUNCTION("""COMPUTED_VALUE"""),"")</f>
        <v/>
      </c>
      <c r="P932" s="71" t="str">
        <f>IFERROR(__xludf.DUMMYFUNCTION("""COMPUTED_VALUE"""),"")</f>
        <v/>
      </c>
      <c r="Q932" s="78" t="str">
        <f>IFERROR(__xludf.DUMMYFUNCTION("""COMPUTED_VALUE"""),"")</f>
        <v/>
      </c>
      <c r="R932" s="78" t="str">
        <f>IFERROR(__xludf.DUMMYFUNCTION("""COMPUTED_VALUE"""),"")</f>
        <v/>
      </c>
      <c r="S932" s="80" t="str">
        <f>IFERROR(__xludf.DUMMYFUNCTION("""COMPUTED_VALUE"""),"")</f>
        <v/>
      </c>
      <c r="T932" s="80" t="str">
        <f>IFERROR(__xludf.DUMMYFUNCTION("""COMPUTED_VALUE"""),"")</f>
        <v/>
      </c>
      <c r="U932" s="71" t="str">
        <f>IFERROR(__xludf.DUMMYFUNCTION("""COMPUTED_VALUE"""),"")</f>
        <v/>
      </c>
      <c r="V932" s="78" t="str">
        <f>IFERROR(__xludf.DUMMYFUNCTION("""COMPUTED_VALUE"""),"")</f>
        <v/>
      </c>
      <c r="W932" s="62" t="str">
        <f>IFERROR(__xludf.DUMMYFUNCTION("""COMPUTED_VALUE"""),"")</f>
        <v/>
      </c>
      <c r="X932" s="80" t="str">
        <f>IFERROR(__xludf.DUMMYFUNCTION("""COMPUTED_VALUE"""),"")</f>
        <v/>
      </c>
      <c r="Y932" s="109" t="str">
        <f>IFERROR(__xludf.DUMMYFUNCTION("""COMPUTED_VALUE"""),"")</f>
        <v/>
      </c>
      <c r="Z932" s="71"/>
      <c r="AA932" s="71"/>
      <c r="AB932" s="71"/>
    </row>
    <row r="933">
      <c r="A933" s="71"/>
      <c r="B933" s="71"/>
      <c r="C933" s="71" t="str">
        <f>IFERROR(__xludf.DUMMYFUNCTION("""COMPUTED_VALUE"""),"")</f>
        <v/>
      </c>
      <c r="D933" s="71"/>
      <c r="E933" s="78"/>
      <c r="F933" s="71"/>
      <c r="G933" s="78" t="str">
        <f>IFERROR(__xludf.DUMMYFUNCTION("""COMPUTED_VALUE"""),"")</f>
        <v/>
      </c>
      <c r="H933" s="71"/>
      <c r="I933" s="80" t="str">
        <f>IFERROR(__xludf.DUMMYFUNCTION("""COMPUTED_VALUE"""),"")</f>
        <v/>
      </c>
      <c r="J933" s="71" t="str">
        <f>IFERROR(__xludf.DUMMYFUNCTION("""COMPUTED_VALUE"""),"")</f>
        <v/>
      </c>
      <c r="K933" s="71"/>
      <c r="L933" s="71" t="str">
        <f>IFERROR(__xludf.DUMMYFUNCTION("""COMPUTED_VALUE"""),"")</f>
        <v/>
      </c>
      <c r="M933" s="71"/>
      <c r="N933" s="109" t="str">
        <f>IFERROR(__xludf.DUMMYFUNCTION("""COMPUTED_VALUE"""),"")</f>
        <v/>
      </c>
      <c r="O933" s="71" t="str">
        <f>IFERROR(__xludf.DUMMYFUNCTION("""COMPUTED_VALUE"""),"")</f>
        <v/>
      </c>
      <c r="P933" s="71" t="str">
        <f>IFERROR(__xludf.DUMMYFUNCTION("""COMPUTED_VALUE"""),"")</f>
        <v/>
      </c>
      <c r="Q933" s="78" t="str">
        <f>IFERROR(__xludf.DUMMYFUNCTION("""COMPUTED_VALUE"""),"")</f>
        <v/>
      </c>
      <c r="R933" s="78" t="str">
        <f>IFERROR(__xludf.DUMMYFUNCTION("""COMPUTED_VALUE"""),"")</f>
        <v/>
      </c>
      <c r="S933" s="80" t="str">
        <f>IFERROR(__xludf.DUMMYFUNCTION("""COMPUTED_VALUE"""),"")</f>
        <v/>
      </c>
      <c r="T933" s="80" t="str">
        <f>IFERROR(__xludf.DUMMYFUNCTION("""COMPUTED_VALUE"""),"")</f>
        <v/>
      </c>
      <c r="U933" s="71" t="str">
        <f>IFERROR(__xludf.DUMMYFUNCTION("""COMPUTED_VALUE"""),"")</f>
        <v/>
      </c>
      <c r="V933" s="78" t="str">
        <f>IFERROR(__xludf.DUMMYFUNCTION("""COMPUTED_VALUE"""),"")</f>
        <v/>
      </c>
      <c r="W933" s="62" t="str">
        <f>IFERROR(__xludf.DUMMYFUNCTION("""COMPUTED_VALUE"""),"")</f>
        <v/>
      </c>
      <c r="X933" s="80" t="str">
        <f>IFERROR(__xludf.DUMMYFUNCTION("""COMPUTED_VALUE"""),"")</f>
        <v/>
      </c>
      <c r="Y933" s="109" t="str">
        <f>IFERROR(__xludf.DUMMYFUNCTION("""COMPUTED_VALUE"""),"")</f>
        <v/>
      </c>
      <c r="Z933" s="71"/>
      <c r="AA933" s="71"/>
      <c r="AB933" s="71"/>
    </row>
    <row r="934">
      <c r="A934" s="71"/>
      <c r="B934" s="71"/>
      <c r="C934" s="71" t="str">
        <f>IFERROR(__xludf.DUMMYFUNCTION("""COMPUTED_VALUE"""),"")</f>
        <v/>
      </c>
      <c r="D934" s="71"/>
      <c r="E934" s="78"/>
      <c r="F934" s="71"/>
      <c r="G934" s="78" t="str">
        <f>IFERROR(__xludf.DUMMYFUNCTION("""COMPUTED_VALUE"""),"")</f>
        <v/>
      </c>
      <c r="H934" s="71"/>
      <c r="I934" s="80" t="str">
        <f>IFERROR(__xludf.DUMMYFUNCTION("""COMPUTED_VALUE"""),"")</f>
        <v/>
      </c>
      <c r="J934" s="71" t="str">
        <f>IFERROR(__xludf.DUMMYFUNCTION("""COMPUTED_VALUE"""),"")</f>
        <v/>
      </c>
      <c r="K934" s="71"/>
      <c r="L934" s="71" t="str">
        <f>IFERROR(__xludf.DUMMYFUNCTION("""COMPUTED_VALUE"""),"")</f>
        <v/>
      </c>
      <c r="M934" s="71"/>
      <c r="N934" s="109" t="str">
        <f>IFERROR(__xludf.DUMMYFUNCTION("""COMPUTED_VALUE"""),"")</f>
        <v/>
      </c>
      <c r="O934" s="71" t="str">
        <f>IFERROR(__xludf.DUMMYFUNCTION("""COMPUTED_VALUE"""),"")</f>
        <v/>
      </c>
      <c r="P934" s="71" t="str">
        <f>IFERROR(__xludf.DUMMYFUNCTION("""COMPUTED_VALUE"""),"")</f>
        <v/>
      </c>
      <c r="Q934" s="78" t="str">
        <f>IFERROR(__xludf.DUMMYFUNCTION("""COMPUTED_VALUE"""),"")</f>
        <v/>
      </c>
      <c r="R934" s="78" t="str">
        <f>IFERROR(__xludf.DUMMYFUNCTION("""COMPUTED_VALUE"""),"")</f>
        <v/>
      </c>
      <c r="S934" s="80" t="str">
        <f>IFERROR(__xludf.DUMMYFUNCTION("""COMPUTED_VALUE"""),"")</f>
        <v/>
      </c>
      <c r="T934" s="80" t="str">
        <f>IFERROR(__xludf.DUMMYFUNCTION("""COMPUTED_VALUE"""),"")</f>
        <v/>
      </c>
      <c r="U934" s="71" t="str">
        <f>IFERROR(__xludf.DUMMYFUNCTION("""COMPUTED_VALUE"""),"")</f>
        <v/>
      </c>
      <c r="V934" s="78" t="str">
        <f>IFERROR(__xludf.DUMMYFUNCTION("""COMPUTED_VALUE"""),"")</f>
        <v/>
      </c>
      <c r="W934" s="62" t="str">
        <f>IFERROR(__xludf.DUMMYFUNCTION("""COMPUTED_VALUE"""),"")</f>
        <v/>
      </c>
      <c r="X934" s="80" t="str">
        <f>IFERROR(__xludf.DUMMYFUNCTION("""COMPUTED_VALUE"""),"")</f>
        <v/>
      </c>
      <c r="Y934" s="109" t="str">
        <f>IFERROR(__xludf.DUMMYFUNCTION("""COMPUTED_VALUE"""),"")</f>
        <v/>
      </c>
      <c r="Z934" s="71"/>
      <c r="AA934" s="71"/>
      <c r="AB934" s="71"/>
    </row>
    <row r="935">
      <c r="A935" s="71"/>
      <c r="B935" s="71"/>
      <c r="C935" s="71" t="str">
        <f>IFERROR(__xludf.DUMMYFUNCTION("""COMPUTED_VALUE"""),"")</f>
        <v/>
      </c>
      <c r="D935" s="71"/>
      <c r="E935" s="78"/>
      <c r="F935" s="71"/>
      <c r="G935" s="78" t="str">
        <f>IFERROR(__xludf.DUMMYFUNCTION("""COMPUTED_VALUE"""),"")</f>
        <v/>
      </c>
      <c r="H935" s="71"/>
      <c r="I935" s="80" t="str">
        <f>IFERROR(__xludf.DUMMYFUNCTION("""COMPUTED_VALUE"""),"")</f>
        <v/>
      </c>
      <c r="J935" s="71" t="str">
        <f>IFERROR(__xludf.DUMMYFUNCTION("""COMPUTED_VALUE"""),"")</f>
        <v/>
      </c>
      <c r="K935" s="71"/>
      <c r="L935" s="71" t="str">
        <f>IFERROR(__xludf.DUMMYFUNCTION("""COMPUTED_VALUE"""),"")</f>
        <v/>
      </c>
      <c r="M935" s="71"/>
      <c r="N935" s="109" t="str">
        <f>IFERROR(__xludf.DUMMYFUNCTION("""COMPUTED_VALUE"""),"")</f>
        <v/>
      </c>
      <c r="O935" s="71" t="str">
        <f>IFERROR(__xludf.DUMMYFUNCTION("""COMPUTED_VALUE"""),"")</f>
        <v/>
      </c>
      <c r="P935" s="71" t="str">
        <f>IFERROR(__xludf.DUMMYFUNCTION("""COMPUTED_VALUE"""),"")</f>
        <v/>
      </c>
      <c r="Q935" s="78" t="str">
        <f>IFERROR(__xludf.DUMMYFUNCTION("""COMPUTED_VALUE"""),"")</f>
        <v/>
      </c>
      <c r="R935" s="78" t="str">
        <f>IFERROR(__xludf.DUMMYFUNCTION("""COMPUTED_VALUE"""),"")</f>
        <v/>
      </c>
      <c r="S935" s="80" t="str">
        <f>IFERROR(__xludf.DUMMYFUNCTION("""COMPUTED_VALUE"""),"")</f>
        <v/>
      </c>
      <c r="T935" s="80" t="str">
        <f>IFERROR(__xludf.DUMMYFUNCTION("""COMPUTED_VALUE"""),"")</f>
        <v/>
      </c>
      <c r="U935" s="71" t="str">
        <f>IFERROR(__xludf.DUMMYFUNCTION("""COMPUTED_VALUE"""),"")</f>
        <v/>
      </c>
      <c r="V935" s="78" t="str">
        <f>IFERROR(__xludf.DUMMYFUNCTION("""COMPUTED_VALUE"""),"")</f>
        <v/>
      </c>
      <c r="W935" s="62" t="str">
        <f>IFERROR(__xludf.DUMMYFUNCTION("""COMPUTED_VALUE"""),"")</f>
        <v/>
      </c>
      <c r="X935" s="80" t="str">
        <f>IFERROR(__xludf.DUMMYFUNCTION("""COMPUTED_VALUE"""),"")</f>
        <v/>
      </c>
      <c r="Y935" s="109" t="str">
        <f>IFERROR(__xludf.DUMMYFUNCTION("""COMPUTED_VALUE"""),"")</f>
        <v/>
      </c>
      <c r="Z935" s="71"/>
      <c r="AA935" s="71"/>
      <c r="AB935" s="71"/>
    </row>
    <row r="936">
      <c r="A936" s="71"/>
      <c r="B936" s="71"/>
      <c r="C936" s="71" t="str">
        <f>IFERROR(__xludf.DUMMYFUNCTION("""COMPUTED_VALUE"""),"")</f>
        <v/>
      </c>
      <c r="D936" s="71"/>
      <c r="E936" s="78"/>
      <c r="F936" s="71"/>
      <c r="G936" s="78" t="str">
        <f>IFERROR(__xludf.DUMMYFUNCTION("""COMPUTED_VALUE"""),"")</f>
        <v/>
      </c>
      <c r="H936" s="71"/>
      <c r="I936" s="80" t="str">
        <f>IFERROR(__xludf.DUMMYFUNCTION("""COMPUTED_VALUE"""),"")</f>
        <v/>
      </c>
      <c r="J936" s="71" t="str">
        <f>IFERROR(__xludf.DUMMYFUNCTION("""COMPUTED_VALUE"""),"")</f>
        <v/>
      </c>
      <c r="K936" s="71"/>
      <c r="L936" s="71" t="str">
        <f>IFERROR(__xludf.DUMMYFUNCTION("""COMPUTED_VALUE"""),"")</f>
        <v/>
      </c>
      <c r="M936" s="71"/>
      <c r="N936" s="109" t="str">
        <f>IFERROR(__xludf.DUMMYFUNCTION("""COMPUTED_VALUE"""),"")</f>
        <v/>
      </c>
      <c r="O936" s="71" t="str">
        <f>IFERROR(__xludf.DUMMYFUNCTION("""COMPUTED_VALUE"""),"")</f>
        <v/>
      </c>
      <c r="P936" s="71" t="str">
        <f>IFERROR(__xludf.DUMMYFUNCTION("""COMPUTED_VALUE"""),"")</f>
        <v/>
      </c>
      <c r="Q936" s="78" t="str">
        <f>IFERROR(__xludf.DUMMYFUNCTION("""COMPUTED_VALUE"""),"")</f>
        <v/>
      </c>
      <c r="R936" s="78" t="str">
        <f>IFERROR(__xludf.DUMMYFUNCTION("""COMPUTED_VALUE"""),"")</f>
        <v/>
      </c>
      <c r="S936" s="80" t="str">
        <f>IFERROR(__xludf.DUMMYFUNCTION("""COMPUTED_VALUE"""),"")</f>
        <v/>
      </c>
      <c r="T936" s="80" t="str">
        <f>IFERROR(__xludf.DUMMYFUNCTION("""COMPUTED_VALUE"""),"")</f>
        <v/>
      </c>
      <c r="U936" s="71" t="str">
        <f>IFERROR(__xludf.DUMMYFUNCTION("""COMPUTED_VALUE"""),"")</f>
        <v/>
      </c>
      <c r="V936" s="78" t="str">
        <f>IFERROR(__xludf.DUMMYFUNCTION("""COMPUTED_VALUE"""),"")</f>
        <v/>
      </c>
      <c r="W936" s="62" t="str">
        <f>IFERROR(__xludf.DUMMYFUNCTION("""COMPUTED_VALUE"""),"")</f>
        <v/>
      </c>
      <c r="X936" s="80" t="str">
        <f>IFERROR(__xludf.DUMMYFUNCTION("""COMPUTED_VALUE"""),"")</f>
        <v/>
      </c>
      <c r="Y936" s="109" t="str">
        <f>IFERROR(__xludf.DUMMYFUNCTION("""COMPUTED_VALUE"""),"")</f>
        <v/>
      </c>
      <c r="Z936" s="71"/>
      <c r="AA936" s="71"/>
      <c r="AB936" s="71"/>
    </row>
    <row r="937">
      <c r="A937" s="71"/>
      <c r="B937" s="71"/>
      <c r="C937" s="71" t="str">
        <f>IFERROR(__xludf.DUMMYFUNCTION("""COMPUTED_VALUE"""),"")</f>
        <v/>
      </c>
      <c r="D937" s="71"/>
      <c r="E937" s="78"/>
      <c r="F937" s="71"/>
      <c r="G937" s="78" t="str">
        <f>IFERROR(__xludf.DUMMYFUNCTION("""COMPUTED_VALUE"""),"")</f>
        <v/>
      </c>
      <c r="H937" s="71"/>
      <c r="I937" s="80" t="str">
        <f>IFERROR(__xludf.DUMMYFUNCTION("""COMPUTED_VALUE"""),"")</f>
        <v/>
      </c>
      <c r="J937" s="71" t="str">
        <f>IFERROR(__xludf.DUMMYFUNCTION("""COMPUTED_VALUE"""),"")</f>
        <v/>
      </c>
      <c r="K937" s="71"/>
      <c r="L937" s="71" t="str">
        <f>IFERROR(__xludf.DUMMYFUNCTION("""COMPUTED_VALUE"""),"")</f>
        <v/>
      </c>
      <c r="M937" s="71"/>
      <c r="N937" s="109" t="str">
        <f>IFERROR(__xludf.DUMMYFUNCTION("""COMPUTED_VALUE"""),"")</f>
        <v/>
      </c>
      <c r="O937" s="71" t="str">
        <f>IFERROR(__xludf.DUMMYFUNCTION("""COMPUTED_VALUE"""),"")</f>
        <v/>
      </c>
      <c r="P937" s="71" t="str">
        <f>IFERROR(__xludf.DUMMYFUNCTION("""COMPUTED_VALUE"""),"")</f>
        <v/>
      </c>
      <c r="Q937" s="78" t="str">
        <f>IFERROR(__xludf.DUMMYFUNCTION("""COMPUTED_VALUE"""),"")</f>
        <v/>
      </c>
      <c r="R937" s="78" t="str">
        <f>IFERROR(__xludf.DUMMYFUNCTION("""COMPUTED_VALUE"""),"")</f>
        <v/>
      </c>
      <c r="S937" s="80" t="str">
        <f>IFERROR(__xludf.DUMMYFUNCTION("""COMPUTED_VALUE"""),"")</f>
        <v/>
      </c>
      <c r="T937" s="80" t="str">
        <f>IFERROR(__xludf.DUMMYFUNCTION("""COMPUTED_VALUE"""),"")</f>
        <v/>
      </c>
      <c r="U937" s="71" t="str">
        <f>IFERROR(__xludf.DUMMYFUNCTION("""COMPUTED_VALUE"""),"")</f>
        <v/>
      </c>
      <c r="V937" s="78" t="str">
        <f>IFERROR(__xludf.DUMMYFUNCTION("""COMPUTED_VALUE"""),"")</f>
        <v/>
      </c>
      <c r="W937" s="62" t="str">
        <f>IFERROR(__xludf.DUMMYFUNCTION("""COMPUTED_VALUE"""),"")</f>
        <v/>
      </c>
      <c r="X937" s="80" t="str">
        <f>IFERROR(__xludf.DUMMYFUNCTION("""COMPUTED_VALUE"""),"")</f>
        <v/>
      </c>
      <c r="Y937" s="109" t="str">
        <f>IFERROR(__xludf.DUMMYFUNCTION("""COMPUTED_VALUE"""),"")</f>
        <v/>
      </c>
      <c r="Z937" s="71"/>
      <c r="AA937" s="71"/>
      <c r="AB937" s="71"/>
    </row>
    <row r="938">
      <c r="A938" s="71"/>
      <c r="B938" s="71"/>
      <c r="C938" s="71" t="str">
        <f>IFERROR(__xludf.DUMMYFUNCTION("""COMPUTED_VALUE"""),"")</f>
        <v/>
      </c>
      <c r="D938" s="71"/>
      <c r="E938" s="78"/>
      <c r="F938" s="71"/>
      <c r="G938" s="78" t="str">
        <f>IFERROR(__xludf.DUMMYFUNCTION("""COMPUTED_VALUE"""),"")</f>
        <v/>
      </c>
      <c r="H938" s="71"/>
      <c r="I938" s="80" t="str">
        <f>IFERROR(__xludf.DUMMYFUNCTION("""COMPUTED_VALUE"""),"")</f>
        <v/>
      </c>
      <c r="J938" s="71" t="str">
        <f>IFERROR(__xludf.DUMMYFUNCTION("""COMPUTED_VALUE"""),"")</f>
        <v/>
      </c>
      <c r="K938" s="71"/>
      <c r="L938" s="71" t="str">
        <f>IFERROR(__xludf.DUMMYFUNCTION("""COMPUTED_VALUE"""),"")</f>
        <v/>
      </c>
      <c r="M938" s="71"/>
      <c r="N938" s="109" t="str">
        <f>IFERROR(__xludf.DUMMYFUNCTION("""COMPUTED_VALUE"""),"")</f>
        <v/>
      </c>
      <c r="O938" s="71" t="str">
        <f>IFERROR(__xludf.DUMMYFUNCTION("""COMPUTED_VALUE"""),"")</f>
        <v/>
      </c>
      <c r="P938" s="71" t="str">
        <f>IFERROR(__xludf.DUMMYFUNCTION("""COMPUTED_VALUE"""),"")</f>
        <v/>
      </c>
      <c r="Q938" s="78" t="str">
        <f>IFERROR(__xludf.DUMMYFUNCTION("""COMPUTED_VALUE"""),"")</f>
        <v/>
      </c>
      <c r="R938" s="78" t="str">
        <f>IFERROR(__xludf.DUMMYFUNCTION("""COMPUTED_VALUE"""),"")</f>
        <v/>
      </c>
      <c r="S938" s="80" t="str">
        <f>IFERROR(__xludf.DUMMYFUNCTION("""COMPUTED_VALUE"""),"")</f>
        <v/>
      </c>
      <c r="T938" s="80" t="str">
        <f>IFERROR(__xludf.DUMMYFUNCTION("""COMPUTED_VALUE"""),"")</f>
        <v/>
      </c>
      <c r="U938" s="71" t="str">
        <f>IFERROR(__xludf.DUMMYFUNCTION("""COMPUTED_VALUE"""),"")</f>
        <v/>
      </c>
      <c r="V938" s="78" t="str">
        <f>IFERROR(__xludf.DUMMYFUNCTION("""COMPUTED_VALUE"""),"")</f>
        <v/>
      </c>
      <c r="W938" s="62" t="str">
        <f>IFERROR(__xludf.DUMMYFUNCTION("""COMPUTED_VALUE"""),"")</f>
        <v/>
      </c>
      <c r="X938" s="80" t="str">
        <f>IFERROR(__xludf.DUMMYFUNCTION("""COMPUTED_VALUE"""),"")</f>
        <v/>
      </c>
      <c r="Y938" s="109" t="str">
        <f>IFERROR(__xludf.DUMMYFUNCTION("""COMPUTED_VALUE"""),"")</f>
        <v/>
      </c>
      <c r="Z938" s="71"/>
      <c r="AA938" s="71"/>
      <c r="AB938" s="71"/>
    </row>
    <row r="939">
      <c r="A939" s="71"/>
      <c r="B939" s="71"/>
      <c r="C939" s="71" t="str">
        <f>IFERROR(__xludf.DUMMYFUNCTION("""COMPUTED_VALUE"""),"")</f>
        <v/>
      </c>
      <c r="D939" s="71"/>
      <c r="E939" s="78"/>
      <c r="F939" s="71"/>
      <c r="G939" s="78" t="str">
        <f>IFERROR(__xludf.DUMMYFUNCTION("""COMPUTED_VALUE"""),"")</f>
        <v/>
      </c>
      <c r="H939" s="71"/>
      <c r="I939" s="80" t="str">
        <f>IFERROR(__xludf.DUMMYFUNCTION("""COMPUTED_VALUE"""),"")</f>
        <v/>
      </c>
      <c r="J939" s="71" t="str">
        <f>IFERROR(__xludf.DUMMYFUNCTION("""COMPUTED_VALUE"""),"")</f>
        <v/>
      </c>
      <c r="K939" s="71"/>
      <c r="L939" s="71" t="str">
        <f>IFERROR(__xludf.DUMMYFUNCTION("""COMPUTED_VALUE"""),"")</f>
        <v/>
      </c>
      <c r="M939" s="71"/>
      <c r="N939" s="109" t="str">
        <f>IFERROR(__xludf.DUMMYFUNCTION("""COMPUTED_VALUE"""),"")</f>
        <v/>
      </c>
      <c r="O939" s="71" t="str">
        <f>IFERROR(__xludf.DUMMYFUNCTION("""COMPUTED_VALUE"""),"")</f>
        <v/>
      </c>
      <c r="P939" s="71" t="str">
        <f>IFERROR(__xludf.DUMMYFUNCTION("""COMPUTED_VALUE"""),"")</f>
        <v/>
      </c>
      <c r="Q939" s="78" t="str">
        <f>IFERROR(__xludf.DUMMYFUNCTION("""COMPUTED_VALUE"""),"")</f>
        <v/>
      </c>
      <c r="R939" s="78" t="str">
        <f>IFERROR(__xludf.DUMMYFUNCTION("""COMPUTED_VALUE"""),"")</f>
        <v/>
      </c>
      <c r="S939" s="80" t="str">
        <f>IFERROR(__xludf.DUMMYFUNCTION("""COMPUTED_VALUE"""),"")</f>
        <v/>
      </c>
      <c r="T939" s="80" t="str">
        <f>IFERROR(__xludf.DUMMYFUNCTION("""COMPUTED_VALUE"""),"")</f>
        <v/>
      </c>
      <c r="U939" s="71" t="str">
        <f>IFERROR(__xludf.DUMMYFUNCTION("""COMPUTED_VALUE"""),"")</f>
        <v/>
      </c>
      <c r="V939" s="78" t="str">
        <f>IFERROR(__xludf.DUMMYFUNCTION("""COMPUTED_VALUE"""),"")</f>
        <v/>
      </c>
      <c r="W939" s="62" t="str">
        <f>IFERROR(__xludf.DUMMYFUNCTION("""COMPUTED_VALUE"""),"")</f>
        <v/>
      </c>
      <c r="X939" s="80" t="str">
        <f>IFERROR(__xludf.DUMMYFUNCTION("""COMPUTED_VALUE"""),"")</f>
        <v/>
      </c>
      <c r="Y939" s="109" t="str">
        <f>IFERROR(__xludf.DUMMYFUNCTION("""COMPUTED_VALUE"""),"")</f>
        <v/>
      </c>
      <c r="Z939" s="71"/>
      <c r="AA939" s="71"/>
      <c r="AB939" s="71"/>
    </row>
    <row r="940">
      <c r="A940" s="71"/>
      <c r="B940" s="71"/>
      <c r="C940" s="71" t="str">
        <f>IFERROR(__xludf.DUMMYFUNCTION("""COMPUTED_VALUE"""),"")</f>
        <v/>
      </c>
      <c r="D940" s="71"/>
      <c r="E940" s="78"/>
      <c r="F940" s="71"/>
      <c r="G940" s="78" t="str">
        <f>IFERROR(__xludf.DUMMYFUNCTION("""COMPUTED_VALUE"""),"")</f>
        <v/>
      </c>
      <c r="H940" s="71"/>
      <c r="I940" s="80" t="str">
        <f>IFERROR(__xludf.DUMMYFUNCTION("""COMPUTED_VALUE"""),"")</f>
        <v/>
      </c>
      <c r="J940" s="71" t="str">
        <f>IFERROR(__xludf.DUMMYFUNCTION("""COMPUTED_VALUE"""),"")</f>
        <v/>
      </c>
      <c r="K940" s="71"/>
      <c r="L940" s="71" t="str">
        <f>IFERROR(__xludf.DUMMYFUNCTION("""COMPUTED_VALUE"""),"")</f>
        <v/>
      </c>
      <c r="M940" s="71"/>
      <c r="N940" s="109" t="str">
        <f>IFERROR(__xludf.DUMMYFUNCTION("""COMPUTED_VALUE"""),"")</f>
        <v/>
      </c>
      <c r="O940" s="71" t="str">
        <f>IFERROR(__xludf.DUMMYFUNCTION("""COMPUTED_VALUE"""),"")</f>
        <v/>
      </c>
      <c r="P940" s="71" t="str">
        <f>IFERROR(__xludf.DUMMYFUNCTION("""COMPUTED_VALUE"""),"")</f>
        <v/>
      </c>
      <c r="Q940" s="78" t="str">
        <f>IFERROR(__xludf.DUMMYFUNCTION("""COMPUTED_VALUE"""),"")</f>
        <v/>
      </c>
      <c r="R940" s="78" t="str">
        <f>IFERROR(__xludf.DUMMYFUNCTION("""COMPUTED_VALUE"""),"")</f>
        <v/>
      </c>
      <c r="S940" s="80" t="str">
        <f>IFERROR(__xludf.DUMMYFUNCTION("""COMPUTED_VALUE"""),"")</f>
        <v/>
      </c>
      <c r="T940" s="80" t="str">
        <f>IFERROR(__xludf.DUMMYFUNCTION("""COMPUTED_VALUE"""),"")</f>
        <v/>
      </c>
      <c r="U940" s="71" t="str">
        <f>IFERROR(__xludf.DUMMYFUNCTION("""COMPUTED_VALUE"""),"")</f>
        <v/>
      </c>
      <c r="V940" s="78" t="str">
        <f>IFERROR(__xludf.DUMMYFUNCTION("""COMPUTED_VALUE"""),"")</f>
        <v/>
      </c>
      <c r="W940" s="62" t="str">
        <f>IFERROR(__xludf.DUMMYFUNCTION("""COMPUTED_VALUE"""),"")</f>
        <v/>
      </c>
      <c r="X940" s="80" t="str">
        <f>IFERROR(__xludf.DUMMYFUNCTION("""COMPUTED_VALUE"""),"")</f>
        <v/>
      </c>
      <c r="Y940" s="109" t="str">
        <f>IFERROR(__xludf.DUMMYFUNCTION("""COMPUTED_VALUE"""),"")</f>
        <v/>
      </c>
      <c r="Z940" s="71"/>
      <c r="AA940" s="71"/>
      <c r="AB940" s="71"/>
    </row>
    <row r="941">
      <c r="A941" s="71"/>
      <c r="B941" s="71"/>
      <c r="C941" s="71" t="str">
        <f>IFERROR(__xludf.DUMMYFUNCTION("""COMPUTED_VALUE"""),"")</f>
        <v/>
      </c>
      <c r="D941" s="71"/>
      <c r="E941" s="78"/>
      <c r="F941" s="71"/>
      <c r="G941" s="78" t="str">
        <f>IFERROR(__xludf.DUMMYFUNCTION("""COMPUTED_VALUE"""),"")</f>
        <v/>
      </c>
      <c r="H941" s="71"/>
      <c r="I941" s="80" t="str">
        <f>IFERROR(__xludf.DUMMYFUNCTION("""COMPUTED_VALUE"""),"")</f>
        <v/>
      </c>
      <c r="J941" s="71" t="str">
        <f>IFERROR(__xludf.DUMMYFUNCTION("""COMPUTED_VALUE"""),"")</f>
        <v/>
      </c>
      <c r="K941" s="71"/>
      <c r="L941" s="71" t="str">
        <f>IFERROR(__xludf.DUMMYFUNCTION("""COMPUTED_VALUE"""),"")</f>
        <v/>
      </c>
      <c r="M941" s="71"/>
      <c r="N941" s="109" t="str">
        <f>IFERROR(__xludf.DUMMYFUNCTION("""COMPUTED_VALUE"""),"")</f>
        <v/>
      </c>
      <c r="O941" s="71" t="str">
        <f>IFERROR(__xludf.DUMMYFUNCTION("""COMPUTED_VALUE"""),"")</f>
        <v/>
      </c>
      <c r="P941" s="71" t="str">
        <f>IFERROR(__xludf.DUMMYFUNCTION("""COMPUTED_VALUE"""),"")</f>
        <v/>
      </c>
      <c r="Q941" s="78" t="str">
        <f>IFERROR(__xludf.DUMMYFUNCTION("""COMPUTED_VALUE"""),"")</f>
        <v/>
      </c>
      <c r="R941" s="78" t="str">
        <f>IFERROR(__xludf.DUMMYFUNCTION("""COMPUTED_VALUE"""),"")</f>
        <v/>
      </c>
      <c r="S941" s="80" t="str">
        <f>IFERROR(__xludf.DUMMYFUNCTION("""COMPUTED_VALUE"""),"")</f>
        <v/>
      </c>
      <c r="T941" s="80" t="str">
        <f>IFERROR(__xludf.DUMMYFUNCTION("""COMPUTED_VALUE"""),"")</f>
        <v/>
      </c>
      <c r="U941" s="71" t="str">
        <f>IFERROR(__xludf.DUMMYFUNCTION("""COMPUTED_VALUE"""),"")</f>
        <v/>
      </c>
      <c r="V941" s="78" t="str">
        <f>IFERROR(__xludf.DUMMYFUNCTION("""COMPUTED_VALUE"""),"")</f>
        <v/>
      </c>
      <c r="W941" s="62" t="str">
        <f>IFERROR(__xludf.DUMMYFUNCTION("""COMPUTED_VALUE"""),"")</f>
        <v/>
      </c>
      <c r="X941" s="80" t="str">
        <f>IFERROR(__xludf.DUMMYFUNCTION("""COMPUTED_VALUE"""),"")</f>
        <v/>
      </c>
      <c r="Y941" s="109" t="str">
        <f>IFERROR(__xludf.DUMMYFUNCTION("""COMPUTED_VALUE"""),"")</f>
        <v/>
      </c>
      <c r="Z941" s="71"/>
      <c r="AA941" s="71"/>
      <c r="AB941" s="71"/>
    </row>
    <row r="942">
      <c r="A942" s="71"/>
      <c r="B942" s="71"/>
      <c r="C942" s="71" t="str">
        <f>IFERROR(__xludf.DUMMYFUNCTION("""COMPUTED_VALUE"""),"")</f>
        <v/>
      </c>
      <c r="D942" s="71"/>
      <c r="E942" s="78"/>
      <c r="F942" s="71"/>
      <c r="G942" s="78" t="str">
        <f>IFERROR(__xludf.DUMMYFUNCTION("""COMPUTED_VALUE"""),"")</f>
        <v/>
      </c>
      <c r="H942" s="71"/>
      <c r="I942" s="80" t="str">
        <f>IFERROR(__xludf.DUMMYFUNCTION("""COMPUTED_VALUE"""),"")</f>
        <v/>
      </c>
      <c r="J942" s="71" t="str">
        <f>IFERROR(__xludf.DUMMYFUNCTION("""COMPUTED_VALUE"""),"")</f>
        <v/>
      </c>
      <c r="K942" s="71"/>
      <c r="L942" s="71" t="str">
        <f>IFERROR(__xludf.DUMMYFUNCTION("""COMPUTED_VALUE"""),"")</f>
        <v/>
      </c>
      <c r="M942" s="71"/>
      <c r="N942" s="109" t="str">
        <f>IFERROR(__xludf.DUMMYFUNCTION("""COMPUTED_VALUE"""),"")</f>
        <v/>
      </c>
      <c r="O942" s="71" t="str">
        <f>IFERROR(__xludf.DUMMYFUNCTION("""COMPUTED_VALUE"""),"")</f>
        <v/>
      </c>
      <c r="P942" s="71" t="str">
        <f>IFERROR(__xludf.DUMMYFUNCTION("""COMPUTED_VALUE"""),"")</f>
        <v/>
      </c>
      <c r="Q942" s="78" t="str">
        <f>IFERROR(__xludf.DUMMYFUNCTION("""COMPUTED_VALUE"""),"")</f>
        <v/>
      </c>
      <c r="R942" s="78" t="str">
        <f>IFERROR(__xludf.DUMMYFUNCTION("""COMPUTED_VALUE"""),"")</f>
        <v/>
      </c>
      <c r="S942" s="80" t="str">
        <f>IFERROR(__xludf.DUMMYFUNCTION("""COMPUTED_VALUE"""),"")</f>
        <v/>
      </c>
      <c r="T942" s="80" t="str">
        <f>IFERROR(__xludf.DUMMYFUNCTION("""COMPUTED_VALUE"""),"")</f>
        <v/>
      </c>
      <c r="U942" s="71" t="str">
        <f>IFERROR(__xludf.DUMMYFUNCTION("""COMPUTED_VALUE"""),"")</f>
        <v/>
      </c>
      <c r="V942" s="78" t="str">
        <f>IFERROR(__xludf.DUMMYFUNCTION("""COMPUTED_VALUE"""),"")</f>
        <v/>
      </c>
      <c r="W942" s="62" t="str">
        <f>IFERROR(__xludf.DUMMYFUNCTION("""COMPUTED_VALUE"""),"")</f>
        <v/>
      </c>
      <c r="X942" s="80" t="str">
        <f>IFERROR(__xludf.DUMMYFUNCTION("""COMPUTED_VALUE"""),"")</f>
        <v/>
      </c>
      <c r="Y942" s="109" t="str">
        <f>IFERROR(__xludf.DUMMYFUNCTION("""COMPUTED_VALUE"""),"")</f>
        <v/>
      </c>
      <c r="Z942" s="71"/>
      <c r="AA942" s="71"/>
      <c r="AB942" s="71"/>
    </row>
    <row r="943">
      <c r="A943" s="71"/>
      <c r="B943" s="71"/>
      <c r="C943" s="71" t="str">
        <f>IFERROR(__xludf.DUMMYFUNCTION("""COMPUTED_VALUE"""),"")</f>
        <v/>
      </c>
      <c r="D943" s="71"/>
      <c r="E943" s="78"/>
      <c r="F943" s="71"/>
      <c r="G943" s="78" t="str">
        <f>IFERROR(__xludf.DUMMYFUNCTION("""COMPUTED_VALUE"""),"")</f>
        <v/>
      </c>
      <c r="H943" s="71"/>
      <c r="I943" s="80" t="str">
        <f>IFERROR(__xludf.DUMMYFUNCTION("""COMPUTED_VALUE"""),"")</f>
        <v/>
      </c>
      <c r="J943" s="71" t="str">
        <f>IFERROR(__xludf.DUMMYFUNCTION("""COMPUTED_VALUE"""),"")</f>
        <v/>
      </c>
      <c r="K943" s="71"/>
      <c r="L943" s="71" t="str">
        <f>IFERROR(__xludf.DUMMYFUNCTION("""COMPUTED_VALUE"""),"")</f>
        <v/>
      </c>
      <c r="M943" s="71"/>
      <c r="N943" s="109" t="str">
        <f>IFERROR(__xludf.DUMMYFUNCTION("""COMPUTED_VALUE"""),"")</f>
        <v/>
      </c>
      <c r="O943" s="71" t="str">
        <f>IFERROR(__xludf.DUMMYFUNCTION("""COMPUTED_VALUE"""),"")</f>
        <v/>
      </c>
      <c r="P943" s="71" t="str">
        <f>IFERROR(__xludf.DUMMYFUNCTION("""COMPUTED_VALUE"""),"")</f>
        <v/>
      </c>
      <c r="Q943" s="78" t="str">
        <f>IFERROR(__xludf.DUMMYFUNCTION("""COMPUTED_VALUE"""),"")</f>
        <v/>
      </c>
      <c r="R943" s="78" t="str">
        <f>IFERROR(__xludf.DUMMYFUNCTION("""COMPUTED_VALUE"""),"")</f>
        <v/>
      </c>
      <c r="S943" s="80" t="str">
        <f>IFERROR(__xludf.DUMMYFUNCTION("""COMPUTED_VALUE"""),"")</f>
        <v/>
      </c>
      <c r="T943" s="80" t="str">
        <f>IFERROR(__xludf.DUMMYFUNCTION("""COMPUTED_VALUE"""),"")</f>
        <v/>
      </c>
      <c r="U943" s="71" t="str">
        <f>IFERROR(__xludf.DUMMYFUNCTION("""COMPUTED_VALUE"""),"")</f>
        <v/>
      </c>
      <c r="V943" s="78" t="str">
        <f>IFERROR(__xludf.DUMMYFUNCTION("""COMPUTED_VALUE"""),"")</f>
        <v/>
      </c>
      <c r="W943" s="62" t="str">
        <f>IFERROR(__xludf.DUMMYFUNCTION("""COMPUTED_VALUE"""),"")</f>
        <v/>
      </c>
      <c r="X943" s="80" t="str">
        <f>IFERROR(__xludf.DUMMYFUNCTION("""COMPUTED_VALUE"""),"")</f>
        <v/>
      </c>
      <c r="Y943" s="109" t="str">
        <f>IFERROR(__xludf.DUMMYFUNCTION("""COMPUTED_VALUE"""),"")</f>
        <v/>
      </c>
      <c r="Z943" s="71"/>
      <c r="AA943" s="71"/>
      <c r="AB943" s="71"/>
    </row>
    <row r="944">
      <c r="A944" s="71"/>
      <c r="B944" s="71"/>
      <c r="C944" s="71" t="str">
        <f>IFERROR(__xludf.DUMMYFUNCTION("""COMPUTED_VALUE"""),"")</f>
        <v/>
      </c>
      <c r="D944" s="71"/>
      <c r="E944" s="78"/>
      <c r="F944" s="71"/>
      <c r="G944" s="78" t="str">
        <f>IFERROR(__xludf.DUMMYFUNCTION("""COMPUTED_VALUE"""),"")</f>
        <v/>
      </c>
      <c r="H944" s="71"/>
      <c r="I944" s="80" t="str">
        <f>IFERROR(__xludf.DUMMYFUNCTION("""COMPUTED_VALUE"""),"")</f>
        <v/>
      </c>
      <c r="J944" s="71" t="str">
        <f>IFERROR(__xludf.DUMMYFUNCTION("""COMPUTED_VALUE"""),"")</f>
        <v/>
      </c>
      <c r="K944" s="71"/>
      <c r="L944" s="71" t="str">
        <f>IFERROR(__xludf.DUMMYFUNCTION("""COMPUTED_VALUE"""),"")</f>
        <v/>
      </c>
      <c r="M944" s="71"/>
      <c r="N944" s="109" t="str">
        <f>IFERROR(__xludf.DUMMYFUNCTION("""COMPUTED_VALUE"""),"")</f>
        <v/>
      </c>
      <c r="O944" s="71" t="str">
        <f>IFERROR(__xludf.DUMMYFUNCTION("""COMPUTED_VALUE"""),"")</f>
        <v/>
      </c>
      <c r="P944" s="71" t="str">
        <f>IFERROR(__xludf.DUMMYFUNCTION("""COMPUTED_VALUE"""),"")</f>
        <v/>
      </c>
      <c r="Q944" s="78" t="str">
        <f>IFERROR(__xludf.DUMMYFUNCTION("""COMPUTED_VALUE"""),"")</f>
        <v/>
      </c>
      <c r="R944" s="78" t="str">
        <f>IFERROR(__xludf.DUMMYFUNCTION("""COMPUTED_VALUE"""),"")</f>
        <v/>
      </c>
      <c r="S944" s="80" t="str">
        <f>IFERROR(__xludf.DUMMYFUNCTION("""COMPUTED_VALUE"""),"")</f>
        <v/>
      </c>
      <c r="T944" s="80" t="str">
        <f>IFERROR(__xludf.DUMMYFUNCTION("""COMPUTED_VALUE"""),"")</f>
        <v/>
      </c>
      <c r="U944" s="71" t="str">
        <f>IFERROR(__xludf.DUMMYFUNCTION("""COMPUTED_VALUE"""),"")</f>
        <v/>
      </c>
      <c r="V944" s="78" t="str">
        <f>IFERROR(__xludf.DUMMYFUNCTION("""COMPUTED_VALUE"""),"")</f>
        <v/>
      </c>
      <c r="W944" s="62" t="str">
        <f>IFERROR(__xludf.DUMMYFUNCTION("""COMPUTED_VALUE"""),"")</f>
        <v/>
      </c>
      <c r="X944" s="80" t="str">
        <f>IFERROR(__xludf.DUMMYFUNCTION("""COMPUTED_VALUE"""),"")</f>
        <v/>
      </c>
      <c r="Y944" s="109" t="str">
        <f>IFERROR(__xludf.DUMMYFUNCTION("""COMPUTED_VALUE"""),"")</f>
        <v/>
      </c>
      <c r="Z944" s="71"/>
      <c r="AA944" s="71"/>
      <c r="AB944" s="71"/>
    </row>
    <row r="945">
      <c r="A945" s="71"/>
      <c r="B945" s="71"/>
      <c r="C945" s="71" t="str">
        <f>IFERROR(__xludf.DUMMYFUNCTION("""COMPUTED_VALUE"""),"")</f>
        <v/>
      </c>
      <c r="D945" s="71"/>
      <c r="E945" s="78"/>
      <c r="F945" s="71"/>
      <c r="G945" s="78" t="str">
        <f>IFERROR(__xludf.DUMMYFUNCTION("""COMPUTED_VALUE"""),"")</f>
        <v/>
      </c>
      <c r="H945" s="71"/>
      <c r="I945" s="80" t="str">
        <f>IFERROR(__xludf.DUMMYFUNCTION("""COMPUTED_VALUE"""),"")</f>
        <v/>
      </c>
      <c r="J945" s="71" t="str">
        <f>IFERROR(__xludf.DUMMYFUNCTION("""COMPUTED_VALUE"""),"")</f>
        <v/>
      </c>
      <c r="K945" s="71"/>
      <c r="L945" s="71" t="str">
        <f>IFERROR(__xludf.DUMMYFUNCTION("""COMPUTED_VALUE"""),"")</f>
        <v/>
      </c>
      <c r="M945" s="71"/>
      <c r="N945" s="109" t="str">
        <f>IFERROR(__xludf.DUMMYFUNCTION("""COMPUTED_VALUE"""),"")</f>
        <v/>
      </c>
      <c r="O945" s="71" t="str">
        <f>IFERROR(__xludf.DUMMYFUNCTION("""COMPUTED_VALUE"""),"")</f>
        <v/>
      </c>
      <c r="P945" s="71" t="str">
        <f>IFERROR(__xludf.DUMMYFUNCTION("""COMPUTED_VALUE"""),"")</f>
        <v/>
      </c>
      <c r="Q945" s="78" t="str">
        <f>IFERROR(__xludf.DUMMYFUNCTION("""COMPUTED_VALUE"""),"")</f>
        <v/>
      </c>
      <c r="R945" s="78" t="str">
        <f>IFERROR(__xludf.DUMMYFUNCTION("""COMPUTED_VALUE"""),"")</f>
        <v/>
      </c>
      <c r="S945" s="80" t="str">
        <f>IFERROR(__xludf.DUMMYFUNCTION("""COMPUTED_VALUE"""),"")</f>
        <v/>
      </c>
      <c r="T945" s="80" t="str">
        <f>IFERROR(__xludf.DUMMYFUNCTION("""COMPUTED_VALUE"""),"")</f>
        <v/>
      </c>
      <c r="U945" s="71" t="str">
        <f>IFERROR(__xludf.DUMMYFUNCTION("""COMPUTED_VALUE"""),"")</f>
        <v/>
      </c>
      <c r="V945" s="78" t="str">
        <f>IFERROR(__xludf.DUMMYFUNCTION("""COMPUTED_VALUE"""),"")</f>
        <v/>
      </c>
      <c r="W945" s="62" t="str">
        <f>IFERROR(__xludf.DUMMYFUNCTION("""COMPUTED_VALUE"""),"")</f>
        <v/>
      </c>
      <c r="X945" s="80" t="str">
        <f>IFERROR(__xludf.DUMMYFUNCTION("""COMPUTED_VALUE"""),"")</f>
        <v/>
      </c>
      <c r="Y945" s="109" t="str">
        <f>IFERROR(__xludf.DUMMYFUNCTION("""COMPUTED_VALUE"""),"")</f>
        <v/>
      </c>
      <c r="Z945" s="71"/>
      <c r="AA945" s="71"/>
      <c r="AB945" s="71"/>
    </row>
    <row r="946">
      <c r="A946" s="71"/>
      <c r="B946" s="71"/>
      <c r="C946" s="71" t="str">
        <f>IFERROR(__xludf.DUMMYFUNCTION("""COMPUTED_VALUE"""),"")</f>
        <v/>
      </c>
      <c r="D946" s="71"/>
      <c r="E946" s="78"/>
      <c r="F946" s="71"/>
      <c r="G946" s="78" t="str">
        <f>IFERROR(__xludf.DUMMYFUNCTION("""COMPUTED_VALUE"""),"")</f>
        <v/>
      </c>
      <c r="H946" s="71"/>
      <c r="I946" s="80" t="str">
        <f>IFERROR(__xludf.DUMMYFUNCTION("""COMPUTED_VALUE"""),"")</f>
        <v/>
      </c>
      <c r="J946" s="71" t="str">
        <f>IFERROR(__xludf.DUMMYFUNCTION("""COMPUTED_VALUE"""),"")</f>
        <v/>
      </c>
      <c r="K946" s="71"/>
      <c r="L946" s="71" t="str">
        <f>IFERROR(__xludf.DUMMYFUNCTION("""COMPUTED_VALUE"""),"")</f>
        <v/>
      </c>
      <c r="M946" s="71"/>
      <c r="N946" s="109" t="str">
        <f>IFERROR(__xludf.DUMMYFUNCTION("""COMPUTED_VALUE"""),"")</f>
        <v/>
      </c>
      <c r="O946" s="71" t="str">
        <f>IFERROR(__xludf.DUMMYFUNCTION("""COMPUTED_VALUE"""),"")</f>
        <v/>
      </c>
      <c r="P946" s="71" t="str">
        <f>IFERROR(__xludf.DUMMYFUNCTION("""COMPUTED_VALUE"""),"")</f>
        <v/>
      </c>
      <c r="Q946" s="78" t="str">
        <f>IFERROR(__xludf.DUMMYFUNCTION("""COMPUTED_VALUE"""),"")</f>
        <v/>
      </c>
      <c r="R946" s="78" t="str">
        <f>IFERROR(__xludf.DUMMYFUNCTION("""COMPUTED_VALUE"""),"")</f>
        <v/>
      </c>
      <c r="S946" s="80" t="str">
        <f>IFERROR(__xludf.DUMMYFUNCTION("""COMPUTED_VALUE"""),"")</f>
        <v/>
      </c>
      <c r="T946" s="80" t="str">
        <f>IFERROR(__xludf.DUMMYFUNCTION("""COMPUTED_VALUE"""),"")</f>
        <v/>
      </c>
      <c r="U946" s="71" t="str">
        <f>IFERROR(__xludf.DUMMYFUNCTION("""COMPUTED_VALUE"""),"")</f>
        <v/>
      </c>
      <c r="V946" s="78" t="str">
        <f>IFERROR(__xludf.DUMMYFUNCTION("""COMPUTED_VALUE"""),"")</f>
        <v/>
      </c>
      <c r="W946" s="62" t="str">
        <f>IFERROR(__xludf.DUMMYFUNCTION("""COMPUTED_VALUE"""),"")</f>
        <v/>
      </c>
      <c r="X946" s="80" t="str">
        <f>IFERROR(__xludf.DUMMYFUNCTION("""COMPUTED_VALUE"""),"")</f>
        <v/>
      </c>
      <c r="Y946" s="109" t="str">
        <f>IFERROR(__xludf.DUMMYFUNCTION("""COMPUTED_VALUE"""),"")</f>
        <v/>
      </c>
      <c r="Z946" s="71"/>
      <c r="AA946" s="71"/>
      <c r="AB946" s="71"/>
    </row>
    <row r="947">
      <c r="A947" s="71"/>
      <c r="B947" s="71"/>
      <c r="C947" s="71" t="str">
        <f>IFERROR(__xludf.DUMMYFUNCTION("""COMPUTED_VALUE"""),"")</f>
        <v/>
      </c>
      <c r="D947" s="71"/>
      <c r="E947" s="78"/>
      <c r="F947" s="71"/>
      <c r="G947" s="78" t="str">
        <f>IFERROR(__xludf.DUMMYFUNCTION("""COMPUTED_VALUE"""),"")</f>
        <v/>
      </c>
      <c r="H947" s="71"/>
      <c r="I947" s="80" t="str">
        <f>IFERROR(__xludf.DUMMYFUNCTION("""COMPUTED_VALUE"""),"")</f>
        <v/>
      </c>
      <c r="J947" s="71" t="str">
        <f>IFERROR(__xludf.DUMMYFUNCTION("""COMPUTED_VALUE"""),"")</f>
        <v/>
      </c>
      <c r="K947" s="71"/>
      <c r="L947" s="71" t="str">
        <f>IFERROR(__xludf.DUMMYFUNCTION("""COMPUTED_VALUE"""),"")</f>
        <v/>
      </c>
      <c r="M947" s="71"/>
      <c r="N947" s="109" t="str">
        <f>IFERROR(__xludf.DUMMYFUNCTION("""COMPUTED_VALUE"""),"")</f>
        <v/>
      </c>
      <c r="O947" s="71" t="str">
        <f>IFERROR(__xludf.DUMMYFUNCTION("""COMPUTED_VALUE"""),"")</f>
        <v/>
      </c>
      <c r="P947" s="71" t="str">
        <f>IFERROR(__xludf.DUMMYFUNCTION("""COMPUTED_VALUE"""),"")</f>
        <v/>
      </c>
      <c r="Q947" s="78" t="str">
        <f>IFERROR(__xludf.DUMMYFUNCTION("""COMPUTED_VALUE"""),"")</f>
        <v/>
      </c>
      <c r="R947" s="78" t="str">
        <f>IFERROR(__xludf.DUMMYFUNCTION("""COMPUTED_VALUE"""),"")</f>
        <v/>
      </c>
      <c r="S947" s="80" t="str">
        <f>IFERROR(__xludf.DUMMYFUNCTION("""COMPUTED_VALUE"""),"")</f>
        <v/>
      </c>
      <c r="T947" s="80" t="str">
        <f>IFERROR(__xludf.DUMMYFUNCTION("""COMPUTED_VALUE"""),"")</f>
        <v/>
      </c>
      <c r="U947" s="71" t="str">
        <f>IFERROR(__xludf.DUMMYFUNCTION("""COMPUTED_VALUE"""),"")</f>
        <v/>
      </c>
      <c r="V947" s="78" t="str">
        <f>IFERROR(__xludf.DUMMYFUNCTION("""COMPUTED_VALUE"""),"")</f>
        <v/>
      </c>
      <c r="W947" s="62" t="str">
        <f>IFERROR(__xludf.DUMMYFUNCTION("""COMPUTED_VALUE"""),"")</f>
        <v/>
      </c>
      <c r="X947" s="80" t="str">
        <f>IFERROR(__xludf.DUMMYFUNCTION("""COMPUTED_VALUE"""),"")</f>
        <v/>
      </c>
      <c r="Y947" s="109" t="str">
        <f>IFERROR(__xludf.DUMMYFUNCTION("""COMPUTED_VALUE"""),"")</f>
        <v/>
      </c>
      <c r="Z947" s="71"/>
      <c r="AA947" s="71"/>
      <c r="AB947" s="71"/>
    </row>
    <row r="948">
      <c r="A948" s="71"/>
      <c r="B948" s="71"/>
      <c r="C948" s="71" t="str">
        <f>IFERROR(__xludf.DUMMYFUNCTION("""COMPUTED_VALUE"""),"")</f>
        <v/>
      </c>
      <c r="D948" s="71"/>
      <c r="E948" s="78"/>
      <c r="F948" s="71"/>
      <c r="G948" s="78" t="str">
        <f>IFERROR(__xludf.DUMMYFUNCTION("""COMPUTED_VALUE"""),"")</f>
        <v/>
      </c>
      <c r="H948" s="71"/>
      <c r="I948" s="80" t="str">
        <f>IFERROR(__xludf.DUMMYFUNCTION("""COMPUTED_VALUE"""),"")</f>
        <v/>
      </c>
      <c r="J948" s="71" t="str">
        <f>IFERROR(__xludf.DUMMYFUNCTION("""COMPUTED_VALUE"""),"")</f>
        <v/>
      </c>
      <c r="K948" s="71"/>
      <c r="L948" s="71" t="str">
        <f>IFERROR(__xludf.DUMMYFUNCTION("""COMPUTED_VALUE"""),"")</f>
        <v/>
      </c>
      <c r="M948" s="71"/>
      <c r="N948" s="109" t="str">
        <f>IFERROR(__xludf.DUMMYFUNCTION("""COMPUTED_VALUE"""),"")</f>
        <v/>
      </c>
      <c r="O948" s="71" t="str">
        <f>IFERROR(__xludf.DUMMYFUNCTION("""COMPUTED_VALUE"""),"")</f>
        <v/>
      </c>
      <c r="P948" s="71" t="str">
        <f>IFERROR(__xludf.DUMMYFUNCTION("""COMPUTED_VALUE"""),"")</f>
        <v/>
      </c>
      <c r="Q948" s="78" t="str">
        <f>IFERROR(__xludf.DUMMYFUNCTION("""COMPUTED_VALUE"""),"")</f>
        <v/>
      </c>
      <c r="R948" s="78" t="str">
        <f>IFERROR(__xludf.DUMMYFUNCTION("""COMPUTED_VALUE"""),"")</f>
        <v/>
      </c>
      <c r="S948" s="80" t="str">
        <f>IFERROR(__xludf.DUMMYFUNCTION("""COMPUTED_VALUE"""),"")</f>
        <v/>
      </c>
      <c r="T948" s="80" t="str">
        <f>IFERROR(__xludf.DUMMYFUNCTION("""COMPUTED_VALUE"""),"")</f>
        <v/>
      </c>
      <c r="U948" s="71" t="str">
        <f>IFERROR(__xludf.DUMMYFUNCTION("""COMPUTED_VALUE"""),"")</f>
        <v/>
      </c>
      <c r="V948" s="78" t="str">
        <f>IFERROR(__xludf.DUMMYFUNCTION("""COMPUTED_VALUE"""),"")</f>
        <v/>
      </c>
      <c r="W948" s="62" t="str">
        <f>IFERROR(__xludf.DUMMYFUNCTION("""COMPUTED_VALUE"""),"")</f>
        <v/>
      </c>
      <c r="X948" s="80" t="str">
        <f>IFERROR(__xludf.DUMMYFUNCTION("""COMPUTED_VALUE"""),"")</f>
        <v/>
      </c>
      <c r="Y948" s="109" t="str">
        <f>IFERROR(__xludf.DUMMYFUNCTION("""COMPUTED_VALUE"""),"")</f>
        <v/>
      </c>
      <c r="Z948" s="71"/>
      <c r="AA948" s="71"/>
      <c r="AB948" s="71"/>
    </row>
    <row r="949">
      <c r="A949" s="71"/>
      <c r="B949" s="71"/>
      <c r="C949" s="71" t="str">
        <f>IFERROR(__xludf.DUMMYFUNCTION("""COMPUTED_VALUE"""),"")</f>
        <v/>
      </c>
      <c r="D949" s="71"/>
      <c r="E949" s="78"/>
      <c r="F949" s="71"/>
      <c r="G949" s="78" t="str">
        <f>IFERROR(__xludf.DUMMYFUNCTION("""COMPUTED_VALUE"""),"")</f>
        <v/>
      </c>
      <c r="H949" s="71"/>
      <c r="I949" s="80" t="str">
        <f>IFERROR(__xludf.DUMMYFUNCTION("""COMPUTED_VALUE"""),"")</f>
        <v/>
      </c>
      <c r="J949" s="71" t="str">
        <f>IFERROR(__xludf.DUMMYFUNCTION("""COMPUTED_VALUE"""),"")</f>
        <v/>
      </c>
      <c r="K949" s="71"/>
      <c r="L949" s="71" t="str">
        <f>IFERROR(__xludf.DUMMYFUNCTION("""COMPUTED_VALUE"""),"")</f>
        <v/>
      </c>
      <c r="M949" s="71"/>
      <c r="N949" s="109" t="str">
        <f>IFERROR(__xludf.DUMMYFUNCTION("""COMPUTED_VALUE"""),"")</f>
        <v/>
      </c>
      <c r="O949" s="71" t="str">
        <f>IFERROR(__xludf.DUMMYFUNCTION("""COMPUTED_VALUE"""),"")</f>
        <v/>
      </c>
      <c r="P949" s="71" t="str">
        <f>IFERROR(__xludf.DUMMYFUNCTION("""COMPUTED_VALUE"""),"")</f>
        <v/>
      </c>
      <c r="Q949" s="78" t="str">
        <f>IFERROR(__xludf.DUMMYFUNCTION("""COMPUTED_VALUE"""),"")</f>
        <v/>
      </c>
      <c r="R949" s="78" t="str">
        <f>IFERROR(__xludf.DUMMYFUNCTION("""COMPUTED_VALUE"""),"")</f>
        <v/>
      </c>
      <c r="S949" s="80" t="str">
        <f>IFERROR(__xludf.DUMMYFUNCTION("""COMPUTED_VALUE"""),"")</f>
        <v/>
      </c>
      <c r="T949" s="80" t="str">
        <f>IFERROR(__xludf.DUMMYFUNCTION("""COMPUTED_VALUE"""),"")</f>
        <v/>
      </c>
      <c r="U949" s="71" t="str">
        <f>IFERROR(__xludf.DUMMYFUNCTION("""COMPUTED_VALUE"""),"")</f>
        <v/>
      </c>
      <c r="V949" s="78" t="str">
        <f>IFERROR(__xludf.DUMMYFUNCTION("""COMPUTED_VALUE"""),"")</f>
        <v/>
      </c>
      <c r="W949" s="62" t="str">
        <f>IFERROR(__xludf.DUMMYFUNCTION("""COMPUTED_VALUE"""),"")</f>
        <v/>
      </c>
      <c r="X949" s="80" t="str">
        <f>IFERROR(__xludf.DUMMYFUNCTION("""COMPUTED_VALUE"""),"")</f>
        <v/>
      </c>
      <c r="Y949" s="109" t="str">
        <f>IFERROR(__xludf.DUMMYFUNCTION("""COMPUTED_VALUE"""),"")</f>
        <v/>
      </c>
      <c r="Z949" s="71"/>
      <c r="AA949" s="71"/>
      <c r="AB949" s="71"/>
    </row>
    <row r="950">
      <c r="A950" s="71"/>
      <c r="B950" s="71"/>
      <c r="C950" s="71" t="str">
        <f>IFERROR(__xludf.DUMMYFUNCTION("""COMPUTED_VALUE"""),"")</f>
        <v/>
      </c>
      <c r="D950" s="71"/>
      <c r="E950" s="78"/>
      <c r="F950" s="71"/>
      <c r="G950" s="78" t="str">
        <f>IFERROR(__xludf.DUMMYFUNCTION("""COMPUTED_VALUE"""),"")</f>
        <v/>
      </c>
      <c r="H950" s="71"/>
      <c r="I950" s="80" t="str">
        <f>IFERROR(__xludf.DUMMYFUNCTION("""COMPUTED_VALUE"""),"")</f>
        <v/>
      </c>
      <c r="J950" s="71" t="str">
        <f>IFERROR(__xludf.DUMMYFUNCTION("""COMPUTED_VALUE"""),"")</f>
        <v/>
      </c>
      <c r="K950" s="71"/>
      <c r="L950" s="71" t="str">
        <f>IFERROR(__xludf.DUMMYFUNCTION("""COMPUTED_VALUE"""),"")</f>
        <v/>
      </c>
      <c r="M950" s="71"/>
      <c r="N950" s="109" t="str">
        <f>IFERROR(__xludf.DUMMYFUNCTION("""COMPUTED_VALUE"""),"")</f>
        <v/>
      </c>
      <c r="O950" s="71" t="str">
        <f>IFERROR(__xludf.DUMMYFUNCTION("""COMPUTED_VALUE"""),"")</f>
        <v/>
      </c>
      <c r="P950" s="71" t="str">
        <f>IFERROR(__xludf.DUMMYFUNCTION("""COMPUTED_VALUE"""),"")</f>
        <v/>
      </c>
      <c r="Q950" s="78" t="str">
        <f>IFERROR(__xludf.DUMMYFUNCTION("""COMPUTED_VALUE"""),"")</f>
        <v/>
      </c>
      <c r="R950" s="78" t="str">
        <f>IFERROR(__xludf.DUMMYFUNCTION("""COMPUTED_VALUE"""),"")</f>
        <v/>
      </c>
      <c r="S950" s="80" t="str">
        <f>IFERROR(__xludf.DUMMYFUNCTION("""COMPUTED_VALUE"""),"")</f>
        <v/>
      </c>
      <c r="T950" s="80" t="str">
        <f>IFERROR(__xludf.DUMMYFUNCTION("""COMPUTED_VALUE"""),"")</f>
        <v/>
      </c>
      <c r="U950" s="71" t="str">
        <f>IFERROR(__xludf.DUMMYFUNCTION("""COMPUTED_VALUE"""),"")</f>
        <v/>
      </c>
      <c r="V950" s="78" t="str">
        <f>IFERROR(__xludf.DUMMYFUNCTION("""COMPUTED_VALUE"""),"")</f>
        <v/>
      </c>
      <c r="W950" s="62" t="str">
        <f>IFERROR(__xludf.DUMMYFUNCTION("""COMPUTED_VALUE"""),"")</f>
        <v/>
      </c>
      <c r="X950" s="80" t="str">
        <f>IFERROR(__xludf.DUMMYFUNCTION("""COMPUTED_VALUE"""),"")</f>
        <v/>
      </c>
      <c r="Y950" s="109" t="str">
        <f>IFERROR(__xludf.DUMMYFUNCTION("""COMPUTED_VALUE"""),"")</f>
        <v/>
      </c>
      <c r="Z950" s="71"/>
      <c r="AA950" s="71"/>
      <c r="AB950" s="71"/>
    </row>
    <row r="951">
      <c r="A951" s="71"/>
      <c r="B951" s="71"/>
      <c r="C951" s="71" t="str">
        <f>IFERROR(__xludf.DUMMYFUNCTION("""COMPUTED_VALUE"""),"")</f>
        <v/>
      </c>
      <c r="D951" s="71"/>
      <c r="E951" s="78"/>
      <c r="F951" s="71"/>
      <c r="G951" s="78" t="str">
        <f>IFERROR(__xludf.DUMMYFUNCTION("""COMPUTED_VALUE"""),"")</f>
        <v/>
      </c>
      <c r="H951" s="71"/>
      <c r="I951" s="80" t="str">
        <f>IFERROR(__xludf.DUMMYFUNCTION("""COMPUTED_VALUE"""),"")</f>
        <v/>
      </c>
      <c r="J951" s="71" t="str">
        <f>IFERROR(__xludf.DUMMYFUNCTION("""COMPUTED_VALUE"""),"")</f>
        <v/>
      </c>
      <c r="K951" s="71"/>
      <c r="L951" s="71" t="str">
        <f>IFERROR(__xludf.DUMMYFUNCTION("""COMPUTED_VALUE"""),"")</f>
        <v/>
      </c>
      <c r="M951" s="71"/>
      <c r="N951" s="109" t="str">
        <f>IFERROR(__xludf.DUMMYFUNCTION("""COMPUTED_VALUE"""),"")</f>
        <v/>
      </c>
      <c r="O951" s="71" t="str">
        <f>IFERROR(__xludf.DUMMYFUNCTION("""COMPUTED_VALUE"""),"")</f>
        <v/>
      </c>
      <c r="P951" s="71" t="str">
        <f>IFERROR(__xludf.DUMMYFUNCTION("""COMPUTED_VALUE"""),"")</f>
        <v/>
      </c>
      <c r="Q951" s="78" t="str">
        <f>IFERROR(__xludf.DUMMYFUNCTION("""COMPUTED_VALUE"""),"")</f>
        <v/>
      </c>
      <c r="R951" s="78" t="str">
        <f>IFERROR(__xludf.DUMMYFUNCTION("""COMPUTED_VALUE"""),"")</f>
        <v/>
      </c>
      <c r="S951" s="80" t="str">
        <f>IFERROR(__xludf.DUMMYFUNCTION("""COMPUTED_VALUE"""),"")</f>
        <v/>
      </c>
      <c r="T951" s="80" t="str">
        <f>IFERROR(__xludf.DUMMYFUNCTION("""COMPUTED_VALUE"""),"")</f>
        <v/>
      </c>
      <c r="U951" s="71" t="str">
        <f>IFERROR(__xludf.DUMMYFUNCTION("""COMPUTED_VALUE"""),"")</f>
        <v/>
      </c>
      <c r="V951" s="78" t="str">
        <f>IFERROR(__xludf.DUMMYFUNCTION("""COMPUTED_VALUE"""),"")</f>
        <v/>
      </c>
      <c r="W951" s="62" t="str">
        <f>IFERROR(__xludf.DUMMYFUNCTION("""COMPUTED_VALUE"""),"")</f>
        <v/>
      </c>
      <c r="X951" s="80" t="str">
        <f>IFERROR(__xludf.DUMMYFUNCTION("""COMPUTED_VALUE"""),"")</f>
        <v/>
      </c>
      <c r="Y951" s="109" t="str">
        <f>IFERROR(__xludf.DUMMYFUNCTION("""COMPUTED_VALUE"""),"")</f>
        <v/>
      </c>
      <c r="Z951" s="71"/>
      <c r="AA951" s="71"/>
      <c r="AB951" s="71"/>
    </row>
    <row r="952">
      <c r="A952" s="71"/>
      <c r="B952" s="71"/>
      <c r="C952" s="71" t="str">
        <f>IFERROR(__xludf.DUMMYFUNCTION("""COMPUTED_VALUE"""),"")</f>
        <v/>
      </c>
      <c r="D952" s="71"/>
      <c r="E952" s="78"/>
      <c r="F952" s="71"/>
      <c r="G952" s="78" t="str">
        <f>IFERROR(__xludf.DUMMYFUNCTION("""COMPUTED_VALUE"""),"")</f>
        <v/>
      </c>
      <c r="H952" s="71"/>
      <c r="I952" s="80" t="str">
        <f>IFERROR(__xludf.DUMMYFUNCTION("""COMPUTED_VALUE"""),"")</f>
        <v/>
      </c>
      <c r="J952" s="71" t="str">
        <f>IFERROR(__xludf.DUMMYFUNCTION("""COMPUTED_VALUE"""),"")</f>
        <v/>
      </c>
      <c r="K952" s="71"/>
      <c r="L952" s="71" t="str">
        <f>IFERROR(__xludf.DUMMYFUNCTION("""COMPUTED_VALUE"""),"")</f>
        <v/>
      </c>
      <c r="M952" s="71"/>
      <c r="N952" s="109" t="str">
        <f>IFERROR(__xludf.DUMMYFUNCTION("""COMPUTED_VALUE"""),"")</f>
        <v/>
      </c>
      <c r="O952" s="71" t="str">
        <f>IFERROR(__xludf.DUMMYFUNCTION("""COMPUTED_VALUE"""),"")</f>
        <v/>
      </c>
      <c r="P952" s="71" t="str">
        <f>IFERROR(__xludf.DUMMYFUNCTION("""COMPUTED_VALUE"""),"")</f>
        <v/>
      </c>
      <c r="Q952" s="78" t="str">
        <f>IFERROR(__xludf.DUMMYFUNCTION("""COMPUTED_VALUE"""),"")</f>
        <v/>
      </c>
      <c r="R952" s="78" t="str">
        <f>IFERROR(__xludf.DUMMYFUNCTION("""COMPUTED_VALUE"""),"")</f>
        <v/>
      </c>
      <c r="S952" s="80" t="str">
        <f>IFERROR(__xludf.DUMMYFUNCTION("""COMPUTED_VALUE"""),"")</f>
        <v/>
      </c>
      <c r="T952" s="80" t="str">
        <f>IFERROR(__xludf.DUMMYFUNCTION("""COMPUTED_VALUE"""),"")</f>
        <v/>
      </c>
      <c r="U952" s="71" t="str">
        <f>IFERROR(__xludf.DUMMYFUNCTION("""COMPUTED_VALUE"""),"")</f>
        <v/>
      </c>
      <c r="V952" s="78" t="str">
        <f>IFERROR(__xludf.DUMMYFUNCTION("""COMPUTED_VALUE"""),"")</f>
        <v/>
      </c>
      <c r="W952" s="62" t="str">
        <f>IFERROR(__xludf.DUMMYFUNCTION("""COMPUTED_VALUE"""),"")</f>
        <v/>
      </c>
      <c r="X952" s="80" t="str">
        <f>IFERROR(__xludf.DUMMYFUNCTION("""COMPUTED_VALUE"""),"")</f>
        <v/>
      </c>
      <c r="Y952" s="109" t="str">
        <f>IFERROR(__xludf.DUMMYFUNCTION("""COMPUTED_VALUE"""),"")</f>
        <v/>
      </c>
      <c r="Z952" s="71"/>
      <c r="AA952" s="71"/>
      <c r="AB952" s="71"/>
    </row>
    <row r="953">
      <c r="A953" s="71"/>
      <c r="B953" s="71"/>
      <c r="C953" s="71" t="str">
        <f>IFERROR(__xludf.DUMMYFUNCTION("""COMPUTED_VALUE"""),"")</f>
        <v/>
      </c>
      <c r="D953" s="71"/>
      <c r="E953" s="78"/>
      <c r="F953" s="71"/>
      <c r="G953" s="78" t="str">
        <f>IFERROR(__xludf.DUMMYFUNCTION("""COMPUTED_VALUE"""),"")</f>
        <v/>
      </c>
      <c r="H953" s="71"/>
      <c r="I953" s="80" t="str">
        <f>IFERROR(__xludf.DUMMYFUNCTION("""COMPUTED_VALUE"""),"")</f>
        <v/>
      </c>
      <c r="J953" s="71" t="str">
        <f>IFERROR(__xludf.DUMMYFUNCTION("""COMPUTED_VALUE"""),"")</f>
        <v/>
      </c>
      <c r="K953" s="71"/>
      <c r="L953" s="71" t="str">
        <f>IFERROR(__xludf.DUMMYFUNCTION("""COMPUTED_VALUE"""),"")</f>
        <v/>
      </c>
      <c r="M953" s="71"/>
      <c r="N953" s="109" t="str">
        <f>IFERROR(__xludf.DUMMYFUNCTION("""COMPUTED_VALUE"""),"")</f>
        <v/>
      </c>
      <c r="O953" s="71" t="str">
        <f>IFERROR(__xludf.DUMMYFUNCTION("""COMPUTED_VALUE"""),"")</f>
        <v/>
      </c>
      <c r="P953" s="71" t="str">
        <f>IFERROR(__xludf.DUMMYFUNCTION("""COMPUTED_VALUE"""),"")</f>
        <v/>
      </c>
      <c r="Q953" s="78" t="str">
        <f>IFERROR(__xludf.DUMMYFUNCTION("""COMPUTED_VALUE"""),"")</f>
        <v/>
      </c>
      <c r="R953" s="78" t="str">
        <f>IFERROR(__xludf.DUMMYFUNCTION("""COMPUTED_VALUE"""),"")</f>
        <v/>
      </c>
      <c r="S953" s="80" t="str">
        <f>IFERROR(__xludf.DUMMYFUNCTION("""COMPUTED_VALUE"""),"")</f>
        <v/>
      </c>
      <c r="T953" s="80" t="str">
        <f>IFERROR(__xludf.DUMMYFUNCTION("""COMPUTED_VALUE"""),"")</f>
        <v/>
      </c>
      <c r="U953" s="71" t="str">
        <f>IFERROR(__xludf.DUMMYFUNCTION("""COMPUTED_VALUE"""),"")</f>
        <v/>
      </c>
      <c r="V953" s="78" t="str">
        <f>IFERROR(__xludf.DUMMYFUNCTION("""COMPUTED_VALUE"""),"")</f>
        <v/>
      </c>
      <c r="W953" s="62" t="str">
        <f>IFERROR(__xludf.DUMMYFUNCTION("""COMPUTED_VALUE"""),"")</f>
        <v/>
      </c>
      <c r="X953" s="80" t="str">
        <f>IFERROR(__xludf.DUMMYFUNCTION("""COMPUTED_VALUE"""),"")</f>
        <v/>
      </c>
      <c r="Y953" s="109" t="str">
        <f>IFERROR(__xludf.DUMMYFUNCTION("""COMPUTED_VALUE"""),"")</f>
        <v/>
      </c>
      <c r="Z953" s="71"/>
      <c r="AA953" s="71"/>
      <c r="AB953" s="71"/>
    </row>
    <row r="954">
      <c r="A954" s="71"/>
      <c r="B954" s="71"/>
      <c r="C954" s="71" t="str">
        <f>IFERROR(__xludf.DUMMYFUNCTION("""COMPUTED_VALUE"""),"")</f>
        <v/>
      </c>
      <c r="D954" s="71"/>
      <c r="E954" s="78"/>
      <c r="F954" s="71"/>
      <c r="G954" s="78" t="str">
        <f>IFERROR(__xludf.DUMMYFUNCTION("""COMPUTED_VALUE"""),"")</f>
        <v/>
      </c>
      <c r="H954" s="71"/>
      <c r="I954" s="80" t="str">
        <f>IFERROR(__xludf.DUMMYFUNCTION("""COMPUTED_VALUE"""),"")</f>
        <v/>
      </c>
      <c r="J954" s="71" t="str">
        <f>IFERROR(__xludf.DUMMYFUNCTION("""COMPUTED_VALUE"""),"")</f>
        <v/>
      </c>
      <c r="K954" s="71"/>
      <c r="L954" s="71" t="str">
        <f>IFERROR(__xludf.DUMMYFUNCTION("""COMPUTED_VALUE"""),"")</f>
        <v/>
      </c>
      <c r="M954" s="71"/>
      <c r="N954" s="109" t="str">
        <f>IFERROR(__xludf.DUMMYFUNCTION("""COMPUTED_VALUE"""),"")</f>
        <v/>
      </c>
      <c r="O954" s="71" t="str">
        <f>IFERROR(__xludf.DUMMYFUNCTION("""COMPUTED_VALUE"""),"")</f>
        <v/>
      </c>
      <c r="P954" s="71" t="str">
        <f>IFERROR(__xludf.DUMMYFUNCTION("""COMPUTED_VALUE"""),"")</f>
        <v/>
      </c>
      <c r="Q954" s="78" t="str">
        <f>IFERROR(__xludf.DUMMYFUNCTION("""COMPUTED_VALUE"""),"")</f>
        <v/>
      </c>
      <c r="R954" s="78" t="str">
        <f>IFERROR(__xludf.DUMMYFUNCTION("""COMPUTED_VALUE"""),"")</f>
        <v/>
      </c>
      <c r="S954" s="80" t="str">
        <f>IFERROR(__xludf.DUMMYFUNCTION("""COMPUTED_VALUE"""),"")</f>
        <v/>
      </c>
      <c r="T954" s="80" t="str">
        <f>IFERROR(__xludf.DUMMYFUNCTION("""COMPUTED_VALUE"""),"")</f>
        <v/>
      </c>
      <c r="U954" s="71" t="str">
        <f>IFERROR(__xludf.DUMMYFUNCTION("""COMPUTED_VALUE"""),"")</f>
        <v/>
      </c>
      <c r="V954" s="78" t="str">
        <f>IFERROR(__xludf.DUMMYFUNCTION("""COMPUTED_VALUE"""),"")</f>
        <v/>
      </c>
      <c r="W954" s="62" t="str">
        <f>IFERROR(__xludf.DUMMYFUNCTION("""COMPUTED_VALUE"""),"")</f>
        <v/>
      </c>
      <c r="X954" s="80" t="str">
        <f>IFERROR(__xludf.DUMMYFUNCTION("""COMPUTED_VALUE"""),"")</f>
        <v/>
      </c>
      <c r="Y954" s="109" t="str">
        <f>IFERROR(__xludf.DUMMYFUNCTION("""COMPUTED_VALUE"""),"")</f>
        <v/>
      </c>
      <c r="Z954" s="71"/>
      <c r="AA954" s="71"/>
      <c r="AB954" s="71"/>
    </row>
    <row r="955">
      <c r="A955" s="71"/>
      <c r="B955" s="71"/>
      <c r="C955" s="71" t="str">
        <f>IFERROR(__xludf.DUMMYFUNCTION("""COMPUTED_VALUE"""),"")</f>
        <v/>
      </c>
      <c r="D955" s="71"/>
      <c r="E955" s="78"/>
      <c r="F955" s="71"/>
      <c r="G955" s="78" t="str">
        <f>IFERROR(__xludf.DUMMYFUNCTION("""COMPUTED_VALUE"""),"")</f>
        <v/>
      </c>
      <c r="H955" s="71"/>
      <c r="I955" s="80" t="str">
        <f>IFERROR(__xludf.DUMMYFUNCTION("""COMPUTED_VALUE"""),"")</f>
        <v/>
      </c>
      <c r="J955" s="71" t="str">
        <f>IFERROR(__xludf.DUMMYFUNCTION("""COMPUTED_VALUE"""),"")</f>
        <v/>
      </c>
      <c r="K955" s="71"/>
      <c r="L955" s="71" t="str">
        <f>IFERROR(__xludf.DUMMYFUNCTION("""COMPUTED_VALUE"""),"")</f>
        <v/>
      </c>
      <c r="M955" s="71"/>
      <c r="N955" s="109" t="str">
        <f>IFERROR(__xludf.DUMMYFUNCTION("""COMPUTED_VALUE"""),"")</f>
        <v/>
      </c>
      <c r="O955" s="71" t="str">
        <f>IFERROR(__xludf.DUMMYFUNCTION("""COMPUTED_VALUE"""),"")</f>
        <v/>
      </c>
      <c r="P955" s="71" t="str">
        <f>IFERROR(__xludf.DUMMYFUNCTION("""COMPUTED_VALUE"""),"")</f>
        <v/>
      </c>
      <c r="Q955" s="78" t="str">
        <f>IFERROR(__xludf.DUMMYFUNCTION("""COMPUTED_VALUE"""),"")</f>
        <v/>
      </c>
      <c r="R955" s="78" t="str">
        <f>IFERROR(__xludf.DUMMYFUNCTION("""COMPUTED_VALUE"""),"")</f>
        <v/>
      </c>
      <c r="S955" s="80" t="str">
        <f>IFERROR(__xludf.DUMMYFUNCTION("""COMPUTED_VALUE"""),"")</f>
        <v/>
      </c>
      <c r="T955" s="80" t="str">
        <f>IFERROR(__xludf.DUMMYFUNCTION("""COMPUTED_VALUE"""),"")</f>
        <v/>
      </c>
      <c r="U955" s="71" t="str">
        <f>IFERROR(__xludf.DUMMYFUNCTION("""COMPUTED_VALUE"""),"")</f>
        <v/>
      </c>
      <c r="V955" s="78" t="str">
        <f>IFERROR(__xludf.DUMMYFUNCTION("""COMPUTED_VALUE"""),"")</f>
        <v/>
      </c>
      <c r="W955" s="62" t="str">
        <f>IFERROR(__xludf.DUMMYFUNCTION("""COMPUTED_VALUE"""),"")</f>
        <v/>
      </c>
      <c r="X955" s="80" t="str">
        <f>IFERROR(__xludf.DUMMYFUNCTION("""COMPUTED_VALUE"""),"")</f>
        <v/>
      </c>
      <c r="Y955" s="109" t="str">
        <f>IFERROR(__xludf.DUMMYFUNCTION("""COMPUTED_VALUE"""),"")</f>
        <v/>
      </c>
      <c r="Z955" s="71"/>
      <c r="AA955" s="71"/>
      <c r="AB955" s="71"/>
    </row>
    <row r="956">
      <c r="A956" s="71"/>
      <c r="B956" s="71"/>
      <c r="C956" s="71" t="str">
        <f>IFERROR(__xludf.DUMMYFUNCTION("""COMPUTED_VALUE"""),"")</f>
        <v/>
      </c>
      <c r="D956" s="71"/>
      <c r="E956" s="78"/>
      <c r="F956" s="71"/>
      <c r="G956" s="78" t="str">
        <f>IFERROR(__xludf.DUMMYFUNCTION("""COMPUTED_VALUE"""),"")</f>
        <v/>
      </c>
      <c r="H956" s="71"/>
      <c r="I956" s="80" t="str">
        <f>IFERROR(__xludf.DUMMYFUNCTION("""COMPUTED_VALUE"""),"")</f>
        <v/>
      </c>
      <c r="J956" s="71" t="str">
        <f>IFERROR(__xludf.DUMMYFUNCTION("""COMPUTED_VALUE"""),"")</f>
        <v/>
      </c>
      <c r="K956" s="71"/>
      <c r="L956" s="71" t="str">
        <f>IFERROR(__xludf.DUMMYFUNCTION("""COMPUTED_VALUE"""),"")</f>
        <v/>
      </c>
      <c r="M956" s="71"/>
      <c r="N956" s="109" t="str">
        <f>IFERROR(__xludf.DUMMYFUNCTION("""COMPUTED_VALUE"""),"")</f>
        <v/>
      </c>
      <c r="O956" s="71" t="str">
        <f>IFERROR(__xludf.DUMMYFUNCTION("""COMPUTED_VALUE"""),"")</f>
        <v/>
      </c>
      <c r="P956" s="71" t="str">
        <f>IFERROR(__xludf.DUMMYFUNCTION("""COMPUTED_VALUE"""),"")</f>
        <v/>
      </c>
      <c r="Q956" s="78" t="str">
        <f>IFERROR(__xludf.DUMMYFUNCTION("""COMPUTED_VALUE"""),"")</f>
        <v/>
      </c>
      <c r="R956" s="78" t="str">
        <f>IFERROR(__xludf.DUMMYFUNCTION("""COMPUTED_VALUE"""),"")</f>
        <v/>
      </c>
      <c r="S956" s="80" t="str">
        <f>IFERROR(__xludf.DUMMYFUNCTION("""COMPUTED_VALUE"""),"")</f>
        <v/>
      </c>
      <c r="T956" s="80" t="str">
        <f>IFERROR(__xludf.DUMMYFUNCTION("""COMPUTED_VALUE"""),"")</f>
        <v/>
      </c>
      <c r="U956" s="71" t="str">
        <f>IFERROR(__xludf.DUMMYFUNCTION("""COMPUTED_VALUE"""),"")</f>
        <v/>
      </c>
      <c r="V956" s="78" t="str">
        <f>IFERROR(__xludf.DUMMYFUNCTION("""COMPUTED_VALUE"""),"")</f>
        <v/>
      </c>
      <c r="W956" s="62" t="str">
        <f>IFERROR(__xludf.DUMMYFUNCTION("""COMPUTED_VALUE"""),"")</f>
        <v/>
      </c>
      <c r="X956" s="80" t="str">
        <f>IFERROR(__xludf.DUMMYFUNCTION("""COMPUTED_VALUE"""),"")</f>
        <v/>
      </c>
      <c r="Y956" s="109" t="str">
        <f>IFERROR(__xludf.DUMMYFUNCTION("""COMPUTED_VALUE"""),"")</f>
        <v/>
      </c>
      <c r="Z956" s="71"/>
      <c r="AA956" s="71"/>
      <c r="AB956" s="71"/>
    </row>
    <row r="957">
      <c r="A957" s="71"/>
      <c r="B957" s="71"/>
      <c r="C957" s="71" t="str">
        <f>IFERROR(__xludf.DUMMYFUNCTION("""COMPUTED_VALUE"""),"")</f>
        <v/>
      </c>
      <c r="D957" s="71"/>
      <c r="E957" s="78"/>
      <c r="F957" s="71"/>
      <c r="G957" s="78" t="str">
        <f>IFERROR(__xludf.DUMMYFUNCTION("""COMPUTED_VALUE"""),"")</f>
        <v/>
      </c>
      <c r="H957" s="71"/>
      <c r="I957" s="80" t="str">
        <f>IFERROR(__xludf.DUMMYFUNCTION("""COMPUTED_VALUE"""),"")</f>
        <v/>
      </c>
      <c r="J957" s="71" t="str">
        <f>IFERROR(__xludf.DUMMYFUNCTION("""COMPUTED_VALUE"""),"")</f>
        <v/>
      </c>
      <c r="K957" s="71"/>
      <c r="L957" s="71" t="str">
        <f>IFERROR(__xludf.DUMMYFUNCTION("""COMPUTED_VALUE"""),"")</f>
        <v/>
      </c>
      <c r="M957" s="71"/>
      <c r="N957" s="109" t="str">
        <f>IFERROR(__xludf.DUMMYFUNCTION("""COMPUTED_VALUE"""),"")</f>
        <v/>
      </c>
      <c r="O957" s="71" t="str">
        <f>IFERROR(__xludf.DUMMYFUNCTION("""COMPUTED_VALUE"""),"")</f>
        <v/>
      </c>
      <c r="P957" s="71" t="str">
        <f>IFERROR(__xludf.DUMMYFUNCTION("""COMPUTED_VALUE"""),"")</f>
        <v/>
      </c>
      <c r="Q957" s="78" t="str">
        <f>IFERROR(__xludf.DUMMYFUNCTION("""COMPUTED_VALUE"""),"")</f>
        <v/>
      </c>
      <c r="R957" s="78" t="str">
        <f>IFERROR(__xludf.DUMMYFUNCTION("""COMPUTED_VALUE"""),"")</f>
        <v/>
      </c>
      <c r="S957" s="80" t="str">
        <f>IFERROR(__xludf.DUMMYFUNCTION("""COMPUTED_VALUE"""),"")</f>
        <v/>
      </c>
      <c r="T957" s="80" t="str">
        <f>IFERROR(__xludf.DUMMYFUNCTION("""COMPUTED_VALUE"""),"")</f>
        <v/>
      </c>
      <c r="U957" s="71" t="str">
        <f>IFERROR(__xludf.DUMMYFUNCTION("""COMPUTED_VALUE"""),"")</f>
        <v/>
      </c>
      <c r="V957" s="78" t="str">
        <f>IFERROR(__xludf.DUMMYFUNCTION("""COMPUTED_VALUE"""),"")</f>
        <v/>
      </c>
      <c r="W957" s="62" t="str">
        <f>IFERROR(__xludf.DUMMYFUNCTION("""COMPUTED_VALUE"""),"")</f>
        <v/>
      </c>
      <c r="X957" s="80" t="str">
        <f>IFERROR(__xludf.DUMMYFUNCTION("""COMPUTED_VALUE"""),"")</f>
        <v/>
      </c>
      <c r="Y957" s="109" t="str">
        <f>IFERROR(__xludf.DUMMYFUNCTION("""COMPUTED_VALUE"""),"")</f>
        <v/>
      </c>
      <c r="Z957" s="71"/>
      <c r="AA957" s="71"/>
      <c r="AB957" s="71"/>
    </row>
    <row r="958">
      <c r="A958" s="71"/>
      <c r="B958" s="71"/>
      <c r="C958" s="71" t="str">
        <f>IFERROR(__xludf.DUMMYFUNCTION("""COMPUTED_VALUE"""),"")</f>
        <v/>
      </c>
      <c r="D958" s="71"/>
      <c r="E958" s="78"/>
      <c r="F958" s="71"/>
      <c r="G958" s="78" t="str">
        <f>IFERROR(__xludf.DUMMYFUNCTION("""COMPUTED_VALUE"""),"")</f>
        <v/>
      </c>
      <c r="H958" s="71"/>
      <c r="I958" s="80" t="str">
        <f>IFERROR(__xludf.DUMMYFUNCTION("""COMPUTED_VALUE"""),"")</f>
        <v/>
      </c>
      <c r="J958" s="71" t="str">
        <f>IFERROR(__xludf.DUMMYFUNCTION("""COMPUTED_VALUE"""),"")</f>
        <v/>
      </c>
      <c r="K958" s="71"/>
      <c r="L958" s="71" t="str">
        <f>IFERROR(__xludf.DUMMYFUNCTION("""COMPUTED_VALUE"""),"")</f>
        <v/>
      </c>
      <c r="M958" s="71"/>
      <c r="N958" s="109" t="str">
        <f>IFERROR(__xludf.DUMMYFUNCTION("""COMPUTED_VALUE"""),"")</f>
        <v/>
      </c>
      <c r="O958" s="71" t="str">
        <f>IFERROR(__xludf.DUMMYFUNCTION("""COMPUTED_VALUE"""),"")</f>
        <v/>
      </c>
      <c r="P958" s="71" t="str">
        <f>IFERROR(__xludf.DUMMYFUNCTION("""COMPUTED_VALUE"""),"")</f>
        <v/>
      </c>
      <c r="Q958" s="78" t="str">
        <f>IFERROR(__xludf.DUMMYFUNCTION("""COMPUTED_VALUE"""),"")</f>
        <v/>
      </c>
      <c r="R958" s="78" t="str">
        <f>IFERROR(__xludf.DUMMYFUNCTION("""COMPUTED_VALUE"""),"")</f>
        <v/>
      </c>
      <c r="S958" s="80" t="str">
        <f>IFERROR(__xludf.DUMMYFUNCTION("""COMPUTED_VALUE"""),"")</f>
        <v/>
      </c>
      <c r="T958" s="80" t="str">
        <f>IFERROR(__xludf.DUMMYFUNCTION("""COMPUTED_VALUE"""),"")</f>
        <v/>
      </c>
      <c r="U958" s="71" t="str">
        <f>IFERROR(__xludf.DUMMYFUNCTION("""COMPUTED_VALUE"""),"")</f>
        <v/>
      </c>
      <c r="V958" s="78" t="str">
        <f>IFERROR(__xludf.DUMMYFUNCTION("""COMPUTED_VALUE"""),"")</f>
        <v/>
      </c>
      <c r="W958" s="62" t="str">
        <f>IFERROR(__xludf.DUMMYFUNCTION("""COMPUTED_VALUE"""),"")</f>
        <v/>
      </c>
      <c r="X958" s="80" t="str">
        <f>IFERROR(__xludf.DUMMYFUNCTION("""COMPUTED_VALUE"""),"")</f>
        <v/>
      </c>
      <c r="Y958" s="109" t="str">
        <f>IFERROR(__xludf.DUMMYFUNCTION("""COMPUTED_VALUE"""),"")</f>
        <v/>
      </c>
      <c r="Z958" s="71"/>
      <c r="AA958" s="71"/>
      <c r="AB958" s="71"/>
    </row>
    <row r="959">
      <c r="A959" s="71"/>
      <c r="B959" s="71"/>
      <c r="C959" s="71" t="str">
        <f>IFERROR(__xludf.DUMMYFUNCTION("""COMPUTED_VALUE"""),"")</f>
        <v/>
      </c>
      <c r="D959" s="71"/>
      <c r="E959" s="78"/>
      <c r="F959" s="71"/>
      <c r="G959" s="78" t="str">
        <f>IFERROR(__xludf.DUMMYFUNCTION("""COMPUTED_VALUE"""),"")</f>
        <v/>
      </c>
      <c r="H959" s="71"/>
      <c r="I959" s="80" t="str">
        <f>IFERROR(__xludf.DUMMYFUNCTION("""COMPUTED_VALUE"""),"")</f>
        <v/>
      </c>
      <c r="J959" s="71" t="str">
        <f>IFERROR(__xludf.DUMMYFUNCTION("""COMPUTED_VALUE"""),"")</f>
        <v/>
      </c>
      <c r="K959" s="71"/>
      <c r="L959" s="71" t="str">
        <f>IFERROR(__xludf.DUMMYFUNCTION("""COMPUTED_VALUE"""),"")</f>
        <v/>
      </c>
      <c r="M959" s="71"/>
      <c r="N959" s="109" t="str">
        <f>IFERROR(__xludf.DUMMYFUNCTION("""COMPUTED_VALUE"""),"")</f>
        <v/>
      </c>
      <c r="O959" s="71" t="str">
        <f>IFERROR(__xludf.DUMMYFUNCTION("""COMPUTED_VALUE"""),"")</f>
        <v/>
      </c>
      <c r="P959" s="71" t="str">
        <f>IFERROR(__xludf.DUMMYFUNCTION("""COMPUTED_VALUE"""),"")</f>
        <v/>
      </c>
      <c r="Q959" s="78" t="str">
        <f>IFERROR(__xludf.DUMMYFUNCTION("""COMPUTED_VALUE"""),"")</f>
        <v/>
      </c>
      <c r="R959" s="78" t="str">
        <f>IFERROR(__xludf.DUMMYFUNCTION("""COMPUTED_VALUE"""),"")</f>
        <v/>
      </c>
      <c r="S959" s="80" t="str">
        <f>IFERROR(__xludf.DUMMYFUNCTION("""COMPUTED_VALUE"""),"")</f>
        <v/>
      </c>
      <c r="T959" s="80" t="str">
        <f>IFERROR(__xludf.DUMMYFUNCTION("""COMPUTED_VALUE"""),"")</f>
        <v/>
      </c>
      <c r="U959" s="71" t="str">
        <f>IFERROR(__xludf.DUMMYFUNCTION("""COMPUTED_VALUE"""),"")</f>
        <v/>
      </c>
      <c r="V959" s="78" t="str">
        <f>IFERROR(__xludf.DUMMYFUNCTION("""COMPUTED_VALUE"""),"")</f>
        <v/>
      </c>
      <c r="W959" s="62" t="str">
        <f>IFERROR(__xludf.DUMMYFUNCTION("""COMPUTED_VALUE"""),"")</f>
        <v/>
      </c>
      <c r="X959" s="80" t="str">
        <f>IFERROR(__xludf.DUMMYFUNCTION("""COMPUTED_VALUE"""),"")</f>
        <v/>
      </c>
      <c r="Y959" s="109" t="str">
        <f>IFERROR(__xludf.DUMMYFUNCTION("""COMPUTED_VALUE"""),"")</f>
        <v/>
      </c>
      <c r="Z959" s="71"/>
      <c r="AA959" s="71"/>
      <c r="AB959" s="71"/>
    </row>
    <row r="960">
      <c r="A960" s="71"/>
      <c r="B960" s="71"/>
      <c r="C960" s="71" t="str">
        <f>IFERROR(__xludf.DUMMYFUNCTION("""COMPUTED_VALUE"""),"")</f>
        <v/>
      </c>
      <c r="D960" s="71"/>
      <c r="E960" s="78"/>
      <c r="F960" s="71"/>
      <c r="G960" s="78" t="str">
        <f>IFERROR(__xludf.DUMMYFUNCTION("""COMPUTED_VALUE"""),"")</f>
        <v/>
      </c>
      <c r="H960" s="71"/>
      <c r="I960" s="80" t="str">
        <f>IFERROR(__xludf.DUMMYFUNCTION("""COMPUTED_VALUE"""),"")</f>
        <v/>
      </c>
      <c r="J960" s="71" t="str">
        <f>IFERROR(__xludf.DUMMYFUNCTION("""COMPUTED_VALUE"""),"")</f>
        <v/>
      </c>
      <c r="K960" s="71"/>
      <c r="L960" s="71" t="str">
        <f>IFERROR(__xludf.DUMMYFUNCTION("""COMPUTED_VALUE"""),"")</f>
        <v/>
      </c>
      <c r="M960" s="71"/>
      <c r="N960" s="109" t="str">
        <f>IFERROR(__xludf.DUMMYFUNCTION("""COMPUTED_VALUE"""),"")</f>
        <v/>
      </c>
      <c r="O960" s="71" t="str">
        <f>IFERROR(__xludf.DUMMYFUNCTION("""COMPUTED_VALUE"""),"")</f>
        <v/>
      </c>
      <c r="P960" s="71" t="str">
        <f>IFERROR(__xludf.DUMMYFUNCTION("""COMPUTED_VALUE"""),"")</f>
        <v/>
      </c>
      <c r="Q960" s="78" t="str">
        <f>IFERROR(__xludf.DUMMYFUNCTION("""COMPUTED_VALUE"""),"")</f>
        <v/>
      </c>
      <c r="R960" s="78" t="str">
        <f>IFERROR(__xludf.DUMMYFUNCTION("""COMPUTED_VALUE"""),"")</f>
        <v/>
      </c>
      <c r="S960" s="80" t="str">
        <f>IFERROR(__xludf.DUMMYFUNCTION("""COMPUTED_VALUE"""),"")</f>
        <v/>
      </c>
      <c r="T960" s="80" t="str">
        <f>IFERROR(__xludf.DUMMYFUNCTION("""COMPUTED_VALUE"""),"")</f>
        <v/>
      </c>
      <c r="U960" s="71" t="str">
        <f>IFERROR(__xludf.DUMMYFUNCTION("""COMPUTED_VALUE"""),"")</f>
        <v/>
      </c>
      <c r="V960" s="78" t="str">
        <f>IFERROR(__xludf.DUMMYFUNCTION("""COMPUTED_VALUE"""),"")</f>
        <v/>
      </c>
      <c r="W960" s="62" t="str">
        <f>IFERROR(__xludf.DUMMYFUNCTION("""COMPUTED_VALUE"""),"")</f>
        <v/>
      </c>
      <c r="X960" s="80" t="str">
        <f>IFERROR(__xludf.DUMMYFUNCTION("""COMPUTED_VALUE"""),"")</f>
        <v/>
      </c>
      <c r="Y960" s="109" t="str">
        <f>IFERROR(__xludf.DUMMYFUNCTION("""COMPUTED_VALUE"""),"")</f>
        <v/>
      </c>
      <c r="Z960" s="71"/>
      <c r="AA960" s="71"/>
      <c r="AB960" s="71"/>
    </row>
    <row r="961">
      <c r="A961" s="71"/>
      <c r="B961" s="71"/>
      <c r="C961" s="71" t="str">
        <f>IFERROR(__xludf.DUMMYFUNCTION("""COMPUTED_VALUE"""),"")</f>
        <v/>
      </c>
      <c r="D961" s="71"/>
      <c r="E961" s="78"/>
      <c r="F961" s="71"/>
      <c r="G961" s="78" t="str">
        <f>IFERROR(__xludf.DUMMYFUNCTION("""COMPUTED_VALUE"""),"")</f>
        <v/>
      </c>
      <c r="H961" s="71"/>
      <c r="I961" s="80" t="str">
        <f>IFERROR(__xludf.DUMMYFUNCTION("""COMPUTED_VALUE"""),"")</f>
        <v/>
      </c>
      <c r="J961" s="71" t="str">
        <f>IFERROR(__xludf.DUMMYFUNCTION("""COMPUTED_VALUE"""),"")</f>
        <v/>
      </c>
      <c r="K961" s="71"/>
      <c r="L961" s="71" t="str">
        <f>IFERROR(__xludf.DUMMYFUNCTION("""COMPUTED_VALUE"""),"")</f>
        <v/>
      </c>
      <c r="M961" s="71"/>
      <c r="N961" s="109" t="str">
        <f>IFERROR(__xludf.DUMMYFUNCTION("""COMPUTED_VALUE"""),"")</f>
        <v/>
      </c>
      <c r="O961" s="71" t="str">
        <f>IFERROR(__xludf.DUMMYFUNCTION("""COMPUTED_VALUE"""),"")</f>
        <v/>
      </c>
      <c r="P961" s="71" t="str">
        <f>IFERROR(__xludf.DUMMYFUNCTION("""COMPUTED_VALUE"""),"")</f>
        <v/>
      </c>
      <c r="Q961" s="78" t="str">
        <f>IFERROR(__xludf.DUMMYFUNCTION("""COMPUTED_VALUE"""),"")</f>
        <v/>
      </c>
      <c r="R961" s="78" t="str">
        <f>IFERROR(__xludf.DUMMYFUNCTION("""COMPUTED_VALUE"""),"")</f>
        <v/>
      </c>
      <c r="S961" s="80" t="str">
        <f>IFERROR(__xludf.DUMMYFUNCTION("""COMPUTED_VALUE"""),"")</f>
        <v/>
      </c>
      <c r="T961" s="80" t="str">
        <f>IFERROR(__xludf.DUMMYFUNCTION("""COMPUTED_VALUE"""),"")</f>
        <v/>
      </c>
      <c r="U961" s="71" t="str">
        <f>IFERROR(__xludf.DUMMYFUNCTION("""COMPUTED_VALUE"""),"")</f>
        <v/>
      </c>
      <c r="V961" s="78" t="str">
        <f>IFERROR(__xludf.DUMMYFUNCTION("""COMPUTED_VALUE"""),"")</f>
        <v/>
      </c>
      <c r="W961" s="62" t="str">
        <f>IFERROR(__xludf.DUMMYFUNCTION("""COMPUTED_VALUE"""),"")</f>
        <v/>
      </c>
      <c r="X961" s="80" t="str">
        <f>IFERROR(__xludf.DUMMYFUNCTION("""COMPUTED_VALUE"""),"")</f>
        <v/>
      </c>
      <c r="Y961" s="109" t="str">
        <f>IFERROR(__xludf.DUMMYFUNCTION("""COMPUTED_VALUE"""),"")</f>
        <v/>
      </c>
      <c r="Z961" s="71"/>
      <c r="AA961" s="71"/>
      <c r="AB961" s="71"/>
    </row>
    <row r="962">
      <c r="A962" s="71"/>
      <c r="B962" s="71"/>
      <c r="C962" s="71" t="str">
        <f>IFERROR(__xludf.DUMMYFUNCTION("""COMPUTED_VALUE"""),"")</f>
        <v/>
      </c>
      <c r="D962" s="71"/>
      <c r="E962" s="78"/>
      <c r="F962" s="71"/>
      <c r="G962" s="78" t="str">
        <f>IFERROR(__xludf.DUMMYFUNCTION("""COMPUTED_VALUE"""),"")</f>
        <v/>
      </c>
      <c r="H962" s="71"/>
      <c r="I962" s="80" t="str">
        <f>IFERROR(__xludf.DUMMYFUNCTION("""COMPUTED_VALUE"""),"")</f>
        <v/>
      </c>
      <c r="J962" s="71" t="str">
        <f>IFERROR(__xludf.DUMMYFUNCTION("""COMPUTED_VALUE"""),"")</f>
        <v/>
      </c>
      <c r="K962" s="71"/>
      <c r="L962" s="71" t="str">
        <f>IFERROR(__xludf.DUMMYFUNCTION("""COMPUTED_VALUE"""),"")</f>
        <v/>
      </c>
      <c r="M962" s="71"/>
      <c r="N962" s="109" t="str">
        <f>IFERROR(__xludf.DUMMYFUNCTION("""COMPUTED_VALUE"""),"")</f>
        <v/>
      </c>
      <c r="O962" s="71" t="str">
        <f>IFERROR(__xludf.DUMMYFUNCTION("""COMPUTED_VALUE"""),"")</f>
        <v/>
      </c>
      <c r="P962" s="71" t="str">
        <f>IFERROR(__xludf.DUMMYFUNCTION("""COMPUTED_VALUE"""),"")</f>
        <v/>
      </c>
      <c r="Q962" s="78" t="str">
        <f>IFERROR(__xludf.DUMMYFUNCTION("""COMPUTED_VALUE"""),"")</f>
        <v/>
      </c>
      <c r="R962" s="78" t="str">
        <f>IFERROR(__xludf.DUMMYFUNCTION("""COMPUTED_VALUE"""),"")</f>
        <v/>
      </c>
      <c r="S962" s="80" t="str">
        <f>IFERROR(__xludf.DUMMYFUNCTION("""COMPUTED_VALUE"""),"")</f>
        <v/>
      </c>
      <c r="T962" s="80" t="str">
        <f>IFERROR(__xludf.DUMMYFUNCTION("""COMPUTED_VALUE"""),"")</f>
        <v/>
      </c>
      <c r="U962" s="71" t="str">
        <f>IFERROR(__xludf.DUMMYFUNCTION("""COMPUTED_VALUE"""),"")</f>
        <v/>
      </c>
      <c r="V962" s="78" t="str">
        <f>IFERROR(__xludf.DUMMYFUNCTION("""COMPUTED_VALUE"""),"")</f>
        <v/>
      </c>
      <c r="W962" s="62" t="str">
        <f>IFERROR(__xludf.DUMMYFUNCTION("""COMPUTED_VALUE"""),"")</f>
        <v/>
      </c>
      <c r="X962" s="80" t="str">
        <f>IFERROR(__xludf.DUMMYFUNCTION("""COMPUTED_VALUE"""),"")</f>
        <v/>
      </c>
      <c r="Y962" s="109" t="str">
        <f>IFERROR(__xludf.DUMMYFUNCTION("""COMPUTED_VALUE"""),"")</f>
        <v/>
      </c>
      <c r="Z962" s="71"/>
      <c r="AA962" s="71"/>
      <c r="AB962" s="71"/>
    </row>
    <row r="963">
      <c r="A963" s="71"/>
      <c r="B963" s="71"/>
      <c r="C963" s="71" t="str">
        <f>IFERROR(__xludf.DUMMYFUNCTION("""COMPUTED_VALUE"""),"")</f>
        <v/>
      </c>
      <c r="D963" s="71"/>
      <c r="E963" s="78"/>
      <c r="F963" s="71"/>
      <c r="G963" s="78" t="str">
        <f>IFERROR(__xludf.DUMMYFUNCTION("""COMPUTED_VALUE"""),"")</f>
        <v/>
      </c>
      <c r="H963" s="71"/>
      <c r="I963" s="80" t="str">
        <f>IFERROR(__xludf.DUMMYFUNCTION("""COMPUTED_VALUE"""),"")</f>
        <v/>
      </c>
      <c r="J963" s="71" t="str">
        <f>IFERROR(__xludf.DUMMYFUNCTION("""COMPUTED_VALUE"""),"")</f>
        <v/>
      </c>
      <c r="K963" s="71"/>
      <c r="L963" s="71" t="str">
        <f>IFERROR(__xludf.DUMMYFUNCTION("""COMPUTED_VALUE"""),"")</f>
        <v/>
      </c>
      <c r="M963" s="71"/>
      <c r="N963" s="109" t="str">
        <f>IFERROR(__xludf.DUMMYFUNCTION("""COMPUTED_VALUE"""),"")</f>
        <v/>
      </c>
      <c r="O963" s="71" t="str">
        <f>IFERROR(__xludf.DUMMYFUNCTION("""COMPUTED_VALUE"""),"")</f>
        <v/>
      </c>
      <c r="P963" s="71" t="str">
        <f>IFERROR(__xludf.DUMMYFUNCTION("""COMPUTED_VALUE"""),"")</f>
        <v/>
      </c>
      <c r="Q963" s="78" t="str">
        <f>IFERROR(__xludf.DUMMYFUNCTION("""COMPUTED_VALUE"""),"")</f>
        <v/>
      </c>
      <c r="R963" s="78" t="str">
        <f>IFERROR(__xludf.DUMMYFUNCTION("""COMPUTED_VALUE"""),"")</f>
        <v/>
      </c>
      <c r="S963" s="80" t="str">
        <f>IFERROR(__xludf.DUMMYFUNCTION("""COMPUTED_VALUE"""),"")</f>
        <v/>
      </c>
      <c r="T963" s="80" t="str">
        <f>IFERROR(__xludf.DUMMYFUNCTION("""COMPUTED_VALUE"""),"")</f>
        <v/>
      </c>
      <c r="U963" s="71" t="str">
        <f>IFERROR(__xludf.DUMMYFUNCTION("""COMPUTED_VALUE"""),"")</f>
        <v/>
      </c>
      <c r="V963" s="78" t="str">
        <f>IFERROR(__xludf.DUMMYFUNCTION("""COMPUTED_VALUE"""),"")</f>
        <v/>
      </c>
      <c r="W963" s="62" t="str">
        <f>IFERROR(__xludf.DUMMYFUNCTION("""COMPUTED_VALUE"""),"")</f>
        <v/>
      </c>
      <c r="X963" s="80" t="str">
        <f>IFERROR(__xludf.DUMMYFUNCTION("""COMPUTED_VALUE"""),"")</f>
        <v/>
      </c>
      <c r="Y963" s="109" t="str">
        <f>IFERROR(__xludf.DUMMYFUNCTION("""COMPUTED_VALUE"""),"")</f>
        <v/>
      </c>
      <c r="Z963" s="71"/>
      <c r="AA963" s="71"/>
      <c r="AB963" s="71"/>
    </row>
    <row r="964">
      <c r="A964" s="71"/>
      <c r="B964" s="71"/>
      <c r="C964" s="71" t="str">
        <f>IFERROR(__xludf.DUMMYFUNCTION("""COMPUTED_VALUE"""),"")</f>
        <v/>
      </c>
      <c r="D964" s="71"/>
      <c r="E964" s="78"/>
      <c r="F964" s="71"/>
      <c r="G964" s="78" t="str">
        <f>IFERROR(__xludf.DUMMYFUNCTION("""COMPUTED_VALUE"""),"")</f>
        <v/>
      </c>
      <c r="H964" s="71"/>
      <c r="I964" s="80" t="str">
        <f>IFERROR(__xludf.DUMMYFUNCTION("""COMPUTED_VALUE"""),"")</f>
        <v/>
      </c>
      <c r="J964" s="71" t="str">
        <f>IFERROR(__xludf.DUMMYFUNCTION("""COMPUTED_VALUE"""),"")</f>
        <v/>
      </c>
      <c r="K964" s="71"/>
      <c r="L964" s="71" t="str">
        <f>IFERROR(__xludf.DUMMYFUNCTION("""COMPUTED_VALUE"""),"")</f>
        <v/>
      </c>
      <c r="M964" s="71"/>
      <c r="N964" s="109" t="str">
        <f>IFERROR(__xludf.DUMMYFUNCTION("""COMPUTED_VALUE"""),"")</f>
        <v/>
      </c>
      <c r="O964" s="71" t="str">
        <f>IFERROR(__xludf.DUMMYFUNCTION("""COMPUTED_VALUE"""),"")</f>
        <v/>
      </c>
      <c r="P964" s="71" t="str">
        <f>IFERROR(__xludf.DUMMYFUNCTION("""COMPUTED_VALUE"""),"")</f>
        <v/>
      </c>
      <c r="Q964" s="78" t="str">
        <f>IFERROR(__xludf.DUMMYFUNCTION("""COMPUTED_VALUE"""),"")</f>
        <v/>
      </c>
      <c r="R964" s="78" t="str">
        <f>IFERROR(__xludf.DUMMYFUNCTION("""COMPUTED_VALUE"""),"")</f>
        <v/>
      </c>
      <c r="S964" s="80" t="str">
        <f>IFERROR(__xludf.DUMMYFUNCTION("""COMPUTED_VALUE"""),"")</f>
        <v/>
      </c>
      <c r="T964" s="80" t="str">
        <f>IFERROR(__xludf.DUMMYFUNCTION("""COMPUTED_VALUE"""),"")</f>
        <v/>
      </c>
      <c r="U964" s="71" t="str">
        <f>IFERROR(__xludf.DUMMYFUNCTION("""COMPUTED_VALUE"""),"")</f>
        <v/>
      </c>
      <c r="V964" s="78" t="str">
        <f>IFERROR(__xludf.DUMMYFUNCTION("""COMPUTED_VALUE"""),"")</f>
        <v/>
      </c>
      <c r="W964" s="62" t="str">
        <f>IFERROR(__xludf.DUMMYFUNCTION("""COMPUTED_VALUE"""),"")</f>
        <v/>
      </c>
      <c r="X964" s="80" t="str">
        <f>IFERROR(__xludf.DUMMYFUNCTION("""COMPUTED_VALUE"""),"")</f>
        <v/>
      </c>
      <c r="Y964" s="109" t="str">
        <f>IFERROR(__xludf.DUMMYFUNCTION("""COMPUTED_VALUE"""),"")</f>
        <v/>
      </c>
      <c r="Z964" s="71"/>
      <c r="AA964" s="71"/>
      <c r="AB964" s="71"/>
    </row>
    <row r="965">
      <c r="A965" s="71"/>
      <c r="B965" s="71"/>
      <c r="C965" s="71" t="str">
        <f>IFERROR(__xludf.DUMMYFUNCTION("""COMPUTED_VALUE"""),"")</f>
        <v/>
      </c>
      <c r="D965" s="71"/>
      <c r="E965" s="78"/>
      <c r="F965" s="71"/>
      <c r="G965" s="78" t="str">
        <f>IFERROR(__xludf.DUMMYFUNCTION("""COMPUTED_VALUE"""),"")</f>
        <v/>
      </c>
      <c r="H965" s="71"/>
      <c r="I965" s="80" t="str">
        <f>IFERROR(__xludf.DUMMYFUNCTION("""COMPUTED_VALUE"""),"")</f>
        <v/>
      </c>
      <c r="J965" s="71" t="str">
        <f>IFERROR(__xludf.DUMMYFUNCTION("""COMPUTED_VALUE"""),"")</f>
        <v/>
      </c>
      <c r="K965" s="71"/>
      <c r="L965" s="71" t="str">
        <f>IFERROR(__xludf.DUMMYFUNCTION("""COMPUTED_VALUE"""),"")</f>
        <v/>
      </c>
      <c r="M965" s="71"/>
      <c r="N965" s="109" t="str">
        <f>IFERROR(__xludf.DUMMYFUNCTION("""COMPUTED_VALUE"""),"")</f>
        <v/>
      </c>
      <c r="O965" s="71" t="str">
        <f>IFERROR(__xludf.DUMMYFUNCTION("""COMPUTED_VALUE"""),"")</f>
        <v/>
      </c>
      <c r="P965" s="71" t="str">
        <f>IFERROR(__xludf.DUMMYFUNCTION("""COMPUTED_VALUE"""),"")</f>
        <v/>
      </c>
      <c r="Q965" s="78" t="str">
        <f>IFERROR(__xludf.DUMMYFUNCTION("""COMPUTED_VALUE"""),"")</f>
        <v/>
      </c>
      <c r="R965" s="78" t="str">
        <f>IFERROR(__xludf.DUMMYFUNCTION("""COMPUTED_VALUE"""),"")</f>
        <v/>
      </c>
      <c r="S965" s="80" t="str">
        <f>IFERROR(__xludf.DUMMYFUNCTION("""COMPUTED_VALUE"""),"")</f>
        <v/>
      </c>
      <c r="T965" s="80" t="str">
        <f>IFERROR(__xludf.DUMMYFUNCTION("""COMPUTED_VALUE"""),"")</f>
        <v/>
      </c>
      <c r="U965" s="71" t="str">
        <f>IFERROR(__xludf.DUMMYFUNCTION("""COMPUTED_VALUE"""),"")</f>
        <v/>
      </c>
      <c r="V965" s="78" t="str">
        <f>IFERROR(__xludf.DUMMYFUNCTION("""COMPUTED_VALUE"""),"")</f>
        <v/>
      </c>
      <c r="W965" s="62" t="str">
        <f>IFERROR(__xludf.DUMMYFUNCTION("""COMPUTED_VALUE"""),"")</f>
        <v/>
      </c>
      <c r="X965" s="80" t="str">
        <f>IFERROR(__xludf.DUMMYFUNCTION("""COMPUTED_VALUE"""),"")</f>
        <v/>
      </c>
      <c r="Y965" s="109" t="str">
        <f>IFERROR(__xludf.DUMMYFUNCTION("""COMPUTED_VALUE"""),"")</f>
        <v/>
      </c>
      <c r="Z965" s="71"/>
      <c r="AA965" s="71"/>
      <c r="AB965" s="71"/>
    </row>
    <row r="966">
      <c r="A966" s="71"/>
      <c r="B966" s="71"/>
      <c r="C966" s="71" t="str">
        <f>IFERROR(__xludf.DUMMYFUNCTION("""COMPUTED_VALUE"""),"")</f>
        <v/>
      </c>
      <c r="D966" s="71"/>
      <c r="E966" s="78"/>
      <c r="F966" s="71"/>
      <c r="G966" s="78" t="str">
        <f>IFERROR(__xludf.DUMMYFUNCTION("""COMPUTED_VALUE"""),"")</f>
        <v/>
      </c>
      <c r="H966" s="71"/>
      <c r="I966" s="80" t="str">
        <f>IFERROR(__xludf.DUMMYFUNCTION("""COMPUTED_VALUE"""),"")</f>
        <v/>
      </c>
      <c r="J966" s="71" t="str">
        <f>IFERROR(__xludf.DUMMYFUNCTION("""COMPUTED_VALUE"""),"")</f>
        <v/>
      </c>
      <c r="K966" s="71"/>
      <c r="L966" s="71" t="str">
        <f>IFERROR(__xludf.DUMMYFUNCTION("""COMPUTED_VALUE"""),"")</f>
        <v/>
      </c>
      <c r="M966" s="71"/>
      <c r="N966" s="109" t="str">
        <f>IFERROR(__xludf.DUMMYFUNCTION("""COMPUTED_VALUE"""),"")</f>
        <v/>
      </c>
      <c r="O966" s="71" t="str">
        <f>IFERROR(__xludf.DUMMYFUNCTION("""COMPUTED_VALUE"""),"")</f>
        <v/>
      </c>
      <c r="P966" s="71" t="str">
        <f>IFERROR(__xludf.DUMMYFUNCTION("""COMPUTED_VALUE"""),"")</f>
        <v/>
      </c>
      <c r="Q966" s="78" t="str">
        <f>IFERROR(__xludf.DUMMYFUNCTION("""COMPUTED_VALUE"""),"")</f>
        <v/>
      </c>
      <c r="R966" s="78" t="str">
        <f>IFERROR(__xludf.DUMMYFUNCTION("""COMPUTED_VALUE"""),"")</f>
        <v/>
      </c>
      <c r="S966" s="80" t="str">
        <f>IFERROR(__xludf.DUMMYFUNCTION("""COMPUTED_VALUE"""),"")</f>
        <v/>
      </c>
      <c r="T966" s="80" t="str">
        <f>IFERROR(__xludf.DUMMYFUNCTION("""COMPUTED_VALUE"""),"")</f>
        <v/>
      </c>
      <c r="U966" s="71" t="str">
        <f>IFERROR(__xludf.DUMMYFUNCTION("""COMPUTED_VALUE"""),"")</f>
        <v/>
      </c>
      <c r="V966" s="78" t="str">
        <f>IFERROR(__xludf.DUMMYFUNCTION("""COMPUTED_VALUE"""),"")</f>
        <v/>
      </c>
      <c r="W966" s="62" t="str">
        <f>IFERROR(__xludf.DUMMYFUNCTION("""COMPUTED_VALUE"""),"")</f>
        <v/>
      </c>
      <c r="X966" s="80" t="str">
        <f>IFERROR(__xludf.DUMMYFUNCTION("""COMPUTED_VALUE"""),"")</f>
        <v/>
      </c>
      <c r="Y966" s="109" t="str">
        <f>IFERROR(__xludf.DUMMYFUNCTION("""COMPUTED_VALUE"""),"")</f>
        <v/>
      </c>
      <c r="Z966" s="71"/>
      <c r="AA966" s="71"/>
      <c r="AB966" s="71"/>
    </row>
    <row r="967">
      <c r="A967" s="71"/>
      <c r="B967" s="71"/>
      <c r="C967" s="71" t="str">
        <f>IFERROR(__xludf.DUMMYFUNCTION("""COMPUTED_VALUE"""),"")</f>
        <v/>
      </c>
      <c r="D967" s="71"/>
      <c r="E967" s="78"/>
      <c r="F967" s="71"/>
      <c r="G967" s="78" t="str">
        <f>IFERROR(__xludf.DUMMYFUNCTION("""COMPUTED_VALUE"""),"")</f>
        <v/>
      </c>
      <c r="H967" s="71"/>
      <c r="I967" s="80" t="str">
        <f>IFERROR(__xludf.DUMMYFUNCTION("""COMPUTED_VALUE"""),"")</f>
        <v/>
      </c>
      <c r="J967" s="71" t="str">
        <f>IFERROR(__xludf.DUMMYFUNCTION("""COMPUTED_VALUE"""),"")</f>
        <v/>
      </c>
      <c r="K967" s="71"/>
      <c r="L967" s="71" t="str">
        <f>IFERROR(__xludf.DUMMYFUNCTION("""COMPUTED_VALUE"""),"")</f>
        <v/>
      </c>
      <c r="M967" s="71"/>
      <c r="N967" s="109" t="str">
        <f>IFERROR(__xludf.DUMMYFUNCTION("""COMPUTED_VALUE"""),"")</f>
        <v/>
      </c>
      <c r="O967" s="71" t="str">
        <f>IFERROR(__xludf.DUMMYFUNCTION("""COMPUTED_VALUE"""),"")</f>
        <v/>
      </c>
      <c r="P967" s="71" t="str">
        <f>IFERROR(__xludf.DUMMYFUNCTION("""COMPUTED_VALUE"""),"")</f>
        <v/>
      </c>
      <c r="Q967" s="78" t="str">
        <f>IFERROR(__xludf.DUMMYFUNCTION("""COMPUTED_VALUE"""),"")</f>
        <v/>
      </c>
      <c r="R967" s="78" t="str">
        <f>IFERROR(__xludf.DUMMYFUNCTION("""COMPUTED_VALUE"""),"")</f>
        <v/>
      </c>
      <c r="S967" s="80" t="str">
        <f>IFERROR(__xludf.DUMMYFUNCTION("""COMPUTED_VALUE"""),"")</f>
        <v/>
      </c>
      <c r="T967" s="80" t="str">
        <f>IFERROR(__xludf.DUMMYFUNCTION("""COMPUTED_VALUE"""),"")</f>
        <v/>
      </c>
      <c r="U967" s="71" t="str">
        <f>IFERROR(__xludf.DUMMYFUNCTION("""COMPUTED_VALUE"""),"")</f>
        <v/>
      </c>
      <c r="V967" s="78" t="str">
        <f>IFERROR(__xludf.DUMMYFUNCTION("""COMPUTED_VALUE"""),"")</f>
        <v/>
      </c>
      <c r="W967" s="62" t="str">
        <f>IFERROR(__xludf.DUMMYFUNCTION("""COMPUTED_VALUE"""),"")</f>
        <v/>
      </c>
      <c r="X967" s="80" t="str">
        <f>IFERROR(__xludf.DUMMYFUNCTION("""COMPUTED_VALUE"""),"")</f>
        <v/>
      </c>
      <c r="Y967" s="109" t="str">
        <f>IFERROR(__xludf.DUMMYFUNCTION("""COMPUTED_VALUE"""),"")</f>
        <v/>
      </c>
      <c r="Z967" s="71"/>
      <c r="AA967" s="71"/>
      <c r="AB967" s="71"/>
    </row>
    <row r="968">
      <c r="A968" s="71"/>
      <c r="B968" s="71"/>
      <c r="C968" s="71" t="str">
        <f>IFERROR(__xludf.DUMMYFUNCTION("""COMPUTED_VALUE"""),"")</f>
        <v/>
      </c>
      <c r="D968" s="71"/>
      <c r="E968" s="78"/>
      <c r="F968" s="71"/>
      <c r="G968" s="78" t="str">
        <f>IFERROR(__xludf.DUMMYFUNCTION("""COMPUTED_VALUE"""),"")</f>
        <v/>
      </c>
      <c r="H968" s="71"/>
      <c r="I968" s="80" t="str">
        <f>IFERROR(__xludf.DUMMYFUNCTION("""COMPUTED_VALUE"""),"")</f>
        <v/>
      </c>
      <c r="J968" s="71" t="str">
        <f>IFERROR(__xludf.DUMMYFUNCTION("""COMPUTED_VALUE"""),"")</f>
        <v/>
      </c>
      <c r="K968" s="71"/>
      <c r="L968" s="71" t="str">
        <f>IFERROR(__xludf.DUMMYFUNCTION("""COMPUTED_VALUE"""),"")</f>
        <v/>
      </c>
      <c r="M968" s="71"/>
      <c r="N968" s="109" t="str">
        <f>IFERROR(__xludf.DUMMYFUNCTION("""COMPUTED_VALUE"""),"")</f>
        <v/>
      </c>
      <c r="O968" s="71" t="str">
        <f>IFERROR(__xludf.DUMMYFUNCTION("""COMPUTED_VALUE"""),"")</f>
        <v/>
      </c>
      <c r="P968" s="71" t="str">
        <f>IFERROR(__xludf.DUMMYFUNCTION("""COMPUTED_VALUE"""),"")</f>
        <v/>
      </c>
      <c r="Q968" s="78" t="str">
        <f>IFERROR(__xludf.DUMMYFUNCTION("""COMPUTED_VALUE"""),"")</f>
        <v/>
      </c>
      <c r="R968" s="78" t="str">
        <f>IFERROR(__xludf.DUMMYFUNCTION("""COMPUTED_VALUE"""),"")</f>
        <v/>
      </c>
      <c r="S968" s="80" t="str">
        <f>IFERROR(__xludf.DUMMYFUNCTION("""COMPUTED_VALUE"""),"")</f>
        <v/>
      </c>
      <c r="T968" s="80" t="str">
        <f>IFERROR(__xludf.DUMMYFUNCTION("""COMPUTED_VALUE"""),"")</f>
        <v/>
      </c>
      <c r="U968" s="71" t="str">
        <f>IFERROR(__xludf.DUMMYFUNCTION("""COMPUTED_VALUE"""),"")</f>
        <v/>
      </c>
      <c r="V968" s="78" t="str">
        <f>IFERROR(__xludf.DUMMYFUNCTION("""COMPUTED_VALUE"""),"")</f>
        <v/>
      </c>
      <c r="W968" s="62" t="str">
        <f>IFERROR(__xludf.DUMMYFUNCTION("""COMPUTED_VALUE"""),"")</f>
        <v/>
      </c>
      <c r="X968" s="80" t="str">
        <f>IFERROR(__xludf.DUMMYFUNCTION("""COMPUTED_VALUE"""),"")</f>
        <v/>
      </c>
      <c r="Y968" s="109" t="str">
        <f>IFERROR(__xludf.DUMMYFUNCTION("""COMPUTED_VALUE"""),"")</f>
        <v/>
      </c>
      <c r="Z968" s="71"/>
      <c r="AA968" s="71"/>
      <c r="AB968" s="71"/>
    </row>
    <row r="969">
      <c r="A969" s="71"/>
      <c r="B969" s="71"/>
      <c r="C969" s="71" t="str">
        <f>IFERROR(__xludf.DUMMYFUNCTION("""COMPUTED_VALUE"""),"")</f>
        <v/>
      </c>
      <c r="D969" s="71"/>
      <c r="E969" s="78"/>
      <c r="F969" s="71"/>
      <c r="G969" s="78" t="str">
        <f>IFERROR(__xludf.DUMMYFUNCTION("""COMPUTED_VALUE"""),"")</f>
        <v/>
      </c>
      <c r="H969" s="71"/>
      <c r="I969" s="80" t="str">
        <f>IFERROR(__xludf.DUMMYFUNCTION("""COMPUTED_VALUE"""),"")</f>
        <v/>
      </c>
      <c r="J969" s="71" t="str">
        <f>IFERROR(__xludf.DUMMYFUNCTION("""COMPUTED_VALUE"""),"")</f>
        <v/>
      </c>
      <c r="K969" s="71"/>
      <c r="L969" s="71" t="str">
        <f>IFERROR(__xludf.DUMMYFUNCTION("""COMPUTED_VALUE"""),"")</f>
        <v/>
      </c>
      <c r="M969" s="71"/>
      <c r="N969" s="109" t="str">
        <f>IFERROR(__xludf.DUMMYFUNCTION("""COMPUTED_VALUE"""),"")</f>
        <v/>
      </c>
      <c r="O969" s="71" t="str">
        <f>IFERROR(__xludf.DUMMYFUNCTION("""COMPUTED_VALUE"""),"")</f>
        <v/>
      </c>
      <c r="P969" s="71" t="str">
        <f>IFERROR(__xludf.DUMMYFUNCTION("""COMPUTED_VALUE"""),"")</f>
        <v/>
      </c>
      <c r="Q969" s="78" t="str">
        <f>IFERROR(__xludf.DUMMYFUNCTION("""COMPUTED_VALUE"""),"")</f>
        <v/>
      </c>
      <c r="R969" s="78" t="str">
        <f>IFERROR(__xludf.DUMMYFUNCTION("""COMPUTED_VALUE"""),"")</f>
        <v/>
      </c>
      <c r="S969" s="80" t="str">
        <f>IFERROR(__xludf.DUMMYFUNCTION("""COMPUTED_VALUE"""),"")</f>
        <v/>
      </c>
      <c r="T969" s="80" t="str">
        <f>IFERROR(__xludf.DUMMYFUNCTION("""COMPUTED_VALUE"""),"")</f>
        <v/>
      </c>
      <c r="U969" s="71" t="str">
        <f>IFERROR(__xludf.DUMMYFUNCTION("""COMPUTED_VALUE"""),"")</f>
        <v/>
      </c>
      <c r="V969" s="78" t="str">
        <f>IFERROR(__xludf.DUMMYFUNCTION("""COMPUTED_VALUE"""),"")</f>
        <v/>
      </c>
      <c r="W969" s="62" t="str">
        <f>IFERROR(__xludf.DUMMYFUNCTION("""COMPUTED_VALUE"""),"")</f>
        <v/>
      </c>
      <c r="X969" s="80" t="str">
        <f>IFERROR(__xludf.DUMMYFUNCTION("""COMPUTED_VALUE"""),"")</f>
        <v/>
      </c>
      <c r="Y969" s="109" t="str">
        <f>IFERROR(__xludf.DUMMYFUNCTION("""COMPUTED_VALUE"""),"")</f>
        <v/>
      </c>
      <c r="Z969" s="71"/>
      <c r="AA969" s="71"/>
      <c r="AB969" s="71"/>
    </row>
    <row r="970">
      <c r="A970" s="71"/>
      <c r="B970" s="71"/>
      <c r="C970" s="71" t="str">
        <f>IFERROR(__xludf.DUMMYFUNCTION("""COMPUTED_VALUE"""),"")</f>
        <v/>
      </c>
      <c r="D970" s="71"/>
      <c r="E970" s="78"/>
      <c r="F970" s="71"/>
      <c r="G970" s="78" t="str">
        <f>IFERROR(__xludf.DUMMYFUNCTION("""COMPUTED_VALUE"""),"")</f>
        <v/>
      </c>
      <c r="H970" s="71"/>
      <c r="I970" s="80" t="str">
        <f>IFERROR(__xludf.DUMMYFUNCTION("""COMPUTED_VALUE"""),"")</f>
        <v/>
      </c>
      <c r="J970" s="71" t="str">
        <f>IFERROR(__xludf.DUMMYFUNCTION("""COMPUTED_VALUE"""),"")</f>
        <v/>
      </c>
      <c r="K970" s="71"/>
      <c r="L970" s="71" t="str">
        <f>IFERROR(__xludf.DUMMYFUNCTION("""COMPUTED_VALUE"""),"")</f>
        <v/>
      </c>
      <c r="M970" s="71"/>
      <c r="N970" s="109" t="str">
        <f>IFERROR(__xludf.DUMMYFUNCTION("""COMPUTED_VALUE"""),"")</f>
        <v/>
      </c>
      <c r="O970" s="71" t="str">
        <f>IFERROR(__xludf.DUMMYFUNCTION("""COMPUTED_VALUE"""),"")</f>
        <v/>
      </c>
      <c r="P970" s="71" t="str">
        <f>IFERROR(__xludf.DUMMYFUNCTION("""COMPUTED_VALUE"""),"")</f>
        <v/>
      </c>
      <c r="Q970" s="78" t="str">
        <f>IFERROR(__xludf.DUMMYFUNCTION("""COMPUTED_VALUE"""),"")</f>
        <v/>
      </c>
      <c r="R970" s="78" t="str">
        <f>IFERROR(__xludf.DUMMYFUNCTION("""COMPUTED_VALUE"""),"")</f>
        <v/>
      </c>
      <c r="S970" s="80" t="str">
        <f>IFERROR(__xludf.DUMMYFUNCTION("""COMPUTED_VALUE"""),"")</f>
        <v/>
      </c>
      <c r="T970" s="80" t="str">
        <f>IFERROR(__xludf.DUMMYFUNCTION("""COMPUTED_VALUE"""),"")</f>
        <v/>
      </c>
      <c r="U970" s="71" t="str">
        <f>IFERROR(__xludf.DUMMYFUNCTION("""COMPUTED_VALUE"""),"")</f>
        <v/>
      </c>
      <c r="V970" s="78" t="str">
        <f>IFERROR(__xludf.DUMMYFUNCTION("""COMPUTED_VALUE"""),"")</f>
        <v/>
      </c>
      <c r="W970" s="62" t="str">
        <f>IFERROR(__xludf.DUMMYFUNCTION("""COMPUTED_VALUE"""),"")</f>
        <v/>
      </c>
      <c r="X970" s="80" t="str">
        <f>IFERROR(__xludf.DUMMYFUNCTION("""COMPUTED_VALUE"""),"")</f>
        <v/>
      </c>
      <c r="Y970" s="109" t="str">
        <f>IFERROR(__xludf.DUMMYFUNCTION("""COMPUTED_VALUE"""),"")</f>
        <v/>
      </c>
      <c r="Z970" s="71"/>
      <c r="AA970" s="71"/>
      <c r="AB970" s="71"/>
    </row>
    <row r="971">
      <c r="A971" s="71"/>
      <c r="B971" s="71"/>
      <c r="C971" s="71" t="str">
        <f>IFERROR(__xludf.DUMMYFUNCTION("""COMPUTED_VALUE"""),"")</f>
        <v/>
      </c>
      <c r="D971" s="71"/>
      <c r="E971" s="78"/>
      <c r="F971" s="71"/>
      <c r="G971" s="78" t="str">
        <f>IFERROR(__xludf.DUMMYFUNCTION("""COMPUTED_VALUE"""),"")</f>
        <v/>
      </c>
      <c r="H971" s="71"/>
      <c r="I971" s="80" t="str">
        <f>IFERROR(__xludf.DUMMYFUNCTION("""COMPUTED_VALUE"""),"")</f>
        <v/>
      </c>
      <c r="J971" s="71" t="str">
        <f>IFERROR(__xludf.DUMMYFUNCTION("""COMPUTED_VALUE"""),"")</f>
        <v/>
      </c>
      <c r="K971" s="71"/>
      <c r="L971" s="71" t="str">
        <f>IFERROR(__xludf.DUMMYFUNCTION("""COMPUTED_VALUE"""),"")</f>
        <v/>
      </c>
      <c r="M971" s="71"/>
      <c r="N971" s="109" t="str">
        <f>IFERROR(__xludf.DUMMYFUNCTION("""COMPUTED_VALUE"""),"")</f>
        <v/>
      </c>
      <c r="O971" s="71" t="str">
        <f>IFERROR(__xludf.DUMMYFUNCTION("""COMPUTED_VALUE"""),"")</f>
        <v/>
      </c>
      <c r="P971" s="71" t="str">
        <f>IFERROR(__xludf.DUMMYFUNCTION("""COMPUTED_VALUE"""),"")</f>
        <v/>
      </c>
      <c r="Q971" s="78" t="str">
        <f>IFERROR(__xludf.DUMMYFUNCTION("""COMPUTED_VALUE"""),"")</f>
        <v/>
      </c>
      <c r="R971" s="78" t="str">
        <f>IFERROR(__xludf.DUMMYFUNCTION("""COMPUTED_VALUE"""),"")</f>
        <v/>
      </c>
      <c r="S971" s="80" t="str">
        <f>IFERROR(__xludf.DUMMYFUNCTION("""COMPUTED_VALUE"""),"")</f>
        <v/>
      </c>
      <c r="T971" s="80" t="str">
        <f>IFERROR(__xludf.DUMMYFUNCTION("""COMPUTED_VALUE"""),"")</f>
        <v/>
      </c>
      <c r="U971" s="71" t="str">
        <f>IFERROR(__xludf.DUMMYFUNCTION("""COMPUTED_VALUE"""),"")</f>
        <v/>
      </c>
      <c r="V971" s="78" t="str">
        <f>IFERROR(__xludf.DUMMYFUNCTION("""COMPUTED_VALUE"""),"")</f>
        <v/>
      </c>
      <c r="W971" s="62" t="str">
        <f>IFERROR(__xludf.DUMMYFUNCTION("""COMPUTED_VALUE"""),"")</f>
        <v/>
      </c>
      <c r="X971" s="80" t="str">
        <f>IFERROR(__xludf.DUMMYFUNCTION("""COMPUTED_VALUE"""),"")</f>
        <v/>
      </c>
      <c r="Y971" s="109" t="str">
        <f>IFERROR(__xludf.DUMMYFUNCTION("""COMPUTED_VALUE"""),"")</f>
        <v/>
      </c>
      <c r="Z971" s="71"/>
      <c r="AA971" s="71"/>
      <c r="AB971" s="71"/>
    </row>
    <row r="972">
      <c r="A972" s="71"/>
      <c r="B972" s="71"/>
      <c r="C972" s="71" t="str">
        <f>IFERROR(__xludf.DUMMYFUNCTION("""COMPUTED_VALUE"""),"")</f>
        <v/>
      </c>
      <c r="D972" s="71"/>
      <c r="E972" s="78"/>
      <c r="F972" s="71"/>
      <c r="G972" s="78" t="str">
        <f>IFERROR(__xludf.DUMMYFUNCTION("""COMPUTED_VALUE"""),"")</f>
        <v/>
      </c>
      <c r="H972" s="71"/>
      <c r="I972" s="80" t="str">
        <f>IFERROR(__xludf.DUMMYFUNCTION("""COMPUTED_VALUE"""),"")</f>
        <v/>
      </c>
      <c r="J972" s="71" t="str">
        <f>IFERROR(__xludf.DUMMYFUNCTION("""COMPUTED_VALUE"""),"")</f>
        <v/>
      </c>
      <c r="K972" s="71"/>
      <c r="L972" s="71" t="str">
        <f>IFERROR(__xludf.DUMMYFUNCTION("""COMPUTED_VALUE"""),"")</f>
        <v/>
      </c>
      <c r="M972" s="71"/>
      <c r="N972" s="109" t="str">
        <f>IFERROR(__xludf.DUMMYFUNCTION("""COMPUTED_VALUE"""),"")</f>
        <v/>
      </c>
      <c r="O972" s="71" t="str">
        <f>IFERROR(__xludf.DUMMYFUNCTION("""COMPUTED_VALUE"""),"")</f>
        <v/>
      </c>
      <c r="P972" s="71" t="str">
        <f>IFERROR(__xludf.DUMMYFUNCTION("""COMPUTED_VALUE"""),"")</f>
        <v/>
      </c>
      <c r="Q972" s="78" t="str">
        <f>IFERROR(__xludf.DUMMYFUNCTION("""COMPUTED_VALUE"""),"")</f>
        <v/>
      </c>
      <c r="R972" s="78" t="str">
        <f>IFERROR(__xludf.DUMMYFUNCTION("""COMPUTED_VALUE"""),"")</f>
        <v/>
      </c>
      <c r="S972" s="80" t="str">
        <f>IFERROR(__xludf.DUMMYFUNCTION("""COMPUTED_VALUE"""),"")</f>
        <v/>
      </c>
      <c r="T972" s="80" t="str">
        <f>IFERROR(__xludf.DUMMYFUNCTION("""COMPUTED_VALUE"""),"")</f>
        <v/>
      </c>
      <c r="U972" s="71" t="str">
        <f>IFERROR(__xludf.DUMMYFUNCTION("""COMPUTED_VALUE"""),"")</f>
        <v/>
      </c>
      <c r="V972" s="78" t="str">
        <f>IFERROR(__xludf.DUMMYFUNCTION("""COMPUTED_VALUE"""),"")</f>
        <v/>
      </c>
      <c r="W972" s="62" t="str">
        <f>IFERROR(__xludf.DUMMYFUNCTION("""COMPUTED_VALUE"""),"")</f>
        <v/>
      </c>
      <c r="X972" s="80" t="str">
        <f>IFERROR(__xludf.DUMMYFUNCTION("""COMPUTED_VALUE"""),"")</f>
        <v/>
      </c>
      <c r="Y972" s="109" t="str">
        <f>IFERROR(__xludf.DUMMYFUNCTION("""COMPUTED_VALUE"""),"")</f>
        <v/>
      </c>
      <c r="Z972" s="71"/>
      <c r="AA972" s="71"/>
      <c r="AB972" s="71"/>
    </row>
    <row r="973">
      <c r="A973" s="71"/>
      <c r="B973" s="71"/>
      <c r="C973" s="71" t="str">
        <f>IFERROR(__xludf.DUMMYFUNCTION("""COMPUTED_VALUE"""),"")</f>
        <v/>
      </c>
      <c r="D973" s="71"/>
      <c r="E973" s="78"/>
      <c r="F973" s="71"/>
      <c r="G973" s="78" t="str">
        <f>IFERROR(__xludf.DUMMYFUNCTION("""COMPUTED_VALUE"""),"")</f>
        <v/>
      </c>
      <c r="H973" s="71"/>
      <c r="I973" s="80" t="str">
        <f>IFERROR(__xludf.DUMMYFUNCTION("""COMPUTED_VALUE"""),"")</f>
        <v/>
      </c>
      <c r="J973" s="71" t="str">
        <f>IFERROR(__xludf.DUMMYFUNCTION("""COMPUTED_VALUE"""),"")</f>
        <v/>
      </c>
      <c r="K973" s="71"/>
      <c r="L973" s="71" t="str">
        <f>IFERROR(__xludf.DUMMYFUNCTION("""COMPUTED_VALUE"""),"")</f>
        <v/>
      </c>
      <c r="M973" s="71"/>
      <c r="N973" s="109" t="str">
        <f>IFERROR(__xludf.DUMMYFUNCTION("""COMPUTED_VALUE"""),"")</f>
        <v/>
      </c>
      <c r="O973" s="71" t="str">
        <f>IFERROR(__xludf.DUMMYFUNCTION("""COMPUTED_VALUE"""),"")</f>
        <v/>
      </c>
      <c r="P973" s="71" t="str">
        <f>IFERROR(__xludf.DUMMYFUNCTION("""COMPUTED_VALUE"""),"")</f>
        <v/>
      </c>
      <c r="Q973" s="78" t="str">
        <f>IFERROR(__xludf.DUMMYFUNCTION("""COMPUTED_VALUE"""),"")</f>
        <v/>
      </c>
      <c r="R973" s="78" t="str">
        <f>IFERROR(__xludf.DUMMYFUNCTION("""COMPUTED_VALUE"""),"")</f>
        <v/>
      </c>
      <c r="S973" s="80" t="str">
        <f>IFERROR(__xludf.DUMMYFUNCTION("""COMPUTED_VALUE"""),"")</f>
        <v/>
      </c>
      <c r="T973" s="80" t="str">
        <f>IFERROR(__xludf.DUMMYFUNCTION("""COMPUTED_VALUE"""),"")</f>
        <v/>
      </c>
      <c r="U973" s="71" t="str">
        <f>IFERROR(__xludf.DUMMYFUNCTION("""COMPUTED_VALUE"""),"")</f>
        <v/>
      </c>
      <c r="V973" s="78" t="str">
        <f>IFERROR(__xludf.DUMMYFUNCTION("""COMPUTED_VALUE"""),"")</f>
        <v/>
      </c>
      <c r="W973" s="62" t="str">
        <f>IFERROR(__xludf.DUMMYFUNCTION("""COMPUTED_VALUE"""),"")</f>
        <v/>
      </c>
      <c r="X973" s="80" t="str">
        <f>IFERROR(__xludf.DUMMYFUNCTION("""COMPUTED_VALUE"""),"")</f>
        <v/>
      </c>
      <c r="Y973" s="109" t="str">
        <f>IFERROR(__xludf.DUMMYFUNCTION("""COMPUTED_VALUE"""),"")</f>
        <v/>
      </c>
      <c r="Z973" s="71"/>
      <c r="AA973" s="71"/>
      <c r="AB973" s="71"/>
    </row>
    <row r="974">
      <c r="A974" s="71"/>
      <c r="B974" s="71"/>
      <c r="C974" s="71" t="str">
        <f>IFERROR(__xludf.DUMMYFUNCTION("""COMPUTED_VALUE"""),"")</f>
        <v/>
      </c>
      <c r="D974" s="71"/>
      <c r="E974" s="78"/>
      <c r="F974" s="71"/>
      <c r="G974" s="78" t="str">
        <f>IFERROR(__xludf.DUMMYFUNCTION("""COMPUTED_VALUE"""),"")</f>
        <v/>
      </c>
      <c r="H974" s="71"/>
      <c r="I974" s="80" t="str">
        <f>IFERROR(__xludf.DUMMYFUNCTION("""COMPUTED_VALUE"""),"")</f>
        <v/>
      </c>
      <c r="J974" s="71" t="str">
        <f>IFERROR(__xludf.DUMMYFUNCTION("""COMPUTED_VALUE"""),"")</f>
        <v/>
      </c>
      <c r="K974" s="71"/>
      <c r="L974" s="71" t="str">
        <f>IFERROR(__xludf.DUMMYFUNCTION("""COMPUTED_VALUE"""),"")</f>
        <v/>
      </c>
      <c r="M974" s="71"/>
      <c r="N974" s="109" t="str">
        <f>IFERROR(__xludf.DUMMYFUNCTION("""COMPUTED_VALUE"""),"")</f>
        <v/>
      </c>
      <c r="O974" s="71" t="str">
        <f>IFERROR(__xludf.DUMMYFUNCTION("""COMPUTED_VALUE"""),"")</f>
        <v/>
      </c>
      <c r="P974" s="71" t="str">
        <f>IFERROR(__xludf.DUMMYFUNCTION("""COMPUTED_VALUE"""),"")</f>
        <v/>
      </c>
      <c r="Q974" s="78" t="str">
        <f>IFERROR(__xludf.DUMMYFUNCTION("""COMPUTED_VALUE"""),"")</f>
        <v/>
      </c>
      <c r="R974" s="78" t="str">
        <f>IFERROR(__xludf.DUMMYFUNCTION("""COMPUTED_VALUE"""),"")</f>
        <v/>
      </c>
      <c r="S974" s="80" t="str">
        <f>IFERROR(__xludf.DUMMYFUNCTION("""COMPUTED_VALUE"""),"")</f>
        <v/>
      </c>
      <c r="T974" s="80" t="str">
        <f>IFERROR(__xludf.DUMMYFUNCTION("""COMPUTED_VALUE"""),"")</f>
        <v/>
      </c>
      <c r="U974" s="71" t="str">
        <f>IFERROR(__xludf.DUMMYFUNCTION("""COMPUTED_VALUE"""),"")</f>
        <v/>
      </c>
      <c r="V974" s="78" t="str">
        <f>IFERROR(__xludf.DUMMYFUNCTION("""COMPUTED_VALUE"""),"")</f>
        <v/>
      </c>
      <c r="W974" s="62" t="str">
        <f>IFERROR(__xludf.DUMMYFUNCTION("""COMPUTED_VALUE"""),"")</f>
        <v/>
      </c>
      <c r="X974" s="80" t="str">
        <f>IFERROR(__xludf.DUMMYFUNCTION("""COMPUTED_VALUE"""),"")</f>
        <v/>
      </c>
      <c r="Y974" s="109" t="str">
        <f>IFERROR(__xludf.DUMMYFUNCTION("""COMPUTED_VALUE"""),"")</f>
        <v/>
      </c>
      <c r="Z974" s="71"/>
      <c r="AA974" s="71"/>
      <c r="AB974" s="71"/>
    </row>
    <row r="975">
      <c r="A975" s="71"/>
      <c r="B975" s="71"/>
      <c r="C975" s="71" t="str">
        <f>IFERROR(__xludf.DUMMYFUNCTION("""COMPUTED_VALUE"""),"")</f>
        <v/>
      </c>
      <c r="D975" s="71"/>
      <c r="E975" s="78"/>
      <c r="F975" s="71"/>
      <c r="G975" s="78" t="str">
        <f>IFERROR(__xludf.DUMMYFUNCTION("""COMPUTED_VALUE"""),"")</f>
        <v/>
      </c>
      <c r="H975" s="71"/>
      <c r="I975" s="80" t="str">
        <f>IFERROR(__xludf.DUMMYFUNCTION("""COMPUTED_VALUE"""),"")</f>
        <v/>
      </c>
      <c r="J975" s="71" t="str">
        <f>IFERROR(__xludf.DUMMYFUNCTION("""COMPUTED_VALUE"""),"")</f>
        <v/>
      </c>
      <c r="K975" s="71"/>
      <c r="L975" s="71" t="str">
        <f>IFERROR(__xludf.DUMMYFUNCTION("""COMPUTED_VALUE"""),"")</f>
        <v/>
      </c>
      <c r="M975" s="71"/>
      <c r="N975" s="109" t="str">
        <f>IFERROR(__xludf.DUMMYFUNCTION("""COMPUTED_VALUE"""),"")</f>
        <v/>
      </c>
      <c r="O975" s="71" t="str">
        <f>IFERROR(__xludf.DUMMYFUNCTION("""COMPUTED_VALUE"""),"")</f>
        <v/>
      </c>
      <c r="P975" s="71" t="str">
        <f>IFERROR(__xludf.DUMMYFUNCTION("""COMPUTED_VALUE"""),"")</f>
        <v/>
      </c>
      <c r="Q975" s="78" t="str">
        <f>IFERROR(__xludf.DUMMYFUNCTION("""COMPUTED_VALUE"""),"")</f>
        <v/>
      </c>
      <c r="R975" s="78" t="str">
        <f>IFERROR(__xludf.DUMMYFUNCTION("""COMPUTED_VALUE"""),"")</f>
        <v/>
      </c>
      <c r="S975" s="80" t="str">
        <f>IFERROR(__xludf.DUMMYFUNCTION("""COMPUTED_VALUE"""),"")</f>
        <v/>
      </c>
      <c r="T975" s="80" t="str">
        <f>IFERROR(__xludf.DUMMYFUNCTION("""COMPUTED_VALUE"""),"")</f>
        <v/>
      </c>
      <c r="U975" s="71" t="str">
        <f>IFERROR(__xludf.DUMMYFUNCTION("""COMPUTED_VALUE"""),"")</f>
        <v/>
      </c>
      <c r="V975" s="78" t="str">
        <f>IFERROR(__xludf.DUMMYFUNCTION("""COMPUTED_VALUE"""),"")</f>
        <v/>
      </c>
      <c r="W975" s="62" t="str">
        <f>IFERROR(__xludf.DUMMYFUNCTION("""COMPUTED_VALUE"""),"")</f>
        <v/>
      </c>
      <c r="X975" s="80" t="str">
        <f>IFERROR(__xludf.DUMMYFUNCTION("""COMPUTED_VALUE"""),"")</f>
        <v/>
      </c>
      <c r="Y975" s="109" t="str">
        <f>IFERROR(__xludf.DUMMYFUNCTION("""COMPUTED_VALUE"""),"")</f>
        <v/>
      </c>
      <c r="Z975" s="71"/>
      <c r="AA975" s="71"/>
      <c r="AB975" s="71"/>
    </row>
    <row r="976">
      <c r="A976" s="71"/>
      <c r="B976" s="71"/>
      <c r="C976" s="71" t="str">
        <f>IFERROR(__xludf.DUMMYFUNCTION("""COMPUTED_VALUE"""),"")</f>
        <v/>
      </c>
      <c r="D976" s="71"/>
      <c r="E976" s="78"/>
      <c r="F976" s="71"/>
      <c r="G976" s="78" t="str">
        <f>IFERROR(__xludf.DUMMYFUNCTION("""COMPUTED_VALUE"""),"")</f>
        <v/>
      </c>
      <c r="H976" s="71"/>
      <c r="I976" s="80" t="str">
        <f>IFERROR(__xludf.DUMMYFUNCTION("""COMPUTED_VALUE"""),"")</f>
        <v/>
      </c>
      <c r="J976" s="71" t="str">
        <f>IFERROR(__xludf.DUMMYFUNCTION("""COMPUTED_VALUE"""),"")</f>
        <v/>
      </c>
      <c r="K976" s="71"/>
      <c r="L976" s="71" t="str">
        <f>IFERROR(__xludf.DUMMYFUNCTION("""COMPUTED_VALUE"""),"")</f>
        <v/>
      </c>
      <c r="M976" s="71"/>
      <c r="N976" s="109" t="str">
        <f>IFERROR(__xludf.DUMMYFUNCTION("""COMPUTED_VALUE"""),"")</f>
        <v/>
      </c>
      <c r="O976" s="71" t="str">
        <f>IFERROR(__xludf.DUMMYFUNCTION("""COMPUTED_VALUE"""),"")</f>
        <v/>
      </c>
      <c r="P976" s="71" t="str">
        <f>IFERROR(__xludf.DUMMYFUNCTION("""COMPUTED_VALUE"""),"")</f>
        <v/>
      </c>
      <c r="Q976" s="78" t="str">
        <f>IFERROR(__xludf.DUMMYFUNCTION("""COMPUTED_VALUE"""),"")</f>
        <v/>
      </c>
      <c r="R976" s="78" t="str">
        <f>IFERROR(__xludf.DUMMYFUNCTION("""COMPUTED_VALUE"""),"")</f>
        <v/>
      </c>
      <c r="S976" s="80" t="str">
        <f>IFERROR(__xludf.DUMMYFUNCTION("""COMPUTED_VALUE"""),"")</f>
        <v/>
      </c>
      <c r="T976" s="80" t="str">
        <f>IFERROR(__xludf.DUMMYFUNCTION("""COMPUTED_VALUE"""),"")</f>
        <v/>
      </c>
      <c r="U976" s="71" t="str">
        <f>IFERROR(__xludf.DUMMYFUNCTION("""COMPUTED_VALUE"""),"")</f>
        <v/>
      </c>
      <c r="V976" s="78" t="str">
        <f>IFERROR(__xludf.DUMMYFUNCTION("""COMPUTED_VALUE"""),"")</f>
        <v/>
      </c>
      <c r="W976" s="62" t="str">
        <f>IFERROR(__xludf.DUMMYFUNCTION("""COMPUTED_VALUE"""),"")</f>
        <v/>
      </c>
      <c r="X976" s="80" t="str">
        <f>IFERROR(__xludf.DUMMYFUNCTION("""COMPUTED_VALUE"""),"")</f>
        <v/>
      </c>
      <c r="Y976" s="109" t="str">
        <f>IFERROR(__xludf.DUMMYFUNCTION("""COMPUTED_VALUE"""),"")</f>
        <v/>
      </c>
      <c r="Z976" s="71"/>
      <c r="AA976" s="71"/>
      <c r="AB976" s="71"/>
    </row>
    <row r="977">
      <c r="A977" s="71"/>
      <c r="B977" s="71"/>
      <c r="C977" s="71" t="str">
        <f>IFERROR(__xludf.DUMMYFUNCTION("""COMPUTED_VALUE"""),"")</f>
        <v/>
      </c>
      <c r="D977" s="71"/>
      <c r="E977" s="78"/>
      <c r="F977" s="71"/>
      <c r="G977" s="78" t="str">
        <f>IFERROR(__xludf.DUMMYFUNCTION("""COMPUTED_VALUE"""),"")</f>
        <v/>
      </c>
      <c r="H977" s="71"/>
      <c r="I977" s="80" t="str">
        <f>IFERROR(__xludf.DUMMYFUNCTION("""COMPUTED_VALUE"""),"")</f>
        <v/>
      </c>
      <c r="J977" s="71" t="str">
        <f>IFERROR(__xludf.DUMMYFUNCTION("""COMPUTED_VALUE"""),"")</f>
        <v/>
      </c>
      <c r="K977" s="71"/>
      <c r="L977" s="71" t="str">
        <f>IFERROR(__xludf.DUMMYFUNCTION("""COMPUTED_VALUE"""),"")</f>
        <v/>
      </c>
      <c r="M977" s="71"/>
      <c r="N977" s="109" t="str">
        <f>IFERROR(__xludf.DUMMYFUNCTION("""COMPUTED_VALUE"""),"")</f>
        <v/>
      </c>
      <c r="O977" s="71" t="str">
        <f>IFERROR(__xludf.DUMMYFUNCTION("""COMPUTED_VALUE"""),"")</f>
        <v/>
      </c>
      <c r="P977" s="71" t="str">
        <f>IFERROR(__xludf.DUMMYFUNCTION("""COMPUTED_VALUE"""),"")</f>
        <v/>
      </c>
      <c r="Q977" s="78" t="str">
        <f>IFERROR(__xludf.DUMMYFUNCTION("""COMPUTED_VALUE"""),"")</f>
        <v/>
      </c>
      <c r="R977" s="78" t="str">
        <f>IFERROR(__xludf.DUMMYFUNCTION("""COMPUTED_VALUE"""),"")</f>
        <v/>
      </c>
      <c r="S977" s="80" t="str">
        <f>IFERROR(__xludf.DUMMYFUNCTION("""COMPUTED_VALUE"""),"")</f>
        <v/>
      </c>
      <c r="T977" s="80" t="str">
        <f>IFERROR(__xludf.DUMMYFUNCTION("""COMPUTED_VALUE"""),"")</f>
        <v/>
      </c>
      <c r="U977" s="71" t="str">
        <f>IFERROR(__xludf.DUMMYFUNCTION("""COMPUTED_VALUE"""),"")</f>
        <v/>
      </c>
      <c r="V977" s="78" t="str">
        <f>IFERROR(__xludf.DUMMYFUNCTION("""COMPUTED_VALUE"""),"")</f>
        <v/>
      </c>
      <c r="W977" s="62" t="str">
        <f>IFERROR(__xludf.DUMMYFUNCTION("""COMPUTED_VALUE"""),"")</f>
        <v/>
      </c>
      <c r="X977" s="80" t="str">
        <f>IFERROR(__xludf.DUMMYFUNCTION("""COMPUTED_VALUE"""),"")</f>
        <v/>
      </c>
      <c r="Y977" s="109" t="str">
        <f>IFERROR(__xludf.DUMMYFUNCTION("""COMPUTED_VALUE"""),"")</f>
        <v/>
      </c>
      <c r="Z977" s="71"/>
      <c r="AA977" s="71"/>
      <c r="AB977" s="71"/>
    </row>
    <row r="978">
      <c r="A978" s="71"/>
      <c r="B978" s="71"/>
      <c r="C978" s="71" t="str">
        <f>IFERROR(__xludf.DUMMYFUNCTION("""COMPUTED_VALUE"""),"")</f>
        <v/>
      </c>
      <c r="D978" s="71"/>
      <c r="E978" s="78"/>
      <c r="F978" s="71"/>
      <c r="G978" s="78" t="str">
        <f>IFERROR(__xludf.DUMMYFUNCTION("""COMPUTED_VALUE"""),"")</f>
        <v/>
      </c>
      <c r="H978" s="71"/>
      <c r="I978" s="80" t="str">
        <f>IFERROR(__xludf.DUMMYFUNCTION("""COMPUTED_VALUE"""),"")</f>
        <v/>
      </c>
      <c r="J978" s="71" t="str">
        <f>IFERROR(__xludf.DUMMYFUNCTION("""COMPUTED_VALUE"""),"")</f>
        <v/>
      </c>
      <c r="K978" s="71"/>
      <c r="L978" s="71" t="str">
        <f>IFERROR(__xludf.DUMMYFUNCTION("""COMPUTED_VALUE"""),"")</f>
        <v/>
      </c>
      <c r="M978" s="71"/>
      <c r="N978" s="109" t="str">
        <f>IFERROR(__xludf.DUMMYFUNCTION("""COMPUTED_VALUE"""),"")</f>
        <v/>
      </c>
      <c r="O978" s="71" t="str">
        <f>IFERROR(__xludf.DUMMYFUNCTION("""COMPUTED_VALUE"""),"")</f>
        <v/>
      </c>
      <c r="P978" s="71" t="str">
        <f>IFERROR(__xludf.DUMMYFUNCTION("""COMPUTED_VALUE"""),"")</f>
        <v/>
      </c>
      <c r="Q978" s="78" t="str">
        <f>IFERROR(__xludf.DUMMYFUNCTION("""COMPUTED_VALUE"""),"")</f>
        <v/>
      </c>
      <c r="R978" s="78" t="str">
        <f>IFERROR(__xludf.DUMMYFUNCTION("""COMPUTED_VALUE"""),"")</f>
        <v/>
      </c>
      <c r="S978" s="80" t="str">
        <f>IFERROR(__xludf.DUMMYFUNCTION("""COMPUTED_VALUE"""),"")</f>
        <v/>
      </c>
      <c r="T978" s="80" t="str">
        <f>IFERROR(__xludf.DUMMYFUNCTION("""COMPUTED_VALUE"""),"")</f>
        <v/>
      </c>
      <c r="U978" s="71" t="str">
        <f>IFERROR(__xludf.DUMMYFUNCTION("""COMPUTED_VALUE"""),"")</f>
        <v/>
      </c>
      <c r="V978" s="78" t="str">
        <f>IFERROR(__xludf.DUMMYFUNCTION("""COMPUTED_VALUE"""),"")</f>
        <v/>
      </c>
      <c r="W978" s="62" t="str">
        <f>IFERROR(__xludf.DUMMYFUNCTION("""COMPUTED_VALUE"""),"")</f>
        <v/>
      </c>
      <c r="X978" s="80" t="str">
        <f>IFERROR(__xludf.DUMMYFUNCTION("""COMPUTED_VALUE"""),"")</f>
        <v/>
      </c>
      <c r="Y978" s="109" t="str">
        <f>IFERROR(__xludf.DUMMYFUNCTION("""COMPUTED_VALUE"""),"")</f>
        <v/>
      </c>
      <c r="Z978" s="71"/>
      <c r="AA978" s="71"/>
      <c r="AB978" s="71"/>
    </row>
    <row r="979">
      <c r="A979" s="71"/>
      <c r="B979" s="71"/>
      <c r="C979" s="71" t="str">
        <f>IFERROR(__xludf.DUMMYFUNCTION("""COMPUTED_VALUE"""),"")</f>
        <v/>
      </c>
      <c r="D979" s="71"/>
      <c r="E979" s="78"/>
      <c r="F979" s="71"/>
      <c r="G979" s="78" t="str">
        <f>IFERROR(__xludf.DUMMYFUNCTION("""COMPUTED_VALUE"""),"")</f>
        <v/>
      </c>
      <c r="H979" s="71"/>
      <c r="I979" s="80" t="str">
        <f>IFERROR(__xludf.DUMMYFUNCTION("""COMPUTED_VALUE"""),"")</f>
        <v/>
      </c>
      <c r="J979" s="71" t="str">
        <f>IFERROR(__xludf.DUMMYFUNCTION("""COMPUTED_VALUE"""),"")</f>
        <v/>
      </c>
      <c r="K979" s="71"/>
      <c r="L979" s="71" t="str">
        <f>IFERROR(__xludf.DUMMYFUNCTION("""COMPUTED_VALUE"""),"")</f>
        <v/>
      </c>
      <c r="M979" s="71"/>
      <c r="N979" s="109" t="str">
        <f>IFERROR(__xludf.DUMMYFUNCTION("""COMPUTED_VALUE"""),"")</f>
        <v/>
      </c>
      <c r="O979" s="71" t="str">
        <f>IFERROR(__xludf.DUMMYFUNCTION("""COMPUTED_VALUE"""),"")</f>
        <v/>
      </c>
      <c r="P979" s="71" t="str">
        <f>IFERROR(__xludf.DUMMYFUNCTION("""COMPUTED_VALUE"""),"")</f>
        <v/>
      </c>
      <c r="Q979" s="78" t="str">
        <f>IFERROR(__xludf.DUMMYFUNCTION("""COMPUTED_VALUE"""),"")</f>
        <v/>
      </c>
      <c r="R979" s="78" t="str">
        <f>IFERROR(__xludf.DUMMYFUNCTION("""COMPUTED_VALUE"""),"")</f>
        <v/>
      </c>
      <c r="S979" s="80" t="str">
        <f>IFERROR(__xludf.DUMMYFUNCTION("""COMPUTED_VALUE"""),"")</f>
        <v/>
      </c>
      <c r="T979" s="80" t="str">
        <f>IFERROR(__xludf.DUMMYFUNCTION("""COMPUTED_VALUE"""),"")</f>
        <v/>
      </c>
      <c r="U979" s="71" t="str">
        <f>IFERROR(__xludf.DUMMYFUNCTION("""COMPUTED_VALUE"""),"")</f>
        <v/>
      </c>
      <c r="V979" s="78" t="str">
        <f>IFERROR(__xludf.DUMMYFUNCTION("""COMPUTED_VALUE"""),"")</f>
        <v/>
      </c>
      <c r="W979" s="62" t="str">
        <f>IFERROR(__xludf.DUMMYFUNCTION("""COMPUTED_VALUE"""),"")</f>
        <v/>
      </c>
      <c r="X979" s="80" t="str">
        <f>IFERROR(__xludf.DUMMYFUNCTION("""COMPUTED_VALUE"""),"")</f>
        <v/>
      </c>
      <c r="Y979" s="109" t="str">
        <f>IFERROR(__xludf.DUMMYFUNCTION("""COMPUTED_VALUE"""),"")</f>
        <v/>
      </c>
      <c r="Z979" s="71"/>
      <c r="AA979" s="71"/>
      <c r="AB979" s="71"/>
    </row>
    <row r="980">
      <c r="A980" s="71"/>
      <c r="B980" s="71"/>
      <c r="C980" s="71" t="str">
        <f>IFERROR(__xludf.DUMMYFUNCTION("""COMPUTED_VALUE"""),"")</f>
        <v/>
      </c>
      <c r="D980" s="71"/>
      <c r="E980" s="78"/>
      <c r="F980" s="71"/>
      <c r="G980" s="78" t="str">
        <f>IFERROR(__xludf.DUMMYFUNCTION("""COMPUTED_VALUE"""),"")</f>
        <v/>
      </c>
      <c r="H980" s="71"/>
      <c r="I980" s="80" t="str">
        <f>IFERROR(__xludf.DUMMYFUNCTION("""COMPUTED_VALUE"""),"")</f>
        <v/>
      </c>
      <c r="J980" s="71" t="str">
        <f>IFERROR(__xludf.DUMMYFUNCTION("""COMPUTED_VALUE"""),"")</f>
        <v/>
      </c>
      <c r="K980" s="71"/>
      <c r="L980" s="71" t="str">
        <f>IFERROR(__xludf.DUMMYFUNCTION("""COMPUTED_VALUE"""),"")</f>
        <v/>
      </c>
      <c r="M980" s="71"/>
      <c r="N980" s="109" t="str">
        <f>IFERROR(__xludf.DUMMYFUNCTION("""COMPUTED_VALUE"""),"")</f>
        <v/>
      </c>
      <c r="O980" s="71" t="str">
        <f>IFERROR(__xludf.DUMMYFUNCTION("""COMPUTED_VALUE"""),"")</f>
        <v/>
      </c>
      <c r="P980" s="71" t="str">
        <f>IFERROR(__xludf.DUMMYFUNCTION("""COMPUTED_VALUE"""),"")</f>
        <v/>
      </c>
      <c r="Q980" s="78" t="str">
        <f>IFERROR(__xludf.DUMMYFUNCTION("""COMPUTED_VALUE"""),"")</f>
        <v/>
      </c>
      <c r="R980" s="78" t="str">
        <f>IFERROR(__xludf.DUMMYFUNCTION("""COMPUTED_VALUE"""),"")</f>
        <v/>
      </c>
      <c r="S980" s="80" t="str">
        <f>IFERROR(__xludf.DUMMYFUNCTION("""COMPUTED_VALUE"""),"")</f>
        <v/>
      </c>
      <c r="T980" s="80" t="str">
        <f>IFERROR(__xludf.DUMMYFUNCTION("""COMPUTED_VALUE"""),"")</f>
        <v/>
      </c>
      <c r="U980" s="71" t="str">
        <f>IFERROR(__xludf.DUMMYFUNCTION("""COMPUTED_VALUE"""),"")</f>
        <v/>
      </c>
      <c r="V980" s="78" t="str">
        <f>IFERROR(__xludf.DUMMYFUNCTION("""COMPUTED_VALUE"""),"")</f>
        <v/>
      </c>
      <c r="W980" s="62" t="str">
        <f>IFERROR(__xludf.DUMMYFUNCTION("""COMPUTED_VALUE"""),"")</f>
        <v/>
      </c>
      <c r="X980" s="80" t="str">
        <f>IFERROR(__xludf.DUMMYFUNCTION("""COMPUTED_VALUE"""),"")</f>
        <v/>
      </c>
      <c r="Y980" s="109" t="str">
        <f>IFERROR(__xludf.DUMMYFUNCTION("""COMPUTED_VALUE"""),"")</f>
        <v/>
      </c>
      <c r="Z980" s="71"/>
      <c r="AA980" s="71"/>
      <c r="AB980" s="71"/>
    </row>
    <row r="981">
      <c r="A981" s="71"/>
      <c r="B981" s="71"/>
      <c r="C981" s="71" t="str">
        <f>IFERROR(__xludf.DUMMYFUNCTION("""COMPUTED_VALUE"""),"")</f>
        <v/>
      </c>
      <c r="D981" s="71"/>
      <c r="E981" s="78"/>
      <c r="F981" s="71"/>
      <c r="G981" s="78" t="str">
        <f>IFERROR(__xludf.DUMMYFUNCTION("""COMPUTED_VALUE"""),"")</f>
        <v/>
      </c>
      <c r="H981" s="71"/>
      <c r="I981" s="80" t="str">
        <f>IFERROR(__xludf.DUMMYFUNCTION("""COMPUTED_VALUE"""),"")</f>
        <v/>
      </c>
      <c r="J981" s="71" t="str">
        <f>IFERROR(__xludf.DUMMYFUNCTION("""COMPUTED_VALUE"""),"")</f>
        <v/>
      </c>
      <c r="K981" s="71"/>
      <c r="L981" s="71" t="str">
        <f>IFERROR(__xludf.DUMMYFUNCTION("""COMPUTED_VALUE"""),"")</f>
        <v/>
      </c>
      <c r="M981" s="71"/>
      <c r="N981" s="109" t="str">
        <f>IFERROR(__xludf.DUMMYFUNCTION("""COMPUTED_VALUE"""),"")</f>
        <v/>
      </c>
      <c r="O981" s="71" t="str">
        <f>IFERROR(__xludf.DUMMYFUNCTION("""COMPUTED_VALUE"""),"")</f>
        <v/>
      </c>
      <c r="P981" s="71" t="str">
        <f>IFERROR(__xludf.DUMMYFUNCTION("""COMPUTED_VALUE"""),"")</f>
        <v/>
      </c>
      <c r="Q981" s="78" t="str">
        <f>IFERROR(__xludf.DUMMYFUNCTION("""COMPUTED_VALUE"""),"")</f>
        <v/>
      </c>
      <c r="R981" s="78" t="str">
        <f>IFERROR(__xludf.DUMMYFUNCTION("""COMPUTED_VALUE"""),"")</f>
        <v/>
      </c>
      <c r="S981" s="80" t="str">
        <f>IFERROR(__xludf.DUMMYFUNCTION("""COMPUTED_VALUE"""),"")</f>
        <v/>
      </c>
      <c r="T981" s="80" t="str">
        <f>IFERROR(__xludf.DUMMYFUNCTION("""COMPUTED_VALUE"""),"")</f>
        <v/>
      </c>
      <c r="U981" s="71" t="str">
        <f>IFERROR(__xludf.DUMMYFUNCTION("""COMPUTED_VALUE"""),"")</f>
        <v/>
      </c>
      <c r="V981" s="78" t="str">
        <f>IFERROR(__xludf.DUMMYFUNCTION("""COMPUTED_VALUE"""),"")</f>
        <v/>
      </c>
      <c r="W981" s="62" t="str">
        <f>IFERROR(__xludf.DUMMYFUNCTION("""COMPUTED_VALUE"""),"")</f>
        <v/>
      </c>
      <c r="X981" s="80" t="str">
        <f>IFERROR(__xludf.DUMMYFUNCTION("""COMPUTED_VALUE"""),"")</f>
        <v/>
      </c>
      <c r="Y981" s="109" t="str">
        <f>IFERROR(__xludf.DUMMYFUNCTION("""COMPUTED_VALUE"""),"")</f>
        <v/>
      </c>
      <c r="Z981" s="71"/>
      <c r="AA981" s="71"/>
      <c r="AB981" s="71"/>
    </row>
    <row r="982">
      <c r="A982" s="71"/>
      <c r="B982" s="71"/>
      <c r="C982" s="71" t="str">
        <f>IFERROR(__xludf.DUMMYFUNCTION("""COMPUTED_VALUE"""),"")</f>
        <v/>
      </c>
      <c r="D982" s="71"/>
      <c r="E982" s="78"/>
      <c r="F982" s="71"/>
      <c r="G982" s="78" t="str">
        <f>IFERROR(__xludf.DUMMYFUNCTION("""COMPUTED_VALUE"""),"")</f>
        <v/>
      </c>
      <c r="H982" s="71"/>
      <c r="I982" s="80" t="str">
        <f>IFERROR(__xludf.DUMMYFUNCTION("""COMPUTED_VALUE"""),"")</f>
        <v/>
      </c>
      <c r="J982" s="71" t="str">
        <f>IFERROR(__xludf.DUMMYFUNCTION("""COMPUTED_VALUE"""),"")</f>
        <v/>
      </c>
      <c r="K982" s="71"/>
      <c r="L982" s="71" t="str">
        <f>IFERROR(__xludf.DUMMYFUNCTION("""COMPUTED_VALUE"""),"")</f>
        <v/>
      </c>
      <c r="M982" s="71"/>
      <c r="N982" s="109" t="str">
        <f>IFERROR(__xludf.DUMMYFUNCTION("""COMPUTED_VALUE"""),"")</f>
        <v/>
      </c>
      <c r="O982" s="71" t="str">
        <f>IFERROR(__xludf.DUMMYFUNCTION("""COMPUTED_VALUE"""),"")</f>
        <v/>
      </c>
      <c r="P982" s="71" t="str">
        <f>IFERROR(__xludf.DUMMYFUNCTION("""COMPUTED_VALUE"""),"")</f>
        <v/>
      </c>
      <c r="Q982" s="78" t="str">
        <f>IFERROR(__xludf.DUMMYFUNCTION("""COMPUTED_VALUE"""),"")</f>
        <v/>
      </c>
      <c r="R982" s="78" t="str">
        <f>IFERROR(__xludf.DUMMYFUNCTION("""COMPUTED_VALUE"""),"")</f>
        <v/>
      </c>
      <c r="S982" s="80" t="str">
        <f>IFERROR(__xludf.DUMMYFUNCTION("""COMPUTED_VALUE"""),"")</f>
        <v/>
      </c>
      <c r="T982" s="80" t="str">
        <f>IFERROR(__xludf.DUMMYFUNCTION("""COMPUTED_VALUE"""),"")</f>
        <v/>
      </c>
      <c r="U982" s="71" t="str">
        <f>IFERROR(__xludf.DUMMYFUNCTION("""COMPUTED_VALUE"""),"")</f>
        <v/>
      </c>
      <c r="V982" s="78" t="str">
        <f>IFERROR(__xludf.DUMMYFUNCTION("""COMPUTED_VALUE"""),"")</f>
        <v/>
      </c>
      <c r="W982" s="62" t="str">
        <f>IFERROR(__xludf.DUMMYFUNCTION("""COMPUTED_VALUE"""),"")</f>
        <v/>
      </c>
      <c r="X982" s="80" t="str">
        <f>IFERROR(__xludf.DUMMYFUNCTION("""COMPUTED_VALUE"""),"")</f>
        <v/>
      </c>
      <c r="Y982" s="109" t="str">
        <f>IFERROR(__xludf.DUMMYFUNCTION("""COMPUTED_VALUE"""),"")</f>
        <v/>
      </c>
      <c r="Z982" s="71"/>
      <c r="AA982" s="71"/>
      <c r="AB982" s="71"/>
    </row>
    <row r="983">
      <c r="A983" s="71"/>
      <c r="B983" s="71"/>
      <c r="C983" s="71" t="str">
        <f>IFERROR(__xludf.DUMMYFUNCTION("""COMPUTED_VALUE"""),"")</f>
        <v/>
      </c>
      <c r="D983" s="71"/>
      <c r="E983" s="78"/>
      <c r="F983" s="71"/>
      <c r="G983" s="78" t="str">
        <f>IFERROR(__xludf.DUMMYFUNCTION("""COMPUTED_VALUE"""),"")</f>
        <v/>
      </c>
      <c r="H983" s="71"/>
      <c r="I983" s="80" t="str">
        <f>IFERROR(__xludf.DUMMYFUNCTION("""COMPUTED_VALUE"""),"")</f>
        <v/>
      </c>
      <c r="J983" s="71" t="str">
        <f>IFERROR(__xludf.DUMMYFUNCTION("""COMPUTED_VALUE"""),"")</f>
        <v/>
      </c>
      <c r="K983" s="71"/>
      <c r="L983" s="71" t="str">
        <f>IFERROR(__xludf.DUMMYFUNCTION("""COMPUTED_VALUE"""),"")</f>
        <v/>
      </c>
      <c r="M983" s="71"/>
      <c r="N983" s="109" t="str">
        <f>IFERROR(__xludf.DUMMYFUNCTION("""COMPUTED_VALUE"""),"")</f>
        <v/>
      </c>
      <c r="O983" s="71" t="str">
        <f>IFERROR(__xludf.DUMMYFUNCTION("""COMPUTED_VALUE"""),"")</f>
        <v/>
      </c>
      <c r="P983" s="71" t="str">
        <f>IFERROR(__xludf.DUMMYFUNCTION("""COMPUTED_VALUE"""),"")</f>
        <v/>
      </c>
      <c r="Q983" s="78" t="str">
        <f>IFERROR(__xludf.DUMMYFUNCTION("""COMPUTED_VALUE"""),"")</f>
        <v/>
      </c>
      <c r="R983" s="78" t="str">
        <f>IFERROR(__xludf.DUMMYFUNCTION("""COMPUTED_VALUE"""),"")</f>
        <v/>
      </c>
      <c r="S983" s="80" t="str">
        <f>IFERROR(__xludf.DUMMYFUNCTION("""COMPUTED_VALUE"""),"")</f>
        <v/>
      </c>
      <c r="T983" s="80" t="str">
        <f>IFERROR(__xludf.DUMMYFUNCTION("""COMPUTED_VALUE"""),"")</f>
        <v/>
      </c>
      <c r="U983" s="71" t="str">
        <f>IFERROR(__xludf.DUMMYFUNCTION("""COMPUTED_VALUE"""),"")</f>
        <v/>
      </c>
      <c r="V983" s="78" t="str">
        <f>IFERROR(__xludf.DUMMYFUNCTION("""COMPUTED_VALUE"""),"")</f>
        <v/>
      </c>
      <c r="W983" s="62" t="str">
        <f>IFERROR(__xludf.DUMMYFUNCTION("""COMPUTED_VALUE"""),"")</f>
        <v/>
      </c>
      <c r="X983" s="80" t="str">
        <f>IFERROR(__xludf.DUMMYFUNCTION("""COMPUTED_VALUE"""),"")</f>
        <v/>
      </c>
      <c r="Y983" s="109" t="str">
        <f>IFERROR(__xludf.DUMMYFUNCTION("""COMPUTED_VALUE"""),"")</f>
        <v/>
      </c>
      <c r="Z983" s="71"/>
      <c r="AA983" s="71"/>
      <c r="AB983" s="71"/>
    </row>
    <row r="984">
      <c r="A984" s="71"/>
      <c r="B984" s="71"/>
      <c r="C984" s="71" t="str">
        <f>IFERROR(__xludf.DUMMYFUNCTION("""COMPUTED_VALUE"""),"")</f>
        <v/>
      </c>
      <c r="D984" s="71"/>
      <c r="E984" s="78"/>
      <c r="F984" s="71"/>
      <c r="G984" s="78" t="str">
        <f>IFERROR(__xludf.DUMMYFUNCTION("""COMPUTED_VALUE"""),"")</f>
        <v/>
      </c>
      <c r="H984" s="71"/>
      <c r="I984" s="80" t="str">
        <f>IFERROR(__xludf.DUMMYFUNCTION("""COMPUTED_VALUE"""),"")</f>
        <v/>
      </c>
      <c r="J984" s="71" t="str">
        <f>IFERROR(__xludf.DUMMYFUNCTION("""COMPUTED_VALUE"""),"")</f>
        <v/>
      </c>
      <c r="K984" s="71"/>
      <c r="L984" s="71" t="str">
        <f>IFERROR(__xludf.DUMMYFUNCTION("""COMPUTED_VALUE"""),"")</f>
        <v/>
      </c>
      <c r="M984" s="71"/>
      <c r="N984" s="109" t="str">
        <f>IFERROR(__xludf.DUMMYFUNCTION("""COMPUTED_VALUE"""),"")</f>
        <v/>
      </c>
      <c r="O984" s="71" t="str">
        <f>IFERROR(__xludf.DUMMYFUNCTION("""COMPUTED_VALUE"""),"")</f>
        <v/>
      </c>
      <c r="P984" s="71" t="str">
        <f>IFERROR(__xludf.DUMMYFUNCTION("""COMPUTED_VALUE"""),"")</f>
        <v/>
      </c>
      <c r="Q984" s="78" t="str">
        <f>IFERROR(__xludf.DUMMYFUNCTION("""COMPUTED_VALUE"""),"")</f>
        <v/>
      </c>
      <c r="R984" s="78" t="str">
        <f>IFERROR(__xludf.DUMMYFUNCTION("""COMPUTED_VALUE"""),"")</f>
        <v/>
      </c>
      <c r="S984" s="80" t="str">
        <f>IFERROR(__xludf.DUMMYFUNCTION("""COMPUTED_VALUE"""),"")</f>
        <v/>
      </c>
      <c r="T984" s="80" t="str">
        <f>IFERROR(__xludf.DUMMYFUNCTION("""COMPUTED_VALUE"""),"")</f>
        <v/>
      </c>
      <c r="U984" s="71" t="str">
        <f>IFERROR(__xludf.DUMMYFUNCTION("""COMPUTED_VALUE"""),"")</f>
        <v/>
      </c>
      <c r="V984" s="78" t="str">
        <f>IFERROR(__xludf.DUMMYFUNCTION("""COMPUTED_VALUE"""),"")</f>
        <v/>
      </c>
      <c r="W984" s="62" t="str">
        <f>IFERROR(__xludf.DUMMYFUNCTION("""COMPUTED_VALUE"""),"")</f>
        <v/>
      </c>
      <c r="X984" s="80" t="str">
        <f>IFERROR(__xludf.DUMMYFUNCTION("""COMPUTED_VALUE"""),"")</f>
        <v/>
      </c>
      <c r="Y984" s="109" t="str">
        <f>IFERROR(__xludf.DUMMYFUNCTION("""COMPUTED_VALUE"""),"")</f>
        <v/>
      </c>
      <c r="Z984" s="71"/>
      <c r="AA984" s="71"/>
      <c r="AB984" s="71"/>
    </row>
    <row r="985">
      <c r="A985" s="71"/>
      <c r="B985" s="71"/>
      <c r="C985" s="71" t="str">
        <f>IFERROR(__xludf.DUMMYFUNCTION("""COMPUTED_VALUE"""),"")</f>
        <v/>
      </c>
      <c r="D985" s="71"/>
      <c r="E985" s="78"/>
      <c r="F985" s="71"/>
      <c r="G985" s="78" t="str">
        <f>IFERROR(__xludf.DUMMYFUNCTION("""COMPUTED_VALUE"""),"")</f>
        <v/>
      </c>
      <c r="H985" s="71"/>
      <c r="I985" s="80" t="str">
        <f>IFERROR(__xludf.DUMMYFUNCTION("""COMPUTED_VALUE"""),"")</f>
        <v/>
      </c>
      <c r="J985" s="71" t="str">
        <f>IFERROR(__xludf.DUMMYFUNCTION("""COMPUTED_VALUE"""),"")</f>
        <v/>
      </c>
      <c r="K985" s="71"/>
      <c r="L985" s="71" t="str">
        <f>IFERROR(__xludf.DUMMYFUNCTION("""COMPUTED_VALUE"""),"")</f>
        <v/>
      </c>
      <c r="M985" s="71"/>
      <c r="N985" s="109" t="str">
        <f>IFERROR(__xludf.DUMMYFUNCTION("""COMPUTED_VALUE"""),"")</f>
        <v/>
      </c>
      <c r="O985" s="71" t="str">
        <f>IFERROR(__xludf.DUMMYFUNCTION("""COMPUTED_VALUE"""),"")</f>
        <v/>
      </c>
      <c r="P985" s="71" t="str">
        <f>IFERROR(__xludf.DUMMYFUNCTION("""COMPUTED_VALUE"""),"")</f>
        <v/>
      </c>
      <c r="Q985" s="78" t="str">
        <f>IFERROR(__xludf.DUMMYFUNCTION("""COMPUTED_VALUE"""),"")</f>
        <v/>
      </c>
      <c r="R985" s="78" t="str">
        <f>IFERROR(__xludf.DUMMYFUNCTION("""COMPUTED_VALUE"""),"")</f>
        <v/>
      </c>
      <c r="S985" s="80" t="str">
        <f>IFERROR(__xludf.DUMMYFUNCTION("""COMPUTED_VALUE"""),"")</f>
        <v/>
      </c>
      <c r="T985" s="80" t="str">
        <f>IFERROR(__xludf.DUMMYFUNCTION("""COMPUTED_VALUE"""),"")</f>
        <v/>
      </c>
      <c r="U985" s="71" t="str">
        <f>IFERROR(__xludf.DUMMYFUNCTION("""COMPUTED_VALUE"""),"")</f>
        <v/>
      </c>
      <c r="V985" s="78" t="str">
        <f>IFERROR(__xludf.DUMMYFUNCTION("""COMPUTED_VALUE"""),"")</f>
        <v/>
      </c>
      <c r="W985" s="62" t="str">
        <f>IFERROR(__xludf.DUMMYFUNCTION("""COMPUTED_VALUE"""),"")</f>
        <v/>
      </c>
      <c r="X985" s="80" t="str">
        <f>IFERROR(__xludf.DUMMYFUNCTION("""COMPUTED_VALUE"""),"")</f>
        <v/>
      </c>
      <c r="Y985" s="109" t="str">
        <f>IFERROR(__xludf.DUMMYFUNCTION("""COMPUTED_VALUE"""),"")</f>
        <v/>
      </c>
      <c r="Z985" s="71"/>
      <c r="AA985" s="71"/>
      <c r="AB985" s="71"/>
    </row>
    <row r="986">
      <c r="A986" s="71"/>
      <c r="B986" s="71"/>
      <c r="C986" s="71" t="str">
        <f>IFERROR(__xludf.DUMMYFUNCTION("""COMPUTED_VALUE"""),"")</f>
        <v/>
      </c>
      <c r="D986" s="71"/>
      <c r="E986" s="78"/>
      <c r="F986" s="71"/>
      <c r="G986" s="78" t="str">
        <f>IFERROR(__xludf.DUMMYFUNCTION("""COMPUTED_VALUE"""),"")</f>
        <v/>
      </c>
      <c r="H986" s="71"/>
      <c r="I986" s="80" t="str">
        <f>IFERROR(__xludf.DUMMYFUNCTION("""COMPUTED_VALUE"""),"")</f>
        <v/>
      </c>
      <c r="J986" s="71" t="str">
        <f>IFERROR(__xludf.DUMMYFUNCTION("""COMPUTED_VALUE"""),"")</f>
        <v/>
      </c>
      <c r="K986" s="71"/>
      <c r="L986" s="71" t="str">
        <f>IFERROR(__xludf.DUMMYFUNCTION("""COMPUTED_VALUE"""),"")</f>
        <v/>
      </c>
      <c r="M986" s="71"/>
      <c r="N986" s="109" t="str">
        <f>IFERROR(__xludf.DUMMYFUNCTION("""COMPUTED_VALUE"""),"")</f>
        <v/>
      </c>
      <c r="O986" s="71" t="str">
        <f>IFERROR(__xludf.DUMMYFUNCTION("""COMPUTED_VALUE"""),"")</f>
        <v/>
      </c>
      <c r="P986" s="71" t="str">
        <f>IFERROR(__xludf.DUMMYFUNCTION("""COMPUTED_VALUE"""),"")</f>
        <v/>
      </c>
      <c r="Q986" s="78" t="str">
        <f>IFERROR(__xludf.DUMMYFUNCTION("""COMPUTED_VALUE"""),"")</f>
        <v/>
      </c>
      <c r="R986" s="78" t="str">
        <f>IFERROR(__xludf.DUMMYFUNCTION("""COMPUTED_VALUE"""),"")</f>
        <v/>
      </c>
      <c r="S986" s="80" t="str">
        <f>IFERROR(__xludf.DUMMYFUNCTION("""COMPUTED_VALUE"""),"")</f>
        <v/>
      </c>
      <c r="T986" s="80" t="str">
        <f>IFERROR(__xludf.DUMMYFUNCTION("""COMPUTED_VALUE"""),"")</f>
        <v/>
      </c>
      <c r="U986" s="71" t="str">
        <f>IFERROR(__xludf.DUMMYFUNCTION("""COMPUTED_VALUE"""),"")</f>
        <v/>
      </c>
      <c r="V986" s="78" t="str">
        <f>IFERROR(__xludf.DUMMYFUNCTION("""COMPUTED_VALUE"""),"")</f>
        <v/>
      </c>
      <c r="W986" s="62" t="str">
        <f>IFERROR(__xludf.DUMMYFUNCTION("""COMPUTED_VALUE"""),"")</f>
        <v/>
      </c>
      <c r="X986" s="80" t="str">
        <f>IFERROR(__xludf.DUMMYFUNCTION("""COMPUTED_VALUE"""),"")</f>
        <v/>
      </c>
      <c r="Y986" s="109" t="str">
        <f>IFERROR(__xludf.DUMMYFUNCTION("""COMPUTED_VALUE"""),"")</f>
        <v/>
      </c>
      <c r="Z986" s="71"/>
      <c r="AA986" s="71"/>
      <c r="AB986" s="71"/>
    </row>
    <row r="987">
      <c r="A987" s="71"/>
      <c r="B987" s="71"/>
      <c r="C987" s="71" t="str">
        <f>IFERROR(__xludf.DUMMYFUNCTION("""COMPUTED_VALUE"""),"")</f>
        <v/>
      </c>
      <c r="D987" s="71"/>
      <c r="E987" s="78"/>
      <c r="F987" s="71"/>
      <c r="G987" s="78" t="str">
        <f>IFERROR(__xludf.DUMMYFUNCTION("""COMPUTED_VALUE"""),"")</f>
        <v/>
      </c>
      <c r="H987" s="71"/>
      <c r="I987" s="80" t="str">
        <f>IFERROR(__xludf.DUMMYFUNCTION("""COMPUTED_VALUE"""),"")</f>
        <v/>
      </c>
      <c r="J987" s="71" t="str">
        <f>IFERROR(__xludf.DUMMYFUNCTION("""COMPUTED_VALUE"""),"")</f>
        <v/>
      </c>
      <c r="K987" s="71"/>
      <c r="L987" s="71" t="str">
        <f>IFERROR(__xludf.DUMMYFUNCTION("""COMPUTED_VALUE"""),"")</f>
        <v/>
      </c>
      <c r="M987" s="71"/>
      <c r="N987" s="109" t="str">
        <f>IFERROR(__xludf.DUMMYFUNCTION("""COMPUTED_VALUE"""),"")</f>
        <v/>
      </c>
      <c r="O987" s="71" t="str">
        <f>IFERROR(__xludf.DUMMYFUNCTION("""COMPUTED_VALUE"""),"")</f>
        <v/>
      </c>
      <c r="P987" s="71" t="str">
        <f>IFERROR(__xludf.DUMMYFUNCTION("""COMPUTED_VALUE"""),"")</f>
        <v/>
      </c>
      <c r="Q987" s="78" t="str">
        <f>IFERROR(__xludf.DUMMYFUNCTION("""COMPUTED_VALUE"""),"")</f>
        <v/>
      </c>
      <c r="R987" s="78" t="str">
        <f>IFERROR(__xludf.DUMMYFUNCTION("""COMPUTED_VALUE"""),"")</f>
        <v/>
      </c>
      <c r="S987" s="80" t="str">
        <f>IFERROR(__xludf.DUMMYFUNCTION("""COMPUTED_VALUE"""),"")</f>
        <v/>
      </c>
      <c r="T987" s="80" t="str">
        <f>IFERROR(__xludf.DUMMYFUNCTION("""COMPUTED_VALUE"""),"")</f>
        <v/>
      </c>
      <c r="U987" s="71" t="str">
        <f>IFERROR(__xludf.DUMMYFUNCTION("""COMPUTED_VALUE"""),"")</f>
        <v/>
      </c>
      <c r="V987" s="78" t="str">
        <f>IFERROR(__xludf.DUMMYFUNCTION("""COMPUTED_VALUE"""),"")</f>
        <v/>
      </c>
      <c r="W987" s="62" t="str">
        <f>IFERROR(__xludf.DUMMYFUNCTION("""COMPUTED_VALUE"""),"")</f>
        <v/>
      </c>
      <c r="X987" s="80" t="str">
        <f>IFERROR(__xludf.DUMMYFUNCTION("""COMPUTED_VALUE"""),"")</f>
        <v/>
      </c>
      <c r="Y987" s="109" t="str">
        <f>IFERROR(__xludf.DUMMYFUNCTION("""COMPUTED_VALUE"""),"")</f>
        <v/>
      </c>
      <c r="Z987" s="71"/>
      <c r="AA987" s="71"/>
      <c r="AB987" s="71"/>
    </row>
    <row r="988">
      <c r="A988" s="71"/>
      <c r="B988" s="71"/>
      <c r="C988" s="71" t="str">
        <f>IFERROR(__xludf.DUMMYFUNCTION("""COMPUTED_VALUE"""),"")</f>
        <v/>
      </c>
      <c r="D988" s="71"/>
      <c r="E988" s="78"/>
      <c r="F988" s="71"/>
      <c r="G988" s="78" t="str">
        <f>IFERROR(__xludf.DUMMYFUNCTION("""COMPUTED_VALUE"""),"")</f>
        <v/>
      </c>
      <c r="H988" s="71"/>
      <c r="I988" s="80" t="str">
        <f>IFERROR(__xludf.DUMMYFUNCTION("""COMPUTED_VALUE"""),"")</f>
        <v/>
      </c>
      <c r="J988" s="71" t="str">
        <f>IFERROR(__xludf.DUMMYFUNCTION("""COMPUTED_VALUE"""),"")</f>
        <v/>
      </c>
      <c r="K988" s="71"/>
      <c r="L988" s="71" t="str">
        <f>IFERROR(__xludf.DUMMYFUNCTION("""COMPUTED_VALUE"""),"")</f>
        <v/>
      </c>
      <c r="M988" s="71"/>
      <c r="N988" s="109" t="str">
        <f>IFERROR(__xludf.DUMMYFUNCTION("""COMPUTED_VALUE"""),"")</f>
        <v/>
      </c>
      <c r="O988" s="71" t="str">
        <f>IFERROR(__xludf.DUMMYFUNCTION("""COMPUTED_VALUE"""),"")</f>
        <v/>
      </c>
      <c r="P988" s="71" t="str">
        <f>IFERROR(__xludf.DUMMYFUNCTION("""COMPUTED_VALUE"""),"")</f>
        <v/>
      </c>
      <c r="Q988" s="78" t="str">
        <f>IFERROR(__xludf.DUMMYFUNCTION("""COMPUTED_VALUE"""),"")</f>
        <v/>
      </c>
      <c r="R988" s="78" t="str">
        <f>IFERROR(__xludf.DUMMYFUNCTION("""COMPUTED_VALUE"""),"")</f>
        <v/>
      </c>
      <c r="S988" s="80" t="str">
        <f>IFERROR(__xludf.DUMMYFUNCTION("""COMPUTED_VALUE"""),"")</f>
        <v/>
      </c>
      <c r="T988" s="80" t="str">
        <f>IFERROR(__xludf.DUMMYFUNCTION("""COMPUTED_VALUE"""),"")</f>
        <v/>
      </c>
      <c r="U988" s="71" t="str">
        <f>IFERROR(__xludf.DUMMYFUNCTION("""COMPUTED_VALUE"""),"")</f>
        <v/>
      </c>
      <c r="V988" s="78" t="str">
        <f>IFERROR(__xludf.DUMMYFUNCTION("""COMPUTED_VALUE"""),"")</f>
        <v/>
      </c>
      <c r="W988" s="62" t="str">
        <f>IFERROR(__xludf.DUMMYFUNCTION("""COMPUTED_VALUE"""),"")</f>
        <v/>
      </c>
      <c r="X988" s="80" t="str">
        <f>IFERROR(__xludf.DUMMYFUNCTION("""COMPUTED_VALUE"""),"")</f>
        <v/>
      </c>
      <c r="Y988" s="109" t="str">
        <f>IFERROR(__xludf.DUMMYFUNCTION("""COMPUTED_VALUE"""),"")</f>
        <v/>
      </c>
      <c r="Z988" s="71"/>
      <c r="AA988" s="71"/>
      <c r="AB988" s="71"/>
    </row>
    <row r="989">
      <c r="A989" s="71"/>
      <c r="B989" s="71"/>
      <c r="C989" s="71" t="str">
        <f>IFERROR(__xludf.DUMMYFUNCTION("""COMPUTED_VALUE"""),"")</f>
        <v/>
      </c>
      <c r="D989" s="71"/>
      <c r="E989" s="78"/>
      <c r="F989" s="71"/>
      <c r="G989" s="78" t="str">
        <f>IFERROR(__xludf.DUMMYFUNCTION("""COMPUTED_VALUE"""),"")</f>
        <v/>
      </c>
      <c r="H989" s="71"/>
      <c r="I989" s="80" t="str">
        <f>IFERROR(__xludf.DUMMYFUNCTION("""COMPUTED_VALUE"""),"")</f>
        <v/>
      </c>
      <c r="J989" s="71" t="str">
        <f>IFERROR(__xludf.DUMMYFUNCTION("""COMPUTED_VALUE"""),"")</f>
        <v/>
      </c>
      <c r="K989" s="71"/>
      <c r="L989" s="71" t="str">
        <f>IFERROR(__xludf.DUMMYFUNCTION("""COMPUTED_VALUE"""),"")</f>
        <v/>
      </c>
      <c r="M989" s="71"/>
      <c r="N989" s="109" t="str">
        <f>IFERROR(__xludf.DUMMYFUNCTION("""COMPUTED_VALUE"""),"")</f>
        <v/>
      </c>
      <c r="O989" s="71" t="str">
        <f>IFERROR(__xludf.DUMMYFUNCTION("""COMPUTED_VALUE"""),"")</f>
        <v/>
      </c>
      <c r="P989" s="71" t="str">
        <f>IFERROR(__xludf.DUMMYFUNCTION("""COMPUTED_VALUE"""),"")</f>
        <v/>
      </c>
      <c r="Q989" s="78" t="str">
        <f>IFERROR(__xludf.DUMMYFUNCTION("""COMPUTED_VALUE"""),"")</f>
        <v/>
      </c>
      <c r="R989" s="78" t="str">
        <f>IFERROR(__xludf.DUMMYFUNCTION("""COMPUTED_VALUE"""),"")</f>
        <v/>
      </c>
      <c r="S989" s="80" t="str">
        <f>IFERROR(__xludf.DUMMYFUNCTION("""COMPUTED_VALUE"""),"")</f>
        <v/>
      </c>
      <c r="T989" s="80" t="str">
        <f>IFERROR(__xludf.DUMMYFUNCTION("""COMPUTED_VALUE"""),"")</f>
        <v/>
      </c>
      <c r="U989" s="71" t="str">
        <f>IFERROR(__xludf.DUMMYFUNCTION("""COMPUTED_VALUE"""),"")</f>
        <v/>
      </c>
      <c r="V989" s="78" t="str">
        <f>IFERROR(__xludf.DUMMYFUNCTION("""COMPUTED_VALUE"""),"")</f>
        <v/>
      </c>
      <c r="W989" s="62" t="str">
        <f>IFERROR(__xludf.DUMMYFUNCTION("""COMPUTED_VALUE"""),"")</f>
        <v/>
      </c>
      <c r="X989" s="80" t="str">
        <f>IFERROR(__xludf.DUMMYFUNCTION("""COMPUTED_VALUE"""),"")</f>
        <v/>
      </c>
      <c r="Y989" s="109" t="str">
        <f>IFERROR(__xludf.DUMMYFUNCTION("""COMPUTED_VALUE"""),"")</f>
        <v/>
      </c>
      <c r="Z989" s="71"/>
      <c r="AA989" s="71"/>
      <c r="AB989" s="71"/>
    </row>
    <row r="990">
      <c r="A990" s="71"/>
      <c r="B990" s="71"/>
      <c r="C990" s="71" t="str">
        <f>IFERROR(__xludf.DUMMYFUNCTION("""COMPUTED_VALUE"""),"")</f>
        <v/>
      </c>
      <c r="D990" s="71"/>
      <c r="E990" s="78"/>
      <c r="F990" s="71"/>
      <c r="G990" s="78" t="str">
        <f>IFERROR(__xludf.DUMMYFUNCTION("""COMPUTED_VALUE"""),"")</f>
        <v/>
      </c>
      <c r="H990" s="71"/>
      <c r="I990" s="80" t="str">
        <f>IFERROR(__xludf.DUMMYFUNCTION("""COMPUTED_VALUE"""),"")</f>
        <v/>
      </c>
      <c r="J990" s="71" t="str">
        <f>IFERROR(__xludf.DUMMYFUNCTION("""COMPUTED_VALUE"""),"")</f>
        <v/>
      </c>
      <c r="K990" s="71"/>
      <c r="L990" s="71" t="str">
        <f>IFERROR(__xludf.DUMMYFUNCTION("""COMPUTED_VALUE"""),"")</f>
        <v/>
      </c>
      <c r="M990" s="71"/>
      <c r="N990" s="109" t="str">
        <f>IFERROR(__xludf.DUMMYFUNCTION("""COMPUTED_VALUE"""),"")</f>
        <v/>
      </c>
      <c r="O990" s="71" t="str">
        <f>IFERROR(__xludf.DUMMYFUNCTION("""COMPUTED_VALUE"""),"")</f>
        <v/>
      </c>
      <c r="P990" s="71" t="str">
        <f>IFERROR(__xludf.DUMMYFUNCTION("""COMPUTED_VALUE"""),"")</f>
        <v/>
      </c>
      <c r="Q990" s="78" t="str">
        <f>IFERROR(__xludf.DUMMYFUNCTION("""COMPUTED_VALUE"""),"")</f>
        <v/>
      </c>
      <c r="R990" s="78" t="str">
        <f>IFERROR(__xludf.DUMMYFUNCTION("""COMPUTED_VALUE"""),"")</f>
        <v/>
      </c>
      <c r="S990" s="80" t="str">
        <f>IFERROR(__xludf.DUMMYFUNCTION("""COMPUTED_VALUE"""),"")</f>
        <v/>
      </c>
      <c r="T990" s="80" t="str">
        <f>IFERROR(__xludf.DUMMYFUNCTION("""COMPUTED_VALUE"""),"")</f>
        <v/>
      </c>
      <c r="U990" s="71" t="str">
        <f>IFERROR(__xludf.DUMMYFUNCTION("""COMPUTED_VALUE"""),"")</f>
        <v/>
      </c>
      <c r="V990" s="78" t="str">
        <f>IFERROR(__xludf.DUMMYFUNCTION("""COMPUTED_VALUE"""),"")</f>
        <v/>
      </c>
      <c r="W990" s="62" t="str">
        <f>IFERROR(__xludf.DUMMYFUNCTION("""COMPUTED_VALUE"""),"")</f>
        <v/>
      </c>
      <c r="X990" s="80" t="str">
        <f>IFERROR(__xludf.DUMMYFUNCTION("""COMPUTED_VALUE"""),"")</f>
        <v/>
      </c>
      <c r="Y990" s="109" t="str">
        <f>IFERROR(__xludf.DUMMYFUNCTION("""COMPUTED_VALUE"""),"")</f>
        <v/>
      </c>
      <c r="Z990" s="71"/>
      <c r="AA990" s="71"/>
      <c r="AB990" s="71"/>
    </row>
    <row r="991">
      <c r="A991" s="71"/>
      <c r="B991" s="71"/>
      <c r="C991" s="71" t="str">
        <f>IFERROR(__xludf.DUMMYFUNCTION("""COMPUTED_VALUE"""),"")</f>
        <v/>
      </c>
      <c r="D991" s="71"/>
      <c r="E991" s="78"/>
      <c r="F991" s="71"/>
      <c r="G991" s="78" t="str">
        <f>IFERROR(__xludf.DUMMYFUNCTION("""COMPUTED_VALUE"""),"")</f>
        <v/>
      </c>
      <c r="H991" s="71"/>
      <c r="I991" s="80" t="str">
        <f>IFERROR(__xludf.DUMMYFUNCTION("""COMPUTED_VALUE"""),"")</f>
        <v/>
      </c>
      <c r="J991" s="71" t="str">
        <f>IFERROR(__xludf.DUMMYFUNCTION("""COMPUTED_VALUE"""),"")</f>
        <v/>
      </c>
      <c r="K991" s="71"/>
      <c r="L991" s="71" t="str">
        <f>IFERROR(__xludf.DUMMYFUNCTION("""COMPUTED_VALUE"""),"")</f>
        <v/>
      </c>
      <c r="M991" s="71"/>
      <c r="N991" s="109" t="str">
        <f>IFERROR(__xludf.DUMMYFUNCTION("""COMPUTED_VALUE"""),"")</f>
        <v/>
      </c>
      <c r="O991" s="71" t="str">
        <f>IFERROR(__xludf.DUMMYFUNCTION("""COMPUTED_VALUE"""),"")</f>
        <v/>
      </c>
      <c r="P991" s="71" t="str">
        <f>IFERROR(__xludf.DUMMYFUNCTION("""COMPUTED_VALUE"""),"")</f>
        <v/>
      </c>
      <c r="Q991" s="78" t="str">
        <f>IFERROR(__xludf.DUMMYFUNCTION("""COMPUTED_VALUE"""),"")</f>
        <v/>
      </c>
      <c r="R991" s="78" t="str">
        <f>IFERROR(__xludf.DUMMYFUNCTION("""COMPUTED_VALUE"""),"")</f>
        <v/>
      </c>
      <c r="S991" s="80" t="str">
        <f>IFERROR(__xludf.DUMMYFUNCTION("""COMPUTED_VALUE"""),"")</f>
        <v/>
      </c>
      <c r="T991" s="80" t="str">
        <f>IFERROR(__xludf.DUMMYFUNCTION("""COMPUTED_VALUE"""),"")</f>
        <v/>
      </c>
      <c r="U991" s="71" t="str">
        <f>IFERROR(__xludf.DUMMYFUNCTION("""COMPUTED_VALUE"""),"")</f>
        <v/>
      </c>
      <c r="V991" s="78" t="str">
        <f>IFERROR(__xludf.DUMMYFUNCTION("""COMPUTED_VALUE"""),"")</f>
        <v/>
      </c>
      <c r="W991" s="62" t="str">
        <f>IFERROR(__xludf.DUMMYFUNCTION("""COMPUTED_VALUE"""),"")</f>
        <v/>
      </c>
      <c r="X991" s="80" t="str">
        <f>IFERROR(__xludf.DUMMYFUNCTION("""COMPUTED_VALUE"""),"")</f>
        <v/>
      </c>
      <c r="Y991" s="109" t="str">
        <f>IFERROR(__xludf.DUMMYFUNCTION("""COMPUTED_VALUE"""),"")</f>
        <v/>
      </c>
      <c r="Z991" s="71"/>
      <c r="AA991" s="71"/>
      <c r="AB991" s="71"/>
    </row>
    <row r="992">
      <c r="A992" s="71"/>
      <c r="B992" s="71"/>
      <c r="C992" s="71" t="str">
        <f>IFERROR(__xludf.DUMMYFUNCTION("""COMPUTED_VALUE"""),"")</f>
        <v/>
      </c>
      <c r="D992" s="71"/>
      <c r="E992" s="78"/>
      <c r="F992" s="71"/>
      <c r="G992" s="78" t="str">
        <f>IFERROR(__xludf.DUMMYFUNCTION("""COMPUTED_VALUE"""),"")</f>
        <v/>
      </c>
      <c r="H992" s="71"/>
      <c r="I992" s="80" t="str">
        <f>IFERROR(__xludf.DUMMYFUNCTION("""COMPUTED_VALUE"""),"")</f>
        <v/>
      </c>
      <c r="J992" s="71" t="str">
        <f>IFERROR(__xludf.DUMMYFUNCTION("""COMPUTED_VALUE"""),"")</f>
        <v/>
      </c>
      <c r="K992" s="71"/>
      <c r="L992" s="71" t="str">
        <f>IFERROR(__xludf.DUMMYFUNCTION("""COMPUTED_VALUE"""),"")</f>
        <v/>
      </c>
      <c r="M992" s="71"/>
      <c r="N992" s="109" t="str">
        <f>IFERROR(__xludf.DUMMYFUNCTION("""COMPUTED_VALUE"""),"")</f>
        <v/>
      </c>
      <c r="O992" s="71" t="str">
        <f>IFERROR(__xludf.DUMMYFUNCTION("""COMPUTED_VALUE"""),"")</f>
        <v/>
      </c>
      <c r="P992" s="71" t="str">
        <f>IFERROR(__xludf.DUMMYFUNCTION("""COMPUTED_VALUE"""),"")</f>
        <v/>
      </c>
      <c r="Q992" s="78" t="str">
        <f>IFERROR(__xludf.DUMMYFUNCTION("""COMPUTED_VALUE"""),"")</f>
        <v/>
      </c>
      <c r="R992" s="78" t="str">
        <f>IFERROR(__xludf.DUMMYFUNCTION("""COMPUTED_VALUE"""),"")</f>
        <v/>
      </c>
      <c r="S992" s="80" t="str">
        <f>IFERROR(__xludf.DUMMYFUNCTION("""COMPUTED_VALUE"""),"")</f>
        <v/>
      </c>
      <c r="T992" s="80" t="str">
        <f>IFERROR(__xludf.DUMMYFUNCTION("""COMPUTED_VALUE"""),"")</f>
        <v/>
      </c>
      <c r="U992" s="71" t="str">
        <f>IFERROR(__xludf.DUMMYFUNCTION("""COMPUTED_VALUE"""),"")</f>
        <v/>
      </c>
      <c r="V992" s="78" t="str">
        <f>IFERROR(__xludf.DUMMYFUNCTION("""COMPUTED_VALUE"""),"")</f>
        <v/>
      </c>
      <c r="W992" s="62" t="str">
        <f>IFERROR(__xludf.DUMMYFUNCTION("""COMPUTED_VALUE"""),"")</f>
        <v/>
      </c>
      <c r="X992" s="80" t="str">
        <f>IFERROR(__xludf.DUMMYFUNCTION("""COMPUTED_VALUE"""),"")</f>
        <v/>
      </c>
      <c r="Y992" s="109" t="str">
        <f>IFERROR(__xludf.DUMMYFUNCTION("""COMPUTED_VALUE"""),"")</f>
        <v/>
      </c>
      <c r="Z992" s="71"/>
      <c r="AA992" s="71"/>
      <c r="AB992" s="71"/>
    </row>
    <row r="993">
      <c r="A993" s="71"/>
      <c r="B993" s="71"/>
      <c r="C993" s="71" t="str">
        <f>IFERROR(__xludf.DUMMYFUNCTION("""COMPUTED_VALUE"""),"")</f>
        <v/>
      </c>
      <c r="D993" s="71"/>
      <c r="E993" s="78"/>
      <c r="F993" s="71"/>
      <c r="G993" s="78" t="str">
        <f>IFERROR(__xludf.DUMMYFUNCTION("""COMPUTED_VALUE"""),"")</f>
        <v/>
      </c>
      <c r="H993" s="71"/>
      <c r="I993" s="80" t="str">
        <f>IFERROR(__xludf.DUMMYFUNCTION("""COMPUTED_VALUE"""),"")</f>
        <v/>
      </c>
      <c r="J993" s="71" t="str">
        <f>IFERROR(__xludf.DUMMYFUNCTION("""COMPUTED_VALUE"""),"")</f>
        <v/>
      </c>
      <c r="K993" s="71"/>
      <c r="L993" s="71" t="str">
        <f>IFERROR(__xludf.DUMMYFUNCTION("""COMPUTED_VALUE"""),"")</f>
        <v/>
      </c>
      <c r="M993" s="71"/>
      <c r="N993" s="109" t="str">
        <f>IFERROR(__xludf.DUMMYFUNCTION("""COMPUTED_VALUE"""),"")</f>
        <v/>
      </c>
      <c r="O993" s="71" t="str">
        <f>IFERROR(__xludf.DUMMYFUNCTION("""COMPUTED_VALUE"""),"")</f>
        <v/>
      </c>
      <c r="P993" s="71" t="str">
        <f>IFERROR(__xludf.DUMMYFUNCTION("""COMPUTED_VALUE"""),"")</f>
        <v/>
      </c>
      <c r="Q993" s="78" t="str">
        <f>IFERROR(__xludf.DUMMYFUNCTION("""COMPUTED_VALUE"""),"")</f>
        <v/>
      </c>
      <c r="R993" s="78" t="str">
        <f>IFERROR(__xludf.DUMMYFUNCTION("""COMPUTED_VALUE"""),"")</f>
        <v/>
      </c>
      <c r="S993" s="80" t="str">
        <f>IFERROR(__xludf.DUMMYFUNCTION("""COMPUTED_VALUE"""),"")</f>
        <v/>
      </c>
      <c r="T993" s="80" t="str">
        <f>IFERROR(__xludf.DUMMYFUNCTION("""COMPUTED_VALUE"""),"")</f>
        <v/>
      </c>
      <c r="U993" s="71" t="str">
        <f>IFERROR(__xludf.DUMMYFUNCTION("""COMPUTED_VALUE"""),"")</f>
        <v/>
      </c>
      <c r="V993" s="78" t="str">
        <f>IFERROR(__xludf.DUMMYFUNCTION("""COMPUTED_VALUE"""),"")</f>
        <v/>
      </c>
      <c r="W993" s="62" t="str">
        <f>IFERROR(__xludf.DUMMYFUNCTION("""COMPUTED_VALUE"""),"")</f>
        <v/>
      </c>
      <c r="X993" s="80" t="str">
        <f>IFERROR(__xludf.DUMMYFUNCTION("""COMPUTED_VALUE"""),"")</f>
        <v/>
      </c>
      <c r="Y993" s="109" t="str">
        <f>IFERROR(__xludf.DUMMYFUNCTION("""COMPUTED_VALUE"""),"")</f>
        <v/>
      </c>
      <c r="Z993" s="71"/>
      <c r="AA993" s="71"/>
      <c r="AB993" s="71"/>
    </row>
    <row r="994">
      <c r="A994" s="71"/>
      <c r="B994" s="71"/>
      <c r="C994" s="71" t="str">
        <f>IFERROR(__xludf.DUMMYFUNCTION("""COMPUTED_VALUE"""),"")</f>
        <v/>
      </c>
      <c r="D994" s="71"/>
      <c r="E994" s="78"/>
      <c r="F994" s="71"/>
      <c r="G994" s="78" t="str">
        <f>IFERROR(__xludf.DUMMYFUNCTION("""COMPUTED_VALUE"""),"")</f>
        <v/>
      </c>
      <c r="H994" s="71"/>
      <c r="I994" s="80" t="str">
        <f>IFERROR(__xludf.DUMMYFUNCTION("""COMPUTED_VALUE"""),"")</f>
        <v/>
      </c>
      <c r="J994" s="71" t="str">
        <f>IFERROR(__xludf.DUMMYFUNCTION("""COMPUTED_VALUE"""),"")</f>
        <v/>
      </c>
      <c r="K994" s="71"/>
      <c r="L994" s="71" t="str">
        <f>IFERROR(__xludf.DUMMYFUNCTION("""COMPUTED_VALUE"""),"")</f>
        <v/>
      </c>
      <c r="M994" s="71"/>
      <c r="N994" s="109" t="str">
        <f>IFERROR(__xludf.DUMMYFUNCTION("""COMPUTED_VALUE"""),"")</f>
        <v/>
      </c>
      <c r="O994" s="71" t="str">
        <f>IFERROR(__xludf.DUMMYFUNCTION("""COMPUTED_VALUE"""),"")</f>
        <v/>
      </c>
      <c r="P994" s="71" t="str">
        <f>IFERROR(__xludf.DUMMYFUNCTION("""COMPUTED_VALUE"""),"")</f>
        <v/>
      </c>
      <c r="Q994" s="78" t="str">
        <f>IFERROR(__xludf.DUMMYFUNCTION("""COMPUTED_VALUE"""),"")</f>
        <v/>
      </c>
      <c r="R994" s="78" t="str">
        <f>IFERROR(__xludf.DUMMYFUNCTION("""COMPUTED_VALUE"""),"")</f>
        <v/>
      </c>
      <c r="S994" s="80" t="str">
        <f>IFERROR(__xludf.DUMMYFUNCTION("""COMPUTED_VALUE"""),"")</f>
        <v/>
      </c>
      <c r="T994" s="80" t="str">
        <f>IFERROR(__xludf.DUMMYFUNCTION("""COMPUTED_VALUE"""),"")</f>
        <v/>
      </c>
      <c r="U994" s="71" t="str">
        <f>IFERROR(__xludf.DUMMYFUNCTION("""COMPUTED_VALUE"""),"")</f>
        <v/>
      </c>
      <c r="V994" s="78" t="str">
        <f>IFERROR(__xludf.DUMMYFUNCTION("""COMPUTED_VALUE"""),"")</f>
        <v/>
      </c>
      <c r="W994" s="62" t="str">
        <f>IFERROR(__xludf.DUMMYFUNCTION("""COMPUTED_VALUE"""),"")</f>
        <v/>
      </c>
      <c r="X994" s="80" t="str">
        <f>IFERROR(__xludf.DUMMYFUNCTION("""COMPUTED_VALUE"""),"")</f>
        <v/>
      </c>
      <c r="Y994" s="109" t="str">
        <f>IFERROR(__xludf.DUMMYFUNCTION("""COMPUTED_VALUE"""),"")</f>
        <v/>
      </c>
      <c r="Z994" s="71"/>
      <c r="AA994" s="71"/>
      <c r="AB994" s="71"/>
    </row>
    <row r="995">
      <c r="A995" s="71"/>
      <c r="B995" s="71"/>
      <c r="C995" s="71" t="str">
        <f>IFERROR(__xludf.DUMMYFUNCTION("""COMPUTED_VALUE"""),"")</f>
        <v/>
      </c>
      <c r="D995" s="71"/>
      <c r="E995" s="78"/>
      <c r="F995" s="71"/>
      <c r="G995" s="78" t="str">
        <f>IFERROR(__xludf.DUMMYFUNCTION("""COMPUTED_VALUE"""),"")</f>
        <v/>
      </c>
      <c r="H995" s="71"/>
      <c r="I995" s="80" t="str">
        <f>IFERROR(__xludf.DUMMYFUNCTION("""COMPUTED_VALUE"""),"")</f>
        <v/>
      </c>
      <c r="J995" s="71" t="str">
        <f>IFERROR(__xludf.DUMMYFUNCTION("""COMPUTED_VALUE"""),"")</f>
        <v/>
      </c>
      <c r="K995" s="71"/>
      <c r="L995" s="71" t="str">
        <f>IFERROR(__xludf.DUMMYFUNCTION("""COMPUTED_VALUE"""),"")</f>
        <v/>
      </c>
      <c r="M995" s="71"/>
      <c r="N995" s="109" t="str">
        <f>IFERROR(__xludf.DUMMYFUNCTION("""COMPUTED_VALUE"""),"")</f>
        <v/>
      </c>
      <c r="O995" s="71" t="str">
        <f>IFERROR(__xludf.DUMMYFUNCTION("""COMPUTED_VALUE"""),"")</f>
        <v/>
      </c>
      <c r="P995" s="71" t="str">
        <f>IFERROR(__xludf.DUMMYFUNCTION("""COMPUTED_VALUE"""),"")</f>
        <v/>
      </c>
      <c r="Q995" s="78" t="str">
        <f>IFERROR(__xludf.DUMMYFUNCTION("""COMPUTED_VALUE"""),"")</f>
        <v/>
      </c>
      <c r="R995" s="78" t="str">
        <f>IFERROR(__xludf.DUMMYFUNCTION("""COMPUTED_VALUE"""),"")</f>
        <v/>
      </c>
      <c r="S995" s="80" t="str">
        <f>IFERROR(__xludf.DUMMYFUNCTION("""COMPUTED_VALUE"""),"")</f>
        <v/>
      </c>
      <c r="T995" s="80" t="str">
        <f>IFERROR(__xludf.DUMMYFUNCTION("""COMPUTED_VALUE"""),"")</f>
        <v/>
      </c>
      <c r="U995" s="71" t="str">
        <f>IFERROR(__xludf.DUMMYFUNCTION("""COMPUTED_VALUE"""),"")</f>
        <v/>
      </c>
      <c r="V995" s="78" t="str">
        <f>IFERROR(__xludf.DUMMYFUNCTION("""COMPUTED_VALUE"""),"")</f>
        <v/>
      </c>
      <c r="W995" s="62" t="str">
        <f>IFERROR(__xludf.DUMMYFUNCTION("""COMPUTED_VALUE"""),"")</f>
        <v/>
      </c>
      <c r="X995" s="80" t="str">
        <f>IFERROR(__xludf.DUMMYFUNCTION("""COMPUTED_VALUE"""),"")</f>
        <v/>
      </c>
      <c r="Y995" s="109" t="str">
        <f>IFERROR(__xludf.DUMMYFUNCTION("""COMPUTED_VALUE"""),"")</f>
        <v/>
      </c>
      <c r="Z995" s="71"/>
      <c r="AA995" s="71"/>
      <c r="AB995" s="71"/>
    </row>
    <row r="996">
      <c r="A996" s="71"/>
      <c r="B996" s="71"/>
      <c r="C996" s="71" t="str">
        <f>IFERROR(__xludf.DUMMYFUNCTION("""COMPUTED_VALUE"""),"")</f>
        <v/>
      </c>
      <c r="D996" s="71"/>
      <c r="E996" s="78"/>
      <c r="F996" s="71"/>
      <c r="G996" s="78" t="str">
        <f>IFERROR(__xludf.DUMMYFUNCTION("""COMPUTED_VALUE"""),"")</f>
        <v/>
      </c>
      <c r="H996" s="71"/>
      <c r="I996" s="80" t="str">
        <f>IFERROR(__xludf.DUMMYFUNCTION("""COMPUTED_VALUE"""),"")</f>
        <v/>
      </c>
      <c r="J996" s="71" t="str">
        <f>IFERROR(__xludf.DUMMYFUNCTION("""COMPUTED_VALUE"""),"")</f>
        <v/>
      </c>
      <c r="K996" s="71"/>
      <c r="L996" s="71" t="str">
        <f>IFERROR(__xludf.DUMMYFUNCTION("""COMPUTED_VALUE"""),"")</f>
        <v/>
      </c>
      <c r="M996" s="71"/>
      <c r="N996" s="109" t="str">
        <f>IFERROR(__xludf.DUMMYFUNCTION("""COMPUTED_VALUE"""),"")</f>
        <v/>
      </c>
      <c r="O996" s="71" t="str">
        <f>IFERROR(__xludf.DUMMYFUNCTION("""COMPUTED_VALUE"""),"")</f>
        <v/>
      </c>
      <c r="P996" s="71" t="str">
        <f>IFERROR(__xludf.DUMMYFUNCTION("""COMPUTED_VALUE"""),"")</f>
        <v/>
      </c>
      <c r="Q996" s="78" t="str">
        <f>IFERROR(__xludf.DUMMYFUNCTION("""COMPUTED_VALUE"""),"")</f>
        <v/>
      </c>
      <c r="R996" s="78" t="str">
        <f>IFERROR(__xludf.DUMMYFUNCTION("""COMPUTED_VALUE"""),"")</f>
        <v/>
      </c>
      <c r="S996" s="80" t="str">
        <f>IFERROR(__xludf.DUMMYFUNCTION("""COMPUTED_VALUE"""),"")</f>
        <v/>
      </c>
      <c r="T996" s="80" t="str">
        <f>IFERROR(__xludf.DUMMYFUNCTION("""COMPUTED_VALUE"""),"")</f>
        <v/>
      </c>
      <c r="U996" s="71" t="str">
        <f>IFERROR(__xludf.DUMMYFUNCTION("""COMPUTED_VALUE"""),"")</f>
        <v/>
      </c>
      <c r="V996" s="78" t="str">
        <f>IFERROR(__xludf.DUMMYFUNCTION("""COMPUTED_VALUE"""),"")</f>
        <v/>
      </c>
      <c r="W996" s="62" t="str">
        <f>IFERROR(__xludf.DUMMYFUNCTION("""COMPUTED_VALUE"""),"")</f>
        <v/>
      </c>
      <c r="X996" s="80" t="str">
        <f>IFERROR(__xludf.DUMMYFUNCTION("""COMPUTED_VALUE"""),"")</f>
        <v/>
      </c>
      <c r="Y996" s="109" t="str">
        <f>IFERROR(__xludf.DUMMYFUNCTION("""COMPUTED_VALUE"""),"")</f>
        <v/>
      </c>
      <c r="Z996" s="71"/>
      <c r="AA996" s="71"/>
      <c r="AB996" s="71"/>
    </row>
    <row r="997">
      <c r="A997" s="71"/>
      <c r="B997" s="71"/>
      <c r="C997" s="71" t="str">
        <f>IFERROR(__xludf.DUMMYFUNCTION("""COMPUTED_VALUE"""),"")</f>
        <v/>
      </c>
      <c r="D997" s="71"/>
      <c r="E997" s="78"/>
      <c r="F997" s="71"/>
      <c r="G997" s="78" t="str">
        <f>IFERROR(__xludf.DUMMYFUNCTION("""COMPUTED_VALUE"""),"")</f>
        <v/>
      </c>
      <c r="H997" s="71"/>
      <c r="I997" s="80" t="str">
        <f>IFERROR(__xludf.DUMMYFUNCTION("""COMPUTED_VALUE"""),"")</f>
        <v/>
      </c>
      <c r="J997" s="71" t="str">
        <f>IFERROR(__xludf.DUMMYFUNCTION("""COMPUTED_VALUE"""),"")</f>
        <v/>
      </c>
      <c r="K997" s="71"/>
      <c r="L997" s="71" t="str">
        <f>IFERROR(__xludf.DUMMYFUNCTION("""COMPUTED_VALUE"""),"")</f>
        <v/>
      </c>
      <c r="M997" s="71"/>
      <c r="N997" s="109" t="str">
        <f>IFERROR(__xludf.DUMMYFUNCTION("""COMPUTED_VALUE"""),"")</f>
        <v/>
      </c>
      <c r="O997" s="71" t="str">
        <f>IFERROR(__xludf.DUMMYFUNCTION("""COMPUTED_VALUE"""),"")</f>
        <v/>
      </c>
      <c r="P997" s="71" t="str">
        <f>IFERROR(__xludf.DUMMYFUNCTION("""COMPUTED_VALUE"""),"")</f>
        <v/>
      </c>
      <c r="Q997" s="78" t="str">
        <f>IFERROR(__xludf.DUMMYFUNCTION("""COMPUTED_VALUE"""),"")</f>
        <v/>
      </c>
      <c r="R997" s="78" t="str">
        <f>IFERROR(__xludf.DUMMYFUNCTION("""COMPUTED_VALUE"""),"")</f>
        <v/>
      </c>
      <c r="S997" s="80" t="str">
        <f>IFERROR(__xludf.DUMMYFUNCTION("""COMPUTED_VALUE"""),"")</f>
        <v/>
      </c>
      <c r="T997" s="80" t="str">
        <f>IFERROR(__xludf.DUMMYFUNCTION("""COMPUTED_VALUE"""),"")</f>
        <v/>
      </c>
      <c r="U997" s="71" t="str">
        <f>IFERROR(__xludf.DUMMYFUNCTION("""COMPUTED_VALUE"""),"")</f>
        <v/>
      </c>
      <c r="V997" s="78" t="str">
        <f>IFERROR(__xludf.DUMMYFUNCTION("""COMPUTED_VALUE"""),"")</f>
        <v/>
      </c>
      <c r="W997" s="62" t="str">
        <f>IFERROR(__xludf.DUMMYFUNCTION("""COMPUTED_VALUE"""),"")</f>
        <v/>
      </c>
      <c r="X997" s="80" t="str">
        <f>IFERROR(__xludf.DUMMYFUNCTION("""COMPUTED_VALUE"""),"")</f>
        <v/>
      </c>
      <c r="Y997" s="109" t="str">
        <f>IFERROR(__xludf.DUMMYFUNCTION("""COMPUTED_VALUE"""),"")</f>
        <v/>
      </c>
      <c r="Z997" s="71"/>
      <c r="AA997" s="71"/>
      <c r="AB997" s="71"/>
    </row>
    <row r="998">
      <c r="A998" s="71"/>
      <c r="B998" s="71"/>
      <c r="C998" s="71" t="str">
        <f>IFERROR(__xludf.DUMMYFUNCTION("""COMPUTED_VALUE"""),"")</f>
        <v/>
      </c>
      <c r="D998" s="71"/>
      <c r="E998" s="78"/>
      <c r="F998" s="71"/>
      <c r="G998" s="78" t="str">
        <f>IFERROR(__xludf.DUMMYFUNCTION("""COMPUTED_VALUE"""),"")</f>
        <v/>
      </c>
      <c r="H998" s="71"/>
      <c r="I998" s="80" t="str">
        <f>IFERROR(__xludf.DUMMYFUNCTION("""COMPUTED_VALUE"""),"")</f>
        <v/>
      </c>
      <c r="J998" s="71" t="str">
        <f>IFERROR(__xludf.DUMMYFUNCTION("""COMPUTED_VALUE"""),"")</f>
        <v/>
      </c>
      <c r="K998" s="71"/>
      <c r="L998" s="71" t="str">
        <f>IFERROR(__xludf.DUMMYFUNCTION("""COMPUTED_VALUE"""),"")</f>
        <v/>
      </c>
      <c r="M998" s="71"/>
      <c r="N998" s="109" t="str">
        <f>IFERROR(__xludf.DUMMYFUNCTION("""COMPUTED_VALUE"""),"")</f>
        <v/>
      </c>
      <c r="O998" s="71" t="str">
        <f>IFERROR(__xludf.DUMMYFUNCTION("""COMPUTED_VALUE"""),"")</f>
        <v/>
      </c>
      <c r="P998" s="71" t="str">
        <f>IFERROR(__xludf.DUMMYFUNCTION("""COMPUTED_VALUE"""),"")</f>
        <v/>
      </c>
      <c r="Q998" s="78" t="str">
        <f>IFERROR(__xludf.DUMMYFUNCTION("""COMPUTED_VALUE"""),"")</f>
        <v/>
      </c>
      <c r="R998" s="78" t="str">
        <f>IFERROR(__xludf.DUMMYFUNCTION("""COMPUTED_VALUE"""),"")</f>
        <v/>
      </c>
      <c r="S998" s="80" t="str">
        <f>IFERROR(__xludf.DUMMYFUNCTION("""COMPUTED_VALUE"""),"")</f>
        <v/>
      </c>
      <c r="T998" s="80" t="str">
        <f>IFERROR(__xludf.DUMMYFUNCTION("""COMPUTED_VALUE"""),"")</f>
        <v/>
      </c>
      <c r="U998" s="71" t="str">
        <f>IFERROR(__xludf.DUMMYFUNCTION("""COMPUTED_VALUE"""),"")</f>
        <v/>
      </c>
      <c r="V998" s="78" t="str">
        <f>IFERROR(__xludf.DUMMYFUNCTION("""COMPUTED_VALUE"""),"")</f>
        <v/>
      </c>
      <c r="W998" s="62" t="str">
        <f>IFERROR(__xludf.DUMMYFUNCTION("""COMPUTED_VALUE"""),"")</f>
        <v/>
      </c>
      <c r="X998" s="80" t="str">
        <f>IFERROR(__xludf.DUMMYFUNCTION("""COMPUTED_VALUE"""),"")</f>
        <v/>
      </c>
      <c r="Y998" s="109" t="str">
        <f>IFERROR(__xludf.DUMMYFUNCTION("""COMPUTED_VALUE"""),"")</f>
        <v/>
      </c>
      <c r="Z998" s="71"/>
      <c r="AA998" s="71"/>
      <c r="AB998" s="71"/>
    </row>
    <row r="999">
      <c r="A999" s="71"/>
      <c r="B999" s="71"/>
      <c r="C999" s="71" t="str">
        <f>IFERROR(__xludf.DUMMYFUNCTION("""COMPUTED_VALUE"""),"")</f>
        <v/>
      </c>
      <c r="D999" s="71"/>
      <c r="E999" s="78"/>
      <c r="F999" s="71"/>
      <c r="G999" s="78" t="str">
        <f>IFERROR(__xludf.DUMMYFUNCTION("""COMPUTED_VALUE"""),"")</f>
        <v/>
      </c>
      <c r="H999" s="71"/>
      <c r="I999" s="80" t="str">
        <f>IFERROR(__xludf.DUMMYFUNCTION("""COMPUTED_VALUE"""),"")</f>
        <v/>
      </c>
      <c r="J999" s="71" t="str">
        <f>IFERROR(__xludf.DUMMYFUNCTION("""COMPUTED_VALUE"""),"")</f>
        <v/>
      </c>
      <c r="K999" s="71"/>
      <c r="L999" s="71" t="str">
        <f>IFERROR(__xludf.DUMMYFUNCTION("""COMPUTED_VALUE"""),"")</f>
        <v/>
      </c>
      <c r="M999" s="71"/>
      <c r="N999" s="109" t="str">
        <f>IFERROR(__xludf.DUMMYFUNCTION("""COMPUTED_VALUE"""),"")</f>
        <v/>
      </c>
      <c r="O999" s="71" t="str">
        <f>IFERROR(__xludf.DUMMYFUNCTION("""COMPUTED_VALUE"""),"")</f>
        <v/>
      </c>
      <c r="P999" s="71" t="str">
        <f>IFERROR(__xludf.DUMMYFUNCTION("""COMPUTED_VALUE"""),"")</f>
        <v/>
      </c>
      <c r="Q999" s="78" t="str">
        <f>IFERROR(__xludf.DUMMYFUNCTION("""COMPUTED_VALUE"""),"")</f>
        <v/>
      </c>
      <c r="R999" s="78" t="str">
        <f>IFERROR(__xludf.DUMMYFUNCTION("""COMPUTED_VALUE"""),"")</f>
        <v/>
      </c>
      <c r="S999" s="80" t="str">
        <f>IFERROR(__xludf.DUMMYFUNCTION("""COMPUTED_VALUE"""),"")</f>
        <v/>
      </c>
      <c r="T999" s="80" t="str">
        <f>IFERROR(__xludf.DUMMYFUNCTION("""COMPUTED_VALUE"""),"")</f>
        <v/>
      </c>
      <c r="U999" s="71" t="str">
        <f>IFERROR(__xludf.DUMMYFUNCTION("""COMPUTED_VALUE"""),"")</f>
        <v/>
      </c>
      <c r="V999" s="78" t="str">
        <f>IFERROR(__xludf.DUMMYFUNCTION("""COMPUTED_VALUE"""),"")</f>
        <v/>
      </c>
      <c r="W999" s="62" t="str">
        <f>IFERROR(__xludf.DUMMYFUNCTION("""COMPUTED_VALUE"""),"")</f>
        <v/>
      </c>
      <c r="X999" s="80" t="str">
        <f>IFERROR(__xludf.DUMMYFUNCTION("""COMPUTED_VALUE"""),"")</f>
        <v/>
      </c>
      <c r="Y999" s="109" t="str">
        <f>IFERROR(__xludf.DUMMYFUNCTION("""COMPUTED_VALUE"""),"")</f>
        <v/>
      </c>
      <c r="Z999" s="71"/>
      <c r="AA999" s="71"/>
      <c r="AB999" s="71"/>
    </row>
    <row r="1000">
      <c r="A1000" s="71"/>
      <c r="B1000" s="71"/>
      <c r="C1000" s="71" t="str">
        <f>IFERROR(__xludf.DUMMYFUNCTION("""COMPUTED_VALUE"""),"")</f>
        <v/>
      </c>
      <c r="D1000" s="71"/>
      <c r="E1000" s="78"/>
      <c r="F1000" s="71"/>
      <c r="G1000" s="78" t="str">
        <f>IFERROR(__xludf.DUMMYFUNCTION("""COMPUTED_VALUE"""),"")</f>
        <v/>
      </c>
      <c r="H1000" s="71"/>
      <c r="I1000" s="80" t="str">
        <f>IFERROR(__xludf.DUMMYFUNCTION("""COMPUTED_VALUE"""),"")</f>
        <v/>
      </c>
      <c r="J1000" s="71" t="str">
        <f>IFERROR(__xludf.DUMMYFUNCTION("""COMPUTED_VALUE"""),"")</f>
        <v/>
      </c>
      <c r="K1000" s="71"/>
      <c r="L1000" s="71" t="str">
        <f>IFERROR(__xludf.DUMMYFUNCTION("""COMPUTED_VALUE"""),"")</f>
        <v/>
      </c>
      <c r="M1000" s="71"/>
      <c r="N1000" s="109" t="str">
        <f>IFERROR(__xludf.DUMMYFUNCTION("""COMPUTED_VALUE"""),"")</f>
        <v/>
      </c>
      <c r="O1000" s="71" t="str">
        <f>IFERROR(__xludf.DUMMYFUNCTION("""COMPUTED_VALUE"""),"")</f>
        <v/>
      </c>
      <c r="P1000" s="71" t="str">
        <f>IFERROR(__xludf.DUMMYFUNCTION("""COMPUTED_VALUE"""),"")</f>
        <v/>
      </c>
      <c r="Q1000" s="78" t="str">
        <f>IFERROR(__xludf.DUMMYFUNCTION("""COMPUTED_VALUE"""),"")</f>
        <v/>
      </c>
      <c r="R1000" s="78" t="str">
        <f>IFERROR(__xludf.DUMMYFUNCTION("""COMPUTED_VALUE"""),"")</f>
        <v/>
      </c>
      <c r="S1000" s="80" t="str">
        <f>IFERROR(__xludf.DUMMYFUNCTION("""COMPUTED_VALUE"""),"")</f>
        <v/>
      </c>
      <c r="T1000" s="80" t="str">
        <f>IFERROR(__xludf.DUMMYFUNCTION("""COMPUTED_VALUE"""),"")</f>
        <v/>
      </c>
      <c r="U1000" s="71" t="str">
        <f>IFERROR(__xludf.DUMMYFUNCTION("""COMPUTED_VALUE"""),"")</f>
        <v/>
      </c>
      <c r="V1000" s="78" t="str">
        <f>IFERROR(__xludf.DUMMYFUNCTION("""COMPUTED_VALUE"""),"")</f>
        <v/>
      </c>
      <c r="W1000" s="62" t="str">
        <f>IFERROR(__xludf.DUMMYFUNCTION("""COMPUTED_VALUE"""),"")</f>
        <v/>
      </c>
      <c r="X1000" s="80" t="str">
        <f>IFERROR(__xludf.DUMMYFUNCTION("""COMPUTED_VALUE"""),"")</f>
        <v/>
      </c>
      <c r="Y1000" s="109" t="str">
        <f>IFERROR(__xludf.DUMMYFUNCTION("""COMPUTED_VALUE"""),"")</f>
        <v/>
      </c>
      <c r="Z1000" s="71"/>
      <c r="AA1000" s="71"/>
      <c r="AB1000" s="71"/>
    </row>
    <row r="1001">
      <c r="E1001" s="78"/>
      <c r="G1001" s="78"/>
      <c r="I1001" s="80"/>
      <c r="K1001" s="71"/>
      <c r="N1001" s="109"/>
      <c r="Q1001" s="78"/>
      <c r="R1001" s="78"/>
      <c r="S1001" s="80"/>
      <c r="T1001" s="80"/>
      <c r="V1001" s="78"/>
      <c r="W1001" s="62"/>
      <c r="X1001" s="80"/>
      <c r="Y1001" s="109"/>
    </row>
    <row r="1002">
      <c r="E1002" s="78"/>
      <c r="G1002" s="78"/>
      <c r="I1002" s="80"/>
      <c r="K1002" s="71"/>
      <c r="N1002" s="109"/>
      <c r="Q1002" s="78"/>
      <c r="R1002" s="78"/>
      <c r="S1002" s="80"/>
      <c r="T1002" s="80"/>
      <c r="V1002" s="78"/>
      <c r="W1002" s="62"/>
      <c r="X1002" s="80"/>
      <c r="Y1002" s="109"/>
    </row>
    <row r="1003">
      <c r="E1003" s="78"/>
      <c r="G1003" s="78"/>
      <c r="I1003" s="80"/>
      <c r="K1003" s="71"/>
      <c r="N1003" s="109"/>
      <c r="Q1003" s="78"/>
      <c r="R1003" s="78"/>
      <c r="S1003" s="80"/>
      <c r="T1003" s="80"/>
      <c r="V1003" s="78"/>
      <c r="W1003" s="62"/>
      <c r="X1003" s="80"/>
      <c r="Y1003" s="109"/>
    </row>
    <row r="1004">
      <c r="E1004" s="78"/>
      <c r="G1004" s="78"/>
      <c r="I1004" s="80"/>
      <c r="K1004" s="71"/>
      <c r="N1004" s="109"/>
      <c r="Q1004" s="78"/>
      <c r="R1004" s="78"/>
      <c r="S1004" s="80"/>
      <c r="T1004" s="80"/>
      <c r="V1004" s="78"/>
      <c r="W1004" s="62"/>
      <c r="X1004" s="80"/>
      <c r="Y1004" s="109"/>
    </row>
    <row r="1005">
      <c r="E1005" s="78"/>
      <c r="G1005" s="78"/>
      <c r="I1005" s="80"/>
      <c r="K1005" s="71"/>
      <c r="N1005" s="109"/>
      <c r="Q1005" s="78"/>
      <c r="R1005" s="78"/>
      <c r="S1005" s="80"/>
      <c r="T1005" s="80"/>
      <c r="V1005" s="78"/>
      <c r="W1005" s="62"/>
      <c r="X1005" s="80"/>
      <c r="Y1005" s="109"/>
    </row>
    <row r="1006">
      <c r="E1006" s="78"/>
      <c r="G1006" s="78"/>
      <c r="I1006" s="80"/>
      <c r="K1006" s="71"/>
      <c r="N1006" s="109"/>
      <c r="Q1006" s="78"/>
      <c r="R1006" s="78"/>
      <c r="S1006" s="80"/>
      <c r="T1006" s="80"/>
      <c r="V1006" s="78"/>
      <c r="W1006" s="62"/>
      <c r="X1006" s="80"/>
      <c r="Y1006" s="109"/>
    </row>
    <row r="1007">
      <c r="E1007" s="78"/>
      <c r="G1007" s="78"/>
      <c r="I1007" s="80"/>
      <c r="K1007" s="71"/>
      <c r="N1007" s="109"/>
      <c r="Q1007" s="78"/>
      <c r="R1007" s="78"/>
      <c r="S1007" s="80"/>
      <c r="T1007" s="80"/>
      <c r="V1007" s="78"/>
      <c r="W1007" s="62"/>
      <c r="X1007" s="80"/>
      <c r="Y1007" s="109"/>
    </row>
    <row r="1008">
      <c r="E1008" s="78"/>
      <c r="G1008" s="78"/>
      <c r="I1008" s="80"/>
      <c r="K1008" s="71"/>
      <c r="N1008" s="109"/>
      <c r="Q1008" s="78"/>
      <c r="R1008" s="78"/>
      <c r="S1008" s="80"/>
      <c r="T1008" s="80"/>
      <c r="V1008" s="78"/>
      <c r="W1008" s="62"/>
      <c r="X1008" s="80"/>
      <c r="Y1008" s="109"/>
    </row>
    <row r="1009">
      <c r="E1009" s="78"/>
      <c r="G1009" s="78"/>
      <c r="I1009" s="80"/>
      <c r="K1009" s="71"/>
      <c r="N1009" s="109"/>
      <c r="Q1009" s="78"/>
      <c r="R1009" s="78"/>
      <c r="S1009" s="80"/>
      <c r="T1009" s="80"/>
      <c r="V1009" s="78"/>
      <c r="W1009" s="62"/>
      <c r="X1009" s="80"/>
      <c r="Y1009" s="109"/>
    </row>
    <row r="1010">
      <c r="E1010" s="78"/>
      <c r="G1010" s="78"/>
      <c r="I1010" s="80"/>
      <c r="K1010" s="71"/>
      <c r="N1010" s="109"/>
      <c r="Q1010" s="78"/>
      <c r="R1010" s="78"/>
      <c r="S1010" s="80"/>
      <c r="T1010" s="80"/>
      <c r="V1010" s="78"/>
      <c r="W1010" s="62"/>
      <c r="X1010" s="80"/>
      <c r="Y1010" s="109"/>
    </row>
    <row r="1011">
      <c r="E1011" s="78"/>
      <c r="G1011" s="78"/>
      <c r="I1011" s="80"/>
      <c r="K1011" s="71"/>
      <c r="N1011" s="109"/>
      <c r="Q1011" s="78"/>
      <c r="R1011" s="78"/>
      <c r="S1011" s="80"/>
      <c r="T1011" s="80"/>
      <c r="V1011" s="78"/>
      <c r="W1011" s="62"/>
      <c r="X1011" s="80"/>
      <c r="Y1011" s="109"/>
    </row>
    <row r="1012">
      <c r="E1012" s="78"/>
      <c r="G1012" s="78"/>
      <c r="I1012" s="80"/>
      <c r="K1012" s="71"/>
      <c r="N1012" s="109"/>
      <c r="Q1012" s="78"/>
      <c r="R1012" s="78"/>
      <c r="S1012" s="80"/>
      <c r="T1012" s="80"/>
      <c r="V1012" s="78"/>
      <c r="W1012" s="62"/>
      <c r="X1012" s="80"/>
      <c r="Y1012" s="109"/>
    </row>
    <row r="1013">
      <c r="E1013" s="78"/>
      <c r="G1013" s="78"/>
      <c r="I1013" s="80"/>
      <c r="K1013" s="71"/>
      <c r="N1013" s="109"/>
      <c r="Q1013" s="78"/>
      <c r="R1013" s="78"/>
      <c r="S1013" s="80"/>
      <c r="T1013" s="80"/>
      <c r="V1013" s="78"/>
      <c r="W1013" s="62"/>
      <c r="X1013" s="80"/>
      <c r="Y1013" s="109"/>
    </row>
    <row r="1014">
      <c r="E1014" s="78"/>
      <c r="G1014" s="78"/>
      <c r="I1014" s="80"/>
      <c r="K1014" s="71"/>
      <c r="N1014" s="109"/>
      <c r="Q1014" s="78"/>
      <c r="R1014" s="78"/>
      <c r="S1014" s="80"/>
      <c r="T1014" s="80"/>
      <c r="V1014" s="78"/>
      <c r="W1014" s="62"/>
      <c r="X1014" s="80"/>
      <c r="Y1014" s="109"/>
    </row>
    <row r="1015">
      <c r="E1015" s="78"/>
      <c r="G1015" s="78"/>
      <c r="I1015" s="80"/>
      <c r="K1015" s="71"/>
      <c r="N1015" s="109"/>
      <c r="Q1015" s="78"/>
      <c r="R1015" s="78"/>
      <c r="S1015" s="80"/>
      <c r="T1015" s="80"/>
      <c r="V1015" s="78"/>
      <c r="W1015" s="62"/>
      <c r="X1015" s="80"/>
      <c r="Y1015" s="109"/>
    </row>
    <row r="1016">
      <c r="E1016" s="78"/>
      <c r="G1016" s="78"/>
      <c r="I1016" s="80"/>
      <c r="K1016" s="71"/>
      <c r="N1016" s="109"/>
      <c r="Q1016" s="78"/>
      <c r="R1016" s="78"/>
      <c r="S1016" s="80"/>
      <c r="T1016" s="80"/>
      <c r="V1016" s="78"/>
      <c r="W1016" s="62"/>
      <c r="X1016" s="80"/>
      <c r="Y1016" s="109"/>
    </row>
    <row r="1017">
      <c r="E1017" s="78"/>
      <c r="G1017" s="78"/>
      <c r="I1017" s="80"/>
      <c r="K1017" s="71"/>
      <c r="N1017" s="109"/>
      <c r="Q1017" s="78"/>
      <c r="R1017" s="78"/>
      <c r="S1017" s="80"/>
      <c r="T1017" s="80"/>
      <c r="V1017" s="78"/>
      <c r="W1017" s="62"/>
      <c r="X1017" s="80"/>
      <c r="Y1017" s="109"/>
    </row>
    <row r="1018">
      <c r="E1018" s="78"/>
      <c r="G1018" s="78"/>
      <c r="I1018" s="80"/>
      <c r="K1018" s="71"/>
      <c r="N1018" s="109"/>
      <c r="Q1018" s="78"/>
      <c r="R1018" s="78"/>
      <c r="S1018" s="80"/>
      <c r="T1018" s="80"/>
      <c r="V1018" s="78"/>
      <c r="W1018" s="62"/>
      <c r="X1018" s="80"/>
      <c r="Y1018" s="109"/>
    </row>
    <row r="1019">
      <c r="E1019" s="78"/>
      <c r="G1019" s="78"/>
      <c r="I1019" s="80"/>
      <c r="K1019" s="71"/>
      <c r="N1019" s="109"/>
      <c r="Q1019" s="78"/>
      <c r="R1019" s="78"/>
      <c r="S1019" s="80"/>
      <c r="T1019" s="80"/>
      <c r="V1019" s="78"/>
      <c r="W1019" s="62"/>
      <c r="X1019" s="80"/>
      <c r="Y1019" s="109"/>
    </row>
    <row r="1020">
      <c r="E1020" s="78"/>
      <c r="G1020" s="78"/>
      <c r="I1020" s="80"/>
      <c r="K1020" s="71"/>
      <c r="N1020" s="109"/>
      <c r="Q1020" s="78"/>
      <c r="R1020" s="78"/>
      <c r="S1020" s="80"/>
      <c r="T1020" s="80"/>
      <c r="V1020" s="78"/>
      <c r="W1020" s="62"/>
      <c r="X1020" s="80"/>
      <c r="Y1020" s="109"/>
    </row>
    <row r="1021">
      <c r="E1021" s="78"/>
      <c r="G1021" s="78"/>
      <c r="I1021" s="80"/>
      <c r="K1021" s="71"/>
      <c r="N1021" s="109"/>
      <c r="Q1021" s="78"/>
      <c r="R1021" s="78"/>
      <c r="S1021" s="80"/>
      <c r="T1021" s="80"/>
      <c r="V1021" s="78"/>
      <c r="W1021" s="62"/>
      <c r="X1021" s="80"/>
      <c r="Y1021" s="109"/>
    </row>
    <row r="1022">
      <c r="E1022" s="78"/>
      <c r="G1022" s="78"/>
      <c r="I1022" s="80"/>
      <c r="K1022" s="71"/>
      <c r="N1022" s="109"/>
      <c r="Q1022" s="78"/>
      <c r="R1022" s="78"/>
      <c r="S1022" s="80"/>
      <c r="T1022" s="80"/>
      <c r="V1022" s="78"/>
      <c r="W1022" s="62"/>
      <c r="X1022" s="80"/>
      <c r="Y1022" s="109"/>
    </row>
    <row r="1023">
      <c r="E1023" s="78"/>
      <c r="G1023" s="78"/>
      <c r="I1023" s="80"/>
      <c r="K1023" s="71"/>
      <c r="N1023" s="109"/>
      <c r="Q1023" s="78"/>
      <c r="R1023" s="78"/>
      <c r="S1023" s="80"/>
      <c r="T1023" s="80"/>
      <c r="V1023" s="78"/>
      <c r="W1023" s="62"/>
      <c r="X1023" s="80"/>
      <c r="Y1023" s="109"/>
    </row>
    <row r="1024">
      <c r="E1024" s="78"/>
      <c r="G1024" s="78"/>
      <c r="I1024" s="80"/>
      <c r="K1024" s="71"/>
      <c r="N1024" s="109"/>
      <c r="Q1024" s="78"/>
      <c r="R1024" s="78"/>
      <c r="S1024" s="80"/>
      <c r="T1024" s="80"/>
      <c r="V1024" s="78"/>
      <c r="W1024" s="62"/>
      <c r="X1024" s="80"/>
      <c r="Y1024" s="109"/>
    </row>
    <row r="1025">
      <c r="E1025" s="78"/>
      <c r="G1025" s="78"/>
      <c r="I1025" s="80"/>
      <c r="K1025" s="71"/>
      <c r="N1025" s="109"/>
      <c r="Q1025" s="78"/>
      <c r="R1025" s="78"/>
      <c r="S1025" s="80"/>
      <c r="T1025" s="80"/>
      <c r="V1025" s="78"/>
      <c r="W1025" s="62"/>
      <c r="X1025" s="80"/>
      <c r="Y1025" s="109"/>
    </row>
    <row r="1026">
      <c r="E1026" s="78"/>
      <c r="G1026" s="78"/>
      <c r="I1026" s="80"/>
      <c r="K1026" s="71"/>
      <c r="N1026" s="109"/>
      <c r="Q1026" s="78"/>
      <c r="R1026" s="78"/>
      <c r="S1026" s="80"/>
      <c r="T1026" s="80"/>
      <c r="V1026" s="78"/>
      <c r="W1026" s="62"/>
      <c r="X1026" s="80"/>
      <c r="Y1026" s="109"/>
    </row>
    <row r="1027">
      <c r="E1027" s="78"/>
      <c r="G1027" s="78"/>
      <c r="I1027" s="80"/>
      <c r="K1027" s="71"/>
      <c r="N1027" s="109"/>
      <c r="Q1027" s="78"/>
      <c r="R1027" s="78"/>
      <c r="S1027" s="80"/>
      <c r="T1027" s="80"/>
      <c r="V1027" s="78"/>
      <c r="W1027" s="62"/>
      <c r="X1027" s="80"/>
      <c r="Y1027" s="109"/>
    </row>
    <row r="1028">
      <c r="E1028" s="78"/>
      <c r="G1028" s="78"/>
      <c r="I1028" s="80"/>
      <c r="K1028" s="71"/>
      <c r="N1028" s="109"/>
      <c r="Q1028" s="78"/>
      <c r="R1028" s="78"/>
      <c r="S1028" s="80"/>
      <c r="T1028" s="80"/>
      <c r="V1028" s="78"/>
      <c r="W1028" s="62"/>
      <c r="X1028" s="80"/>
      <c r="Y1028" s="109"/>
    </row>
    <row r="1029">
      <c r="E1029" s="78"/>
      <c r="G1029" s="78"/>
      <c r="I1029" s="80"/>
      <c r="K1029" s="71"/>
      <c r="N1029" s="109"/>
      <c r="Q1029" s="78"/>
      <c r="R1029" s="78"/>
      <c r="S1029" s="80"/>
      <c r="T1029" s="80"/>
      <c r="V1029" s="78"/>
      <c r="W1029" s="62"/>
      <c r="X1029" s="80"/>
      <c r="Y1029" s="109"/>
    </row>
    <row r="1030">
      <c r="E1030" s="78"/>
      <c r="G1030" s="78"/>
      <c r="I1030" s="80"/>
      <c r="K1030" s="71"/>
      <c r="N1030" s="109"/>
      <c r="Q1030" s="78"/>
      <c r="R1030" s="78"/>
      <c r="S1030" s="80"/>
      <c r="T1030" s="80"/>
      <c r="V1030" s="78"/>
      <c r="W1030" s="62"/>
      <c r="X1030" s="80"/>
      <c r="Y1030" s="109"/>
    </row>
    <row r="1031">
      <c r="E1031" s="78"/>
      <c r="G1031" s="78"/>
      <c r="I1031" s="80"/>
      <c r="K1031" s="71"/>
      <c r="N1031" s="109"/>
      <c r="Q1031" s="78"/>
      <c r="R1031" s="78"/>
      <c r="S1031" s="80"/>
      <c r="T1031" s="80"/>
      <c r="V1031" s="78"/>
      <c r="W1031" s="62"/>
      <c r="X1031" s="80"/>
      <c r="Y1031" s="109"/>
    </row>
    <row r="1032">
      <c r="E1032" s="78"/>
      <c r="G1032" s="78"/>
      <c r="I1032" s="80"/>
      <c r="K1032" s="71"/>
      <c r="N1032" s="109"/>
      <c r="Q1032" s="78"/>
      <c r="R1032" s="78"/>
      <c r="S1032" s="80"/>
      <c r="T1032" s="80"/>
      <c r="V1032" s="78"/>
      <c r="W1032" s="62"/>
      <c r="X1032" s="80"/>
      <c r="Y1032" s="109"/>
    </row>
    <row r="1033">
      <c r="E1033" s="78"/>
      <c r="G1033" s="78"/>
      <c r="I1033" s="80"/>
      <c r="K1033" s="71"/>
      <c r="N1033" s="109"/>
      <c r="Q1033" s="78"/>
      <c r="R1033" s="78"/>
      <c r="S1033" s="80"/>
      <c r="T1033" s="80"/>
      <c r="V1033" s="78"/>
      <c r="W1033" s="62"/>
      <c r="X1033" s="80"/>
      <c r="Y1033" s="109"/>
    </row>
    <row r="1034">
      <c r="E1034" s="78"/>
      <c r="G1034" s="78"/>
      <c r="I1034" s="80"/>
      <c r="K1034" s="71"/>
      <c r="N1034" s="109"/>
      <c r="Q1034" s="78"/>
      <c r="R1034" s="78"/>
      <c r="S1034" s="80"/>
      <c r="T1034" s="80"/>
      <c r="V1034" s="78"/>
      <c r="W1034" s="62"/>
      <c r="X1034" s="80"/>
      <c r="Y1034" s="109"/>
    </row>
    <row r="1035">
      <c r="E1035" s="78"/>
      <c r="G1035" s="78"/>
      <c r="I1035" s="80"/>
      <c r="K1035" s="71"/>
      <c r="N1035" s="109"/>
      <c r="Q1035" s="78"/>
      <c r="R1035" s="78"/>
      <c r="S1035" s="80"/>
      <c r="T1035" s="80"/>
      <c r="V1035" s="78"/>
      <c r="W1035" s="62"/>
      <c r="X1035" s="80"/>
      <c r="Y1035" s="109"/>
    </row>
    <row r="1036">
      <c r="E1036" s="78"/>
      <c r="G1036" s="78"/>
      <c r="I1036" s="80"/>
      <c r="K1036" s="71"/>
      <c r="N1036" s="109"/>
      <c r="Q1036" s="78"/>
      <c r="R1036" s="78"/>
      <c r="S1036" s="80"/>
      <c r="T1036" s="80"/>
      <c r="V1036" s="78"/>
      <c r="W1036" s="62"/>
      <c r="X1036" s="80"/>
      <c r="Y1036" s="109"/>
    </row>
    <row r="1037">
      <c r="E1037" s="78"/>
      <c r="G1037" s="78"/>
      <c r="I1037" s="80"/>
      <c r="K1037" s="71"/>
      <c r="N1037" s="109"/>
      <c r="Q1037" s="78"/>
      <c r="R1037" s="78"/>
      <c r="S1037" s="80"/>
      <c r="T1037" s="80"/>
      <c r="V1037" s="78"/>
      <c r="W1037" s="62"/>
      <c r="X1037" s="80"/>
      <c r="Y1037" s="109"/>
    </row>
    <row r="1038">
      <c r="E1038" s="78"/>
      <c r="G1038" s="78"/>
      <c r="I1038" s="80"/>
      <c r="K1038" s="71"/>
      <c r="N1038" s="109"/>
      <c r="Q1038" s="78"/>
      <c r="R1038" s="78"/>
      <c r="S1038" s="80"/>
      <c r="T1038" s="80"/>
      <c r="V1038" s="78"/>
      <c r="W1038" s="62"/>
      <c r="X1038" s="80"/>
      <c r="Y1038" s="109"/>
    </row>
    <row r="1039">
      <c r="E1039" s="78"/>
      <c r="G1039" s="78"/>
      <c r="I1039" s="80"/>
      <c r="K1039" s="71"/>
      <c r="N1039" s="109"/>
      <c r="Q1039" s="78"/>
      <c r="R1039" s="78"/>
      <c r="S1039" s="80"/>
      <c r="T1039" s="80"/>
      <c r="V1039" s="78"/>
      <c r="W1039" s="62"/>
      <c r="X1039" s="80"/>
      <c r="Y1039" s="109"/>
    </row>
    <row r="1040">
      <c r="E1040" s="78"/>
      <c r="G1040" s="78"/>
      <c r="I1040" s="80"/>
      <c r="K1040" s="71"/>
      <c r="N1040" s="109"/>
      <c r="Q1040" s="78"/>
      <c r="R1040" s="78"/>
      <c r="S1040" s="80"/>
      <c r="T1040" s="80"/>
      <c r="V1040" s="78"/>
      <c r="W1040" s="62"/>
      <c r="X1040" s="80"/>
      <c r="Y1040" s="109"/>
    </row>
    <row r="1041">
      <c r="E1041" s="78"/>
      <c r="G1041" s="78"/>
      <c r="I1041" s="80"/>
      <c r="K1041" s="71"/>
      <c r="N1041" s="109"/>
      <c r="Q1041" s="78"/>
      <c r="R1041" s="78"/>
      <c r="S1041" s="80"/>
      <c r="T1041" s="80"/>
      <c r="V1041" s="78"/>
      <c r="W1041" s="62"/>
      <c r="X1041" s="80"/>
      <c r="Y1041" s="109"/>
    </row>
    <row r="1042">
      <c r="E1042" s="78"/>
      <c r="G1042" s="78"/>
      <c r="I1042" s="80"/>
      <c r="K1042" s="71"/>
      <c r="N1042" s="109"/>
      <c r="Q1042" s="78"/>
      <c r="R1042" s="78"/>
      <c r="S1042" s="80"/>
      <c r="T1042" s="80"/>
      <c r="V1042" s="78"/>
      <c r="W1042" s="62"/>
      <c r="X1042" s="80"/>
      <c r="Y1042" s="109"/>
    </row>
    <row r="1043">
      <c r="E1043" s="78"/>
      <c r="G1043" s="78"/>
      <c r="I1043" s="80"/>
      <c r="K1043" s="71"/>
      <c r="N1043" s="109"/>
      <c r="Q1043" s="78"/>
      <c r="R1043" s="78"/>
      <c r="S1043" s="80"/>
      <c r="T1043" s="80"/>
      <c r="V1043" s="78"/>
      <c r="W1043" s="62"/>
      <c r="X1043" s="80"/>
      <c r="Y1043" s="109"/>
    </row>
    <row r="1044">
      <c r="E1044" s="78"/>
      <c r="G1044" s="78"/>
      <c r="I1044" s="80"/>
      <c r="K1044" s="71"/>
      <c r="N1044" s="109"/>
      <c r="Q1044" s="78"/>
      <c r="R1044" s="78"/>
      <c r="S1044" s="80"/>
      <c r="T1044" s="80"/>
      <c r="V1044" s="78"/>
      <c r="W1044" s="62"/>
      <c r="X1044" s="80"/>
      <c r="Y1044" s="109"/>
    </row>
    <row r="1045">
      <c r="E1045" s="78"/>
      <c r="G1045" s="78"/>
      <c r="I1045" s="80"/>
      <c r="K1045" s="71"/>
      <c r="N1045" s="109"/>
      <c r="Q1045" s="78"/>
      <c r="R1045" s="78"/>
      <c r="S1045" s="80"/>
      <c r="T1045" s="80"/>
      <c r="V1045" s="78"/>
      <c r="W1045" s="62"/>
      <c r="X1045" s="80"/>
      <c r="Y1045" s="109"/>
    </row>
    <row r="1046">
      <c r="E1046" s="78"/>
      <c r="G1046" s="78"/>
      <c r="I1046" s="80"/>
      <c r="K1046" s="71"/>
      <c r="N1046" s="109"/>
      <c r="Q1046" s="78"/>
      <c r="R1046" s="78"/>
      <c r="S1046" s="80"/>
      <c r="T1046" s="80"/>
      <c r="V1046" s="78"/>
      <c r="W1046" s="62"/>
      <c r="X1046" s="80"/>
      <c r="Y1046" s="109"/>
    </row>
    <row r="1047">
      <c r="E1047" s="78"/>
      <c r="G1047" s="78"/>
      <c r="I1047" s="80"/>
      <c r="K1047" s="71"/>
      <c r="N1047" s="109"/>
      <c r="Q1047" s="78"/>
      <c r="R1047" s="78"/>
      <c r="S1047" s="80"/>
      <c r="T1047" s="80"/>
      <c r="V1047" s="78"/>
      <c r="W1047" s="62"/>
      <c r="X1047" s="80"/>
      <c r="Y1047" s="109"/>
    </row>
    <row r="1048">
      <c r="E1048" s="78"/>
      <c r="G1048" s="78"/>
      <c r="I1048" s="80"/>
      <c r="K1048" s="71"/>
      <c r="N1048" s="109"/>
      <c r="Q1048" s="78"/>
      <c r="R1048" s="78"/>
      <c r="S1048" s="80"/>
      <c r="T1048" s="80"/>
      <c r="V1048" s="78"/>
      <c r="W1048" s="62"/>
      <c r="X1048" s="80"/>
      <c r="Y1048" s="109"/>
    </row>
    <row r="1049">
      <c r="E1049" s="78"/>
      <c r="G1049" s="78"/>
      <c r="I1049" s="80"/>
      <c r="K1049" s="71"/>
      <c r="N1049" s="109"/>
      <c r="Q1049" s="78"/>
      <c r="R1049" s="78"/>
      <c r="S1049" s="80"/>
      <c r="T1049" s="80"/>
      <c r="V1049" s="78"/>
      <c r="W1049" s="62"/>
      <c r="X1049" s="80"/>
      <c r="Y1049" s="109"/>
    </row>
    <row r="1050">
      <c r="E1050" s="78"/>
      <c r="G1050" s="78"/>
      <c r="I1050" s="80"/>
      <c r="K1050" s="71"/>
      <c r="N1050" s="109"/>
      <c r="Q1050" s="78"/>
      <c r="R1050" s="78"/>
      <c r="S1050" s="80"/>
      <c r="T1050" s="80"/>
      <c r="V1050" s="78"/>
      <c r="W1050" s="62"/>
      <c r="X1050" s="80"/>
      <c r="Y1050" s="109"/>
    </row>
    <row r="1051">
      <c r="E1051" s="78"/>
      <c r="G1051" s="78"/>
      <c r="I1051" s="80"/>
      <c r="K1051" s="71"/>
      <c r="N1051" s="109"/>
      <c r="Q1051" s="78"/>
      <c r="R1051" s="78"/>
      <c r="S1051" s="80"/>
      <c r="T1051" s="80"/>
      <c r="V1051" s="78"/>
      <c r="W1051" s="62"/>
      <c r="X1051" s="80"/>
      <c r="Y1051" s="109"/>
    </row>
    <row r="1052">
      <c r="E1052" s="78"/>
      <c r="G1052" s="78"/>
      <c r="I1052" s="80"/>
      <c r="K1052" s="71"/>
      <c r="N1052" s="109"/>
      <c r="Q1052" s="78"/>
      <c r="R1052" s="78"/>
      <c r="S1052" s="80"/>
      <c r="T1052" s="80"/>
      <c r="V1052" s="78"/>
      <c r="W1052" s="62"/>
      <c r="X1052" s="80"/>
      <c r="Y1052" s="109"/>
    </row>
    <row r="1053">
      <c r="E1053" s="78"/>
      <c r="G1053" s="78"/>
      <c r="I1053" s="80"/>
      <c r="K1053" s="71"/>
      <c r="N1053" s="109"/>
      <c r="Q1053" s="78"/>
      <c r="R1053" s="78"/>
      <c r="S1053" s="80"/>
      <c r="T1053" s="80"/>
      <c r="V1053" s="78"/>
      <c r="W1053" s="62"/>
      <c r="X1053" s="80"/>
      <c r="Y1053" s="109"/>
    </row>
    <row r="1054">
      <c r="E1054" s="78"/>
      <c r="G1054" s="78"/>
      <c r="I1054" s="80"/>
      <c r="K1054" s="71"/>
      <c r="N1054" s="109"/>
      <c r="Q1054" s="78"/>
      <c r="R1054" s="78"/>
      <c r="S1054" s="80"/>
      <c r="T1054" s="80"/>
      <c r="V1054" s="78"/>
      <c r="W1054" s="62"/>
      <c r="X1054" s="80"/>
      <c r="Y1054" s="109"/>
    </row>
    <row r="1055">
      <c r="E1055" s="78"/>
      <c r="G1055" s="78"/>
      <c r="I1055" s="80"/>
      <c r="K1055" s="71"/>
      <c r="N1055" s="109"/>
      <c r="Q1055" s="78"/>
      <c r="R1055" s="78"/>
      <c r="S1055" s="80"/>
      <c r="T1055" s="80"/>
      <c r="V1055" s="78"/>
      <c r="W1055" s="62"/>
      <c r="X1055" s="80"/>
      <c r="Y1055" s="109"/>
    </row>
    <row r="1056">
      <c r="E1056" s="78"/>
      <c r="G1056" s="78"/>
      <c r="I1056" s="80"/>
      <c r="K1056" s="71"/>
      <c r="N1056" s="109"/>
      <c r="Q1056" s="78"/>
      <c r="R1056" s="78"/>
      <c r="S1056" s="80"/>
      <c r="T1056" s="80"/>
      <c r="V1056" s="78"/>
      <c r="W1056" s="62"/>
      <c r="X1056" s="80"/>
      <c r="Y1056" s="109"/>
    </row>
    <row r="1057">
      <c r="E1057" s="78"/>
      <c r="G1057" s="78"/>
      <c r="I1057" s="80"/>
      <c r="K1057" s="71"/>
      <c r="N1057" s="109"/>
      <c r="Q1057" s="78"/>
      <c r="R1057" s="78"/>
      <c r="S1057" s="80"/>
      <c r="T1057" s="80"/>
      <c r="V1057" s="78"/>
      <c r="W1057" s="62"/>
      <c r="X1057" s="80"/>
      <c r="Y1057" s="109"/>
    </row>
    <row r="1058">
      <c r="E1058" s="78"/>
      <c r="G1058" s="78"/>
      <c r="I1058" s="80"/>
      <c r="K1058" s="71"/>
      <c r="N1058" s="109"/>
      <c r="Q1058" s="78"/>
      <c r="R1058" s="78"/>
      <c r="S1058" s="80"/>
      <c r="T1058" s="80"/>
      <c r="V1058" s="78"/>
      <c r="W1058" s="62"/>
      <c r="X1058" s="80"/>
      <c r="Y1058" s="109"/>
    </row>
    <row r="1059">
      <c r="E1059" s="78"/>
      <c r="G1059" s="78"/>
      <c r="I1059" s="80"/>
      <c r="K1059" s="71"/>
      <c r="N1059" s="109"/>
      <c r="Q1059" s="78"/>
      <c r="R1059" s="78"/>
      <c r="S1059" s="80"/>
      <c r="T1059" s="80"/>
      <c r="V1059" s="78"/>
      <c r="W1059" s="62"/>
      <c r="X1059" s="80"/>
      <c r="Y1059" s="109"/>
    </row>
    <row r="1060">
      <c r="E1060" s="78"/>
      <c r="G1060" s="78"/>
      <c r="I1060" s="80"/>
      <c r="K1060" s="71"/>
      <c r="N1060" s="109"/>
      <c r="Q1060" s="78"/>
      <c r="R1060" s="78"/>
      <c r="S1060" s="80"/>
      <c r="T1060" s="80"/>
      <c r="V1060" s="78"/>
      <c r="W1060" s="62"/>
      <c r="X1060" s="80"/>
      <c r="Y1060" s="109"/>
    </row>
    <row r="1061">
      <c r="E1061" s="78"/>
      <c r="G1061" s="78"/>
      <c r="I1061" s="80"/>
      <c r="K1061" s="71"/>
      <c r="N1061" s="109"/>
      <c r="Q1061" s="78"/>
      <c r="R1061" s="78"/>
      <c r="S1061" s="80"/>
      <c r="T1061" s="80"/>
      <c r="V1061" s="78"/>
      <c r="W1061" s="62"/>
      <c r="X1061" s="80"/>
      <c r="Y1061" s="109"/>
    </row>
    <row r="1062">
      <c r="E1062" s="78"/>
      <c r="G1062" s="78"/>
      <c r="I1062" s="80"/>
      <c r="K1062" s="71"/>
      <c r="N1062" s="109"/>
      <c r="Q1062" s="78"/>
      <c r="R1062" s="78"/>
      <c r="S1062" s="80"/>
      <c r="T1062" s="80"/>
      <c r="V1062" s="78"/>
      <c r="W1062" s="62"/>
      <c r="X1062" s="80"/>
      <c r="Y1062" s="109"/>
    </row>
    <row r="1063">
      <c r="E1063" s="78"/>
      <c r="G1063" s="78"/>
      <c r="I1063" s="80"/>
      <c r="K1063" s="71"/>
      <c r="N1063" s="109"/>
      <c r="Q1063" s="78"/>
      <c r="R1063" s="78"/>
      <c r="S1063" s="80"/>
      <c r="T1063" s="80"/>
      <c r="V1063" s="78"/>
      <c r="W1063" s="62"/>
      <c r="X1063" s="80"/>
      <c r="Y1063" s="109"/>
    </row>
    <row r="1064">
      <c r="E1064" s="78"/>
      <c r="G1064" s="78"/>
      <c r="I1064" s="80"/>
      <c r="K1064" s="71"/>
      <c r="N1064" s="109"/>
      <c r="Q1064" s="78"/>
      <c r="R1064" s="78"/>
      <c r="S1064" s="80"/>
      <c r="T1064" s="80"/>
      <c r="V1064" s="78"/>
      <c r="W1064" s="62"/>
      <c r="X1064" s="80"/>
      <c r="Y1064" s="109"/>
    </row>
    <row r="1065">
      <c r="E1065" s="78"/>
      <c r="G1065" s="78"/>
      <c r="I1065" s="80"/>
      <c r="K1065" s="71"/>
      <c r="N1065" s="109"/>
      <c r="Q1065" s="78"/>
      <c r="R1065" s="78"/>
      <c r="S1065" s="80"/>
      <c r="T1065" s="80"/>
      <c r="V1065" s="78"/>
      <c r="W1065" s="62"/>
      <c r="X1065" s="80"/>
      <c r="Y1065" s="109"/>
    </row>
    <row r="1066">
      <c r="E1066" s="78"/>
      <c r="G1066" s="78"/>
      <c r="I1066" s="80"/>
      <c r="K1066" s="71"/>
      <c r="N1066" s="109"/>
      <c r="Q1066" s="78"/>
      <c r="R1066" s="78"/>
      <c r="S1066" s="80"/>
      <c r="T1066" s="80"/>
      <c r="V1066" s="78"/>
      <c r="W1066" s="62"/>
      <c r="X1066" s="80"/>
      <c r="Y1066" s="109"/>
    </row>
    <row r="1067">
      <c r="E1067" s="78"/>
      <c r="G1067" s="78"/>
      <c r="I1067" s="80"/>
      <c r="K1067" s="71"/>
      <c r="N1067" s="109"/>
      <c r="Q1067" s="78"/>
      <c r="R1067" s="78"/>
      <c r="S1067" s="80"/>
      <c r="T1067" s="80"/>
      <c r="V1067" s="78"/>
      <c r="W1067" s="62"/>
      <c r="X1067" s="80"/>
      <c r="Y1067" s="109"/>
    </row>
    <row r="1068">
      <c r="E1068" s="78"/>
      <c r="G1068" s="78"/>
      <c r="I1068" s="80"/>
      <c r="K1068" s="71"/>
      <c r="N1068" s="109"/>
      <c r="Q1068" s="78"/>
      <c r="R1068" s="78"/>
      <c r="S1068" s="80"/>
      <c r="T1068" s="80"/>
      <c r="V1068" s="78"/>
      <c r="W1068" s="62"/>
      <c r="X1068" s="80"/>
      <c r="Y1068" s="109"/>
    </row>
    <row r="1069">
      <c r="E1069" s="78"/>
      <c r="G1069" s="78"/>
      <c r="I1069" s="80"/>
      <c r="K1069" s="71"/>
      <c r="N1069" s="109"/>
      <c r="Q1069" s="78"/>
      <c r="R1069" s="78"/>
      <c r="S1069" s="80"/>
      <c r="T1069" s="80"/>
      <c r="V1069" s="78"/>
      <c r="W1069" s="62"/>
      <c r="X1069" s="80"/>
      <c r="Y1069" s="109"/>
    </row>
    <row r="1070">
      <c r="E1070" s="78"/>
      <c r="G1070" s="78"/>
      <c r="I1070" s="80"/>
      <c r="K1070" s="71"/>
      <c r="N1070" s="109"/>
      <c r="Q1070" s="78"/>
      <c r="R1070" s="78"/>
      <c r="S1070" s="80"/>
      <c r="T1070" s="80"/>
      <c r="V1070" s="78"/>
      <c r="W1070" s="62"/>
      <c r="X1070" s="80"/>
      <c r="Y1070" s="109"/>
    </row>
    <row r="1071">
      <c r="E1071" s="78"/>
      <c r="G1071" s="78"/>
      <c r="I1071" s="80"/>
      <c r="K1071" s="71"/>
      <c r="N1071" s="109"/>
      <c r="Q1071" s="78"/>
      <c r="R1071" s="78"/>
      <c r="S1071" s="80"/>
      <c r="T1071" s="80"/>
      <c r="V1071" s="78"/>
      <c r="W1071" s="62"/>
      <c r="X1071" s="80"/>
      <c r="Y1071" s="109"/>
    </row>
    <row r="1072">
      <c r="E1072" s="78"/>
      <c r="G1072" s="78"/>
      <c r="I1072" s="80"/>
      <c r="K1072" s="71"/>
      <c r="N1072" s="109"/>
      <c r="Q1072" s="78"/>
      <c r="R1072" s="78"/>
      <c r="S1072" s="80"/>
      <c r="T1072" s="80"/>
      <c r="V1072" s="78"/>
      <c r="W1072" s="62"/>
      <c r="X1072" s="80"/>
      <c r="Y1072" s="109"/>
    </row>
    <row r="1073">
      <c r="E1073" s="78"/>
      <c r="G1073" s="78"/>
      <c r="I1073" s="80"/>
      <c r="K1073" s="71"/>
      <c r="N1073" s="109"/>
      <c r="Q1073" s="78"/>
      <c r="R1073" s="78"/>
      <c r="S1073" s="80"/>
      <c r="T1073" s="80"/>
      <c r="V1073" s="78"/>
      <c r="W1073" s="62"/>
      <c r="X1073" s="80"/>
      <c r="Y1073" s="109"/>
    </row>
    <row r="1074">
      <c r="E1074" s="78"/>
      <c r="G1074" s="78"/>
      <c r="I1074" s="80"/>
      <c r="K1074" s="71"/>
      <c r="N1074" s="109"/>
      <c r="Q1074" s="78"/>
      <c r="R1074" s="78"/>
      <c r="S1074" s="80"/>
      <c r="T1074" s="80"/>
      <c r="V1074" s="78"/>
      <c r="W1074" s="62"/>
      <c r="X1074" s="80"/>
      <c r="Y1074" s="109"/>
    </row>
    <row r="1075">
      <c r="E1075" s="78"/>
      <c r="G1075" s="78"/>
      <c r="I1075" s="80"/>
      <c r="K1075" s="71"/>
      <c r="N1075" s="109"/>
      <c r="Q1075" s="78"/>
      <c r="R1075" s="78"/>
      <c r="S1075" s="80"/>
      <c r="T1075" s="80"/>
      <c r="V1075" s="78"/>
      <c r="W1075" s="62"/>
      <c r="X1075" s="80"/>
      <c r="Y1075" s="109"/>
    </row>
    <row r="1076">
      <c r="E1076" s="78"/>
      <c r="G1076" s="78"/>
      <c r="I1076" s="80"/>
      <c r="K1076" s="71"/>
      <c r="N1076" s="109"/>
      <c r="Q1076" s="78"/>
      <c r="R1076" s="78"/>
      <c r="S1076" s="80"/>
      <c r="T1076" s="80"/>
      <c r="V1076" s="78"/>
      <c r="W1076" s="62"/>
      <c r="X1076" s="80"/>
      <c r="Y1076" s="109"/>
    </row>
    <row r="1077">
      <c r="E1077" s="78"/>
      <c r="G1077" s="78"/>
      <c r="I1077" s="80"/>
      <c r="K1077" s="71"/>
      <c r="N1077" s="109"/>
      <c r="Q1077" s="78"/>
      <c r="R1077" s="78"/>
      <c r="S1077" s="80"/>
      <c r="T1077" s="80"/>
      <c r="V1077" s="78"/>
      <c r="W1077" s="62"/>
      <c r="X1077" s="80"/>
      <c r="Y1077" s="109"/>
    </row>
    <row r="1078">
      <c r="E1078" s="78"/>
      <c r="G1078" s="78"/>
      <c r="I1078" s="80"/>
      <c r="K1078" s="71"/>
      <c r="N1078" s="109"/>
      <c r="Q1078" s="78"/>
      <c r="R1078" s="78"/>
      <c r="S1078" s="80"/>
      <c r="T1078" s="80"/>
      <c r="V1078" s="78"/>
      <c r="W1078" s="62"/>
      <c r="X1078" s="80"/>
      <c r="Y1078" s="109"/>
    </row>
    <row r="1079">
      <c r="E1079" s="78"/>
      <c r="G1079" s="78"/>
      <c r="I1079" s="80"/>
      <c r="K1079" s="71"/>
      <c r="N1079" s="109"/>
      <c r="Q1079" s="78"/>
      <c r="R1079" s="78"/>
      <c r="S1079" s="80"/>
      <c r="T1079" s="80"/>
      <c r="V1079" s="78"/>
      <c r="W1079" s="62"/>
      <c r="X1079" s="80"/>
      <c r="Y1079" s="109"/>
    </row>
    <row r="1080">
      <c r="E1080" s="78"/>
      <c r="G1080" s="78"/>
      <c r="I1080" s="80"/>
      <c r="K1080" s="71"/>
      <c r="N1080" s="109"/>
      <c r="Q1080" s="78"/>
      <c r="R1080" s="78"/>
      <c r="S1080" s="80"/>
      <c r="T1080" s="80"/>
      <c r="V1080" s="78"/>
      <c r="W1080" s="62"/>
      <c r="X1080" s="80"/>
      <c r="Y1080" s="109"/>
    </row>
    <row r="1081">
      <c r="E1081" s="78"/>
      <c r="G1081" s="78"/>
      <c r="I1081" s="80"/>
      <c r="K1081" s="71"/>
      <c r="N1081" s="109"/>
      <c r="Q1081" s="78"/>
      <c r="R1081" s="78"/>
      <c r="S1081" s="80"/>
      <c r="T1081" s="80"/>
      <c r="V1081" s="78"/>
      <c r="W1081" s="62"/>
      <c r="X1081" s="80"/>
      <c r="Y1081" s="109"/>
    </row>
    <row r="1082">
      <c r="E1082" s="78"/>
      <c r="G1082" s="78"/>
      <c r="I1082" s="80"/>
      <c r="K1082" s="71"/>
      <c r="N1082" s="109"/>
      <c r="Q1082" s="78"/>
      <c r="R1082" s="78"/>
      <c r="S1082" s="80"/>
      <c r="T1082" s="80"/>
      <c r="V1082" s="78"/>
      <c r="W1082" s="62"/>
      <c r="X1082" s="80"/>
      <c r="Y1082" s="109"/>
    </row>
    <row r="1083">
      <c r="E1083" s="78"/>
      <c r="G1083" s="78"/>
      <c r="I1083" s="80"/>
      <c r="K1083" s="71"/>
      <c r="N1083" s="109"/>
      <c r="Q1083" s="78"/>
      <c r="R1083" s="78"/>
      <c r="S1083" s="80"/>
      <c r="T1083" s="80"/>
      <c r="V1083" s="78"/>
      <c r="W1083" s="62"/>
      <c r="X1083" s="80"/>
      <c r="Y1083" s="109"/>
    </row>
    <row r="1084">
      <c r="E1084" s="78"/>
      <c r="G1084" s="78"/>
      <c r="I1084" s="80"/>
      <c r="K1084" s="71"/>
      <c r="N1084" s="109"/>
      <c r="Q1084" s="78"/>
      <c r="R1084" s="78"/>
      <c r="S1084" s="80"/>
      <c r="T1084" s="80"/>
      <c r="V1084" s="78"/>
      <c r="W1084" s="62"/>
      <c r="X1084" s="80"/>
      <c r="Y1084" s="109"/>
    </row>
    <row r="1085">
      <c r="E1085" s="78"/>
      <c r="G1085" s="78"/>
      <c r="I1085" s="80"/>
      <c r="K1085" s="71"/>
      <c r="N1085" s="109"/>
      <c r="Q1085" s="78"/>
      <c r="R1085" s="78"/>
      <c r="S1085" s="80"/>
      <c r="T1085" s="80"/>
      <c r="V1085" s="78"/>
      <c r="W1085" s="62"/>
      <c r="X1085" s="80"/>
      <c r="Y1085" s="109"/>
    </row>
    <row r="1086">
      <c r="E1086" s="78"/>
      <c r="G1086" s="78"/>
      <c r="I1086" s="80"/>
      <c r="K1086" s="71"/>
      <c r="N1086" s="109"/>
      <c r="Q1086" s="78"/>
      <c r="R1086" s="78"/>
      <c r="S1086" s="80"/>
      <c r="T1086" s="80"/>
      <c r="V1086" s="78"/>
      <c r="W1086" s="62"/>
      <c r="X1086" s="80"/>
      <c r="Y1086" s="109"/>
    </row>
    <row r="1087">
      <c r="E1087" s="78"/>
      <c r="G1087" s="78"/>
      <c r="I1087" s="80"/>
      <c r="K1087" s="71"/>
      <c r="N1087" s="109"/>
      <c r="Q1087" s="78"/>
      <c r="R1087" s="78"/>
      <c r="S1087" s="80"/>
      <c r="T1087" s="80"/>
      <c r="V1087" s="78"/>
      <c r="W1087" s="62"/>
      <c r="X1087" s="80"/>
      <c r="Y1087" s="109"/>
    </row>
    <row r="1088">
      <c r="E1088" s="78"/>
      <c r="G1088" s="78"/>
      <c r="I1088" s="80"/>
      <c r="K1088" s="71"/>
      <c r="N1088" s="109"/>
      <c r="Q1088" s="78"/>
      <c r="R1088" s="78"/>
      <c r="S1088" s="80"/>
      <c r="T1088" s="80"/>
      <c r="V1088" s="78"/>
      <c r="W1088" s="62"/>
      <c r="X1088" s="80"/>
      <c r="Y1088" s="109"/>
    </row>
    <row r="1089">
      <c r="E1089" s="78"/>
      <c r="G1089" s="78"/>
      <c r="I1089" s="80"/>
      <c r="K1089" s="71"/>
      <c r="N1089" s="109"/>
      <c r="Q1089" s="78"/>
      <c r="R1089" s="78"/>
      <c r="S1089" s="80"/>
      <c r="T1089" s="80"/>
      <c r="V1089" s="78"/>
      <c r="W1089" s="62"/>
      <c r="X1089" s="80"/>
      <c r="Y1089" s="109"/>
    </row>
    <row r="1090">
      <c r="E1090" s="78"/>
      <c r="G1090" s="78"/>
      <c r="I1090" s="80"/>
      <c r="K1090" s="71"/>
      <c r="N1090" s="109"/>
      <c r="Q1090" s="78"/>
      <c r="R1090" s="78"/>
      <c r="S1090" s="80"/>
      <c r="T1090" s="80"/>
      <c r="V1090" s="78"/>
      <c r="W1090" s="62"/>
      <c r="X1090" s="80"/>
      <c r="Y1090" s="109"/>
    </row>
    <row r="1091">
      <c r="E1091" s="78"/>
      <c r="G1091" s="78"/>
      <c r="I1091" s="80"/>
      <c r="K1091" s="71"/>
      <c r="N1091" s="109"/>
      <c r="Q1091" s="78"/>
      <c r="R1091" s="78"/>
      <c r="S1091" s="80"/>
      <c r="T1091" s="80"/>
      <c r="V1091" s="78"/>
      <c r="W1091" s="62"/>
      <c r="X1091" s="80"/>
      <c r="Y1091" s="109"/>
    </row>
    <row r="1092">
      <c r="E1092" s="78"/>
      <c r="G1092" s="78"/>
      <c r="I1092" s="80"/>
      <c r="K1092" s="71"/>
      <c r="N1092" s="109"/>
      <c r="Q1092" s="78"/>
      <c r="R1092" s="78"/>
      <c r="S1092" s="80"/>
      <c r="T1092" s="80"/>
      <c r="V1092" s="78"/>
      <c r="W1092" s="62"/>
      <c r="X1092" s="80"/>
      <c r="Y1092" s="109"/>
    </row>
    <row r="1093">
      <c r="E1093" s="78"/>
      <c r="G1093" s="78"/>
      <c r="I1093" s="80"/>
      <c r="K1093" s="71"/>
      <c r="N1093" s="109"/>
      <c r="Q1093" s="78"/>
      <c r="R1093" s="78"/>
      <c r="S1093" s="80"/>
      <c r="T1093" s="80"/>
      <c r="V1093" s="78"/>
      <c r="W1093" s="62"/>
      <c r="X1093" s="80"/>
      <c r="Y1093" s="109"/>
    </row>
    <row r="1094">
      <c r="E1094" s="78"/>
      <c r="G1094" s="78"/>
      <c r="I1094" s="80"/>
      <c r="K1094" s="71"/>
      <c r="N1094" s="109"/>
      <c r="Q1094" s="78"/>
      <c r="R1094" s="78"/>
      <c r="S1094" s="80"/>
      <c r="T1094" s="80"/>
      <c r="V1094" s="78"/>
      <c r="W1094" s="62"/>
      <c r="X1094" s="80"/>
      <c r="Y1094" s="109"/>
    </row>
    <row r="1095">
      <c r="E1095" s="78"/>
      <c r="G1095" s="78"/>
      <c r="I1095" s="80"/>
      <c r="K1095" s="71"/>
      <c r="N1095" s="109"/>
      <c r="Q1095" s="78"/>
      <c r="R1095" s="78"/>
      <c r="S1095" s="80"/>
      <c r="T1095" s="80"/>
      <c r="V1095" s="78"/>
      <c r="W1095" s="62"/>
      <c r="X1095" s="80"/>
      <c r="Y1095" s="109"/>
    </row>
    <row r="1096">
      <c r="E1096" s="78"/>
      <c r="G1096" s="78"/>
      <c r="I1096" s="80"/>
      <c r="K1096" s="71"/>
      <c r="N1096" s="109"/>
      <c r="Q1096" s="78"/>
      <c r="R1096" s="78"/>
      <c r="S1096" s="80"/>
      <c r="T1096" s="80"/>
      <c r="V1096" s="78"/>
      <c r="W1096" s="62"/>
      <c r="X1096" s="80"/>
      <c r="Y1096" s="109"/>
    </row>
    <row r="1097">
      <c r="E1097" s="78"/>
      <c r="G1097" s="78"/>
      <c r="I1097" s="80"/>
      <c r="K1097" s="71"/>
      <c r="N1097" s="109"/>
      <c r="Q1097" s="78"/>
      <c r="R1097" s="78"/>
      <c r="S1097" s="80"/>
      <c r="T1097" s="80"/>
      <c r="V1097" s="78"/>
      <c r="W1097" s="62"/>
      <c r="X1097" s="80"/>
      <c r="Y1097" s="109"/>
    </row>
    <row r="1098">
      <c r="E1098" s="78"/>
      <c r="G1098" s="78"/>
      <c r="I1098" s="80"/>
      <c r="K1098" s="71"/>
      <c r="N1098" s="109"/>
      <c r="Q1098" s="78"/>
      <c r="R1098" s="78"/>
      <c r="S1098" s="80"/>
      <c r="T1098" s="80"/>
      <c r="V1098" s="78"/>
      <c r="W1098" s="62"/>
      <c r="X1098" s="80"/>
      <c r="Y1098" s="109"/>
    </row>
    <row r="1099">
      <c r="E1099" s="78"/>
      <c r="G1099" s="78"/>
      <c r="I1099" s="80"/>
      <c r="K1099" s="71"/>
      <c r="N1099" s="109"/>
      <c r="Q1099" s="78"/>
      <c r="R1099" s="78"/>
      <c r="S1099" s="80"/>
      <c r="T1099" s="80"/>
      <c r="V1099" s="78"/>
      <c r="W1099" s="62"/>
      <c r="X1099" s="80"/>
      <c r="Y1099" s="109"/>
    </row>
    <row r="1100">
      <c r="E1100" s="78"/>
      <c r="G1100" s="78"/>
      <c r="I1100" s="80"/>
      <c r="K1100" s="71"/>
      <c r="N1100" s="109"/>
      <c r="Q1100" s="78"/>
      <c r="R1100" s="78"/>
      <c r="S1100" s="80"/>
      <c r="T1100" s="80"/>
      <c r="V1100" s="78"/>
      <c r="W1100" s="62"/>
      <c r="X1100" s="80"/>
      <c r="Y1100" s="109"/>
    </row>
    <row r="1101">
      <c r="E1101" s="78"/>
      <c r="G1101" s="78"/>
      <c r="I1101" s="80"/>
      <c r="K1101" s="71"/>
      <c r="N1101" s="109"/>
      <c r="Q1101" s="78"/>
      <c r="R1101" s="78"/>
      <c r="S1101" s="80"/>
      <c r="T1101" s="80"/>
      <c r="V1101" s="78"/>
      <c r="W1101" s="62"/>
      <c r="X1101" s="80"/>
      <c r="Y1101" s="109"/>
    </row>
    <row r="1102">
      <c r="E1102" s="78"/>
      <c r="G1102" s="78"/>
      <c r="I1102" s="80"/>
      <c r="K1102" s="71"/>
      <c r="N1102" s="109"/>
      <c r="Q1102" s="78"/>
      <c r="R1102" s="78"/>
      <c r="S1102" s="80"/>
      <c r="T1102" s="80"/>
      <c r="V1102" s="78"/>
      <c r="W1102" s="62"/>
      <c r="X1102" s="80"/>
      <c r="Y1102" s="109"/>
    </row>
    <row r="1103">
      <c r="E1103" s="78"/>
      <c r="G1103" s="78"/>
      <c r="I1103" s="80"/>
      <c r="K1103" s="71"/>
      <c r="N1103" s="109"/>
      <c r="Q1103" s="78"/>
      <c r="R1103" s="78"/>
      <c r="S1103" s="80"/>
      <c r="T1103" s="80"/>
      <c r="V1103" s="78"/>
      <c r="W1103" s="62"/>
      <c r="X1103" s="80"/>
      <c r="Y1103" s="109"/>
    </row>
    <row r="1104">
      <c r="E1104" s="78"/>
      <c r="G1104" s="78"/>
      <c r="I1104" s="80"/>
      <c r="K1104" s="71"/>
      <c r="N1104" s="109"/>
      <c r="Q1104" s="78"/>
      <c r="R1104" s="78"/>
      <c r="S1104" s="80"/>
      <c r="T1104" s="80"/>
      <c r="V1104" s="78"/>
      <c r="W1104" s="62"/>
      <c r="X1104" s="80"/>
      <c r="Y1104" s="109"/>
    </row>
    <row r="1105">
      <c r="E1105" s="78"/>
      <c r="G1105" s="78"/>
      <c r="I1105" s="80"/>
      <c r="K1105" s="71"/>
      <c r="N1105" s="109"/>
      <c r="Q1105" s="78"/>
      <c r="R1105" s="78"/>
      <c r="S1105" s="80"/>
      <c r="T1105" s="80"/>
      <c r="V1105" s="78"/>
      <c r="W1105" s="62"/>
      <c r="X1105" s="80"/>
      <c r="Y1105" s="109"/>
    </row>
    <row r="1106">
      <c r="E1106" s="78"/>
      <c r="G1106" s="78"/>
      <c r="I1106" s="80"/>
      <c r="K1106" s="71"/>
      <c r="N1106" s="109"/>
      <c r="Q1106" s="78"/>
      <c r="R1106" s="78"/>
      <c r="S1106" s="80"/>
      <c r="T1106" s="80"/>
      <c r="V1106" s="78"/>
      <c r="W1106" s="62"/>
      <c r="X1106" s="80"/>
      <c r="Y1106" s="109"/>
    </row>
    <row r="1107">
      <c r="E1107" s="78"/>
      <c r="G1107" s="78"/>
      <c r="I1107" s="80"/>
      <c r="K1107" s="71"/>
      <c r="N1107" s="109"/>
      <c r="Q1107" s="78"/>
      <c r="R1107" s="78"/>
      <c r="S1107" s="80"/>
      <c r="T1107" s="80"/>
      <c r="V1107" s="78"/>
      <c r="W1107" s="62"/>
      <c r="X1107" s="80"/>
      <c r="Y1107" s="109"/>
    </row>
    <row r="1108">
      <c r="E1108" s="78"/>
      <c r="G1108" s="78"/>
      <c r="I1108" s="80"/>
      <c r="K1108" s="71"/>
      <c r="N1108" s="109"/>
      <c r="Q1108" s="78"/>
      <c r="R1108" s="78"/>
      <c r="S1108" s="80"/>
      <c r="T1108" s="80"/>
      <c r="V1108" s="78"/>
      <c r="W1108" s="62"/>
      <c r="X1108" s="80"/>
      <c r="Y1108" s="109"/>
    </row>
    <row r="1109">
      <c r="E1109" s="78"/>
      <c r="G1109" s="78"/>
      <c r="I1109" s="80"/>
      <c r="K1109" s="71"/>
      <c r="N1109" s="109"/>
      <c r="Q1109" s="78"/>
      <c r="R1109" s="78"/>
      <c r="S1109" s="80"/>
      <c r="T1109" s="80"/>
      <c r="V1109" s="78"/>
      <c r="W1109" s="62"/>
      <c r="X1109" s="80"/>
      <c r="Y1109" s="109"/>
    </row>
    <row r="1110">
      <c r="E1110" s="78"/>
      <c r="G1110" s="78"/>
      <c r="I1110" s="80"/>
      <c r="K1110" s="71"/>
      <c r="N1110" s="109"/>
      <c r="Q1110" s="78"/>
      <c r="R1110" s="78"/>
      <c r="S1110" s="80"/>
      <c r="T1110" s="80"/>
      <c r="V1110" s="78"/>
      <c r="W1110" s="62"/>
      <c r="X1110" s="80"/>
      <c r="Y1110" s="109"/>
    </row>
    <row r="1111">
      <c r="E1111" s="78"/>
      <c r="G1111" s="78"/>
      <c r="I1111" s="80"/>
      <c r="K1111" s="71"/>
      <c r="N1111" s="109"/>
      <c r="Q1111" s="78"/>
      <c r="R1111" s="78"/>
      <c r="S1111" s="80"/>
      <c r="T1111" s="80"/>
      <c r="V1111" s="78"/>
      <c r="W1111" s="62"/>
      <c r="X1111" s="80"/>
      <c r="Y1111" s="109"/>
    </row>
    <row r="1112">
      <c r="E1112" s="78"/>
      <c r="G1112" s="78"/>
      <c r="I1112" s="80"/>
      <c r="K1112" s="71"/>
      <c r="N1112" s="109"/>
      <c r="Q1112" s="78"/>
      <c r="R1112" s="78"/>
      <c r="S1112" s="80"/>
      <c r="T1112" s="80"/>
      <c r="V1112" s="78"/>
      <c r="W1112" s="62"/>
      <c r="X1112" s="80"/>
      <c r="Y1112" s="109"/>
    </row>
    <row r="1113">
      <c r="E1113" s="78"/>
      <c r="G1113" s="78"/>
      <c r="I1113" s="80"/>
      <c r="K1113" s="71"/>
      <c r="N1113" s="109"/>
      <c r="Q1113" s="78"/>
      <c r="R1113" s="78"/>
      <c r="S1113" s="80"/>
      <c r="T1113" s="80"/>
      <c r="V1113" s="78"/>
      <c r="W1113" s="62"/>
      <c r="X1113" s="80"/>
      <c r="Y1113" s="109"/>
    </row>
    <row r="1114">
      <c r="E1114" s="78"/>
      <c r="G1114" s="78"/>
      <c r="I1114" s="80"/>
      <c r="K1114" s="71"/>
      <c r="N1114" s="109"/>
      <c r="Q1114" s="78"/>
      <c r="R1114" s="78"/>
      <c r="S1114" s="80"/>
      <c r="T1114" s="80"/>
      <c r="V1114" s="78"/>
      <c r="W1114" s="62"/>
      <c r="X1114" s="80"/>
      <c r="Y1114" s="109"/>
    </row>
    <row r="1115">
      <c r="E1115" s="78"/>
      <c r="G1115" s="78"/>
      <c r="I1115" s="80"/>
      <c r="K1115" s="71"/>
      <c r="N1115" s="109"/>
      <c r="Q1115" s="78"/>
      <c r="R1115" s="78"/>
      <c r="S1115" s="80"/>
      <c r="T1115" s="80"/>
      <c r="V1115" s="78"/>
      <c r="W1115" s="62"/>
      <c r="X1115" s="80"/>
      <c r="Y1115" s="109"/>
    </row>
    <row r="1116">
      <c r="E1116" s="78"/>
      <c r="G1116" s="78"/>
      <c r="I1116" s="80"/>
      <c r="K1116" s="71"/>
      <c r="N1116" s="109"/>
      <c r="Q1116" s="78"/>
      <c r="R1116" s="78"/>
      <c r="S1116" s="80"/>
      <c r="T1116" s="80"/>
      <c r="V1116" s="78"/>
      <c r="W1116" s="62"/>
      <c r="X1116" s="80"/>
      <c r="Y1116" s="109"/>
    </row>
    <row r="1117">
      <c r="E1117" s="78"/>
      <c r="G1117" s="78"/>
      <c r="I1117" s="80"/>
      <c r="K1117" s="71"/>
      <c r="N1117" s="109"/>
      <c r="Q1117" s="78"/>
      <c r="R1117" s="78"/>
      <c r="S1117" s="80"/>
      <c r="T1117" s="80"/>
      <c r="V1117" s="78"/>
      <c r="W1117" s="62"/>
      <c r="X1117" s="80"/>
      <c r="Y1117" s="109"/>
    </row>
    <row r="1118">
      <c r="E1118" s="78"/>
      <c r="G1118" s="78"/>
      <c r="I1118" s="80"/>
      <c r="K1118" s="71"/>
      <c r="N1118" s="109"/>
      <c r="Q1118" s="78"/>
      <c r="R1118" s="78"/>
      <c r="S1118" s="80"/>
      <c r="T1118" s="80"/>
      <c r="V1118" s="78"/>
      <c r="W1118" s="62"/>
      <c r="X1118" s="80"/>
      <c r="Y1118" s="109"/>
    </row>
    <row r="1119">
      <c r="E1119" s="78"/>
      <c r="G1119" s="78"/>
      <c r="I1119" s="80"/>
      <c r="K1119" s="71"/>
      <c r="N1119" s="109"/>
      <c r="Q1119" s="78"/>
      <c r="R1119" s="78"/>
      <c r="S1119" s="80"/>
      <c r="T1119" s="80"/>
      <c r="V1119" s="78"/>
      <c r="W1119" s="62"/>
      <c r="X1119" s="80"/>
      <c r="Y1119" s="109"/>
    </row>
    <row r="1120">
      <c r="E1120" s="78"/>
      <c r="G1120" s="78"/>
      <c r="I1120" s="80"/>
      <c r="K1120" s="71"/>
      <c r="N1120" s="109"/>
      <c r="Q1120" s="78"/>
      <c r="R1120" s="78"/>
      <c r="S1120" s="80"/>
      <c r="T1120" s="80"/>
      <c r="V1120" s="78"/>
      <c r="W1120" s="62"/>
      <c r="X1120" s="80"/>
      <c r="Y1120" s="109"/>
    </row>
    <row r="1121">
      <c r="E1121" s="78"/>
      <c r="G1121" s="78"/>
      <c r="I1121" s="80"/>
      <c r="K1121" s="71"/>
      <c r="N1121" s="109"/>
      <c r="Q1121" s="78"/>
      <c r="R1121" s="78"/>
      <c r="S1121" s="80"/>
      <c r="T1121" s="80"/>
      <c r="V1121" s="78"/>
      <c r="W1121" s="62"/>
      <c r="X1121" s="80"/>
      <c r="Y1121" s="109"/>
    </row>
    <row r="1122">
      <c r="E1122" s="78"/>
      <c r="G1122" s="78"/>
      <c r="I1122" s="80"/>
      <c r="K1122" s="71"/>
      <c r="N1122" s="109"/>
      <c r="Q1122" s="78"/>
      <c r="R1122" s="78"/>
      <c r="S1122" s="80"/>
      <c r="T1122" s="80"/>
      <c r="V1122" s="78"/>
      <c r="W1122" s="62"/>
      <c r="X1122" s="80"/>
      <c r="Y1122" s="109"/>
    </row>
    <row r="1123">
      <c r="E1123" s="78"/>
      <c r="G1123" s="78"/>
      <c r="I1123" s="80"/>
      <c r="K1123" s="71"/>
      <c r="N1123" s="109"/>
      <c r="Q1123" s="78"/>
      <c r="R1123" s="78"/>
      <c r="S1123" s="80"/>
      <c r="T1123" s="80"/>
      <c r="V1123" s="78"/>
      <c r="W1123" s="62"/>
      <c r="X1123" s="80"/>
      <c r="Y1123" s="109"/>
    </row>
    <row r="1124">
      <c r="E1124" s="78"/>
      <c r="G1124" s="78"/>
      <c r="I1124" s="80"/>
      <c r="K1124" s="71"/>
      <c r="N1124" s="109"/>
      <c r="Q1124" s="78"/>
      <c r="R1124" s="78"/>
      <c r="S1124" s="80"/>
      <c r="T1124" s="80"/>
      <c r="V1124" s="78"/>
      <c r="W1124" s="62"/>
      <c r="X1124" s="80"/>
      <c r="Y1124" s="109"/>
    </row>
    <row r="1125">
      <c r="E1125" s="78"/>
      <c r="G1125" s="78"/>
      <c r="I1125" s="80"/>
      <c r="K1125" s="71"/>
      <c r="N1125" s="109"/>
      <c r="Q1125" s="78"/>
      <c r="R1125" s="78"/>
      <c r="S1125" s="80"/>
      <c r="T1125" s="80"/>
      <c r="V1125" s="78"/>
      <c r="W1125" s="62"/>
      <c r="X1125" s="80"/>
      <c r="Y1125" s="109"/>
    </row>
    <row r="1126">
      <c r="E1126" s="78"/>
      <c r="G1126" s="78"/>
      <c r="I1126" s="80"/>
      <c r="K1126" s="71"/>
      <c r="N1126" s="109"/>
      <c r="Q1126" s="78"/>
      <c r="R1126" s="78"/>
      <c r="S1126" s="80"/>
      <c r="T1126" s="80"/>
      <c r="V1126" s="78"/>
      <c r="W1126" s="62"/>
      <c r="X1126" s="80"/>
      <c r="Y1126" s="109"/>
    </row>
    <row r="1127">
      <c r="E1127" s="78"/>
      <c r="G1127" s="78"/>
      <c r="I1127" s="80"/>
      <c r="K1127" s="71"/>
      <c r="N1127" s="109"/>
      <c r="Q1127" s="78"/>
      <c r="R1127" s="78"/>
      <c r="S1127" s="80"/>
      <c r="T1127" s="80"/>
      <c r="V1127" s="78"/>
      <c r="W1127" s="62"/>
      <c r="X1127" s="80"/>
      <c r="Y1127" s="109"/>
    </row>
    <row r="1128">
      <c r="E1128" s="78"/>
      <c r="G1128" s="78"/>
      <c r="I1128" s="80"/>
      <c r="K1128" s="71"/>
      <c r="N1128" s="109"/>
      <c r="Q1128" s="78"/>
      <c r="R1128" s="78"/>
      <c r="S1128" s="80"/>
      <c r="T1128" s="80"/>
      <c r="V1128" s="78"/>
      <c r="W1128" s="62"/>
      <c r="X1128" s="80"/>
      <c r="Y1128" s="109"/>
    </row>
    <row r="1129">
      <c r="E1129" s="78"/>
      <c r="G1129" s="78"/>
      <c r="I1129" s="80"/>
      <c r="K1129" s="71"/>
      <c r="N1129" s="109"/>
      <c r="Q1129" s="78"/>
      <c r="R1129" s="78"/>
      <c r="S1129" s="80"/>
      <c r="T1129" s="80"/>
      <c r="V1129" s="78"/>
      <c r="W1129" s="62"/>
      <c r="X1129" s="80"/>
      <c r="Y1129" s="109"/>
    </row>
    <row r="1130">
      <c r="E1130" s="78"/>
      <c r="G1130" s="78"/>
      <c r="I1130" s="80"/>
      <c r="K1130" s="71"/>
      <c r="N1130" s="109"/>
      <c r="Q1130" s="78"/>
      <c r="R1130" s="78"/>
      <c r="S1130" s="80"/>
      <c r="T1130" s="80"/>
      <c r="V1130" s="78"/>
      <c r="W1130" s="62"/>
      <c r="X1130" s="80"/>
      <c r="Y1130" s="109"/>
    </row>
    <row r="1131">
      <c r="E1131" s="78"/>
      <c r="G1131" s="78"/>
      <c r="I1131" s="80"/>
      <c r="K1131" s="71"/>
      <c r="N1131" s="109"/>
      <c r="Q1131" s="78"/>
      <c r="R1131" s="78"/>
      <c r="S1131" s="80"/>
      <c r="T1131" s="80"/>
      <c r="V1131" s="78"/>
      <c r="W1131" s="62"/>
      <c r="X1131" s="80"/>
      <c r="Y1131" s="109"/>
    </row>
    <row r="1132">
      <c r="E1132" s="78"/>
      <c r="G1132" s="78"/>
      <c r="I1132" s="80"/>
      <c r="K1132" s="71"/>
      <c r="N1132" s="109"/>
      <c r="Q1132" s="78"/>
      <c r="R1132" s="78"/>
      <c r="S1132" s="80"/>
      <c r="T1132" s="80"/>
      <c r="V1132" s="78"/>
      <c r="W1132" s="62"/>
      <c r="X1132" s="80"/>
      <c r="Y1132" s="109"/>
    </row>
    <row r="1133">
      <c r="E1133" s="78"/>
      <c r="G1133" s="78"/>
      <c r="I1133" s="80"/>
      <c r="K1133" s="71"/>
      <c r="N1133" s="109"/>
      <c r="Q1133" s="78"/>
      <c r="R1133" s="78"/>
      <c r="S1133" s="80"/>
      <c r="T1133" s="80"/>
      <c r="V1133" s="78"/>
      <c r="W1133" s="62"/>
      <c r="X1133" s="80"/>
      <c r="Y1133" s="109"/>
    </row>
    <row r="1134">
      <c r="E1134" s="78"/>
      <c r="G1134" s="78"/>
      <c r="I1134" s="80"/>
      <c r="K1134" s="71"/>
      <c r="N1134" s="109"/>
      <c r="Q1134" s="78"/>
      <c r="R1134" s="78"/>
      <c r="S1134" s="80"/>
      <c r="T1134" s="80"/>
      <c r="V1134" s="78"/>
      <c r="W1134" s="62"/>
      <c r="X1134" s="80"/>
      <c r="Y1134" s="109"/>
    </row>
    <row r="1135">
      <c r="E1135" s="78"/>
      <c r="G1135" s="78"/>
      <c r="I1135" s="80"/>
      <c r="K1135" s="71"/>
      <c r="N1135" s="109"/>
      <c r="Q1135" s="78"/>
      <c r="R1135" s="78"/>
      <c r="S1135" s="80"/>
      <c r="T1135" s="80"/>
      <c r="V1135" s="78"/>
      <c r="W1135" s="62"/>
      <c r="X1135" s="80"/>
      <c r="Y1135" s="109"/>
    </row>
    <row r="1136">
      <c r="E1136" s="78"/>
      <c r="G1136" s="78"/>
      <c r="I1136" s="80"/>
      <c r="K1136" s="71"/>
      <c r="N1136" s="109"/>
      <c r="Q1136" s="78"/>
      <c r="R1136" s="78"/>
      <c r="S1136" s="80"/>
      <c r="T1136" s="80"/>
      <c r="V1136" s="78"/>
      <c r="W1136" s="62"/>
      <c r="X1136" s="80"/>
      <c r="Y1136" s="109"/>
    </row>
    <row r="1137">
      <c r="E1137" s="78"/>
      <c r="G1137" s="78"/>
      <c r="I1137" s="80"/>
      <c r="K1137" s="71"/>
      <c r="N1137" s="109"/>
      <c r="Q1137" s="78"/>
      <c r="R1137" s="78"/>
      <c r="S1137" s="80"/>
      <c r="T1137" s="80"/>
      <c r="V1137" s="78"/>
      <c r="W1137" s="62"/>
      <c r="X1137" s="80"/>
      <c r="Y1137" s="109"/>
    </row>
    <row r="1138">
      <c r="E1138" s="78"/>
      <c r="G1138" s="78"/>
      <c r="I1138" s="80"/>
      <c r="K1138" s="71"/>
      <c r="N1138" s="109"/>
      <c r="Q1138" s="78"/>
      <c r="R1138" s="78"/>
      <c r="S1138" s="80"/>
      <c r="T1138" s="80"/>
      <c r="V1138" s="78"/>
      <c r="W1138" s="62"/>
      <c r="X1138" s="80"/>
      <c r="Y1138" s="109"/>
    </row>
    <row r="1139">
      <c r="E1139" s="78"/>
      <c r="G1139" s="78"/>
      <c r="I1139" s="80"/>
      <c r="K1139" s="71"/>
      <c r="N1139" s="109"/>
      <c r="Q1139" s="78"/>
      <c r="R1139" s="78"/>
      <c r="S1139" s="80"/>
      <c r="T1139" s="80"/>
      <c r="V1139" s="78"/>
      <c r="W1139" s="62"/>
      <c r="X1139" s="80"/>
      <c r="Y1139" s="109"/>
    </row>
    <row r="1140">
      <c r="E1140" s="78"/>
      <c r="G1140" s="78"/>
      <c r="I1140" s="80"/>
      <c r="K1140" s="71"/>
      <c r="N1140" s="109"/>
      <c r="Q1140" s="78"/>
      <c r="R1140" s="78"/>
      <c r="S1140" s="80"/>
      <c r="T1140" s="80"/>
      <c r="V1140" s="78"/>
      <c r="W1140" s="62"/>
      <c r="X1140" s="80"/>
      <c r="Y1140" s="109"/>
    </row>
    <row r="1141">
      <c r="E1141" s="78"/>
      <c r="G1141" s="78"/>
      <c r="I1141" s="80"/>
      <c r="K1141" s="71"/>
      <c r="N1141" s="109"/>
      <c r="Q1141" s="78"/>
      <c r="R1141" s="78"/>
      <c r="S1141" s="80"/>
      <c r="T1141" s="80"/>
      <c r="V1141" s="78"/>
      <c r="W1141" s="62"/>
      <c r="X1141" s="80"/>
      <c r="Y1141" s="109"/>
    </row>
    <row r="1142">
      <c r="E1142" s="78"/>
      <c r="G1142" s="78"/>
      <c r="I1142" s="80"/>
      <c r="K1142" s="71"/>
      <c r="N1142" s="109"/>
      <c r="Q1142" s="78"/>
      <c r="R1142" s="78"/>
      <c r="S1142" s="80"/>
      <c r="T1142" s="80"/>
      <c r="V1142" s="78"/>
      <c r="W1142" s="62"/>
      <c r="X1142" s="80"/>
      <c r="Y1142" s="109"/>
    </row>
    <row r="1143">
      <c r="E1143" s="78"/>
      <c r="G1143" s="78"/>
      <c r="I1143" s="80"/>
      <c r="K1143" s="71"/>
      <c r="N1143" s="109"/>
      <c r="Q1143" s="78"/>
      <c r="R1143" s="78"/>
      <c r="S1143" s="80"/>
      <c r="T1143" s="80"/>
      <c r="V1143" s="78"/>
      <c r="W1143" s="62"/>
      <c r="X1143" s="80"/>
      <c r="Y1143" s="109"/>
    </row>
    <row r="1144">
      <c r="E1144" s="78"/>
      <c r="G1144" s="78"/>
      <c r="I1144" s="80"/>
      <c r="K1144" s="71"/>
      <c r="N1144" s="109"/>
      <c r="Q1144" s="78"/>
      <c r="R1144" s="78"/>
      <c r="S1144" s="80"/>
      <c r="T1144" s="80"/>
      <c r="V1144" s="78"/>
      <c r="W1144" s="62"/>
      <c r="X1144" s="80"/>
      <c r="Y1144" s="109"/>
    </row>
    <row r="1145">
      <c r="E1145" s="78"/>
      <c r="G1145" s="78"/>
      <c r="I1145" s="80"/>
      <c r="K1145" s="71"/>
      <c r="N1145" s="109"/>
      <c r="Q1145" s="78"/>
      <c r="R1145" s="78"/>
      <c r="S1145" s="80"/>
      <c r="T1145" s="80"/>
      <c r="V1145" s="78"/>
      <c r="W1145" s="62"/>
      <c r="X1145" s="80"/>
      <c r="Y1145" s="109"/>
    </row>
    <row r="1146">
      <c r="E1146" s="78"/>
      <c r="G1146" s="78"/>
      <c r="I1146" s="80"/>
      <c r="K1146" s="71"/>
      <c r="N1146" s="109"/>
      <c r="Q1146" s="78"/>
      <c r="R1146" s="78"/>
      <c r="S1146" s="80"/>
      <c r="T1146" s="80"/>
      <c r="V1146" s="78"/>
      <c r="W1146" s="62"/>
      <c r="X1146" s="80"/>
      <c r="Y1146" s="109"/>
    </row>
    <row r="1147">
      <c r="E1147" s="78"/>
      <c r="G1147" s="78"/>
      <c r="I1147" s="80"/>
      <c r="K1147" s="71"/>
      <c r="N1147" s="109"/>
      <c r="Q1147" s="78"/>
      <c r="R1147" s="78"/>
      <c r="S1147" s="80"/>
      <c r="T1147" s="80"/>
      <c r="V1147" s="78"/>
      <c r="W1147" s="62"/>
      <c r="X1147" s="80"/>
      <c r="Y1147" s="109"/>
    </row>
    <row r="1148">
      <c r="E1148" s="78"/>
      <c r="G1148" s="78"/>
      <c r="I1148" s="80"/>
      <c r="K1148" s="71"/>
      <c r="N1148" s="109"/>
      <c r="Q1148" s="78"/>
      <c r="R1148" s="78"/>
      <c r="S1148" s="80"/>
      <c r="T1148" s="80"/>
      <c r="V1148" s="78"/>
      <c r="W1148" s="62"/>
      <c r="X1148" s="80"/>
      <c r="Y1148" s="109"/>
    </row>
    <row r="1149">
      <c r="E1149" s="78"/>
      <c r="G1149" s="78"/>
      <c r="I1149" s="80"/>
      <c r="K1149" s="71"/>
      <c r="N1149" s="109"/>
      <c r="Q1149" s="78"/>
      <c r="R1149" s="78"/>
      <c r="S1149" s="80"/>
      <c r="T1149" s="80"/>
      <c r="V1149" s="78"/>
      <c r="W1149" s="62"/>
      <c r="X1149" s="80"/>
      <c r="Y1149" s="109"/>
    </row>
    <row r="1150">
      <c r="E1150" s="78"/>
      <c r="G1150" s="78"/>
      <c r="I1150" s="80"/>
      <c r="K1150" s="71"/>
      <c r="N1150" s="109"/>
      <c r="Q1150" s="78"/>
      <c r="R1150" s="78"/>
      <c r="S1150" s="80"/>
      <c r="T1150" s="80"/>
      <c r="V1150" s="78"/>
      <c r="W1150" s="62"/>
      <c r="X1150" s="80"/>
      <c r="Y1150" s="109"/>
    </row>
    <row r="1151">
      <c r="E1151" s="78"/>
      <c r="G1151" s="78"/>
      <c r="I1151" s="80"/>
      <c r="K1151" s="71"/>
      <c r="N1151" s="109"/>
      <c r="Q1151" s="78"/>
      <c r="R1151" s="78"/>
      <c r="S1151" s="80"/>
      <c r="T1151" s="80"/>
      <c r="V1151" s="78"/>
      <c r="W1151" s="62"/>
      <c r="X1151" s="80"/>
      <c r="Y1151" s="109"/>
    </row>
    <row r="1152">
      <c r="E1152" s="78"/>
      <c r="G1152" s="78"/>
      <c r="I1152" s="80"/>
      <c r="K1152" s="71"/>
      <c r="N1152" s="109"/>
      <c r="Q1152" s="78"/>
      <c r="R1152" s="78"/>
      <c r="S1152" s="80"/>
      <c r="T1152" s="80"/>
      <c r="V1152" s="78"/>
      <c r="W1152" s="62"/>
      <c r="X1152" s="80"/>
      <c r="Y1152" s="109"/>
    </row>
    <row r="1153">
      <c r="E1153" s="78"/>
      <c r="G1153" s="78"/>
      <c r="I1153" s="80"/>
      <c r="K1153" s="71"/>
      <c r="N1153" s="109"/>
      <c r="Q1153" s="78"/>
      <c r="R1153" s="78"/>
      <c r="S1153" s="80"/>
      <c r="T1153" s="80"/>
      <c r="V1153" s="78"/>
      <c r="W1153" s="62"/>
      <c r="X1153" s="80"/>
      <c r="Y1153" s="109"/>
    </row>
    <row r="1154">
      <c r="E1154" s="78"/>
      <c r="G1154" s="78"/>
      <c r="I1154" s="80"/>
      <c r="K1154" s="71"/>
      <c r="N1154" s="109"/>
      <c r="Q1154" s="78"/>
      <c r="R1154" s="78"/>
      <c r="S1154" s="80"/>
      <c r="T1154" s="80"/>
      <c r="V1154" s="78"/>
      <c r="W1154" s="62"/>
      <c r="X1154" s="80"/>
      <c r="Y1154" s="109"/>
    </row>
    <row r="1155">
      <c r="E1155" s="78"/>
      <c r="G1155" s="78"/>
      <c r="I1155" s="80"/>
      <c r="K1155" s="71"/>
      <c r="N1155" s="109"/>
      <c r="Q1155" s="78"/>
      <c r="R1155" s="78"/>
      <c r="S1155" s="80"/>
      <c r="T1155" s="80"/>
      <c r="V1155" s="78"/>
      <c r="W1155" s="62"/>
      <c r="X1155" s="80"/>
      <c r="Y1155" s="109"/>
    </row>
    <row r="1156">
      <c r="E1156" s="78"/>
      <c r="G1156" s="78"/>
      <c r="I1156" s="80"/>
      <c r="K1156" s="71"/>
      <c r="N1156" s="109"/>
      <c r="Q1156" s="78"/>
      <c r="R1156" s="78"/>
      <c r="S1156" s="80"/>
      <c r="T1156" s="80"/>
      <c r="V1156" s="78"/>
      <c r="W1156" s="62"/>
      <c r="X1156" s="80"/>
      <c r="Y1156" s="109"/>
    </row>
    <row r="1157">
      <c r="E1157" s="78"/>
      <c r="G1157" s="78"/>
      <c r="I1157" s="80"/>
      <c r="K1157" s="71"/>
      <c r="N1157" s="109"/>
      <c r="Q1157" s="78"/>
      <c r="R1157" s="78"/>
      <c r="S1157" s="80"/>
      <c r="T1157" s="80"/>
      <c r="V1157" s="78"/>
      <c r="W1157" s="62"/>
      <c r="X1157" s="80"/>
      <c r="Y1157" s="109"/>
    </row>
    <row r="1158">
      <c r="E1158" s="78"/>
      <c r="G1158" s="78"/>
      <c r="I1158" s="80"/>
      <c r="K1158" s="71"/>
      <c r="N1158" s="109"/>
      <c r="Q1158" s="78"/>
      <c r="R1158" s="78"/>
      <c r="S1158" s="80"/>
      <c r="T1158" s="80"/>
      <c r="V1158" s="78"/>
      <c r="W1158" s="62"/>
      <c r="X1158" s="80"/>
      <c r="Y1158" s="109"/>
    </row>
    <row r="1159">
      <c r="E1159" s="78"/>
      <c r="G1159" s="78"/>
      <c r="I1159" s="80"/>
      <c r="K1159" s="71"/>
      <c r="N1159" s="109"/>
      <c r="Q1159" s="78"/>
      <c r="R1159" s="78"/>
      <c r="S1159" s="80"/>
      <c r="T1159" s="80"/>
      <c r="V1159" s="78"/>
      <c r="W1159" s="62"/>
      <c r="X1159" s="80"/>
      <c r="Y1159" s="109"/>
    </row>
    <row r="1160">
      <c r="E1160" s="78"/>
      <c r="G1160" s="78"/>
      <c r="I1160" s="80"/>
      <c r="K1160" s="71"/>
      <c r="N1160" s="109"/>
      <c r="Q1160" s="78"/>
      <c r="R1160" s="78"/>
      <c r="S1160" s="80"/>
      <c r="T1160" s="80"/>
      <c r="V1160" s="78"/>
      <c r="W1160" s="62"/>
      <c r="X1160" s="80"/>
      <c r="Y1160" s="109"/>
    </row>
    <row r="1161">
      <c r="E1161" s="78"/>
      <c r="G1161" s="78"/>
      <c r="I1161" s="80"/>
      <c r="K1161" s="71"/>
      <c r="N1161" s="109"/>
      <c r="Q1161" s="78"/>
      <c r="R1161" s="78"/>
      <c r="S1161" s="80"/>
      <c r="T1161" s="80"/>
      <c r="V1161" s="78"/>
      <c r="W1161" s="62"/>
      <c r="X1161" s="80"/>
      <c r="Y1161" s="109"/>
    </row>
    <row r="1162">
      <c r="E1162" s="78"/>
      <c r="G1162" s="78"/>
      <c r="I1162" s="80"/>
      <c r="K1162" s="71"/>
      <c r="N1162" s="109"/>
      <c r="Q1162" s="78"/>
      <c r="R1162" s="78"/>
      <c r="S1162" s="80"/>
      <c r="T1162" s="80"/>
      <c r="V1162" s="78"/>
      <c r="W1162" s="62"/>
      <c r="X1162" s="80"/>
      <c r="Y1162" s="109"/>
    </row>
    <row r="1163">
      <c r="E1163" s="78"/>
      <c r="G1163" s="78"/>
      <c r="I1163" s="80"/>
      <c r="K1163" s="71"/>
      <c r="N1163" s="109"/>
      <c r="Q1163" s="78"/>
      <c r="R1163" s="78"/>
      <c r="S1163" s="80"/>
      <c r="T1163" s="80"/>
      <c r="V1163" s="78"/>
      <c r="W1163" s="62"/>
      <c r="X1163" s="80"/>
      <c r="Y1163" s="109"/>
    </row>
    <row r="1164">
      <c r="E1164" s="78"/>
      <c r="G1164" s="78"/>
      <c r="I1164" s="80"/>
      <c r="K1164" s="71"/>
      <c r="N1164" s="109"/>
      <c r="Q1164" s="78"/>
      <c r="R1164" s="78"/>
      <c r="S1164" s="80"/>
      <c r="T1164" s="80"/>
      <c r="V1164" s="78"/>
      <c r="W1164" s="62"/>
      <c r="X1164" s="80"/>
      <c r="Y1164" s="109"/>
    </row>
    <row r="1165">
      <c r="E1165" s="78"/>
      <c r="G1165" s="78"/>
      <c r="I1165" s="80"/>
      <c r="K1165" s="71"/>
      <c r="N1165" s="109"/>
      <c r="Q1165" s="78"/>
      <c r="R1165" s="78"/>
      <c r="S1165" s="80"/>
      <c r="T1165" s="80"/>
      <c r="V1165" s="78"/>
      <c r="W1165" s="62"/>
      <c r="X1165" s="80"/>
      <c r="Y1165" s="109"/>
    </row>
    <row r="1166">
      <c r="E1166" s="78"/>
      <c r="G1166" s="78"/>
      <c r="I1166" s="80"/>
      <c r="K1166" s="71"/>
      <c r="N1166" s="109"/>
      <c r="Q1166" s="78"/>
      <c r="R1166" s="78"/>
      <c r="S1166" s="80"/>
      <c r="T1166" s="80"/>
      <c r="V1166" s="78"/>
      <c r="W1166" s="62"/>
      <c r="X1166" s="80"/>
      <c r="Y1166" s="109"/>
    </row>
    <row r="1167">
      <c r="E1167" s="78"/>
      <c r="G1167" s="78"/>
      <c r="I1167" s="80"/>
      <c r="K1167" s="71"/>
      <c r="N1167" s="109"/>
      <c r="Q1167" s="78"/>
      <c r="R1167" s="78"/>
      <c r="S1167" s="80"/>
      <c r="T1167" s="80"/>
      <c r="V1167" s="78"/>
      <c r="W1167" s="62"/>
      <c r="X1167" s="80"/>
      <c r="Y1167" s="109"/>
    </row>
    <row r="1168">
      <c r="E1168" s="78"/>
      <c r="G1168" s="78"/>
      <c r="I1168" s="80"/>
      <c r="K1168" s="71"/>
      <c r="N1168" s="109"/>
      <c r="Q1168" s="78"/>
      <c r="R1168" s="78"/>
      <c r="S1168" s="80"/>
      <c r="T1168" s="80"/>
      <c r="V1168" s="78"/>
      <c r="W1168" s="62"/>
      <c r="X1168" s="80"/>
      <c r="Y1168" s="109"/>
    </row>
    <row r="1169">
      <c r="E1169" s="78"/>
      <c r="G1169" s="78"/>
      <c r="I1169" s="80"/>
      <c r="K1169" s="71"/>
      <c r="N1169" s="109"/>
      <c r="Q1169" s="78"/>
      <c r="R1169" s="78"/>
      <c r="S1169" s="80"/>
      <c r="T1169" s="80"/>
      <c r="V1169" s="78"/>
      <c r="W1169" s="62"/>
      <c r="X1169" s="80"/>
      <c r="Y1169" s="109"/>
    </row>
    <row r="1170">
      <c r="E1170" s="78"/>
      <c r="G1170" s="78"/>
      <c r="I1170" s="80"/>
      <c r="K1170" s="71"/>
      <c r="N1170" s="109"/>
      <c r="Q1170" s="78"/>
      <c r="R1170" s="78"/>
      <c r="S1170" s="80"/>
      <c r="T1170" s="80"/>
      <c r="V1170" s="78"/>
      <c r="W1170" s="62"/>
      <c r="X1170" s="80"/>
      <c r="Y1170" s="109"/>
    </row>
    <row r="1171">
      <c r="E1171" s="78"/>
      <c r="G1171" s="78"/>
      <c r="I1171" s="80"/>
      <c r="K1171" s="71"/>
      <c r="N1171" s="109"/>
      <c r="Q1171" s="78"/>
      <c r="R1171" s="78"/>
      <c r="S1171" s="80"/>
      <c r="T1171" s="80"/>
      <c r="V1171" s="78"/>
      <c r="W1171" s="62"/>
      <c r="X1171" s="80"/>
      <c r="Y1171" s="109"/>
    </row>
    <row r="1172">
      <c r="E1172" s="78"/>
      <c r="G1172" s="78"/>
      <c r="I1172" s="80"/>
      <c r="K1172" s="71"/>
      <c r="N1172" s="109"/>
      <c r="Q1172" s="78"/>
      <c r="R1172" s="78"/>
      <c r="S1172" s="80"/>
      <c r="T1172" s="80"/>
      <c r="V1172" s="78"/>
      <c r="W1172" s="62"/>
      <c r="X1172" s="80"/>
      <c r="Y1172" s="109"/>
    </row>
    <row r="1173">
      <c r="E1173" s="78"/>
      <c r="G1173" s="78"/>
      <c r="I1173" s="80"/>
      <c r="K1173" s="71"/>
      <c r="N1173" s="109"/>
      <c r="Q1173" s="78"/>
      <c r="R1173" s="78"/>
      <c r="S1173" s="80"/>
      <c r="T1173" s="80"/>
      <c r="V1173" s="78"/>
      <c r="W1173" s="62"/>
      <c r="X1173" s="80"/>
      <c r="Y1173" s="109"/>
    </row>
    <row r="1174">
      <c r="E1174" s="78"/>
      <c r="G1174" s="78"/>
      <c r="I1174" s="80"/>
      <c r="K1174" s="71"/>
      <c r="N1174" s="109"/>
      <c r="Q1174" s="78"/>
      <c r="R1174" s="78"/>
      <c r="S1174" s="80"/>
      <c r="T1174" s="80"/>
      <c r="V1174" s="78"/>
      <c r="W1174" s="62"/>
      <c r="X1174" s="80"/>
      <c r="Y1174" s="109"/>
    </row>
    <row r="1175">
      <c r="E1175" s="78"/>
      <c r="G1175" s="78"/>
      <c r="I1175" s="80"/>
      <c r="K1175" s="71"/>
      <c r="N1175" s="109"/>
      <c r="Q1175" s="78"/>
      <c r="R1175" s="78"/>
      <c r="S1175" s="80"/>
      <c r="T1175" s="80"/>
      <c r="V1175" s="78"/>
      <c r="W1175" s="62"/>
      <c r="X1175" s="80"/>
      <c r="Y1175" s="109"/>
    </row>
    <row r="1176">
      <c r="E1176" s="78"/>
      <c r="G1176" s="78"/>
      <c r="I1176" s="80"/>
      <c r="K1176" s="71"/>
      <c r="N1176" s="109"/>
      <c r="Q1176" s="78"/>
      <c r="R1176" s="78"/>
      <c r="S1176" s="80"/>
      <c r="T1176" s="80"/>
      <c r="V1176" s="78"/>
      <c r="W1176" s="62"/>
      <c r="X1176" s="80"/>
      <c r="Y1176" s="109"/>
    </row>
    <row r="1177">
      <c r="E1177" s="78"/>
      <c r="G1177" s="78"/>
      <c r="I1177" s="80"/>
      <c r="K1177" s="71"/>
      <c r="N1177" s="109"/>
      <c r="Q1177" s="78"/>
      <c r="R1177" s="78"/>
      <c r="S1177" s="80"/>
      <c r="T1177" s="80"/>
      <c r="V1177" s="78"/>
      <c r="W1177" s="62"/>
      <c r="X1177" s="80"/>
      <c r="Y1177" s="109"/>
    </row>
    <row r="1178">
      <c r="E1178" s="78"/>
      <c r="G1178" s="78"/>
      <c r="I1178" s="80"/>
      <c r="K1178" s="71"/>
      <c r="N1178" s="109"/>
      <c r="Q1178" s="78"/>
      <c r="R1178" s="78"/>
      <c r="S1178" s="80"/>
      <c r="T1178" s="80"/>
      <c r="V1178" s="78"/>
      <c r="W1178" s="62"/>
      <c r="X1178" s="80"/>
      <c r="Y1178" s="109"/>
    </row>
    <row r="1179">
      <c r="E1179" s="78"/>
      <c r="G1179" s="78"/>
      <c r="I1179" s="80"/>
      <c r="K1179" s="71"/>
      <c r="N1179" s="109"/>
      <c r="Q1179" s="78"/>
      <c r="R1179" s="78"/>
      <c r="S1179" s="80"/>
      <c r="T1179" s="80"/>
      <c r="V1179" s="78"/>
      <c r="W1179" s="62"/>
      <c r="X1179" s="80"/>
      <c r="Y1179" s="109"/>
    </row>
    <row r="1180">
      <c r="E1180" s="78"/>
      <c r="G1180" s="78"/>
      <c r="I1180" s="80"/>
      <c r="K1180" s="71"/>
      <c r="N1180" s="109"/>
      <c r="Q1180" s="78"/>
      <c r="R1180" s="78"/>
      <c r="S1180" s="80"/>
      <c r="T1180" s="80"/>
      <c r="V1180" s="78"/>
      <c r="W1180" s="62"/>
      <c r="X1180" s="80"/>
      <c r="Y1180" s="109"/>
    </row>
    <row r="1181">
      <c r="E1181" s="78"/>
      <c r="G1181" s="78"/>
      <c r="I1181" s="80"/>
      <c r="K1181" s="71"/>
      <c r="N1181" s="109"/>
      <c r="Q1181" s="78"/>
      <c r="R1181" s="78"/>
      <c r="S1181" s="80"/>
      <c r="T1181" s="80"/>
      <c r="V1181" s="78"/>
      <c r="W1181" s="62"/>
      <c r="X1181" s="80"/>
      <c r="Y1181" s="109"/>
    </row>
    <row r="1182">
      <c r="E1182" s="78"/>
      <c r="G1182" s="78"/>
      <c r="I1182" s="80"/>
      <c r="K1182" s="71"/>
      <c r="N1182" s="109"/>
      <c r="Q1182" s="78"/>
      <c r="R1182" s="78"/>
      <c r="S1182" s="80"/>
      <c r="T1182" s="80"/>
      <c r="V1182" s="78"/>
      <c r="W1182" s="62"/>
      <c r="X1182" s="80"/>
      <c r="Y1182" s="109"/>
    </row>
    <row r="1183">
      <c r="E1183" s="78"/>
      <c r="G1183" s="78"/>
      <c r="I1183" s="80"/>
      <c r="K1183" s="71"/>
      <c r="N1183" s="109"/>
      <c r="Q1183" s="78"/>
      <c r="R1183" s="78"/>
      <c r="S1183" s="80"/>
      <c r="T1183" s="80"/>
      <c r="V1183" s="78"/>
      <c r="W1183" s="62"/>
      <c r="X1183" s="80"/>
      <c r="Y1183" s="109"/>
    </row>
    <row r="1184">
      <c r="E1184" s="78"/>
      <c r="G1184" s="78"/>
      <c r="I1184" s="80"/>
      <c r="K1184" s="71"/>
      <c r="N1184" s="109"/>
      <c r="Q1184" s="78"/>
      <c r="R1184" s="78"/>
      <c r="S1184" s="80"/>
      <c r="T1184" s="80"/>
      <c r="V1184" s="78"/>
      <c r="W1184" s="62"/>
      <c r="X1184" s="80"/>
      <c r="Y1184" s="109"/>
    </row>
    <row r="1185">
      <c r="E1185" s="78"/>
      <c r="G1185" s="78"/>
      <c r="I1185" s="80"/>
      <c r="K1185" s="71"/>
      <c r="N1185" s="109"/>
      <c r="Q1185" s="78"/>
      <c r="R1185" s="78"/>
      <c r="S1185" s="80"/>
      <c r="T1185" s="80"/>
      <c r="V1185" s="78"/>
      <c r="W1185" s="62"/>
      <c r="X1185" s="80"/>
      <c r="Y1185" s="109"/>
    </row>
    <row r="1186">
      <c r="E1186" s="78"/>
      <c r="G1186" s="78"/>
      <c r="I1186" s="80"/>
      <c r="K1186" s="71"/>
      <c r="N1186" s="109"/>
      <c r="Q1186" s="78"/>
      <c r="R1186" s="78"/>
      <c r="S1186" s="80"/>
      <c r="T1186" s="80"/>
      <c r="V1186" s="78"/>
      <c r="W1186" s="62"/>
      <c r="X1186" s="80"/>
      <c r="Y1186" s="109"/>
    </row>
    <row r="1187">
      <c r="E1187" s="78"/>
      <c r="G1187" s="78"/>
      <c r="I1187" s="80"/>
      <c r="K1187" s="71"/>
      <c r="N1187" s="109"/>
      <c r="Q1187" s="78"/>
      <c r="R1187" s="78"/>
      <c r="S1187" s="80"/>
      <c r="T1187" s="80"/>
      <c r="V1187" s="78"/>
      <c r="W1187" s="62"/>
      <c r="X1187" s="80"/>
      <c r="Y1187" s="109"/>
    </row>
    <row r="1188">
      <c r="E1188" s="78"/>
      <c r="G1188" s="78"/>
      <c r="I1188" s="80"/>
      <c r="K1188" s="71"/>
      <c r="N1188" s="109"/>
      <c r="Q1188" s="78"/>
      <c r="R1188" s="78"/>
      <c r="S1188" s="80"/>
      <c r="T1188" s="80"/>
      <c r="V1188" s="78"/>
      <c r="W1188" s="62"/>
      <c r="X1188" s="80"/>
      <c r="Y1188" s="109"/>
    </row>
    <row r="1189">
      <c r="E1189" s="78"/>
      <c r="G1189" s="78"/>
      <c r="I1189" s="80"/>
      <c r="K1189" s="71"/>
      <c r="N1189" s="109"/>
      <c r="Q1189" s="78"/>
      <c r="R1189" s="78"/>
      <c r="S1189" s="80"/>
      <c r="T1189" s="80"/>
      <c r="V1189" s="78"/>
      <c r="W1189" s="62"/>
      <c r="X1189" s="80"/>
      <c r="Y1189" s="109"/>
    </row>
    <row r="1190">
      <c r="E1190" s="78"/>
      <c r="G1190" s="78"/>
      <c r="I1190" s="80"/>
      <c r="K1190" s="71"/>
      <c r="N1190" s="109"/>
      <c r="Q1190" s="78"/>
      <c r="R1190" s="78"/>
      <c r="S1190" s="80"/>
      <c r="T1190" s="80"/>
      <c r="V1190" s="78"/>
      <c r="W1190" s="62"/>
      <c r="X1190" s="80"/>
      <c r="Y1190" s="109"/>
    </row>
    <row r="1191">
      <c r="E1191" s="78"/>
      <c r="G1191" s="78"/>
      <c r="I1191" s="80"/>
      <c r="K1191" s="71"/>
      <c r="N1191" s="109"/>
      <c r="Q1191" s="78"/>
      <c r="R1191" s="78"/>
      <c r="S1191" s="80"/>
      <c r="T1191" s="80"/>
      <c r="V1191" s="78"/>
      <c r="W1191" s="62"/>
      <c r="X1191" s="80"/>
      <c r="Y1191" s="109"/>
    </row>
    <row r="1192">
      <c r="E1192" s="78"/>
      <c r="G1192" s="78"/>
      <c r="I1192" s="80"/>
      <c r="K1192" s="71"/>
      <c r="N1192" s="109"/>
      <c r="Q1192" s="78"/>
      <c r="R1192" s="78"/>
      <c r="S1192" s="80"/>
      <c r="T1192" s="80"/>
      <c r="V1192" s="78"/>
      <c r="W1192" s="62"/>
      <c r="X1192" s="80"/>
      <c r="Y1192" s="109"/>
    </row>
    <row r="1193">
      <c r="E1193" s="78"/>
      <c r="G1193" s="78"/>
      <c r="I1193" s="80"/>
      <c r="K1193" s="71"/>
      <c r="N1193" s="109"/>
      <c r="Q1193" s="78"/>
      <c r="R1193" s="78"/>
      <c r="S1193" s="80"/>
      <c r="T1193" s="80"/>
      <c r="V1193" s="78"/>
      <c r="W1193" s="62"/>
      <c r="X1193" s="80"/>
      <c r="Y1193" s="109"/>
    </row>
    <row r="1194">
      <c r="E1194" s="78"/>
      <c r="G1194" s="78"/>
      <c r="I1194" s="80"/>
      <c r="K1194" s="71"/>
      <c r="N1194" s="109"/>
      <c r="Q1194" s="78"/>
      <c r="R1194" s="78"/>
      <c r="S1194" s="80"/>
      <c r="T1194" s="80"/>
      <c r="V1194" s="78"/>
      <c r="W1194" s="62"/>
      <c r="X1194" s="80"/>
      <c r="Y1194" s="109"/>
    </row>
    <row r="1195">
      <c r="E1195" s="78"/>
      <c r="G1195" s="78"/>
      <c r="I1195" s="80"/>
      <c r="K1195" s="71"/>
      <c r="N1195" s="109"/>
      <c r="Q1195" s="78"/>
      <c r="R1195" s="78"/>
      <c r="S1195" s="80"/>
      <c r="T1195" s="80"/>
      <c r="V1195" s="78"/>
      <c r="W1195" s="62"/>
      <c r="X1195" s="80"/>
      <c r="Y1195" s="109"/>
    </row>
    <row r="1196">
      <c r="E1196" s="78"/>
      <c r="G1196" s="78"/>
      <c r="I1196" s="80"/>
      <c r="K1196" s="71"/>
      <c r="N1196" s="109"/>
      <c r="Q1196" s="78"/>
      <c r="R1196" s="78"/>
      <c r="S1196" s="80"/>
      <c r="T1196" s="80"/>
      <c r="V1196" s="78"/>
      <c r="W1196" s="62"/>
      <c r="X1196" s="80"/>
      <c r="Y1196" s="109"/>
    </row>
    <row r="1197">
      <c r="E1197" s="78"/>
      <c r="G1197" s="78"/>
      <c r="I1197" s="80"/>
      <c r="K1197" s="71"/>
      <c r="N1197" s="109"/>
      <c r="Q1197" s="78"/>
      <c r="R1197" s="78"/>
      <c r="S1197" s="80"/>
      <c r="T1197" s="80"/>
      <c r="V1197" s="78"/>
      <c r="W1197" s="62"/>
      <c r="X1197" s="80"/>
      <c r="Y1197" s="109"/>
    </row>
    <row r="1198">
      <c r="E1198" s="78"/>
      <c r="G1198" s="78"/>
      <c r="I1198" s="80"/>
      <c r="K1198" s="71"/>
      <c r="N1198" s="109"/>
      <c r="Q1198" s="78"/>
      <c r="R1198" s="78"/>
      <c r="S1198" s="80"/>
      <c r="T1198" s="80"/>
      <c r="V1198" s="78"/>
      <c r="W1198" s="62"/>
      <c r="X1198" s="80"/>
      <c r="Y1198" s="109"/>
    </row>
    <row r="1199">
      <c r="E1199" s="78"/>
      <c r="G1199" s="78"/>
      <c r="I1199" s="80"/>
      <c r="K1199" s="71"/>
      <c r="N1199" s="109"/>
      <c r="Q1199" s="78"/>
      <c r="R1199" s="78"/>
      <c r="S1199" s="80"/>
      <c r="T1199" s="80"/>
      <c r="V1199" s="78"/>
      <c r="W1199" s="62"/>
      <c r="X1199" s="80"/>
      <c r="Y1199" s="109"/>
    </row>
    <row r="1200">
      <c r="E1200" s="78"/>
      <c r="G1200" s="78"/>
      <c r="I1200" s="80"/>
      <c r="K1200" s="71"/>
      <c r="N1200" s="109"/>
      <c r="Q1200" s="78"/>
      <c r="R1200" s="78"/>
      <c r="S1200" s="80"/>
      <c r="T1200" s="80"/>
      <c r="V1200" s="78"/>
      <c r="W1200" s="62"/>
      <c r="X1200" s="80"/>
      <c r="Y1200" s="109"/>
    </row>
    <row r="1201">
      <c r="E1201" s="78"/>
      <c r="G1201" s="78"/>
      <c r="I1201" s="80"/>
      <c r="K1201" s="71"/>
      <c r="N1201" s="109"/>
      <c r="Q1201" s="78"/>
      <c r="R1201" s="78"/>
      <c r="S1201" s="80"/>
      <c r="T1201" s="80"/>
      <c r="V1201" s="78"/>
      <c r="W1201" s="62"/>
      <c r="X1201" s="80"/>
      <c r="Y1201" s="109"/>
    </row>
    <row r="1202">
      <c r="E1202" s="78"/>
      <c r="G1202" s="78"/>
      <c r="I1202" s="80"/>
      <c r="K1202" s="71"/>
      <c r="N1202" s="109"/>
      <c r="Q1202" s="78"/>
      <c r="R1202" s="78"/>
      <c r="S1202" s="80"/>
      <c r="T1202" s="80"/>
      <c r="V1202" s="78"/>
      <c r="W1202" s="62"/>
      <c r="X1202" s="80"/>
      <c r="Y1202" s="109"/>
    </row>
    <row r="1203">
      <c r="E1203" s="78"/>
      <c r="G1203" s="78"/>
      <c r="I1203" s="80"/>
      <c r="K1203" s="71"/>
      <c r="N1203" s="109"/>
      <c r="Q1203" s="78"/>
      <c r="R1203" s="78"/>
      <c r="S1203" s="80"/>
      <c r="T1203" s="80"/>
      <c r="V1203" s="78"/>
      <c r="W1203" s="62"/>
      <c r="X1203" s="80"/>
      <c r="Y1203" s="109"/>
    </row>
    <row r="1204">
      <c r="E1204" s="78"/>
      <c r="G1204" s="78"/>
      <c r="I1204" s="80"/>
      <c r="K1204" s="71"/>
      <c r="N1204" s="109"/>
      <c r="Q1204" s="78"/>
      <c r="R1204" s="78"/>
      <c r="S1204" s="80"/>
      <c r="T1204" s="80"/>
      <c r="V1204" s="78"/>
      <c r="W1204" s="62"/>
      <c r="X1204" s="80"/>
      <c r="Y1204" s="109"/>
    </row>
    <row r="1205">
      <c r="E1205" s="78"/>
      <c r="G1205" s="78"/>
      <c r="I1205" s="80"/>
      <c r="K1205" s="71"/>
      <c r="N1205" s="109"/>
      <c r="Q1205" s="78"/>
      <c r="R1205" s="78"/>
      <c r="S1205" s="80"/>
      <c r="T1205" s="80"/>
      <c r="V1205" s="78"/>
      <c r="W1205" s="62"/>
      <c r="X1205" s="80"/>
      <c r="Y1205" s="109"/>
    </row>
    <row r="1206">
      <c r="E1206" s="78"/>
      <c r="G1206" s="78"/>
      <c r="I1206" s="80"/>
      <c r="K1206" s="71"/>
      <c r="N1206" s="109"/>
      <c r="Q1206" s="78"/>
      <c r="R1206" s="78"/>
      <c r="S1206" s="80"/>
      <c r="T1206" s="80"/>
      <c r="V1206" s="78"/>
      <c r="W1206" s="62"/>
      <c r="X1206" s="80"/>
      <c r="Y1206" s="109"/>
    </row>
    <row r="1207">
      <c r="E1207" s="78"/>
      <c r="G1207" s="78"/>
      <c r="I1207" s="80"/>
      <c r="K1207" s="71"/>
      <c r="N1207" s="109"/>
      <c r="Q1207" s="78"/>
      <c r="R1207" s="78"/>
      <c r="S1207" s="80"/>
      <c r="T1207" s="80"/>
      <c r="V1207" s="78"/>
      <c r="W1207" s="62"/>
      <c r="X1207" s="80"/>
      <c r="Y1207" s="109"/>
    </row>
    <row r="1208">
      <c r="E1208" s="78"/>
      <c r="G1208" s="78"/>
      <c r="I1208" s="80"/>
      <c r="K1208" s="71"/>
      <c r="N1208" s="109"/>
      <c r="Q1208" s="78"/>
      <c r="R1208" s="78"/>
      <c r="S1208" s="80"/>
      <c r="T1208" s="80"/>
      <c r="V1208" s="78"/>
      <c r="W1208" s="62"/>
      <c r="X1208" s="80"/>
      <c r="Y1208" s="109"/>
    </row>
    <row r="1209">
      <c r="E1209" s="78"/>
      <c r="G1209" s="78"/>
      <c r="I1209" s="80"/>
      <c r="K1209" s="71"/>
      <c r="N1209" s="109"/>
      <c r="Q1209" s="78"/>
      <c r="R1209" s="78"/>
      <c r="S1209" s="80"/>
      <c r="T1209" s="80"/>
      <c r="V1209" s="78"/>
      <c r="W1209" s="62"/>
      <c r="X1209" s="80"/>
      <c r="Y1209" s="109"/>
    </row>
    <row r="1210">
      <c r="E1210" s="78"/>
      <c r="G1210" s="78"/>
      <c r="I1210" s="80"/>
      <c r="K1210" s="71"/>
      <c r="N1210" s="109"/>
      <c r="Q1210" s="78"/>
      <c r="R1210" s="78"/>
      <c r="S1210" s="80"/>
      <c r="T1210" s="80"/>
      <c r="V1210" s="78"/>
      <c r="W1210" s="62"/>
      <c r="X1210" s="80"/>
      <c r="Y1210" s="109"/>
    </row>
    <row r="1211">
      <c r="E1211" s="78"/>
      <c r="G1211" s="78"/>
      <c r="I1211" s="80"/>
      <c r="K1211" s="71"/>
      <c r="N1211" s="109"/>
      <c r="Q1211" s="78"/>
      <c r="R1211" s="78"/>
      <c r="S1211" s="80"/>
      <c r="T1211" s="80"/>
      <c r="V1211" s="78"/>
      <c r="W1211" s="62"/>
      <c r="X1211" s="80"/>
      <c r="Y1211" s="109"/>
    </row>
    <row r="1212">
      <c r="E1212" s="78"/>
      <c r="G1212" s="78"/>
      <c r="I1212" s="80"/>
      <c r="K1212" s="71"/>
      <c r="N1212" s="109"/>
      <c r="Q1212" s="78"/>
      <c r="R1212" s="78"/>
      <c r="S1212" s="80"/>
      <c r="T1212" s="80"/>
      <c r="V1212" s="78"/>
      <c r="W1212" s="62"/>
      <c r="X1212" s="80"/>
      <c r="Y1212" s="109"/>
    </row>
    <row r="1213">
      <c r="E1213" s="78"/>
      <c r="G1213" s="78"/>
      <c r="I1213" s="80"/>
      <c r="K1213" s="71"/>
      <c r="N1213" s="109"/>
      <c r="Q1213" s="78"/>
      <c r="R1213" s="78"/>
      <c r="S1213" s="80"/>
      <c r="T1213" s="80"/>
      <c r="V1213" s="78"/>
      <c r="W1213" s="62"/>
      <c r="X1213" s="80"/>
      <c r="Y1213" s="109"/>
    </row>
    <row r="1214">
      <c r="E1214" s="78"/>
      <c r="G1214" s="78"/>
      <c r="I1214" s="80"/>
      <c r="K1214" s="71"/>
      <c r="N1214" s="109"/>
      <c r="Q1214" s="78"/>
      <c r="R1214" s="78"/>
      <c r="S1214" s="80"/>
      <c r="T1214" s="80"/>
      <c r="V1214" s="78"/>
      <c r="W1214" s="62"/>
      <c r="X1214" s="80"/>
      <c r="Y1214" s="109"/>
    </row>
    <row r="1215">
      <c r="E1215" s="78"/>
      <c r="G1215" s="78"/>
      <c r="I1215" s="80"/>
      <c r="K1215" s="71"/>
      <c r="N1215" s="109"/>
      <c r="Q1215" s="78"/>
      <c r="R1215" s="78"/>
      <c r="S1215" s="80"/>
      <c r="T1215" s="80"/>
      <c r="V1215" s="78"/>
      <c r="W1215" s="62"/>
      <c r="X1215" s="80"/>
      <c r="Y1215" s="109"/>
    </row>
    <row r="1216">
      <c r="E1216" s="78"/>
      <c r="G1216" s="78"/>
      <c r="I1216" s="80"/>
      <c r="K1216" s="71"/>
      <c r="N1216" s="109"/>
      <c r="Q1216" s="78"/>
      <c r="R1216" s="78"/>
      <c r="S1216" s="80"/>
      <c r="T1216" s="80"/>
      <c r="V1216" s="78"/>
      <c r="W1216" s="62"/>
      <c r="X1216" s="80"/>
      <c r="Y1216" s="109"/>
    </row>
    <row r="1217">
      <c r="E1217" s="78"/>
      <c r="G1217" s="78"/>
      <c r="I1217" s="80"/>
      <c r="K1217" s="71"/>
      <c r="N1217" s="109"/>
      <c r="Q1217" s="78"/>
      <c r="R1217" s="78"/>
      <c r="S1217" s="80"/>
      <c r="T1217" s="80"/>
      <c r="V1217" s="78"/>
      <c r="W1217" s="62"/>
      <c r="X1217" s="80"/>
      <c r="Y1217" s="109"/>
    </row>
    <row r="1218">
      <c r="E1218" s="78"/>
      <c r="G1218" s="78"/>
      <c r="I1218" s="80"/>
      <c r="K1218" s="71"/>
      <c r="N1218" s="109"/>
      <c r="Q1218" s="78"/>
      <c r="R1218" s="78"/>
      <c r="S1218" s="80"/>
      <c r="T1218" s="80"/>
      <c r="V1218" s="78"/>
      <c r="W1218" s="62"/>
      <c r="X1218" s="80"/>
      <c r="Y1218" s="109"/>
    </row>
    <row r="1219">
      <c r="E1219" s="78"/>
      <c r="G1219" s="78"/>
      <c r="I1219" s="80"/>
      <c r="K1219" s="71"/>
      <c r="N1219" s="109"/>
      <c r="Q1219" s="78"/>
      <c r="R1219" s="78"/>
      <c r="S1219" s="80"/>
      <c r="T1219" s="80"/>
      <c r="V1219" s="78"/>
      <c r="W1219" s="62"/>
      <c r="X1219" s="80"/>
      <c r="Y1219" s="109"/>
    </row>
    <row r="1220">
      <c r="E1220" s="78"/>
      <c r="G1220" s="78"/>
      <c r="I1220" s="80"/>
      <c r="K1220" s="71"/>
      <c r="N1220" s="109"/>
      <c r="Q1220" s="78"/>
      <c r="R1220" s="78"/>
      <c r="S1220" s="80"/>
      <c r="T1220" s="80"/>
      <c r="V1220" s="78"/>
      <c r="W1220" s="62"/>
      <c r="X1220" s="80"/>
      <c r="Y1220" s="109"/>
    </row>
    <row r="1221">
      <c r="E1221" s="78"/>
      <c r="G1221" s="78"/>
      <c r="I1221" s="80"/>
      <c r="K1221" s="71"/>
      <c r="N1221" s="109"/>
      <c r="Q1221" s="78"/>
      <c r="R1221" s="78"/>
      <c r="S1221" s="80"/>
      <c r="T1221" s="80"/>
      <c r="V1221" s="78"/>
      <c r="W1221" s="62"/>
      <c r="X1221" s="80"/>
      <c r="Y1221" s="109"/>
    </row>
    <row r="1222">
      <c r="E1222" s="78"/>
      <c r="G1222" s="78"/>
      <c r="I1222" s="80"/>
      <c r="K1222" s="71"/>
      <c r="N1222" s="109"/>
      <c r="Q1222" s="78"/>
      <c r="R1222" s="78"/>
      <c r="S1222" s="80"/>
      <c r="T1222" s="80"/>
      <c r="V1222" s="78"/>
      <c r="W1222" s="62"/>
      <c r="X1222" s="80"/>
      <c r="Y1222" s="109"/>
    </row>
    <row r="1223">
      <c r="E1223" s="78"/>
      <c r="G1223" s="78"/>
      <c r="I1223" s="80"/>
      <c r="K1223" s="71"/>
      <c r="N1223" s="109"/>
      <c r="Q1223" s="78"/>
      <c r="R1223" s="78"/>
      <c r="S1223" s="80"/>
      <c r="T1223" s="80"/>
      <c r="V1223" s="78"/>
      <c r="W1223" s="62"/>
      <c r="X1223" s="80"/>
      <c r="Y1223" s="109"/>
    </row>
    <row r="1224">
      <c r="E1224" s="78"/>
      <c r="G1224" s="78"/>
      <c r="I1224" s="80"/>
      <c r="K1224" s="71"/>
      <c r="N1224" s="109"/>
      <c r="Q1224" s="78"/>
      <c r="R1224" s="78"/>
      <c r="S1224" s="80"/>
      <c r="T1224" s="80"/>
      <c r="V1224" s="78"/>
      <c r="W1224" s="62"/>
      <c r="X1224" s="80"/>
      <c r="Y1224" s="109"/>
    </row>
    <row r="1225">
      <c r="E1225" s="78"/>
      <c r="G1225" s="78"/>
      <c r="I1225" s="80"/>
      <c r="K1225" s="71"/>
      <c r="N1225" s="109"/>
      <c r="Q1225" s="78"/>
      <c r="R1225" s="78"/>
      <c r="S1225" s="80"/>
      <c r="T1225" s="80"/>
      <c r="V1225" s="78"/>
      <c r="W1225" s="62"/>
      <c r="X1225" s="80"/>
      <c r="Y1225" s="109"/>
    </row>
    <row r="1226">
      <c r="E1226" s="78"/>
      <c r="G1226" s="78"/>
      <c r="I1226" s="80"/>
      <c r="K1226" s="71"/>
      <c r="N1226" s="109"/>
      <c r="Q1226" s="78"/>
      <c r="R1226" s="78"/>
      <c r="S1226" s="80"/>
      <c r="T1226" s="80"/>
      <c r="V1226" s="78"/>
      <c r="W1226" s="62"/>
      <c r="X1226" s="80"/>
      <c r="Y1226" s="109"/>
    </row>
    <row r="1227">
      <c r="E1227" s="78"/>
      <c r="G1227" s="78"/>
      <c r="I1227" s="80"/>
      <c r="K1227" s="71"/>
      <c r="N1227" s="109"/>
      <c r="Q1227" s="78"/>
      <c r="R1227" s="78"/>
      <c r="S1227" s="80"/>
      <c r="T1227" s="80"/>
      <c r="V1227" s="78"/>
      <c r="W1227" s="62"/>
      <c r="X1227" s="80"/>
      <c r="Y1227" s="109"/>
    </row>
    <row r="1228">
      <c r="E1228" s="78"/>
      <c r="G1228" s="78"/>
      <c r="I1228" s="80"/>
      <c r="K1228" s="71"/>
      <c r="N1228" s="109"/>
      <c r="Q1228" s="78"/>
      <c r="R1228" s="78"/>
      <c r="S1228" s="80"/>
      <c r="T1228" s="80"/>
      <c r="V1228" s="78"/>
      <c r="W1228" s="62"/>
      <c r="X1228" s="80"/>
      <c r="Y1228" s="109"/>
    </row>
    <row r="1229">
      <c r="E1229" s="78"/>
      <c r="G1229" s="78"/>
      <c r="I1229" s="80"/>
      <c r="K1229" s="71"/>
      <c r="N1229" s="109"/>
      <c r="Q1229" s="78"/>
      <c r="R1229" s="78"/>
      <c r="S1229" s="80"/>
      <c r="T1229" s="80"/>
      <c r="V1229" s="78"/>
      <c r="W1229" s="62"/>
      <c r="X1229" s="80"/>
      <c r="Y1229" s="109"/>
    </row>
    <row r="1230">
      <c r="E1230" s="78"/>
      <c r="G1230" s="78"/>
      <c r="I1230" s="80"/>
      <c r="K1230" s="71"/>
      <c r="N1230" s="109"/>
      <c r="Q1230" s="78"/>
      <c r="R1230" s="78"/>
      <c r="S1230" s="80"/>
      <c r="T1230" s="80"/>
      <c r="V1230" s="78"/>
      <c r="W1230" s="62"/>
      <c r="X1230" s="80"/>
      <c r="Y1230" s="109"/>
    </row>
    <row r="1231">
      <c r="E1231" s="78"/>
      <c r="G1231" s="78"/>
      <c r="I1231" s="80"/>
      <c r="K1231" s="71"/>
      <c r="N1231" s="109"/>
      <c r="Q1231" s="78"/>
      <c r="R1231" s="78"/>
      <c r="S1231" s="80"/>
      <c r="T1231" s="80"/>
      <c r="V1231" s="78"/>
      <c r="W1231" s="62"/>
      <c r="X1231" s="80"/>
      <c r="Y1231" s="109"/>
    </row>
    <row r="1232">
      <c r="E1232" s="78"/>
      <c r="G1232" s="78"/>
      <c r="I1232" s="80"/>
      <c r="K1232" s="71"/>
      <c r="N1232" s="109"/>
      <c r="Q1232" s="78"/>
      <c r="R1232" s="78"/>
      <c r="S1232" s="80"/>
      <c r="T1232" s="80"/>
      <c r="V1232" s="78"/>
      <c r="W1232" s="62"/>
      <c r="X1232" s="80"/>
      <c r="Y1232" s="109"/>
    </row>
    <row r="1233">
      <c r="E1233" s="78"/>
      <c r="G1233" s="78"/>
      <c r="I1233" s="80"/>
      <c r="K1233" s="71"/>
      <c r="N1233" s="109"/>
      <c r="Q1233" s="78"/>
      <c r="R1233" s="78"/>
      <c r="S1233" s="80"/>
      <c r="T1233" s="80"/>
      <c r="V1233" s="78"/>
      <c r="W1233" s="62"/>
      <c r="X1233" s="80"/>
      <c r="Y1233" s="109"/>
    </row>
    <row r="1234">
      <c r="E1234" s="78"/>
      <c r="G1234" s="78"/>
      <c r="I1234" s="80"/>
      <c r="K1234" s="71"/>
      <c r="N1234" s="109"/>
      <c r="Q1234" s="78"/>
      <c r="R1234" s="78"/>
      <c r="S1234" s="80"/>
      <c r="T1234" s="80"/>
      <c r="V1234" s="78"/>
      <c r="W1234" s="62"/>
      <c r="X1234" s="80"/>
      <c r="Y1234" s="109"/>
    </row>
    <row r="1235">
      <c r="E1235" s="78"/>
      <c r="G1235" s="78"/>
      <c r="I1235" s="80"/>
      <c r="K1235" s="71"/>
      <c r="N1235" s="109"/>
      <c r="Q1235" s="78"/>
      <c r="R1235" s="78"/>
      <c r="S1235" s="80"/>
      <c r="T1235" s="80"/>
      <c r="V1235" s="78"/>
      <c r="W1235" s="62"/>
      <c r="X1235" s="80"/>
      <c r="Y1235" s="109"/>
    </row>
    <row r="1236">
      <c r="E1236" s="78"/>
      <c r="G1236" s="78"/>
      <c r="I1236" s="80"/>
      <c r="K1236" s="71"/>
      <c r="N1236" s="109"/>
      <c r="Q1236" s="78"/>
      <c r="R1236" s="78"/>
      <c r="S1236" s="80"/>
      <c r="T1236" s="80"/>
      <c r="V1236" s="78"/>
      <c r="W1236" s="62"/>
      <c r="X1236" s="80"/>
      <c r="Y1236" s="109"/>
    </row>
    <row r="1237">
      <c r="E1237" s="78"/>
      <c r="G1237" s="78"/>
      <c r="I1237" s="80"/>
      <c r="K1237" s="71"/>
      <c r="N1237" s="109"/>
      <c r="Q1237" s="78"/>
      <c r="R1237" s="78"/>
      <c r="S1237" s="80"/>
      <c r="T1237" s="80"/>
      <c r="V1237" s="78"/>
      <c r="W1237" s="62"/>
      <c r="X1237" s="80"/>
      <c r="Y1237" s="109"/>
    </row>
    <row r="1238">
      <c r="E1238" s="78"/>
      <c r="G1238" s="78"/>
      <c r="I1238" s="80"/>
      <c r="K1238" s="71"/>
      <c r="N1238" s="109"/>
      <c r="Q1238" s="78"/>
      <c r="R1238" s="78"/>
      <c r="S1238" s="80"/>
      <c r="T1238" s="80"/>
      <c r="V1238" s="78"/>
      <c r="W1238" s="62"/>
      <c r="X1238" s="80"/>
      <c r="Y1238" s="109"/>
    </row>
    <row r="1239">
      <c r="E1239" s="78"/>
      <c r="G1239" s="78"/>
      <c r="I1239" s="80"/>
      <c r="K1239" s="71"/>
      <c r="N1239" s="109"/>
      <c r="Q1239" s="78"/>
      <c r="R1239" s="78"/>
      <c r="S1239" s="80"/>
      <c r="T1239" s="80"/>
      <c r="V1239" s="78"/>
      <c r="W1239" s="62"/>
      <c r="X1239" s="80"/>
      <c r="Y1239" s="109"/>
    </row>
    <row r="1240">
      <c r="E1240" s="78"/>
      <c r="G1240" s="78"/>
      <c r="I1240" s="80"/>
      <c r="K1240" s="71"/>
      <c r="N1240" s="109"/>
      <c r="Q1240" s="78"/>
      <c r="R1240" s="78"/>
      <c r="S1240" s="80"/>
      <c r="T1240" s="80"/>
      <c r="V1240" s="78"/>
      <c r="W1240" s="62"/>
      <c r="X1240" s="80"/>
      <c r="Y1240" s="109"/>
    </row>
    <row r="1241">
      <c r="E1241" s="78"/>
      <c r="G1241" s="78"/>
      <c r="I1241" s="80"/>
      <c r="K1241" s="71"/>
      <c r="N1241" s="109"/>
      <c r="Q1241" s="78"/>
      <c r="R1241" s="78"/>
      <c r="S1241" s="80"/>
      <c r="T1241" s="80"/>
      <c r="V1241" s="78"/>
      <c r="W1241" s="62"/>
      <c r="X1241" s="80"/>
      <c r="Y1241" s="109"/>
    </row>
    <row r="1242">
      <c r="E1242" s="78"/>
      <c r="G1242" s="78"/>
      <c r="I1242" s="80"/>
      <c r="K1242" s="71"/>
      <c r="N1242" s="109"/>
      <c r="Q1242" s="78"/>
      <c r="R1242" s="78"/>
      <c r="S1242" s="80"/>
      <c r="T1242" s="80"/>
      <c r="V1242" s="78"/>
      <c r="W1242" s="62"/>
      <c r="X1242" s="80"/>
      <c r="Y1242" s="109"/>
    </row>
    <row r="1243">
      <c r="E1243" s="78"/>
      <c r="G1243" s="78"/>
      <c r="I1243" s="80"/>
      <c r="K1243" s="71"/>
      <c r="N1243" s="109"/>
      <c r="Q1243" s="78"/>
      <c r="R1243" s="78"/>
      <c r="S1243" s="80"/>
      <c r="T1243" s="80"/>
      <c r="V1243" s="78"/>
      <c r="W1243" s="62"/>
      <c r="X1243" s="80"/>
      <c r="Y1243" s="109"/>
    </row>
    <row r="1244">
      <c r="E1244" s="78"/>
      <c r="G1244" s="78"/>
      <c r="I1244" s="80"/>
      <c r="K1244" s="71"/>
      <c r="N1244" s="109"/>
      <c r="Q1244" s="78"/>
      <c r="R1244" s="78"/>
      <c r="S1244" s="80"/>
      <c r="T1244" s="80"/>
      <c r="V1244" s="78"/>
      <c r="W1244" s="62"/>
      <c r="X1244" s="80"/>
      <c r="Y1244" s="109"/>
    </row>
    <row r="1245">
      <c r="E1245" s="78"/>
      <c r="G1245" s="78"/>
      <c r="I1245" s="80"/>
      <c r="K1245" s="71"/>
      <c r="N1245" s="109"/>
      <c r="Q1245" s="78"/>
      <c r="R1245" s="78"/>
      <c r="S1245" s="80"/>
      <c r="T1245" s="80"/>
      <c r="V1245" s="78"/>
      <c r="W1245" s="62"/>
      <c r="X1245" s="80"/>
      <c r="Y1245" s="109"/>
    </row>
    <row r="1246">
      <c r="E1246" s="78"/>
      <c r="G1246" s="78"/>
      <c r="I1246" s="80"/>
      <c r="K1246" s="71"/>
      <c r="N1246" s="109"/>
      <c r="Q1246" s="78"/>
      <c r="R1246" s="78"/>
      <c r="S1246" s="80"/>
      <c r="T1246" s="80"/>
      <c r="V1246" s="78"/>
      <c r="W1246" s="62"/>
      <c r="X1246" s="80"/>
      <c r="Y1246" s="109"/>
    </row>
    <row r="1247">
      <c r="E1247" s="78"/>
      <c r="G1247" s="78"/>
      <c r="I1247" s="80"/>
      <c r="K1247" s="71"/>
      <c r="N1247" s="109"/>
      <c r="Q1247" s="78"/>
      <c r="R1247" s="78"/>
      <c r="S1247" s="80"/>
      <c r="T1247" s="80"/>
      <c r="V1247" s="78"/>
      <c r="W1247" s="62"/>
      <c r="X1247" s="80"/>
      <c r="Y1247" s="109"/>
    </row>
    <row r="1248">
      <c r="E1248" s="78"/>
      <c r="G1248" s="78"/>
      <c r="I1248" s="80"/>
      <c r="K1248" s="71"/>
      <c r="N1248" s="109"/>
      <c r="Q1248" s="78"/>
      <c r="R1248" s="78"/>
      <c r="S1248" s="80"/>
      <c r="T1248" s="80"/>
      <c r="V1248" s="78"/>
      <c r="W1248" s="62"/>
      <c r="X1248" s="80"/>
      <c r="Y1248" s="109"/>
    </row>
    <row r="1249">
      <c r="E1249" s="78"/>
      <c r="G1249" s="78"/>
      <c r="I1249" s="80"/>
      <c r="K1249" s="71"/>
      <c r="N1249" s="109"/>
      <c r="Q1249" s="78"/>
      <c r="R1249" s="78"/>
      <c r="S1249" s="80"/>
      <c r="T1249" s="80"/>
      <c r="V1249" s="78"/>
      <c r="W1249" s="62"/>
      <c r="X1249" s="80"/>
      <c r="Y1249" s="109"/>
    </row>
    <row r="1250">
      <c r="E1250" s="78"/>
      <c r="G1250" s="78"/>
      <c r="I1250" s="80"/>
      <c r="K1250" s="71"/>
      <c r="N1250" s="109"/>
      <c r="Q1250" s="78"/>
      <c r="R1250" s="78"/>
      <c r="S1250" s="80"/>
      <c r="T1250" s="80"/>
      <c r="V1250" s="78"/>
      <c r="W1250" s="62"/>
      <c r="X1250" s="80"/>
      <c r="Y1250" s="109"/>
    </row>
    <row r="1251">
      <c r="E1251" s="78"/>
      <c r="G1251" s="78"/>
      <c r="I1251" s="80"/>
      <c r="K1251" s="71"/>
      <c r="N1251" s="109"/>
      <c r="Q1251" s="78"/>
      <c r="R1251" s="78"/>
      <c r="S1251" s="80"/>
      <c r="T1251" s="80"/>
      <c r="V1251" s="78"/>
      <c r="W1251" s="62"/>
      <c r="X1251" s="80"/>
      <c r="Y1251" s="109"/>
    </row>
    <row r="1252">
      <c r="E1252" s="78"/>
      <c r="G1252" s="78"/>
      <c r="I1252" s="80"/>
      <c r="K1252" s="71"/>
      <c r="N1252" s="109"/>
      <c r="Q1252" s="78"/>
      <c r="R1252" s="78"/>
      <c r="S1252" s="80"/>
      <c r="T1252" s="80"/>
      <c r="V1252" s="78"/>
      <c r="W1252" s="62"/>
      <c r="X1252" s="80"/>
      <c r="Y1252" s="109"/>
    </row>
    <row r="1253">
      <c r="E1253" s="78"/>
      <c r="G1253" s="78"/>
      <c r="I1253" s="80"/>
      <c r="K1253" s="71"/>
      <c r="N1253" s="109"/>
      <c r="Q1253" s="78"/>
      <c r="R1253" s="78"/>
      <c r="S1253" s="80"/>
      <c r="T1253" s="80"/>
      <c r="V1253" s="78"/>
      <c r="W1253" s="62"/>
      <c r="X1253" s="80"/>
      <c r="Y1253" s="109"/>
    </row>
    <row r="1254">
      <c r="E1254" s="78"/>
      <c r="G1254" s="78"/>
      <c r="I1254" s="80"/>
      <c r="K1254" s="71"/>
      <c r="N1254" s="109"/>
      <c r="Q1254" s="78"/>
      <c r="R1254" s="78"/>
      <c r="S1254" s="80"/>
      <c r="T1254" s="80"/>
      <c r="V1254" s="78"/>
      <c r="W1254" s="62"/>
      <c r="X1254" s="80"/>
      <c r="Y1254" s="109"/>
    </row>
    <row r="1255">
      <c r="E1255" s="78"/>
      <c r="G1255" s="78"/>
      <c r="I1255" s="80"/>
      <c r="K1255" s="71"/>
      <c r="N1255" s="109"/>
      <c r="Q1255" s="78"/>
      <c r="R1255" s="78"/>
      <c r="S1255" s="80"/>
      <c r="T1255" s="80"/>
      <c r="V1255" s="78"/>
      <c r="W1255" s="62"/>
      <c r="X1255" s="80"/>
      <c r="Y1255" s="109"/>
    </row>
    <row r="1256">
      <c r="E1256" s="78"/>
      <c r="G1256" s="78"/>
      <c r="I1256" s="80"/>
      <c r="K1256" s="71"/>
      <c r="N1256" s="109"/>
      <c r="Q1256" s="78"/>
      <c r="R1256" s="78"/>
      <c r="S1256" s="80"/>
      <c r="T1256" s="80"/>
      <c r="V1256" s="78"/>
      <c r="W1256" s="62"/>
      <c r="X1256" s="80"/>
      <c r="Y1256" s="109"/>
    </row>
    <row r="1257">
      <c r="E1257" s="78"/>
      <c r="G1257" s="78"/>
      <c r="I1257" s="80"/>
      <c r="K1257" s="71"/>
      <c r="N1257" s="109"/>
      <c r="Q1257" s="78"/>
      <c r="R1257" s="78"/>
      <c r="S1257" s="80"/>
      <c r="T1257" s="80"/>
      <c r="V1257" s="78"/>
      <c r="W1257" s="62"/>
      <c r="X1257" s="80"/>
      <c r="Y1257" s="109"/>
    </row>
    <row r="1258">
      <c r="E1258" s="78"/>
      <c r="G1258" s="78"/>
      <c r="I1258" s="80"/>
      <c r="K1258" s="71"/>
      <c r="N1258" s="109"/>
      <c r="Q1258" s="78"/>
      <c r="R1258" s="78"/>
      <c r="S1258" s="80"/>
      <c r="T1258" s="80"/>
      <c r="V1258" s="78"/>
      <c r="W1258" s="62"/>
      <c r="X1258" s="80"/>
      <c r="Y1258" s="109"/>
    </row>
    <row r="1259">
      <c r="E1259" s="78"/>
      <c r="G1259" s="78"/>
      <c r="I1259" s="80"/>
      <c r="K1259" s="71"/>
      <c r="N1259" s="109"/>
      <c r="Q1259" s="78"/>
      <c r="R1259" s="78"/>
      <c r="S1259" s="80"/>
      <c r="T1259" s="80"/>
      <c r="V1259" s="78"/>
      <c r="W1259" s="62"/>
      <c r="X1259" s="80"/>
      <c r="Y1259" s="109"/>
    </row>
    <row r="1260">
      <c r="E1260" s="78"/>
      <c r="G1260" s="78"/>
      <c r="I1260" s="80"/>
      <c r="K1260" s="71"/>
      <c r="N1260" s="109"/>
      <c r="Q1260" s="78"/>
      <c r="R1260" s="78"/>
      <c r="S1260" s="80"/>
      <c r="T1260" s="80"/>
      <c r="V1260" s="78"/>
      <c r="W1260" s="62"/>
      <c r="X1260" s="80"/>
      <c r="Y1260" s="109"/>
    </row>
    <row r="1261">
      <c r="E1261" s="78"/>
      <c r="G1261" s="78"/>
      <c r="I1261" s="80"/>
      <c r="K1261" s="71"/>
      <c r="N1261" s="109"/>
      <c r="Q1261" s="78"/>
      <c r="R1261" s="78"/>
      <c r="S1261" s="80"/>
      <c r="T1261" s="80"/>
      <c r="V1261" s="78"/>
      <c r="W1261" s="62"/>
      <c r="X1261" s="80"/>
      <c r="Y1261" s="109"/>
    </row>
    <row r="1262">
      <c r="E1262" s="78"/>
      <c r="G1262" s="78"/>
      <c r="I1262" s="80"/>
      <c r="K1262" s="71"/>
      <c r="N1262" s="109"/>
      <c r="Q1262" s="78"/>
      <c r="R1262" s="78"/>
      <c r="S1262" s="80"/>
      <c r="T1262" s="80"/>
      <c r="V1262" s="78"/>
      <c r="W1262" s="62"/>
      <c r="X1262" s="80"/>
      <c r="Y1262" s="109"/>
    </row>
    <row r="1263">
      <c r="E1263" s="78"/>
      <c r="G1263" s="78"/>
      <c r="I1263" s="80"/>
      <c r="K1263" s="71"/>
      <c r="N1263" s="109"/>
      <c r="Q1263" s="78"/>
      <c r="R1263" s="78"/>
      <c r="S1263" s="80"/>
      <c r="T1263" s="80"/>
      <c r="V1263" s="78"/>
      <c r="W1263" s="62"/>
      <c r="X1263" s="80"/>
      <c r="Y1263" s="109"/>
    </row>
    <row r="1264">
      <c r="E1264" s="78"/>
      <c r="G1264" s="78"/>
      <c r="I1264" s="80"/>
      <c r="K1264" s="71"/>
      <c r="N1264" s="109"/>
      <c r="Q1264" s="78"/>
      <c r="R1264" s="78"/>
      <c r="S1264" s="80"/>
      <c r="T1264" s="80"/>
      <c r="V1264" s="78"/>
      <c r="W1264" s="62"/>
      <c r="X1264" s="80"/>
      <c r="Y1264" s="109"/>
    </row>
    <row r="1265">
      <c r="E1265" s="78"/>
      <c r="G1265" s="78"/>
      <c r="I1265" s="80"/>
      <c r="K1265" s="71"/>
      <c r="N1265" s="109"/>
      <c r="Q1265" s="78"/>
      <c r="R1265" s="78"/>
      <c r="S1265" s="80"/>
      <c r="T1265" s="80"/>
      <c r="V1265" s="78"/>
      <c r="W1265" s="62"/>
      <c r="X1265" s="80"/>
      <c r="Y1265" s="109"/>
    </row>
    <row r="1266">
      <c r="E1266" s="78"/>
      <c r="G1266" s="78"/>
      <c r="I1266" s="80"/>
      <c r="K1266" s="71"/>
      <c r="N1266" s="109"/>
      <c r="Q1266" s="78"/>
      <c r="R1266" s="78"/>
      <c r="S1266" s="80"/>
      <c r="T1266" s="80"/>
      <c r="V1266" s="78"/>
      <c r="W1266" s="62"/>
      <c r="X1266" s="80"/>
      <c r="Y1266" s="109"/>
    </row>
    <row r="1267">
      <c r="E1267" s="78"/>
      <c r="G1267" s="78"/>
      <c r="I1267" s="80"/>
      <c r="K1267" s="71"/>
      <c r="N1267" s="109"/>
      <c r="Q1267" s="78"/>
      <c r="R1267" s="78"/>
      <c r="S1267" s="80"/>
      <c r="T1267" s="80"/>
      <c r="V1267" s="78"/>
      <c r="W1267" s="62"/>
      <c r="X1267" s="80"/>
      <c r="Y1267" s="109"/>
    </row>
    <row r="1268">
      <c r="E1268" s="78"/>
      <c r="G1268" s="78"/>
      <c r="I1268" s="80"/>
      <c r="K1268" s="71"/>
      <c r="N1268" s="109"/>
      <c r="Q1268" s="78"/>
      <c r="R1268" s="78"/>
      <c r="S1268" s="80"/>
      <c r="T1268" s="80"/>
      <c r="V1268" s="78"/>
      <c r="W1268" s="62"/>
      <c r="X1268" s="80"/>
      <c r="Y1268" s="109"/>
    </row>
    <row r="1269">
      <c r="E1269" s="78"/>
      <c r="G1269" s="78"/>
      <c r="I1269" s="80"/>
      <c r="K1269" s="71"/>
      <c r="N1269" s="109"/>
      <c r="Q1269" s="78"/>
      <c r="R1269" s="78"/>
      <c r="S1269" s="80"/>
      <c r="T1269" s="80"/>
      <c r="V1269" s="78"/>
      <c r="W1269" s="62"/>
      <c r="X1269" s="80"/>
      <c r="Y1269" s="109"/>
    </row>
    <row r="1270">
      <c r="E1270" s="78"/>
      <c r="G1270" s="78"/>
      <c r="I1270" s="80"/>
      <c r="K1270" s="71"/>
      <c r="N1270" s="109"/>
      <c r="Q1270" s="78"/>
      <c r="R1270" s="78"/>
      <c r="S1270" s="80"/>
      <c r="T1270" s="80"/>
      <c r="V1270" s="78"/>
      <c r="W1270" s="62"/>
      <c r="X1270" s="80"/>
      <c r="Y1270" s="109"/>
    </row>
    <row r="1271">
      <c r="E1271" s="78"/>
      <c r="G1271" s="78"/>
      <c r="I1271" s="80"/>
      <c r="K1271" s="71"/>
      <c r="N1271" s="109"/>
      <c r="Q1271" s="78"/>
      <c r="R1271" s="78"/>
      <c r="S1271" s="80"/>
      <c r="T1271" s="80"/>
      <c r="V1271" s="78"/>
      <c r="W1271" s="62"/>
      <c r="X1271" s="80"/>
      <c r="Y1271" s="109"/>
    </row>
    <row r="1272">
      <c r="E1272" s="78"/>
      <c r="G1272" s="78"/>
      <c r="I1272" s="80"/>
      <c r="K1272" s="71"/>
      <c r="N1272" s="109"/>
      <c r="Q1272" s="78"/>
      <c r="R1272" s="78"/>
      <c r="S1272" s="80"/>
      <c r="T1272" s="80"/>
      <c r="V1272" s="78"/>
      <c r="W1272" s="62"/>
      <c r="X1272" s="80"/>
      <c r="Y1272" s="109"/>
    </row>
    <row r="1273">
      <c r="E1273" s="78"/>
      <c r="G1273" s="78"/>
      <c r="I1273" s="80"/>
      <c r="K1273" s="71"/>
      <c r="N1273" s="109"/>
      <c r="Q1273" s="78"/>
      <c r="R1273" s="78"/>
      <c r="S1273" s="80"/>
      <c r="T1273" s="80"/>
      <c r="V1273" s="78"/>
      <c r="W1273" s="62"/>
      <c r="X1273" s="80"/>
      <c r="Y1273" s="109"/>
    </row>
    <row r="1274">
      <c r="E1274" s="78"/>
      <c r="G1274" s="78"/>
      <c r="I1274" s="80"/>
      <c r="K1274" s="71"/>
      <c r="N1274" s="109"/>
      <c r="Q1274" s="78"/>
      <c r="R1274" s="78"/>
      <c r="S1274" s="80"/>
      <c r="T1274" s="80"/>
      <c r="V1274" s="78"/>
      <c r="W1274" s="62"/>
      <c r="X1274" s="80"/>
      <c r="Y1274" s="109"/>
    </row>
    <row r="1275">
      <c r="E1275" s="78"/>
      <c r="G1275" s="78"/>
      <c r="I1275" s="80"/>
      <c r="K1275" s="71"/>
      <c r="N1275" s="109"/>
      <c r="Q1275" s="78"/>
      <c r="R1275" s="78"/>
      <c r="S1275" s="80"/>
      <c r="T1275" s="80"/>
      <c r="V1275" s="78"/>
      <c r="W1275" s="62"/>
      <c r="X1275" s="80"/>
      <c r="Y1275" s="109"/>
    </row>
    <row r="1276">
      <c r="E1276" s="78"/>
      <c r="G1276" s="78"/>
      <c r="I1276" s="80"/>
      <c r="K1276" s="71"/>
      <c r="N1276" s="109"/>
      <c r="Q1276" s="78"/>
      <c r="R1276" s="78"/>
      <c r="S1276" s="80"/>
      <c r="T1276" s="80"/>
      <c r="V1276" s="78"/>
      <c r="W1276" s="62"/>
      <c r="X1276" s="80"/>
      <c r="Y1276" s="109"/>
    </row>
    <row r="1277">
      <c r="E1277" s="78"/>
      <c r="G1277" s="78"/>
      <c r="I1277" s="80"/>
      <c r="K1277" s="71"/>
      <c r="N1277" s="109"/>
      <c r="Q1277" s="78"/>
      <c r="R1277" s="78"/>
      <c r="S1277" s="80"/>
      <c r="T1277" s="80"/>
      <c r="V1277" s="78"/>
      <c r="W1277" s="62"/>
      <c r="X1277" s="80"/>
      <c r="Y1277" s="109"/>
    </row>
    <row r="1278">
      <c r="E1278" s="78"/>
      <c r="G1278" s="78"/>
      <c r="I1278" s="80"/>
      <c r="K1278" s="71"/>
      <c r="N1278" s="109"/>
      <c r="Q1278" s="78"/>
      <c r="R1278" s="78"/>
      <c r="S1278" s="80"/>
      <c r="T1278" s="80"/>
      <c r="V1278" s="78"/>
      <c r="W1278" s="62"/>
      <c r="X1278" s="80"/>
      <c r="Y1278" s="109"/>
    </row>
    <row r="1279">
      <c r="E1279" s="78"/>
      <c r="G1279" s="78"/>
      <c r="I1279" s="80"/>
      <c r="K1279" s="71"/>
      <c r="N1279" s="109"/>
      <c r="Q1279" s="78"/>
      <c r="R1279" s="78"/>
      <c r="S1279" s="80"/>
      <c r="T1279" s="80"/>
      <c r="V1279" s="78"/>
      <c r="W1279" s="62"/>
      <c r="X1279" s="80"/>
      <c r="Y1279" s="109"/>
    </row>
    <row r="1280">
      <c r="E1280" s="78"/>
      <c r="G1280" s="78"/>
      <c r="I1280" s="80"/>
      <c r="K1280" s="71"/>
      <c r="N1280" s="109"/>
      <c r="Q1280" s="78"/>
      <c r="R1280" s="78"/>
      <c r="S1280" s="80"/>
      <c r="T1280" s="80"/>
      <c r="V1280" s="78"/>
      <c r="W1280" s="62"/>
      <c r="X1280" s="80"/>
      <c r="Y1280" s="109"/>
    </row>
    <row r="1281">
      <c r="E1281" s="78"/>
      <c r="G1281" s="78"/>
      <c r="I1281" s="80"/>
      <c r="K1281" s="71"/>
      <c r="N1281" s="109"/>
      <c r="Q1281" s="78"/>
      <c r="R1281" s="78"/>
      <c r="S1281" s="80"/>
      <c r="T1281" s="80"/>
      <c r="V1281" s="78"/>
      <c r="W1281" s="62"/>
      <c r="X1281" s="80"/>
      <c r="Y1281" s="109"/>
    </row>
    <row r="1282">
      <c r="E1282" s="78"/>
      <c r="G1282" s="78"/>
      <c r="I1282" s="80"/>
      <c r="K1282" s="71"/>
      <c r="N1282" s="109"/>
      <c r="Q1282" s="78"/>
      <c r="R1282" s="78"/>
      <c r="S1282" s="80"/>
      <c r="T1282" s="80"/>
      <c r="V1282" s="78"/>
      <c r="W1282" s="62"/>
      <c r="X1282" s="80"/>
      <c r="Y1282" s="109"/>
    </row>
    <row r="1283">
      <c r="E1283" s="78"/>
      <c r="G1283" s="78"/>
      <c r="I1283" s="80"/>
      <c r="K1283" s="71"/>
      <c r="N1283" s="109"/>
      <c r="Q1283" s="78"/>
      <c r="R1283" s="78"/>
      <c r="S1283" s="80"/>
      <c r="T1283" s="80"/>
      <c r="V1283" s="78"/>
      <c r="W1283" s="62"/>
      <c r="X1283" s="80"/>
      <c r="Y1283" s="109"/>
    </row>
    <row r="1284">
      <c r="E1284" s="78"/>
      <c r="G1284" s="78"/>
      <c r="I1284" s="80"/>
      <c r="K1284" s="71"/>
      <c r="N1284" s="109"/>
      <c r="Q1284" s="78"/>
      <c r="R1284" s="78"/>
      <c r="S1284" s="80"/>
      <c r="T1284" s="80"/>
      <c r="V1284" s="78"/>
      <c r="W1284" s="62"/>
      <c r="X1284" s="80"/>
      <c r="Y1284" s="109"/>
    </row>
    <row r="1285">
      <c r="E1285" s="78"/>
      <c r="G1285" s="78"/>
      <c r="I1285" s="80"/>
      <c r="K1285" s="71"/>
      <c r="N1285" s="109"/>
      <c r="Q1285" s="78"/>
      <c r="R1285" s="78"/>
      <c r="S1285" s="80"/>
      <c r="T1285" s="80"/>
      <c r="V1285" s="78"/>
      <c r="W1285" s="62"/>
      <c r="X1285" s="80"/>
      <c r="Y1285" s="109"/>
    </row>
    <row r="1286">
      <c r="E1286" s="78"/>
      <c r="G1286" s="78"/>
      <c r="I1286" s="80"/>
      <c r="K1286" s="71"/>
      <c r="N1286" s="109"/>
      <c r="Q1286" s="78"/>
      <c r="R1286" s="78"/>
      <c r="S1286" s="80"/>
      <c r="T1286" s="80"/>
      <c r="V1286" s="78"/>
      <c r="W1286" s="62"/>
      <c r="X1286" s="80"/>
      <c r="Y1286" s="109"/>
    </row>
    <row r="1287">
      <c r="E1287" s="78"/>
      <c r="G1287" s="78"/>
      <c r="I1287" s="80"/>
      <c r="K1287" s="71"/>
      <c r="N1287" s="109"/>
      <c r="Q1287" s="78"/>
      <c r="R1287" s="78"/>
      <c r="S1287" s="80"/>
      <c r="T1287" s="80"/>
      <c r="V1287" s="78"/>
      <c r="W1287" s="62"/>
      <c r="X1287" s="80"/>
      <c r="Y1287" s="109"/>
    </row>
    <row r="1288">
      <c r="E1288" s="78"/>
      <c r="G1288" s="78"/>
      <c r="I1288" s="80"/>
      <c r="K1288" s="71"/>
      <c r="N1288" s="109"/>
      <c r="Q1288" s="78"/>
      <c r="R1288" s="78"/>
      <c r="S1288" s="80"/>
      <c r="T1288" s="80"/>
      <c r="V1288" s="78"/>
      <c r="W1288" s="62"/>
      <c r="X1288" s="80"/>
      <c r="Y1288" s="109"/>
    </row>
    <row r="1289">
      <c r="E1289" s="78"/>
      <c r="G1289" s="78"/>
      <c r="I1289" s="80"/>
      <c r="K1289" s="71"/>
      <c r="N1289" s="109"/>
      <c r="Q1289" s="78"/>
      <c r="R1289" s="78"/>
      <c r="S1289" s="80"/>
      <c r="T1289" s="80"/>
      <c r="V1289" s="78"/>
      <c r="W1289" s="62"/>
      <c r="X1289" s="80"/>
      <c r="Y1289" s="109"/>
    </row>
    <row r="1290">
      <c r="E1290" s="78"/>
      <c r="G1290" s="78"/>
      <c r="I1290" s="80"/>
      <c r="K1290" s="71"/>
      <c r="N1290" s="109"/>
      <c r="Q1290" s="78"/>
      <c r="R1290" s="78"/>
      <c r="S1290" s="80"/>
      <c r="T1290" s="80"/>
      <c r="V1290" s="78"/>
      <c r="W1290" s="62"/>
      <c r="X1290" s="80"/>
      <c r="Y1290" s="109"/>
    </row>
    <row r="1291">
      <c r="E1291" s="78"/>
      <c r="G1291" s="78"/>
      <c r="I1291" s="80"/>
      <c r="K1291" s="71"/>
      <c r="N1291" s="109"/>
      <c r="Q1291" s="78"/>
      <c r="R1291" s="78"/>
      <c r="S1291" s="80"/>
      <c r="T1291" s="80"/>
      <c r="V1291" s="78"/>
      <c r="W1291" s="62"/>
      <c r="X1291" s="80"/>
      <c r="Y1291" s="109"/>
    </row>
    <row r="1292">
      <c r="E1292" s="78"/>
      <c r="G1292" s="78"/>
      <c r="I1292" s="80"/>
      <c r="K1292" s="71"/>
      <c r="N1292" s="109"/>
      <c r="Q1292" s="78"/>
      <c r="R1292" s="78"/>
      <c r="S1292" s="80"/>
      <c r="T1292" s="80"/>
      <c r="V1292" s="78"/>
      <c r="W1292" s="62"/>
      <c r="X1292" s="80"/>
      <c r="Y1292" s="109"/>
    </row>
    <row r="1293">
      <c r="E1293" s="78"/>
      <c r="G1293" s="78"/>
      <c r="I1293" s="80"/>
      <c r="K1293" s="71"/>
      <c r="N1293" s="109"/>
      <c r="Q1293" s="78"/>
      <c r="R1293" s="78"/>
      <c r="S1293" s="80"/>
      <c r="T1293" s="80"/>
      <c r="V1293" s="78"/>
      <c r="W1293" s="62"/>
      <c r="X1293" s="80"/>
      <c r="Y1293" s="109"/>
    </row>
    <row r="1294">
      <c r="E1294" s="78"/>
      <c r="G1294" s="78"/>
      <c r="I1294" s="80"/>
      <c r="K1294" s="71"/>
      <c r="N1294" s="109"/>
      <c r="Q1294" s="78"/>
      <c r="R1294" s="78"/>
      <c r="S1294" s="80"/>
      <c r="T1294" s="80"/>
      <c r="V1294" s="78"/>
      <c r="W1294" s="62"/>
      <c r="X1294" s="80"/>
      <c r="Y1294" s="109"/>
    </row>
    <row r="1295">
      <c r="E1295" s="78"/>
      <c r="G1295" s="78"/>
      <c r="I1295" s="80"/>
      <c r="K1295" s="71"/>
      <c r="N1295" s="109"/>
      <c r="Q1295" s="78"/>
      <c r="R1295" s="78"/>
      <c r="S1295" s="80"/>
      <c r="T1295" s="80"/>
      <c r="V1295" s="78"/>
      <c r="W1295" s="62"/>
      <c r="X1295" s="80"/>
      <c r="Y1295" s="109"/>
    </row>
    <row r="1296">
      <c r="E1296" s="78"/>
      <c r="G1296" s="78"/>
      <c r="I1296" s="80"/>
      <c r="K1296" s="71"/>
      <c r="N1296" s="109"/>
      <c r="Q1296" s="78"/>
      <c r="R1296" s="78"/>
      <c r="S1296" s="80"/>
      <c r="T1296" s="80"/>
      <c r="V1296" s="78"/>
      <c r="W1296" s="62"/>
      <c r="X1296" s="80"/>
      <c r="Y1296" s="109"/>
    </row>
    <row r="1297">
      <c r="E1297" s="78"/>
      <c r="G1297" s="78"/>
      <c r="I1297" s="80"/>
      <c r="K1297" s="71"/>
      <c r="N1297" s="109"/>
      <c r="Q1297" s="78"/>
      <c r="R1297" s="78"/>
      <c r="S1297" s="80"/>
      <c r="T1297" s="80"/>
      <c r="V1297" s="78"/>
      <c r="W1297" s="62"/>
      <c r="X1297" s="80"/>
      <c r="Y1297" s="109"/>
    </row>
    <row r="1298">
      <c r="E1298" s="78"/>
      <c r="G1298" s="78"/>
      <c r="I1298" s="80"/>
      <c r="K1298" s="71"/>
      <c r="N1298" s="109"/>
      <c r="Q1298" s="78"/>
      <c r="R1298" s="78"/>
      <c r="S1298" s="80"/>
      <c r="T1298" s="80"/>
      <c r="V1298" s="78"/>
      <c r="W1298" s="62"/>
      <c r="X1298" s="80"/>
      <c r="Y1298" s="109"/>
    </row>
    <row r="1299">
      <c r="E1299" s="78"/>
      <c r="G1299" s="78"/>
      <c r="I1299" s="80"/>
      <c r="K1299" s="71"/>
      <c r="N1299" s="109"/>
      <c r="Q1299" s="78"/>
      <c r="R1299" s="78"/>
      <c r="S1299" s="80"/>
      <c r="T1299" s="80"/>
      <c r="V1299" s="78"/>
      <c r="W1299" s="62"/>
      <c r="X1299" s="80"/>
      <c r="Y1299" s="109"/>
    </row>
    <row r="1300">
      <c r="E1300" s="78"/>
      <c r="G1300" s="78"/>
      <c r="I1300" s="80"/>
      <c r="K1300" s="71"/>
      <c r="N1300" s="109"/>
      <c r="Q1300" s="78"/>
      <c r="R1300" s="78"/>
      <c r="S1300" s="80"/>
      <c r="T1300" s="80"/>
      <c r="V1300" s="78"/>
      <c r="W1300" s="62"/>
      <c r="X1300" s="80"/>
      <c r="Y1300" s="109"/>
    </row>
    <row r="1301">
      <c r="E1301" s="78"/>
      <c r="G1301" s="78"/>
      <c r="I1301" s="80"/>
      <c r="K1301" s="71"/>
      <c r="N1301" s="109"/>
      <c r="Q1301" s="78"/>
      <c r="R1301" s="78"/>
      <c r="S1301" s="80"/>
      <c r="T1301" s="80"/>
      <c r="V1301" s="78"/>
      <c r="W1301" s="62"/>
      <c r="X1301" s="80"/>
      <c r="Y1301" s="109"/>
    </row>
    <row r="1302">
      <c r="E1302" s="78"/>
      <c r="G1302" s="78"/>
      <c r="I1302" s="80"/>
      <c r="K1302" s="71"/>
      <c r="N1302" s="109"/>
      <c r="Q1302" s="78"/>
      <c r="R1302" s="78"/>
      <c r="S1302" s="80"/>
      <c r="T1302" s="80"/>
      <c r="V1302" s="78"/>
      <c r="W1302" s="62"/>
      <c r="X1302" s="80"/>
      <c r="Y1302" s="109"/>
    </row>
    <row r="1303">
      <c r="E1303" s="78"/>
      <c r="G1303" s="78"/>
      <c r="I1303" s="80"/>
      <c r="K1303" s="71"/>
      <c r="N1303" s="109"/>
      <c r="Q1303" s="78"/>
      <c r="R1303" s="78"/>
      <c r="S1303" s="80"/>
      <c r="T1303" s="80"/>
      <c r="V1303" s="78"/>
      <c r="W1303" s="62"/>
      <c r="X1303" s="80"/>
      <c r="Y1303" s="109"/>
    </row>
    <row r="1304">
      <c r="E1304" s="78"/>
      <c r="G1304" s="78"/>
      <c r="I1304" s="80"/>
      <c r="K1304" s="71"/>
      <c r="N1304" s="109"/>
      <c r="Q1304" s="78"/>
      <c r="R1304" s="78"/>
      <c r="S1304" s="80"/>
      <c r="T1304" s="80"/>
      <c r="V1304" s="78"/>
      <c r="W1304" s="62"/>
      <c r="X1304" s="80"/>
      <c r="Y1304" s="109"/>
    </row>
    <row r="1305">
      <c r="E1305" s="78"/>
      <c r="G1305" s="78"/>
      <c r="I1305" s="80"/>
      <c r="K1305" s="71"/>
      <c r="N1305" s="109"/>
      <c r="Q1305" s="78"/>
      <c r="R1305" s="78"/>
      <c r="S1305" s="80"/>
      <c r="T1305" s="80"/>
      <c r="V1305" s="78"/>
      <c r="W1305" s="62"/>
      <c r="X1305" s="80"/>
      <c r="Y1305" s="109"/>
    </row>
    <row r="1306">
      <c r="E1306" s="78"/>
      <c r="G1306" s="78"/>
      <c r="I1306" s="80"/>
      <c r="K1306" s="71"/>
      <c r="N1306" s="109"/>
      <c r="Q1306" s="78"/>
      <c r="R1306" s="78"/>
      <c r="S1306" s="80"/>
      <c r="T1306" s="80"/>
      <c r="V1306" s="78"/>
      <c r="W1306" s="62"/>
      <c r="X1306" s="80"/>
      <c r="Y1306" s="109"/>
    </row>
    <row r="1307">
      <c r="E1307" s="78"/>
      <c r="G1307" s="78"/>
      <c r="I1307" s="80"/>
      <c r="K1307" s="71"/>
      <c r="N1307" s="109"/>
      <c r="Q1307" s="78"/>
      <c r="R1307" s="78"/>
      <c r="S1307" s="80"/>
      <c r="T1307" s="80"/>
      <c r="V1307" s="78"/>
      <c r="W1307" s="62"/>
      <c r="X1307" s="80"/>
      <c r="Y1307" s="109"/>
    </row>
    <row r="1308">
      <c r="E1308" s="78"/>
      <c r="G1308" s="78"/>
      <c r="I1308" s="80"/>
      <c r="K1308" s="71"/>
      <c r="N1308" s="109"/>
      <c r="Q1308" s="78"/>
      <c r="R1308" s="78"/>
      <c r="S1308" s="80"/>
      <c r="T1308" s="80"/>
      <c r="V1308" s="78"/>
      <c r="W1308" s="62"/>
      <c r="X1308" s="80"/>
      <c r="Y1308" s="109"/>
    </row>
    <row r="1309">
      <c r="E1309" s="78"/>
      <c r="G1309" s="78"/>
      <c r="I1309" s="80"/>
      <c r="K1309" s="71"/>
      <c r="N1309" s="109"/>
      <c r="Q1309" s="78"/>
      <c r="R1309" s="78"/>
      <c r="S1309" s="80"/>
      <c r="T1309" s="80"/>
      <c r="V1309" s="78"/>
      <c r="W1309" s="62"/>
      <c r="X1309" s="80"/>
      <c r="Y1309" s="109"/>
    </row>
    <row r="1310">
      <c r="E1310" s="78"/>
      <c r="G1310" s="78"/>
      <c r="I1310" s="80"/>
      <c r="K1310" s="71"/>
      <c r="N1310" s="109"/>
      <c r="Q1310" s="78"/>
      <c r="R1310" s="78"/>
      <c r="S1310" s="80"/>
      <c r="T1310" s="80"/>
      <c r="V1310" s="78"/>
      <c r="W1310" s="62"/>
      <c r="X1310" s="80"/>
      <c r="Y1310" s="109"/>
    </row>
    <row r="1311">
      <c r="E1311" s="78"/>
      <c r="G1311" s="78"/>
      <c r="I1311" s="80"/>
      <c r="K1311" s="71"/>
      <c r="N1311" s="109"/>
      <c r="Q1311" s="78"/>
      <c r="R1311" s="78"/>
      <c r="S1311" s="80"/>
      <c r="T1311" s="80"/>
      <c r="V1311" s="78"/>
      <c r="W1311" s="62"/>
      <c r="X1311" s="80"/>
      <c r="Y1311" s="109"/>
    </row>
    <row r="1312">
      <c r="E1312" s="78"/>
      <c r="G1312" s="78"/>
      <c r="I1312" s="80"/>
      <c r="K1312" s="71"/>
      <c r="N1312" s="109"/>
      <c r="Q1312" s="78"/>
      <c r="R1312" s="78"/>
      <c r="S1312" s="80"/>
      <c r="T1312" s="80"/>
      <c r="V1312" s="78"/>
      <c r="W1312" s="62"/>
      <c r="X1312" s="80"/>
      <c r="Y1312" s="109"/>
    </row>
    <row r="1313">
      <c r="E1313" s="78"/>
      <c r="G1313" s="78"/>
      <c r="I1313" s="80"/>
      <c r="K1313" s="71"/>
      <c r="N1313" s="109"/>
      <c r="Q1313" s="78"/>
      <c r="R1313" s="78"/>
      <c r="S1313" s="80"/>
      <c r="T1313" s="80"/>
      <c r="V1313" s="78"/>
      <c r="W1313" s="62"/>
      <c r="X1313" s="80"/>
      <c r="Y1313" s="109"/>
    </row>
    <row r="1314">
      <c r="E1314" s="78"/>
      <c r="G1314" s="78"/>
      <c r="I1314" s="80"/>
      <c r="K1314" s="71"/>
      <c r="N1314" s="109"/>
      <c r="Q1314" s="78"/>
      <c r="R1314" s="78"/>
      <c r="S1314" s="80"/>
      <c r="T1314" s="80"/>
      <c r="V1314" s="78"/>
      <c r="W1314" s="62"/>
      <c r="X1314" s="80"/>
      <c r="Y1314" s="109"/>
    </row>
    <row r="1315">
      <c r="E1315" s="78"/>
      <c r="G1315" s="78"/>
      <c r="I1315" s="80"/>
      <c r="K1315" s="71"/>
      <c r="N1315" s="109"/>
      <c r="Q1315" s="78"/>
      <c r="R1315" s="78"/>
      <c r="S1315" s="80"/>
      <c r="T1315" s="80"/>
      <c r="V1315" s="78"/>
      <c r="W1315" s="62"/>
      <c r="X1315" s="80"/>
      <c r="Y1315" s="109"/>
    </row>
    <row r="1316">
      <c r="E1316" s="78"/>
      <c r="G1316" s="78"/>
      <c r="I1316" s="80"/>
      <c r="K1316" s="71"/>
      <c r="N1316" s="109"/>
      <c r="Q1316" s="78"/>
      <c r="R1316" s="78"/>
      <c r="S1316" s="80"/>
      <c r="T1316" s="80"/>
      <c r="V1316" s="78"/>
      <c r="W1316" s="62"/>
      <c r="X1316" s="80"/>
      <c r="Y1316" s="109"/>
    </row>
    <row r="1317">
      <c r="E1317" s="78"/>
      <c r="G1317" s="78"/>
      <c r="I1317" s="80"/>
      <c r="K1317" s="71"/>
      <c r="N1317" s="109"/>
      <c r="Q1317" s="78"/>
      <c r="R1317" s="78"/>
      <c r="S1317" s="80"/>
      <c r="T1317" s="80"/>
      <c r="V1317" s="78"/>
      <c r="W1317" s="62"/>
      <c r="X1317" s="80"/>
      <c r="Y1317" s="109"/>
    </row>
    <row r="1318">
      <c r="E1318" s="78"/>
      <c r="G1318" s="78"/>
      <c r="I1318" s="80"/>
      <c r="K1318" s="71"/>
      <c r="N1318" s="109"/>
      <c r="Q1318" s="78"/>
      <c r="R1318" s="78"/>
      <c r="S1318" s="80"/>
      <c r="T1318" s="80"/>
      <c r="V1318" s="78"/>
      <c r="W1318" s="62"/>
      <c r="X1318" s="80"/>
      <c r="Y1318" s="109"/>
    </row>
    <row r="1319">
      <c r="E1319" s="78"/>
      <c r="G1319" s="78"/>
      <c r="I1319" s="80"/>
      <c r="K1319" s="71"/>
      <c r="N1319" s="109"/>
      <c r="Q1319" s="78"/>
      <c r="R1319" s="78"/>
      <c r="S1319" s="80"/>
      <c r="T1319" s="80"/>
      <c r="V1319" s="78"/>
      <c r="W1319" s="62"/>
      <c r="X1319" s="80"/>
      <c r="Y1319" s="109"/>
    </row>
    <row r="1320">
      <c r="E1320" s="78"/>
      <c r="G1320" s="78"/>
      <c r="I1320" s="80"/>
      <c r="K1320" s="71"/>
      <c r="N1320" s="109"/>
      <c r="Q1320" s="78"/>
      <c r="R1320" s="78"/>
      <c r="S1320" s="80"/>
      <c r="T1320" s="80"/>
      <c r="V1320" s="78"/>
      <c r="W1320" s="62"/>
      <c r="X1320" s="80"/>
      <c r="Y1320" s="109"/>
    </row>
    <row r="1321">
      <c r="E1321" s="78"/>
      <c r="G1321" s="78"/>
      <c r="I1321" s="80"/>
      <c r="K1321" s="71"/>
      <c r="N1321" s="109"/>
      <c r="Q1321" s="78"/>
      <c r="R1321" s="78"/>
      <c r="S1321" s="80"/>
      <c r="T1321" s="80"/>
      <c r="V1321" s="78"/>
      <c r="W1321" s="62"/>
      <c r="X1321" s="80"/>
      <c r="Y1321" s="109"/>
    </row>
    <row r="1322">
      <c r="E1322" s="78"/>
      <c r="G1322" s="78"/>
      <c r="I1322" s="80"/>
      <c r="K1322" s="71"/>
      <c r="N1322" s="109"/>
      <c r="Q1322" s="78"/>
      <c r="R1322" s="78"/>
      <c r="S1322" s="80"/>
      <c r="T1322" s="80"/>
      <c r="V1322" s="78"/>
      <c r="W1322" s="62"/>
      <c r="X1322" s="80"/>
      <c r="Y1322" s="109"/>
    </row>
    <row r="1323">
      <c r="E1323" s="78"/>
      <c r="G1323" s="78"/>
      <c r="I1323" s="80"/>
      <c r="K1323" s="71"/>
      <c r="N1323" s="109"/>
      <c r="Q1323" s="78"/>
      <c r="R1323" s="78"/>
      <c r="S1323" s="80"/>
      <c r="T1323" s="80"/>
      <c r="V1323" s="78"/>
      <c r="W1323" s="62"/>
      <c r="X1323" s="80"/>
      <c r="Y1323" s="109"/>
    </row>
    <row r="1324">
      <c r="E1324" s="78"/>
      <c r="G1324" s="78"/>
      <c r="I1324" s="80"/>
      <c r="K1324" s="71"/>
      <c r="N1324" s="109"/>
      <c r="Q1324" s="78"/>
      <c r="R1324" s="78"/>
      <c r="S1324" s="80"/>
      <c r="T1324" s="80"/>
      <c r="V1324" s="78"/>
      <c r="W1324" s="62"/>
      <c r="X1324" s="80"/>
      <c r="Y1324" s="109"/>
    </row>
    <row r="1325">
      <c r="E1325" s="78"/>
      <c r="G1325" s="78"/>
      <c r="I1325" s="80"/>
      <c r="K1325" s="71"/>
      <c r="N1325" s="109"/>
      <c r="Q1325" s="78"/>
      <c r="R1325" s="78"/>
      <c r="S1325" s="80"/>
      <c r="T1325" s="80"/>
      <c r="V1325" s="78"/>
      <c r="W1325" s="62"/>
      <c r="X1325" s="80"/>
      <c r="Y1325" s="109"/>
    </row>
    <row r="1326">
      <c r="E1326" s="78"/>
      <c r="G1326" s="78"/>
      <c r="I1326" s="80"/>
      <c r="K1326" s="71"/>
      <c r="N1326" s="109"/>
      <c r="Q1326" s="78"/>
      <c r="R1326" s="78"/>
      <c r="S1326" s="80"/>
      <c r="T1326" s="80"/>
      <c r="V1326" s="78"/>
      <c r="W1326" s="62"/>
      <c r="X1326" s="80"/>
      <c r="Y1326" s="109"/>
    </row>
    <row r="1327">
      <c r="E1327" s="78"/>
      <c r="G1327" s="78"/>
      <c r="I1327" s="80"/>
      <c r="K1327" s="71"/>
      <c r="N1327" s="109"/>
      <c r="Q1327" s="78"/>
      <c r="R1327" s="78"/>
      <c r="S1327" s="80"/>
      <c r="T1327" s="80"/>
      <c r="V1327" s="78"/>
      <c r="W1327" s="62"/>
      <c r="X1327" s="80"/>
      <c r="Y1327" s="109"/>
    </row>
    <row r="1328">
      <c r="E1328" s="78"/>
      <c r="G1328" s="78"/>
      <c r="I1328" s="80"/>
      <c r="K1328" s="71"/>
      <c r="N1328" s="109"/>
      <c r="Q1328" s="78"/>
      <c r="R1328" s="78"/>
      <c r="S1328" s="80"/>
      <c r="T1328" s="80"/>
      <c r="V1328" s="78"/>
      <c r="W1328" s="62"/>
      <c r="X1328" s="80"/>
      <c r="Y1328" s="109"/>
    </row>
    <row r="1329">
      <c r="E1329" s="78"/>
      <c r="G1329" s="78"/>
      <c r="I1329" s="80"/>
      <c r="K1329" s="71"/>
      <c r="N1329" s="109"/>
      <c r="Q1329" s="78"/>
      <c r="R1329" s="78"/>
      <c r="S1329" s="80"/>
      <c r="T1329" s="80"/>
      <c r="V1329" s="78"/>
      <c r="W1329" s="62"/>
      <c r="X1329" s="80"/>
      <c r="Y1329" s="109"/>
    </row>
    <row r="1330">
      <c r="E1330" s="78"/>
      <c r="G1330" s="78"/>
      <c r="I1330" s="80"/>
      <c r="K1330" s="71"/>
      <c r="N1330" s="109"/>
      <c r="Q1330" s="78"/>
      <c r="R1330" s="78"/>
      <c r="S1330" s="80"/>
      <c r="T1330" s="80"/>
      <c r="V1330" s="78"/>
      <c r="W1330" s="62"/>
      <c r="X1330" s="80"/>
      <c r="Y1330" s="109"/>
    </row>
    <row r="1331">
      <c r="E1331" s="78"/>
      <c r="G1331" s="78"/>
      <c r="I1331" s="80"/>
      <c r="K1331" s="71"/>
      <c r="N1331" s="109"/>
      <c r="Q1331" s="78"/>
      <c r="R1331" s="78"/>
      <c r="S1331" s="80"/>
      <c r="T1331" s="80"/>
      <c r="V1331" s="78"/>
      <c r="W1331" s="62"/>
      <c r="X1331" s="80"/>
      <c r="Y1331" s="109"/>
    </row>
    <row r="1332">
      <c r="E1332" s="78"/>
      <c r="G1332" s="78"/>
      <c r="I1332" s="80"/>
      <c r="K1332" s="71"/>
      <c r="N1332" s="109"/>
      <c r="Q1332" s="78"/>
      <c r="R1332" s="78"/>
      <c r="S1332" s="80"/>
      <c r="T1332" s="80"/>
      <c r="V1332" s="78"/>
      <c r="W1332" s="62"/>
      <c r="X1332" s="80"/>
      <c r="Y1332" s="109"/>
    </row>
    <row r="1333">
      <c r="E1333" s="78"/>
      <c r="G1333" s="78"/>
      <c r="I1333" s="80"/>
      <c r="K1333" s="71"/>
      <c r="N1333" s="109"/>
      <c r="Q1333" s="78"/>
      <c r="R1333" s="78"/>
      <c r="S1333" s="80"/>
      <c r="T1333" s="80"/>
      <c r="V1333" s="78"/>
      <c r="W1333" s="62"/>
      <c r="X1333" s="80"/>
      <c r="Y1333" s="109"/>
    </row>
    <row r="1334">
      <c r="E1334" s="78"/>
      <c r="G1334" s="78"/>
      <c r="I1334" s="80"/>
      <c r="K1334" s="71"/>
      <c r="N1334" s="109"/>
      <c r="Q1334" s="78"/>
      <c r="R1334" s="78"/>
      <c r="S1334" s="80"/>
      <c r="T1334" s="80"/>
      <c r="V1334" s="78"/>
      <c r="W1334" s="62"/>
      <c r="X1334" s="80"/>
      <c r="Y1334" s="109"/>
    </row>
    <row r="1335">
      <c r="E1335" s="78"/>
      <c r="G1335" s="78"/>
      <c r="I1335" s="80"/>
      <c r="K1335" s="71"/>
      <c r="N1335" s="109"/>
      <c r="Q1335" s="78"/>
      <c r="R1335" s="78"/>
      <c r="S1335" s="80"/>
      <c r="T1335" s="80"/>
      <c r="V1335" s="78"/>
      <c r="W1335" s="62"/>
      <c r="X1335" s="80"/>
      <c r="Y1335" s="109"/>
    </row>
    <row r="1336">
      <c r="E1336" s="78"/>
      <c r="G1336" s="78"/>
      <c r="I1336" s="80"/>
      <c r="K1336" s="71"/>
      <c r="N1336" s="109"/>
      <c r="Q1336" s="78"/>
      <c r="R1336" s="78"/>
      <c r="S1336" s="80"/>
      <c r="T1336" s="80"/>
      <c r="V1336" s="78"/>
      <c r="W1336" s="62"/>
      <c r="X1336" s="80"/>
      <c r="Y1336" s="109"/>
    </row>
    <row r="1337">
      <c r="E1337" s="78"/>
      <c r="G1337" s="78"/>
      <c r="I1337" s="80"/>
      <c r="K1337" s="71"/>
      <c r="N1337" s="109"/>
      <c r="Q1337" s="78"/>
      <c r="R1337" s="78"/>
      <c r="S1337" s="80"/>
      <c r="T1337" s="80"/>
      <c r="V1337" s="78"/>
      <c r="W1337" s="62"/>
      <c r="X1337" s="80"/>
      <c r="Y1337" s="109"/>
    </row>
    <row r="1338">
      <c r="E1338" s="78"/>
      <c r="G1338" s="78"/>
      <c r="I1338" s="80"/>
      <c r="K1338" s="71"/>
      <c r="N1338" s="109"/>
      <c r="Q1338" s="78"/>
      <c r="R1338" s="78"/>
      <c r="S1338" s="80"/>
      <c r="T1338" s="80"/>
      <c r="V1338" s="78"/>
      <c r="W1338" s="62"/>
      <c r="X1338" s="80"/>
      <c r="Y1338" s="109"/>
    </row>
    <row r="1339">
      <c r="E1339" s="78"/>
      <c r="G1339" s="78"/>
      <c r="I1339" s="80"/>
      <c r="K1339" s="71"/>
      <c r="N1339" s="109"/>
      <c r="Q1339" s="78"/>
      <c r="R1339" s="78"/>
      <c r="S1339" s="80"/>
      <c r="T1339" s="80"/>
      <c r="V1339" s="78"/>
      <c r="W1339" s="62"/>
      <c r="X1339" s="80"/>
      <c r="Y1339" s="109"/>
    </row>
    <row r="1340">
      <c r="E1340" s="78"/>
      <c r="G1340" s="78"/>
      <c r="I1340" s="80"/>
      <c r="K1340" s="71"/>
      <c r="N1340" s="109"/>
      <c r="Q1340" s="78"/>
      <c r="R1340" s="78"/>
      <c r="S1340" s="80"/>
      <c r="T1340" s="80"/>
      <c r="V1340" s="78"/>
      <c r="W1340" s="62"/>
      <c r="X1340" s="80"/>
      <c r="Y1340" s="109"/>
    </row>
    <row r="1341">
      <c r="E1341" s="78"/>
      <c r="G1341" s="78"/>
      <c r="I1341" s="80"/>
      <c r="K1341" s="71"/>
      <c r="N1341" s="109"/>
      <c r="Q1341" s="78"/>
      <c r="R1341" s="78"/>
      <c r="S1341" s="80"/>
      <c r="T1341" s="80"/>
      <c r="V1341" s="78"/>
      <c r="W1341" s="62"/>
      <c r="X1341" s="80"/>
      <c r="Y1341" s="109"/>
    </row>
    <row r="1342">
      <c r="E1342" s="78"/>
      <c r="G1342" s="78"/>
      <c r="I1342" s="80"/>
      <c r="K1342" s="71"/>
      <c r="N1342" s="109"/>
      <c r="Q1342" s="78"/>
      <c r="R1342" s="78"/>
      <c r="S1342" s="80"/>
      <c r="T1342" s="80"/>
      <c r="V1342" s="78"/>
      <c r="W1342" s="62"/>
      <c r="X1342" s="80"/>
      <c r="Y1342" s="109"/>
    </row>
    <row r="1343">
      <c r="E1343" s="78"/>
      <c r="G1343" s="78"/>
      <c r="I1343" s="80"/>
      <c r="K1343" s="71"/>
      <c r="N1343" s="109"/>
      <c r="Q1343" s="78"/>
      <c r="R1343" s="78"/>
      <c r="S1343" s="80"/>
      <c r="T1343" s="80"/>
      <c r="V1343" s="78"/>
      <c r="W1343" s="62"/>
      <c r="X1343" s="80"/>
      <c r="Y1343" s="109"/>
    </row>
    <row r="1344">
      <c r="E1344" s="78"/>
      <c r="G1344" s="78"/>
      <c r="I1344" s="80"/>
      <c r="K1344" s="71"/>
      <c r="N1344" s="109"/>
      <c r="Q1344" s="78"/>
      <c r="R1344" s="78"/>
      <c r="S1344" s="80"/>
      <c r="T1344" s="80"/>
      <c r="V1344" s="78"/>
      <c r="W1344" s="62"/>
      <c r="X1344" s="80"/>
      <c r="Y1344" s="109"/>
    </row>
    <row r="1345">
      <c r="E1345" s="78"/>
      <c r="G1345" s="78"/>
      <c r="I1345" s="80"/>
      <c r="K1345" s="71"/>
      <c r="N1345" s="109"/>
      <c r="Q1345" s="78"/>
      <c r="R1345" s="78"/>
      <c r="S1345" s="80"/>
      <c r="T1345" s="80"/>
      <c r="V1345" s="78"/>
      <c r="W1345" s="62"/>
      <c r="X1345" s="80"/>
      <c r="Y1345" s="109"/>
    </row>
    <row r="1346">
      <c r="E1346" s="78"/>
      <c r="G1346" s="78"/>
      <c r="I1346" s="80"/>
      <c r="K1346" s="71"/>
      <c r="N1346" s="109"/>
      <c r="Q1346" s="78"/>
      <c r="R1346" s="78"/>
      <c r="S1346" s="80"/>
      <c r="T1346" s="80"/>
      <c r="V1346" s="78"/>
      <c r="W1346" s="62"/>
      <c r="X1346" s="80"/>
      <c r="Y1346" s="109"/>
    </row>
    <row r="1347">
      <c r="E1347" s="78"/>
      <c r="G1347" s="78"/>
      <c r="I1347" s="80"/>
      <c r="K1347" s="71"/>
      <c r="N1347" s="109"/>
      <c r="Q1347" s="78"/>
      <c r="R1347" s="78"/>
      <c r="S1347" s="80"/>
      <c r="T1347" s="80"/>
      <c r="V1347" s="78"/>
      <c r="W1347" s="62"/>
      <c r="X1347" s="80"/>
      <c r="Y1347" s="109"/>
    </row>
    <row r="1348">
      <c r="E1348" s="78"/>
      <c r="G1348" s="78"/>
      <c r="I1348" s="80"/>
      <c r="K1348" s="71"/>
      <c r="N1348" s="109"/>
      <c r="Q1348" s="78"/>
      <c r="R1348" s="78"/>
      <c r="S1348" s="80"/>
      <c r="T1348" s="80"/>
      <c r="V1348" s="78"/>
      <c r="W1348" s="62"/>
      <c r="X1348" s="80"/>
      <c r="Y1348" s="109"/>
    </row>
    <row r="1349">
      <c r="E1349" s="78"/>
      <c r="G1349" s="78"/>
      <c r="I1349" s="80"/>
      <c r="K1349" s="71"/>
      <c r="N1349" s="109"/>
      <c r="Q1349" s="78"/>
      <c r="R1349" s="78"/>
      <c r="S1349" s="80"/>
      <c r="T1349" s="80"/>
      <c r="V1349" s="78"/>
      <c r="W1349" s="62"/>
      <c r="X1349" s="80"/>
      <c r="Y1349" s="109"/>
    </row>
    <row r="1350">
      <c r="E1350" s="78"/>
      <c r="G1350" s="78"/>
      <c r="I1350" s="80"/>
      <c r="K1350" s="71"/>
      <c r="N1350" s="109"/>
      <c r="Q1350" s="78"/>
      <c r="R1350" s="78"/>
      <c r="S1350" s="80"/>
      <c r="T1350" s="80"/>
      <c r="V1350" s="78"/>
      <c r="W1350" s="62"/>
      <c r="X1350" s="80"/>
      <c r="Y1350" s="109"/>
    </row>
    <row r="1351">
      <c r="E1351" s="78"/>
      <c r="G1351" s="78"/>
      <c r="I1351" s="80"/>
      <c r="K1351" s="71"/>
      <c r="N1351" s="109"/>
      <c r="Q1351" s="78"/>
      <c r="R1351" s="78"/>
      <c r="S1351" s="80"/>
      <c r="T1351" s="80"/>
      <c r="V1351" s="78"/>
      <c r="W1351" s="62"/>
      <c r="X1351" s="80"/>
      <c r="Y1351" s="109"/>
    </row>
    <row r="1352">
      <c r="E1352" s="78"/>
      <c r="G1352" s="78"/>
      <c r="I1352" s="80"/>
      <c r="K1352" s="71"/>
      <c r="N1352" s="109"/>
      <c r="Q1352" s="78"/>
      <c r="R1352" s="78"/>
      <c r="S1352" s="80"/>
      <c r="T1352" s="80"/>
      <c r="V1352" s="78"/>
      <c r="W1352" s="62"/>
      <c r="X1352" s="80"/>
      <c r="Y1352" s="109"/>
    </row>
    <row r="1353">
      <c r="E1353" s="78"/>
      <c r="G1353" s="78"/>
      <c r="I1353" s="80"/>
      <c r="K1353" s="71"/>
      <c r="N1353" s="109"/>
      <c r="Q1353" s="78"/>
      <c r="R1353" s="78"/>
      <c r="S1353" s="80"/>
      <c r="T1353" s="80"/>
      <c r="V1353" s="78"/>
      <c r="W1353" s="62"/>
      <c r="X1353" s="80"/>
      <c r="Y1353" s="109"/>
    </row>
    <row r="1354">
      <c r="E1354" s="78"/>
      <c r="G1354" s="78"/>
      <c r="I1354" s="80"/>
      <c r="K1354" s="71"/>
      <c r="N1354" s="109"/>
      <c r="Q1354" s="78"/>
      <c r="R1354" s="78"/>
      <c r="S1354" s="80"/>
      <c r="T1354" s="80"/>
      <c r="V1354" s="78"/>
      <c r="W1354" s="62"/>
      <c r="X1354" s="80"/>
      <c r="Y1354" s="109"/>
    </row>
    <row r="1355">
      <c r="E1355" s="78"/>
      <c r="G1355" s="78"/>
      <c r="I1355" s="80"/>
      <c r="K1355" s="71"/>
      <c r="N1355" s="109"/>
      <c r="Q1355" s="78"/>
      <c r="R1355" s="78"/>
      <c r="S1355" s="80"/>
      <c r="T1355" s="80"/>
      <c r="V1355" s="78"/>
      <c r="W1355" s="62"/>
      <c r="X1355" s="80"/>
      <c r="Y1355" s="109"/>
    </row>
    <row r="1356">
      <c r="E1356" s="78"/>
      <c r="G1356" s="78"/>
      <c r="I1356" s="80"/>
      <c r="K1356" s="71"/>
      <c r="N1356" s="109"/>
      <c r="Q1356" s="78"/>
      <c r="R1356" s="78"/>
      <c r="S1356" s="80"/>
      <c r="T1356" s="80"/>
      <c r="V1356" s="78"/>
      <c r="W1356" s="62"/>
      <c r="X1356" s="80"/>
      <c r="Y1356" s="109"/>
    </row>
    <row r="1357">
      <c r="E1357" s="78"/>
      <c r="G1357" s="78"/>
      <c r="I1357" s="80"/>
      <c r="K1357" s="71"/>
      <c r="N1357" s="109"/>
      <c r="Q1357" s="78"/>
      <c r="R1357" s="78"/>
      <c r="S1357" s="80"/>
      <c r="T1357" s="80"/>
      <c r="V1357" s="78"/>
      <c r="W1357" s="62"/>
      <c r="X1357" s="80"/>
      <c r="Y1357" s="109"/>
    </row>
    <row r="1358">
      <c r="E1358" s="78"/>
      <c r="G1358" s="78"/>
      <c r="I1358" s="80"/>
      <c r="K1358" s="71"/>
      <c r="N1358" s="109"/>
      <c r="Q1358" s="78"/>
      <c r="R1358" s="78"/>
      <c r="S1358" s="80"/>
      <c r="T1358" s="80"/>
      <c r="V1358" s="78"/>
      <c r="W1358" s="62"/>
      <c r="X1358" s="80"/>
      <c r="Y1358" s="109"/>
    </row>
    <row r="1359">
      <c r="E1359" s="78"/>
      <c r="G1359" s="78"/>
      <c r="I1359" s="80"/>
      <c r="K1359" s="71"/>
      <c r="N1359" s="109"/>
      <c r="Q1359" s="78"/>
      <c r="R1359" s="78"/>
      <c r="S1359" s="80"/>
      <c r="T1359" s="80"/>
      <c r="V1359" s="78"/>
      <c r="W1359" s="62"/>
      <c r="X1359" s="80"/>
      <c r="Y1359" s="109"/>
    </row>
    <row r="1360">
      <c r="E1360" s="78"/>
      <c r="G1360" s="78"/>
      <c r="I1360" s="80"/>
      <c r="K1360" s="71"/>
      <c r="N1360" s="109"/>
      <c r="Q1360" s="78"/>
      <c r="R1360" s="78"/>
      <c r="S1360" s="80"/>
      <c r="T1360" s="80"/>
      <c r="V1360" s="78"/>
      <c r="W1360" s="62"/>
      <c r="X1360" s="80"/>
      <c r="Y1360" s="109"/>
    </row>
    <row r="1361">
      <c r="E1361" s="78"/>
      <c r="G1361" s="78"/>
      <c r="I1361" s="80"/>
      <c r="K1361" s="71"/>
      <c r="N1361" s="109"/>
      <c r="Q1361" s="78"/>
      <c r="R1361" s="78"/>
      <c r="S1361" s="80"/>
      <c r="T1361" s="80"/>
      <c r="V1361" s="78"/>
      <c r="W1361" s="62"/>
      <c r="X1361" s="80"/>
      <c r="Y1361" s="109"/>
    </row>
    <row r="1362">
      <c r="E1362" s="78"/>
      <c r="G1362" s="78"/>
      <c r="I1362" s="80"/>
      <c r="K1362" s="71"/>
      <c r="N1362" s="109"/>
      <c r="Q1362" s="78"/>
      <c r="R1362" s="78"/>
      <c r="S1362" s="80"/>
      <c r="T1362" s="80"/>
      <c r="V1362" s="78"/>
      <c r="W1362" s="62"/>
      <c r="X1362" s="80"/>
      <c r="Y1362" s="109"/>
    </row>
    <row r="1363">
      <c r="E1363" s="78"/>
      <c r="G1363" s="78"/>
      <c r="I1363" s="80"/>
      <c r="K1363" s="71"/>
      <c r="N1363" s="109"/>
      <c r="Q1363" s="78"/>
      <c r="R1363" s="78"/>
      <c r="S1363" s="80"/>
      <c r="T1363" s="80"/>
      <c r="V1363" s="78"/>
      <c r="W1363" s="62"/>
      <c r="X1363" s="80"/>
      <c r="Y1363" s="109"/>
    </row>
    <row r="1364">
      <c r="E1364" s="78"/>
      <c r="G1364" s="78"/>
      <c r="I1364" s="80"/>
      <c r="K1364" s="71"/>
      <c r="N1364" s="109"/>
      <c r="Q1364" s="78"/>
      <c r="R1364" s="78"/>
      <c r="S1364" s="80"/>
      <c r="T1364" s="80"/>
      <c r="V1364" s="78"/>
      <c r="W1364" s="62"/>
      <c r="X1364" s="80"/>
      <c r="Y1364" s="109"/>
    </row>
    <row r="1365">
      <c r="E1365" s="78"/>
      <c r="G1365" s="78"/>
      <c r="I1365" s="80"/>
      <c r="K1365" s="71"/>
      <c r="N1365" s="109"/>
      <c r="Q1365" s="78"/>
      <c r="R1365" s="78"/>
      <c r="S1365" s="80"/>
      <c r="T1365" s="80"/>
      <c r="V1365" s="78"/>
      <c r="W1365" s="62"/>
      <c r="X1365" s="80"/>
      <c r="Y1365" s="109"/>
    </row>
    <row r="1366">
      <c r="E1366" s="78"/>
      <c r="G1366" s="78"/>
      <c r="I1366" s="80"/>
      <c r="K1366" s="71"/>
      <c r="N1366" s="109"/>
      <c r="Q1366" s="78"/>
      <c r="R1366" s="78"/>
      <c r="S1366" s="80"/>
      <c r="T1366" s="80"/>
      <c r="V1366" s="78"/>
      <c r="W1366" s="62"/>
      <c r="X1366" s="80"/>
      <c r="Y1366" s="109"/>
    </row>
    <row r="1367">
      <c r="E1367" s="78"/>
      <c r="G1367" s="78"/>
      <c r="I1367" s="80"/>
      <c r="K1367" s="71"/>
      <c r="N1367" s="109"/>
      <c r="Q1367" s="78"/>
      <c r="R1367" s="78"/>
      <c r="S1367" s="80"/>
      <c r="T1367" s="80"/>
      <c r="V1367" s="78"/>
      <c r="W1367" s="62"/>
      <c r="X1367" s="80"/>
      <c r="Y1367" s="109"/>
    </row>
    <row r="1368">
      <c r="E1368" s="78"/>
      <c r="G1368" s="78"/>
      <c r="I1368" s="80"/>
      <c r="K1368" s="71"/>
      <c r="N1368" s="109"/>
      <c r="Q1368" s="78"/>
      <c r="R1368" s="78"/>
      <c r="S1368" s="80"/>
      <c r="T1368" s="80"/>
      <c r="V1368" s="78"/>
      <c r="W1368" s="62"/>
      <c r="X1368" s="80"/>
      <c r="Y1368" s="109"/>
    </row>
    <row r="1369">
      <c r="E1369" s="78"/>
      <c r="G1369" s="78"/>
      <c r="I1369" s="80"/>
      <c r="K1369" s="71"/>
      <c r="N1369" s="109"/>
      <c r="Q1369" s="78"/>
      <c r="R1369" s="78"/>
      <c r="S1369" s="80"/>
      <c r="T1369" s="80"/>
      <c r="V1369" s="78"/>
      <c r="W1369" s="62"/>
      <c r="X1369" s="80"/>
      <c r="Y1369" s="109"/>
    </row>
    <row r="1370">
      <c r="E1370" s="78"/>
      <c r="G1370" s="78"/>
      <c r="I1370" s="80"/>
      <c r="K1370" s="71"/>
      <c r="N1370" s="109"/>
      <c r="Q1370" s="78"/>
      <c r="R1370" s="78"/>
      <c r="S1370" s="80"/>
      <c r="T1370" s="80"/>
      <c r="V1370" s="78"/>
      <c r="W1370" s="62"/>
      <c r="X1370" s="80"/>
      <c r="Y1370" s="109"/>
    </row>
    <row r="1371">
      <c r="E1371" s="78"/>
      <c r="G1371" s="78"/>
      <c r="I1371" s="80"/>
      <c r="K1371" s="71"/>
      <c r="N1371" s="109"/>
      <c r="Q1371" s="78"/>
      <c r="R1371" s="78"/>
      <c r="S1371" s="80"/>
      <c r="T1371" s="80"/>
      <c r="V1371" s="78"/>
      <c r="W1371" s="62"/>
      <c r="X1371" s="80"/>
      <c r="Y1371" s="109"/>
    </row>
    <row r="1372">
      <c r="E1372" s="78"/>
      <c r="G1372" s="78"/>
      <c r="I1372" s="80"/>
      <c r="K1372" s="71"/>
      <c r="N1372" s="109"/>
      <c r="Q1372" s="78"/>
      <c r="R1372" s="78"/>
      <c r="S1372" s="80"/>
      <c r="T1372" s="80"/>
      <c r="V1372" s="78"/>
      <c r="W1372" s="62"/>
      <c r="X1372" s="80"/>
      <c r="Y1372" s="109"/>
    </row>
    <row r="1373">
      <c r="E1373" s="78"/>
      <c r="G1373" s="78"/>
      <c r="I1373" s="80"/>
      <c r="K1373" s="71"/>
      <c r="N1373" s="109"/>
      <c r="Q1373" s="78"/>
      <c r="R1373" s="78"/>
      <c r="S1373" s="80"/>
      <c r="T1373" s="80"/>
      <c r="V1373" s="78"/>
      <c r="W1373" s="62"/>
      <c r="X1373" s="80"/>
      <c r="Y1373" s="109"/>
    </row>
    <row r="1374">
      <c r="E1374" s="78"/>
      <c r="G1374" s="78"/>
      <c r="I1374" s="80"/>
      <c r="K1374" s="71"/>
      <c r="N1374" s="109"/>
      <c r="Q1374" s="78"/>
      <c r="R1374" s="78"/>
      <c r="S1374" s="80"/>
      <c r="T1374" s="80"/>
      <c r="V1374" s="78"/>
      <c r="W1374" s="62"/>
      <c r="X1374" s="80"/>
      <c r="Y1374" s="109"/>
    </row>
    <row r="1375">
      <c r="E1375" s="78"/>
      <c r="G1375" s="78"/>
      <c r="I1375" s="80"/>
      <c r="K1375" s="71"/>
      <c r="N1375" s="109"/>
      <c r="Q1375" s="78"/>
      <c r="R1375" s="78"/>
      <c r="S1375" s="80"/>
      <c r="T1375" s="80"/>
      <c r="V1375" s="78"/>
      <c r="W1375" s="62"/>
      <c r="X1375" s="80"/>
      <c r="Y1375" s="109"/>
    </row>
    <row r="1376">
      <c r="E1376" s="78"/>
      <c r="G1376" s="78"/>
      <c r="I1376" s="80"/>
      <c r="K1376" s="71"/>
      <c r="N1376" s="109"/>
      <c r="Q1376" s="78"/>
      <c r="R1376" s="78"/>
      <c r="S1376" s="80"/>
      <c r="T1376" s="80"/>
      <c r="V1376" s="78"/>
      <c r="W1376" s="62"/>
      <c r="X1376" s="80"/>
      <c r="Y1376" s="109"/>
    </row>
    <row r="1377">
      <c r="E1377" s="78"/>
      <c r="G1377" s="78"/>
      <c r="I1377" s="80"/>
      <c r="K1377" s="71"/>
      <c r="N1377" s="109"/>
      <c r="Q1377" s="78"/>
      <c r="R1377" s="78"/>
      <c r="S1377" s="80"/>
      <c r="T1377" s="80"/>
      <c r="V1377" s="78"/>
      <c r="W1377" s="62"/>
      <c r="X1377" s="80"/>
      <c r="Y1377" s="109"/>
    </row>
    <row r="1378">
      <c r="E1378" s="78"/>
      <c r="G1378" s="78"/>
      <c r="I1378" s="80"/>
      <c r="K1378" s="71"/>
      <c r="N1378" s="109"/>
      <c r="Q1378" s="78"/>
      <c r="R1378" s="78"/>
      <c r="S1378" s="80"/>
      <c r="T1378" s="80"/>
      <c r="V1378" s="78"/>
      <c r="W1378" s="62"/>
      <c r="X1378" s="80"/>
      <c r="Y1378" s="109"/>
    </row>
    <row r="1379">
      <c r="E1379" s="78"/>
      <c r="G1379" s="78"/>
      <c r="I1379" s="80"/>
      <c r="K1379" s="71"/>
      <c r="N1379" s="109"/>
      <c r="Q1379" s="78"/>
      <c r="R1379" s="78"/>
      <c r="S1379" s="80"/>
      <c r="T1379" s="80"/>
      <c r="V1379" s="78"/>
      <c r="W1379" s="62"/>
      <c r="X1379" s="80"/>
      <c r="Y1379" s="109"/>
    </row>
    <row r="1380">
      <c r="E1380" s="78"/>
      <c r="G1380" s="78"/>
      <c r="I1380" s="80"/>
      <c r="K1380" s="71"/>
      <c r="N1380" s="109"/>
      <c r="Q1380" s="78"/>
      <c r="R1380" s="78"/>
      <c r="S1380" s="80"/>
      <c r="T1380" s="80"/>
      <c r="V1380" s="78"/>
      <c r="W1380" s="62"/>
      <c r="X1380" s="80"/>
      <c r="Y1380" s="109"/>
    </row>
    <row r="1381">
      <c r="E1381" s="78"/>
      <c r="G1381" s="78"/>
      <c r="I1381" s="80"/>
      <c r="K1381" s="71"/>
      <c r="N1381" s="109"/>
      <c r="Q1381" s="78"/>
      <c r="R1381" s="78"/>
      <c r="S1381" s="80"/>
      <c r="T1381" s="80"/>
      <c r="V1381" s="78"/>
      <c r="W1381" s="62"/>
      <c r="X1381" s="80"/>
      <c r="Y1381" s="109"/>
    </row>
    <row r="1382">
      <c r="E1382" s="78"/>
      <c r="G1382" s="78"/>
      <c r="I1382" s="80"/>
      <c r="K1382" s="71"/>
      <c r="N1382" s="109"/>
      <c r="Q1382" s="78"/>
      <c r="R1382" s="78"/>
      <c r="S1382" s="80"/>
      <c r="T1382" s="80"/>
      <c r="V1382" s="78"/>
      <c r="W1382" s="62"/>
      <c r="X1382" s="80"/>
      <c r="Y1382" s="109"/>
    </row>
    <row r="1383">
      <c r="E1383" s="78"/>
      <c r="G1383" s="78"/>
      <c r="I1383" s="80"/>
      <c r="K1383" s="71"/>
      <c r="N1383" s="109"/>
      <c r="Q1383" s="78"/>
      <c r="R1383" s="78"/>
      <c r="S1383" s="80"/>
      <c r="T1383" s="80"/>
      <c r="V1383" s="78"/>
      <c r="W1383" s="62"/>
      <c r="X1383" s="80"/>
      <c r="Y1383" s="109"/>
    </row>
    <row r="1384">
      <c r="E1384" s="78"/>
      <c r="G1384" s="78"/>
      <c r="I1384" s="80"/>
      <c r="K1384" s="71"/>
      <c r="N1384" s="109"/>
      <c r="Q1384" s="78"/>
      <c r="R1384" s="78"/>
      <c r="S1384" s="80"/>
      <c r="T1384" s="80"/>
      <c r="V1384" s="78"/>
      <c r="W1384" s="62"/>
      <c r="X1384" s="80"/>
      <c r="Y1384" s="109"/>
    </row>
    <row r="1385">
      <c r="E1385" s="78"/>
      <c r="G1385" s="78"/>
      <c r="I1385" s="80"/>
      <c r="K1385" s="71"/>
      <c r="N1385" s="109"/>
      <c r="Q1385" s="78"/>
      <c r="R1385" s="78"/>
      <c r="S1385" s="80"/>
      <c r="T1385" s="80"/>
      <c r="V1385" s="78"/>
      <c r="W1385" s="62"/>
      <c r="X1385" s="80"/>
      <c r="Y1385" s="109"/>
    </row>
    <row r="1386">
      <c r="E1386" s="78"/>
      <c r="G1386" s="78"/>
      <c r="I1386" s="80"/>
      <c r="K1386" s="71"/>
      <c r="N1386" s="109"/>
      <c r="Q1386" s="78"/>
      <c r="R1386" s="78"/>
      <c r="S1386" s="80"/>
      <c r="T1386" s="80"/>
      <c r="V1386" s="78"/>
      <c r="W1386" s="62"/>
      <c r="X1386" s="80"/>
      <c r="Y1386" s="109"/>
    </row>
    <row r="1387">
      <c r="E1387" s="78"/>
      <c r="G1387" s="78"/>
      <c r="I1387" s="80"/>
      <c r="K1387" s="71"/>
      <c r="N1387" s="109"/>
      <c r="Q1387" s="78"/>
      <c r="R1387" s="78"/>
      <c r="S1387" s="80"/>
      <c r="T1387" s="80"/>
      <c r="V1387" s="78"/>
      <c r="W1387" s="62"/>
      <c r="X1387" s="80"/>
      <c r="Y1387" s="109"/>
    </row>
    <row r="1388">
      <c r="E1388" s="78"/>
      <c r="G1388" s="78"/>
      <c r="I1388" s="80"/>
      <c r="K1388" s="71"/>
      <c r="N1388" s="109"/>
      <c r="Q1388" s="78"/>
      <c r="R1388" s="78"/>
      <c r="S1388" s="80"/>
      <c r="T1388" s="80"/>
      <c r="V1388" s="78"/>
      <c r="W1388" s="62"/>
      <c r="X1388" s="80"/>
      <c r="Y1388" s="109"/>
    </row>
    <row r="1389">
      <c r="E1389" s="78"/>
      <c r="G1389" s="78"/>
      <c r="I1389" s="80"/>
      <c r="K1389" s="71"/>
      <c r="N1389" s="109"/>
      <c r="Q1389" s="78"/>
      <c r="R1389" s="78"/>
      <c r="S1389" s="80"/>
      <c r="T1389" s="80"/>
      <c r="V1389" s="78"/>
      <c r="W1389" s="62"/>
      <c r="X1389" s="80"/>
      <c r="Y1389" s="109"/>
    </row>
    <row r="1390">
      <c r="E1390" s="78"/>
      <c r="G1390" s="78"/>
      <c r="I1390" s="80"/>
      <c r="K1390" s="71"/>
      <c r="N1390" s="109"/>
      <c r="Q1390" s="78"/>
      <c r="R1390" s="78"/>
      <c r="S1390" s="80"/>
      <c r="T1390" s="80"/>
      <c r="V1390" s="78"/>
      <c r="W1390" s="62"/>
      <c r="X1390" s="80"/>
      <c r="Y1390" s="109"/>
    </row>
    <row r="1391">
      <c r="E1391" s="78"/>
      <c r="G1391" s="78"/>
      <c r="I1391" s="80"/>
      <c r="K1391" s="71"/>
      <c r="N1391" s="109"/>
      <c r="Q1391" s="78"/>
      <c r="R1391" s="78"/>
      <c r="S1391" s="80"/>
      <c r="T1391" s="80"/>
      <c r="V1391" s="78"/>
      <c r="W1391" s="62"/>
      <c r="X1391" s="80"/>
      <c r="Y1391" s="109"/>
    </row>
    <row r="1392">
      <c r="E1392" s="78"/>
      <c r="G1392" s="78"/>
      <c r="I1392" s="80"/>
      <c r="K1392" s="71"/>
      <c r="N1392" s="109"/>
      <c r="Q1392" s="78"/>
      <c r="R1392" s="78"/>
      <c r="S1392" s="80"/>
      <c r="T1392" s="80"/>
      <c r="V1392" s="78"/>
      <c r="W1392" s="62"/>
      <c r="X1392" s="80"/>
      <c r="Y1392" s="109"/>
    </row>
    <row r="1393">
      <c r="E1393" s="78"/>
      <c r="G1393" s="78"/>
      <c r="I1393" s="80"/>
      <c r="K1393" s="71"/>
      <c r="N1393" s="109"/>
      <c r="Q1393" s="78"/>
      <c r="R1393" s="78"/>
      <c r="S1393" s="80"/>
      <c r="T1393" s="80"/>
      <c r="V1393" s="78"/>
      <c r="W1393" s="62"/>
      <c r="X1393" s="80"/>
      <c r="Y1393" s="109"/>
    </row>
    <row r="1394">
      <c r="E1394" s="78"/>
      <c r="G1394" s="78"/>
      <c r="I1394" s="80"/>
      <c r="K1394" s="71"/>
      <c r="N1394" s="109"/>
      <c r="Q1394" s="78"/>
      <c r="R1394" s="78"/>
      <c r="S1394" s="80"/>
      <c r="T1394" s="80"/>
      <c r="V1394" s="78"/>
      <c r="W1394" s="62"/>
      <c r="X1394" s="80"/>
      <c r="Y1394" s="109"/>
    </row>
    <row r="1395">
      <c r="E1395" s="78"/>
      <c r="G1395" s="78"/>
      <c r="I1395" s="80"/>
      <c r="K1395" s="71"/>
      <c r="N1395" s="109"/>
      <c r="Q1395" s="78"/>
      <c r="R1395" s="78"/>
      <c r="S1395" s="80"/>
      <c r="T1395" s="80"/>
      <c r="V1395" s="78"/>
      <c r="W1395" s="62"/>
      <c r="X1395" s="80"/>
      <c r="Y1395" s="109"/>
    </row>
    <row r="1396">
      <c r="E1396" s="78"/>
      <c r="G1396" s="78"/>
      <c r="I1396" s="80"/>
      <c r="K1396" s="71"/>
      <c r="N1396" s="109"/>
      <c r="Q1396" s="78"/>
      <c r="R1396" s="78"/>
      <c r="S1396" s="80"/>
      <c r="T1396" s="80"/>
      <c r="V1396" s="78"/>
      <c r="W1396" s="62"/>
      <c r="X1396" s="80"/>
      <c r="Y1396" s="109"/>
    </row>
    <row r="1397">
      <c r="E1397" s="78"/>
      <c r="G1397" s="78"/>
      <c r="I1397" s="80"/>
      <c r="K1397" s="71"/>
      <c r="N1397" s="109"/>
      <c r="Q1397" s="78"/>
      <c r="R1397" s="78"/>
      <c r="S1397" s="80"/>
      <c r="T1397" s="80"/>
      <c r="V1397" s="78"/>
      <c r="W1397" s="62"/>
      <c r="X1397" s="80"/>
      <c r="Y1397" s="109"/>
    </row>
    <row r="1398">
      <c r="E1398" s="78"/>
      <c r="G1398" s="78"/>
      <c r="I1398" s="80"/>
      <c r="K1398" s="71"/>
      <c r="N1398" s="109"/>
      <c r="Q1398" s="78"/>
      <c r="R1398" s="78"/>
      <c r="S1398" s="80"/>
      <c r="T1398" s="80"/>
      <c r="V1398" s="78"/>
      <c r="W1398" s="62"/>
      <c r="X1398" s="80"/>
      <c r="Y1398" s="109"/>
    </row>
    <row r="1399">
      <c r="E1399" s="78"/>
      <c r="G1399" s="78"/>
      <c r="I1399" s="80"/>
      <c r="K1399" s="71"/>
      <c r="N1399" s="109"/>
      <c r="Q1399" s="78"/>
      <c r="R1399" s="78"/>
      <c r="S1399" s="80"/>
      <c r="T1399" s="80"/>
      <c r="V1399" s="78"/>
      <c r="W1399" s="62"/>
      <c r="X1399" s="80"/>
      <c r="Y1399" s="109"/>
    </row>
    <row r="1400">
      <c r="E1400" s="78"/>
      <c r="G1400" s="78"/>
      <c r="I1400" s="80"/>
      <c r="K1400" s="71"/>
      <c r="N1400" s="109"/>
      <c r="Q1400" s="78"/>
      <c r="R1400" s="78"/>
      <c r="S1400" s="80"/>
      <c r="T1400" s="80"/>
      <c r="V1400" s="78"/>
      <c r="W1400" s="62"/>
      <c r="X1400" s="80"/>
      <c r="Y1400" s="109"/>
    </row>
    <row r="1401">
      <c r="E1401" s="78"/>
      <c r="G1401" s="78"/>
      <c r="I1401" s="80"/>
      <c r="K1401" s="71"/>
      <c r="N1401" s="109"/>
      <c r="Q1401" s="78"/>
      <c r="R1401" s="78"/>
      <c r="S1401" s="80"/>
      <c r="T1401" s="80"/>
      <c r="V1401" s="78"/>
      <c r="W1401" s="62"/>
      <c r="X1401" s="80"/>
      <c r="Y1401" s="109"/>
    </row>
    <row r="1402">
      <c r="E1402" s="78"/>
      <c r="G1402" s="78"/>
      <c r="I1402" s="80"/>
      <c r="K1402" s="71"/>
      <c r="N1402" s="109"/>
      <c r="Q1402" s="78"/>
      <c r="R1402" s="78"/>
      <c r="S1402" s="80"/>
      <c r="T1402" s="80"/>
      <c r="V1402" s="78"/>
      <c r="W1402" s="62"/>
      <c r="X1402" s="80"/>
      <c r="Y1402" s="109"/>
    </row>
    <row r="1403">
      <c r="E1403" s="78"/>
      <c r="G1403" s="78"/>
      <c r="I1403" s="80"/>
      <c r="K1403" s="71"/>
      <c r="N1403" s="109"/>
      <c r="Q1403" s="78"/>
      <c r="R1403" s="78"/>
      <c r="S1403" s="80"/>
      <c r="T1403" s="80"/>
      <c r="V1403" s="78"/>
      <c r="W1403" s="62"/>
      <c r="X1403" s="80"/>
      <c r="Y1403" s="109"/>
    </row>
    <row r="1404">
      <c r="E1404" s="78"/>
      <c r="G1404" s="78"/>
      <c r="I1404" s="80"/>
      <c r="K1404" s="71"/>
      <c r="N1404" s="109"/>
      <c r="Q1404" s="78"/>
      <c r="R1404" s="78"/>
      <c r="S1404" s="80"/>
      <c r="T1404" s="80"/>
      <c r="V1404" s="78"/>
      <c r="W1404" s="62"/>
      <c r="X1404" s="80"/>
      <c r="Y1404" s="109"/>
    </row>
    <row r="1405">
      <c r="E1405" s="78"/>
      <c r="G1405" s="78"/>
      <c r="I1405" s="80"/>
      <c r="K1405" s="71"/>
      <c r="N1405" s="109"/>
      <c r="Q1405" s="78"/>
      <c r="R1405" s="78"/>
      <c r="S1405" s="80"/>
      <c r="T1405" s="80"/>
      <c r="V1405" s="78"/>
      <c r="W1405" s="62"/>
      <c r="X1405" s="80"/>
      <c r="Y1405" s="109"/>
    </row>
    <row r="1406">
      <c r="E1406" s="78"/>
      <c r="G1406" s="78"/>
      <c r="I1406" s="80"/>
      <c r="K1406" s="71"/>
      <c r="N1406" s="109"/>
      <c r="Q1406" s="78"/>
      <c r="R1406" s="78"/>
      <c r="S1406" s="80"/>
      <c r="T1406" s="80"/>
      <c r="V1406" s="78"/>
      <c r="W1406" s="62"/>
      <c r="X1406" s="80"/>
      <c r="Y1406" s="109"/>
    </row>
    <row r="1407">
      <c r="E1407" s="78"/>
      <c r="G1407" s="78"/>
      <c r="I1407" s="80"/>
      <c r="K1407" s="71"/>
      <c r="N1407" s="109"/>
      <c r="Q1407" s="78"/>
      <c r="R1407" s="78"/>
      <c r="S1407" s="80"/>
      <c r="T1407" s="80"/>
      <c r="V1407" s="78"/>
      <c r="W1407" s="62"/>
      <c r="X1407" s="80"/>
      <c r="Y1407" s="109"/>
    </row>
    <row r="1408">
      <c r="E1408" s="78"/>
      <c r="G1408" s="78"/>
      <c r="I1408" s="80"/>
      <c r="K1408" s="71"/>
      <c r="N1408" s="109"/>
      <c r="Q1408" s="78"/>
      <c r="R1408" s="78"/>
      <c r="S1408" s="80"/>
      <c r="T1408" s="80"/>
      <c r="V1408" s="78"/>
      <c r="W1408" s="62"/>
      <c r="X1408" s="80"/>
      <c r="Y1408" s="109"/>
    </row>
    <row r="1409">
      <c r="E1409" s="78"/>
      <c r="G1409" s="78"/>
      <c r="I1409" s="80"/>
      <c r="K1409" s="71"/>
      <c r="N1409" s="109"/>
      <c r="Q1409" s="78"/>
      <c r="R1409" s="78"/>
      <c r="S1409" s="80"/>
      <c r="T1409" s="80"/>
      <c r="V1409" s="78"/>
      <c r="W1409" s="62"/>
      <c r="X1409" s="80"/>
      <c r="Y1409" s="109"/>
    </row>
    <row r="1410">
      <c r="E1410" s="78"/>
      <c r="G1410" s="78"/>
      <c r="I1410" s="80"/>
      <c r="K1410" s="71"/>
      <c r="N1410" s="109"/>
      <c r="Q1410" s="78"/>
      <c r="R1410" s="78"/>
      <c r="S1410" s="80"/>
      <c r="T1410" s="80"/>
      <c r="V1410" s="78"/>
      <c r="W1410" s="62"/>
      <c r="X1410" s="80"/>
      <c r="Y1410" s="109"/>
    </row>
    <row r="1411">
      <c r="E1411" s="78"/>
      <c r="G1411" s="78"/>
      <c r="I1411" s="80"/>
      <c r="K1411" s="71"/>
      <c r="N1411" s="109"/>
      <c r="Q1411" s="78"/>
      <c r="R1411" s="78"/>
      <c r="S1411" s="80"/>
      <c r="T1411" s="80"/>
      <c r="V1411" s="78"/>
      <c r="W1411" s="62"/>
      <c r="X1411" s="80"/>
      <c r="Y1411" s="109"/>
    </row>
    <row r="1412">
      <c r="E1412" s="78"/>
      <c r="G1412" s="78"/>
      <c r="I1412" s="80"/>
      <c r="K1412" s="71"/>
      <c r="N1412" s="109"/>
      <c r="Q1412" s="78"/>
      <c r="R1412" s="78"/>
      <c r="S1412" s="80"/>
      <c r="T1412" s="80"/>
      <c r="V1412" s="78"/>
      <c r="W1412" s="62"/>
      <c r="X1412" s="80"/>
      <c r="Y1412" s="109"/>
    </row>
    <row r="1413">
      <c r="E1413" s="78"/>
      <c r="G1413" s="78"/>
      <c r="I1413" s="80"/>
      <c r="K1413" s="71"/>
      <c r="N1413" s="109"/>
      <c r="Q1413" s="78"/>
      <c r="R1413" s="78"/>
      <c r="S1413" s="80"/>
      <c r="T1413" s="80"/>
      <c r="V1413" s="78"/>
      <c r="W1413" s="62"/>
      <c r="X1413" s="80"/>
      <c r="Y1413" s="109"/>
    </row>
    <row r="1414">
      <c r="E1414" s="78"/>
      <c r="G1414" s="78"/>
      <c r="I1414" s="80"/>
      <c r="K1414" s="71"/>
      <c r="N1414" s="109"/>
      <c r="Q1414" s="78"/>
      <c r="R1414" s="78"/>
      <c r="S1414" s="80"/>
      <c r="T1414" s="80"/>
      <c r="V1414" s="78"/>
      <c r="W1414" s="62"/>
      <c r="X1414" s="80"/>
      <c r="Y1414" s="109"/>
    </row>
    <row r="1415">
      <c r="E1415" s="78"/>
      <c r="G1415" s="78"/>
      <c r="I1415" s="80"/>
      <c r="K1415" s="71"/>
      <c r="N1415" s="109"/>
      <c r="Q1415" s="78"/>
      <c r="R1415" s="78"/>
      <c r="S1415" s="80"/>
      <c r="T1415" s="80"/>
      <c r="V1415" s="78"/>
      <c r="W1415" s="62"/>
      <c r="X1415" s="80"/>
      <c r="Y1415" s="109"/>
    </row>
    <row r="1416">
      <c r="E1416" s="78"/>
      <c r="G1416" s="78"/>
      <c r="I1416" s="80"/>
      <c r="K1416" s="71"/>
      <c r="N1416" s="109"/>
      <c r="Q1416" s="78"/>
      <c r="R1416" s="78"/>
      <c r="S1416" s="80"/>
      <c r="T1416" s="80"/>
      <c r="V1416" s="78"/>
      <c r="W1416" s="62"/>
      <c r="X1416" s="80"/>
      <c r="Y1416" s="109"/>
    </row>
    <row r="1417">
      <c r="E1417" s="78"/>
      <c r="G1417" s="78"/>
      <c r="I1417" s="80"/>
      <c r="K1417" s="71"/>
      <c r="N1417" s="109"/>
      <c r="Q1417" s="78"/>
      <c r="R1417" s="78"/>
      <c r="S1417" s="80"/>
      <c r="T1417" s="80"/>
      <c r="V1417" s="78"/>
      <c r="W1417" s="62"/>
      <c r="X1417" s="80"/>
      <c r="Y1417" s="109"/>
    </row>
    <row r="1418">
      <c r="E1418" s="78"/>
      <c r="G1418" s="78"/>
      <c r="I1418" s="80"/>
      <c r="K1418" s="71"/>
      <c r="N1418" s="109"/>
      <c r="Q1418" s="78"/>
      <c r="R1418" s="78"/>
      <c r="S1418" s="80"/>
      <c r="T1418" s="80"/>
      <c r="V1418" s="78"/>
      <c r="W1418" s="62"/>
      <c r="X1418" s="80"/>
      <c r="Y1418" s="109"/>
    </row>
    <row r="1419">
      <c r="E1419" s="78"/>
      <c r="G1419" s="78"/>
      <c r="I1419" s="80"/>
      <c r="K1419" s="71"/>
      <c r="N1419" s="109"/>
      <c r="Q1419" s="78"/>
      <c r="R1419" s="78"/>
      <c r="S1419" s="80"/>
      <c r="T1419" s="80"/>
      <c r="V1419" s="78"/>
      <c r="W1419" s="62"/>
      <c r="X1419" s="80"/>
      <c r="Y1419" s="109"/>
    </row>
    <row r="1420">
      <c r="E1420" s="78"/>
      <c r="G1420" s="78"/>
      <c r="I1420" s="80"/>
      <c r="K1420" s="71"/>
      <c r="N1420" s="109"/>
      <c r="Q1420" s="78"/>
      <c r="R1420" s="78"/>
      <c r="S1420" s="80"/>
      <c r="T1420" s="80"/>
      <c r="V1420" s="78"/>
      <c r="W1420" s="62"/>
      <c r="X1420" s="80"/>
      <c r="Y1420" s="109"/>
    </row>
    <row r="1421">
      <c r="E1421" s="78"/>
      <c r="G1421" s="78"/>
      <c r="I1421" s="80"/>
      <c r="K1421" s="71"/>
      <c r="N1421" s="109"/>
      <c r="Q1421" s="78"/>
      <c r="R1421" s="78"/>
      <c r="S1421" s="80"/>
      <c r="T1421" s="80"/>
      <c r="V1421" s="78"/>
      <c r="W1421" s="62"/>
      <c r="X1421" s="80"/>
      <c r="Y1421" s="109"/>
    </row>
    <row r="1422">
      <c r="E1422" s="78"/>
      <c r="G1422" s="78"/>
      <c r="I1422" s="80"/>
      <c r="K1422" s="71"/>
      <c r="N1422" s="109"/>
      <c r="Q1422" s="78"/>
      <c r="R1422" s="78"/>
      <c r="S1422" s="80"/>
      <c r="T1422" s="80"/>
      <c r="V1422" s="78"/>
      <c r="W1422" s="62"/>
      <c r="X1422" s="80"/>
      <c r="Y1422" s="109"/>
    </row>
    <row r="1423">
      <c r="E1423" s="78"/>
      <c r="G1423" s="78"/>
      <c r="I1423" s="80"/>
      <c r="K1423" s="71"/>
      <c r="N1423" s="109"/>
      <c r="Q1423" s="78"/>
      <c r="R1423" s="78"/>
      <c r="S1423" s="80"/>
      <c r="T1423" s="80"/>
      <c r="V1423" s="78"/>
      <c r="W1423" s="62"/>
      <c r="X1423" s="80"/>
      <c r="Y1423" s="109"/>
    </row>
    <row r="1424">
      <c r="E1424" s="78"/>
      <c r="G1424" s="78"/>
      <c r="I1424" s="80"/>
      <c r="K1424" s="71"/>
      <c r="N1424" s="109"/>
      <c r="Q1424" s="78"/>
      <c r="R1424" s="78"/>
      <c r="S1424" s="80"/>
      <c r="T1424" s="80"/>
      <c r="V1424" s="78"/>
      <c r="W1424" s="62"/>
      <c r="X1424" s="80"/>
      <c r="Y1424" s="109"/>
    </row>
    <row r="1425">
      <c r="E1425" s="78"/>
      <c r="G1425" s="78"/>
      <c r="I1425" s="80"/>
      <c r="K1425" s="71"/>
      <c r="N1425" s="109"/>
      <c r="Q1425" s="78"/>
      <c r="R1425" s="78"/>
      <c r="S1425" s="80"/>
      <c r="T1425" s="80"/>
      <c r="V1425" s="78"/>
      <c r="W1425" s="62"/>
      <c r="X1425" s="80"/>
      <c r="Y1425" s="109"/>
    </row>
    <row r="1426">
      <c r="E1426" s="78"/>
      <c r="G1426" s="78"/>
      <c r="I1426" s="80"/>
      <c r="K1426" s="71"/>
      <c r="N1426" s="109"/>
      <c r="Q1426" s="78"/>
      <c r="R1426" s="78"/>
      <c r="S1426" s="80"/>
      <c r="T1426" s="80"/>
      <c r="V1426" s="78"/>
      <c r="W1426" s="62"/>
      <c r="X1426" s="80"/>
      <c r="Y1426" s="109"/>
    </row>
    <row r="1427">
      <c r="E1427" s="78"/>
      <c r="G1427" s="78"/>
      <c r="I1427" s="80"/>
      <c r="K1427" s="71"/>
      <c r="N1427" s="109"/>
      <c r="Q1427" s="78"/>
      <c r="R1427" s="78"/>
      <c r="S1427" s="80"/>
      <c r="T1427" s="80"/>
      <c r="V1427" s="78"/>
      <c r="W1427" s="62"/>
      <c r="X1427" s="80"/>
      <c r="Y1427" s="109"/>
    </row>
    <row r="1428">
      <c r="E1428" s="78"/>
      <c r="G1428" s="78"/>
      <c r="I1428" s="80"/>
      <c r="K1428" s="71"/>
      <c r="N1428" s="109"/>
      <c r="Q1428" s="78"/>
      <c r="R1428" s="78"/>
      <c r="S1428" s="80"/>
      <c r="T1428" s="80"/>
      <c r="V1428" s="78"/>
      <c r="W1428" s="62"/>
      <c r="X1428" s="80"/>
      <c r="Y1428" s="109"/>
    </row>
    <row r="1429">
      <c r="E1429" s="78"/>
      <c r="G1429" s="78"/>
      <c r="I1429" s="80"/>
      <c r="K1429" s="71"/>
      <c r="N1429" s="109"/>
      <c r="Q1429" s="78"/>
      <c r="R1429" s="78"/>
      <c r="S1429" s="80"/>
      <c r="T1429" s="80"/>
      <c r="V1429" s="78"/>
      <c r="W1429" s="62"/>
      <c r="X1429" s="80"/>
      <c r="Y1429" s="109"/>
    </row>
    <row r="1430">
      <c r="E1430" s="78"/>
      <c r="G1430" s="78"/>
      <c r="I1430" s="80"/>
      <c r="K1430" s="71"/>
      <c r="N1430" s="109"/>
      <c r="Q1430" s="78"/>
      <c r="R1430" s="78"/>
      <c r="S1430" s="80"/>
      <c r="T1430" s="80"/>
      <c r="V1430" s="78"/>
      <c r="W1430" s="62"/>
      <c r="X1430" s="80"/>
      <c r="Y1430" s="109"/>
    </row>
    <row r="1431">
      <c r="E1431" s="78"/>
      <c r="G1431" s="78"/>
      <c r="I1431" s="80"/>
      <c r="K1431" s="71"/>
      <c r="N1431" s="109"/>
      <c r="Q1431" s="78"/>
      <c r="R1431" s="78"/>
      <c r="S1431" s="80"/>
      <c r="T1431" s="80"/>
      <c r="V1431" s="78"/>
      <c r="W1431" s="62"/>
      <c r="X1431" s="80"/>
      <c r="Y1431" s="109"/>
    </row>
    <row r="1432">
      <c r="E1432" s="78"/>
      <c r="G1432" s="78"/>
      <c r="I1432" s="80"/>
      <c r="K1432" s="71"/>
      <c r="N1432" s="109"/>
      <c r="Q1432" s="78"/>
      <c r="R1432" s="78"/>
      <c r="S1432" s="80"/>
      <c r="T1432" s="80"/>
      <c r="V1432" s="78"/>
      <c r="W1432" s="62"/>
      <c r="X1432" s="80"/>
      <c r="Y1432" s="109"/>
    </row>
    <row r="1433">
      <c r="E1433" s="78"/>
      <c r="G1433" s="78"/>
      <c r="I1433" s="80"/>
      <c r="K1433" s="71"/>
      <c r="N1433" s="109"/>
      <c r="Q1433" s="78"/>
      <c r="R1433" s="78"/>
      <c r="S1433" s="80"/>
      <c r="T1433" s="80"/>
      <c r="V1433" s="78"/>
      <c r="W1433" s="62"/>
      <c r="X1433" s="80"/>
      <c r="Y1433" s="109"/>
    </row>
    <row r="1434">
      <c r="E1434" s="78"/>
      <c r="G1434" s="78"/>
      <c r="I1434" s="80"/>
      <c r="K1434" s="71"/>
      <c r="N1434" s="109"/>
      <c r="Q1434" s="78"/>
      <c r="R1434" s="78"/>
      <c r="S1434" s="80"/>
      <c r="T1434" s="80"/>
      <c r="V1434" s="78"/>
      <c r="W1434" s="62"/>
      <c r="X1434" s="80"/>
      <c r="Y1434" s="109"/>
    </row>
    <row r="1435">
      <c r="E1435" s="78"/>
      <c r="G1435" s="78"/>
      <c r="I1435" s="80"/>
      <c r="K1435" s="71"/>
      <c r="N1435" s="109"/>
      <c r="Q1435" s="78"/>
      <c r="R1435" s="78"/>
      <c r="S1435" s="80"/>
      <c r="T1435" s="80"/>
      <c r="V1435" s="78"/>
      <c r="W1435" s="62"/>
      <c r="X1435" s="80"/>
      <c r="Y1435" s="109"/>
    </row>
    <row r="1436">
      <c r="E1436" s="78"/>
      <c r="G1436" s="78"/>
      <c r="I1436" s="80"/>
      <c r="K1436" s="71"/>
      <c r="N1436" s="109"/>
      <c r="Q1436" s="78"/>
      <c r="R1436" s="78"/>
      <c r="S1436" s="80"/>
      <c r="T1436" s="80"/>
      <c r="V1436" s="78"/>
      <c r="W1436" s="62"/>
      <c r="X1436" s="80"/>
      <c r="Y1436" s="109"/>
    </row>
    <row r="1437">
      <c r="E1437" s="78"/>
      <c r="G1437" s="78"/>
      <c r="I1437" s="80"/>
      <c r="K1437" s="71"/>
      <c r="N1437" s="109"/>
      <c r="Q1437" s="78"/>
      <c r="R1437" s="78"/>
      <c r="S1437" s="80"/>
      <c r="T1437" s="80"/>
      <c r="V1437" s="78"/>
      <c r="W1437" s="62"/>
      <c r="X1437" s="80"/>
      <c r="Y1437" s="109"/>
    </row>
    <row r="1438">
      <c r="E1438" s="78"/>
      <c r="G1438" s="78"/>
      <c r="I1438" s="80"/>
      <c r="K1438" s="71"/>
      <c r="N1438" s="109"/>
      <c r="Q1438" s="78"/>
      <c r="R1438" s="78"/>
      <c r="S1438" s="80"/>
      <c r="T1438" s="80"/>
      <c r="V1438" s="78"/>
      <c r="W1438" s="62"/>
      <c r="X1438" s="80"/>
      <c r="Y1438" s="109"/>
    </row>
    <row r="1439">
      <c r="E1439" s="78"/>
      <c r="G1439" s="78"/>
      <c r="I1439" s="80"/>
      <c r="K1439" s="71"/>
      <c r="N1439" s="109"/>
      <c r="Q1439" s="78"/>
      <c r="R1439" s="78"/>
      <c r="S1439" s="80"/>
      <c r="T1439" s="80"/>
      <c r="V1439" s="78"/>
      <c r="W1439" s="62"/>
      <c r="X1439" s="80"/>
      <c r="Y1439" s="109"/>
    </row>
    <row r="1440">
      <c r="E1440" s="78"/>
      <c r="G1440" s="78"/>
      <c r="I1440" s="80"/>
      <c r="K1440" s="71"/>
      <c r="N1440" s="109"/>
      <c r="Q1440" s="78"/>
      <c r="R1440" s="78"/>
      <c r="S1440" s="80"/>
      <c r="T1440" s="80"/>
      <c r="V1440" s="78"/>
      <c r="W1440" s="62"/>
      <c r="X1440" s="80"/>
      <c r="Y1440" s="109"/>
    </row>
    <row r="1441">
      <c r="E1441" s="78"/>
      <c r="G1441" s="78"/>
      <c r="I1441" s="80"/>
      <c r="K1441" s="71"/>
      <c r="N1441" s="109"/>
      <c r="Q1441" s="78"/>
      <c r="R1441" s="78"/>
      <c r="S1441" s="80"/>
      <c r="T1441" s="80"/>
      <c r="V1441" s="78"/>
      <c r="W1441" s="62"/>
      <c r="X1441" s="80"/>
      <c r="Y1441" s="109"/>
    </row>
    <row r="1442">
      <c r="E1442" s="78"/>
      <c r="G1442" s="78"/>
      <c r="I1442" s="80"/>
      <c r="K1442" s="71"/>
      <c r="N1442" s="109"/>
      <c r="Q1442" s="78"/>
      <c r="R1442" s="78"/>
      <c r="S1442" s="80"/>
      <c r="T1442" s="80"/>
      <c r="V1442" s="78"/>
      <c r="W1442" s="62"/>
      <c r="X1442" s="80"/>
      <c r="Y1442" s="109"/>
    </row>
    <row r="1443">
      <c r="E1443" s="78"/>
      <c r="G1443" s="78"/>
      <c r="I1443" s="80"/>
      <c r="K1443" s="71"/>
      <c r="N1443" s="109"/>
      <c r="Q1443" s="78"/>
      <c r="R1443" s="78"/>
      <c r="S1443" s="80"/>
      <c r="T1443" s="80"/>
      <c r="V1443" s="78"/>
      <c r="W1443" s="62"/>
      <c r="X1443" s="80"/>
      <c r="Y1443" s="109"/>
    </row>
    <row r="1444">
      <c r="E1444" s="78"/>
      <c r="G1444" s="78"/>
      <c r="I1444" s="80"/>
      <c r="K1444" s="71"/>
      <c r="N1444" s="109"/>
      <c r="Q1444" s="78"/>
      <c r="R1444" s="78"/>
      <c r="S1444" s="80"/>
      <c r="T1444" s="80"/>
      <c r="V1444" s="78"/>
      <c r="W1444" s="62"/>
      <c r="X1444" s="80"/>
      <c r="Y1444" s="109"/>
    </row>
    <row r="1445">
      <c r="E1445" s="78"/>
      <c r="G1445" s="78"/>
      <c r="I1445" s="80"/>
      <c r="K1445" s="71"/>
      <c r="N1445" s="109"/>
      <c r="Q1445" s="78"/>
      <c r="R1445" s="78"/>
      <c r="S1445" s="80"/>
      <c r="T1445" s="80"/>
      <c r="V1445" s="78"/>
      <c r="W1445" s="62"/>
      <c r="X1445" s="80"/>
      <c r="Y1445" s="109"/>
    </row>
    <row r="1446">
      <c r="E1446" s="78"/>
      <c r="G1446" s="78"/>
      <c r="I1446" s="80"/>
      <c r="K1446" s="71"/>
      <c r="N1446" s="109"/>
      <c r="Q1446" s="78"/>
      <c r="R1446" s="78"/>
      <c r="S1446" s="80"/>
      <c r="T1446" s="80"/>
      <c r="V1446" s="78"/>
      <c r="W1446" s="62"/>
      <c r="X1446" s="80"/>
      <c r="Y1446" s="109"/>
    </row>
    <row r="1447">
      <c r="E1447" s="78"/>
      <c r="G1447" s="78"/>
      <c r="I1447" s="80"/>
      <c r="K1447" s="71"/>
      <c r="N1447" s="109"/>
      <c r="Q1447" s="78"/>
      <c r="R1447" s="78"/>
      <c r="S1447" s="80"/>
      <c r="T1447" s="80"/>
      <c r="V1447" s="78"/>
      <c r="W1447" s="62"/>
      <c r="X1447" s="80"/>
      <c r="Y1447" s="109"/>
    </row>
    <row r="1448">
      <c r="E1448" s="78"/>
      <c r="G1448" s="78"/>
      <c r="I1448" s="80"/>
      <c r="K1448" s="71"/>
      <c r="N1448" s="109"/>
      <c r="Q1448" s="78"/>
      <c r="R1448" s="78"/>
      <c r="S1448" s="80"/>
      <c r="T1448" s="80"/>
      <c r="V1448" s="78"/>
      <c r="W1448" s="62"/>
      <c r="X1448" s="80"/>
      <c r="Y1448" s="109"/>
    </row>
    <row r="1449">
      <c r="E1449" s="78"/>
      <c r="G1449" s="78"/>
      <c r="I1449" s="80"/>
      <c r="K1449" s="71"/>
      <c r="N1449" s="109"/>
      <c r="Q1449" s="78"/>
      <c r="R1449" s="78"/>
      <c r="S1449" s="80"/>
      <c r="T1449" s="80"/>
      <c r="V1449" s="78"/>
      <c r="W1449" s="62"/>
      <c r="X1449" s="80"/>
      <c r="Y1449" s="109"/>
    </row>
    <row r="1450">
      <c r="E1450" s="78"/>
      <c r="G1450" s="78"/>
      <c r="I1450" s="80"/>
      <c r="K1450" s="71"/>
      <c r="N1450" s="109"/>
      <c r="Q1450" s="78"/>
      <c r="R1450" s="78"/>
      <c r="S1450" s="80"/>
      <c r="T1450" s="80"/>
      <c r="V1450" s="78"/>
      <c r="W1450" s="62"/>
      <c r="X1450" s="80"/>
      <c r="Y1450" s="109"/>
    </row>
    <row r="1451">
      <c r="E1451" s="78"/>
      <c r="G1451" s="78"/>
      <c r="I1451" s="80"/>
      <c r="K1451" s="71"/>
      <c r="N1451" s="109"/>
      <c r="Q1451" s="78"/>
      <c r="R1451" s="78"/>
      <c r="S1451" s="80"/>
      <c r="T1451" s="80"/>
      <c r="V1451" s="78"/>
      <c r="W1451" s="62"/>
      <c r="X1451" s="80"/>
      <c r="Y1451" s="109"/>
    </row>
    <row r="1452">
      <c r="E1452" s="78"/>
      <c r="G1452" s="78"/>
      <c r="I1452" s="80"/>
      <c r="K1452" s="71"/>
      <c r="N1452" s="109"/>
      <c r="Q1452" s="78"/>
      <c r="R1452" s="78"/>
      <c r="S1452" s="80"/>
      <c r="T1452" s="80"/>
      <c r="V1452" s="78"/>
      <c r="W1452" s="62"/>
      <c r="X1452" s="80"/>
      <c r="Y1452" s="109"/>
    </row>
    <row r="1453">
      <c r="E1453" s="78"/>
      <c r="G1453" s="78"/>
      <c r="I1453" s="80"/>
      <c r="K1453" s="71"/>
      <c r="N1453" s="109"/>
      <c r="Q1453" s="78"/>
      <c r="R1453" s="78"/>
      <c r="S1453" s="80"/>
      <c r="T1453" s="80"/>
      <c r="V1453" s="78"/>
      <c r="W1453" s="62"/>
      <c r="X1453" s="80"/>
      <c r="Y1453" s="109"/>
    </row>
    <row r="1454">
      <c r="E1454" s="78"/>
      <c r="G1454" s="78"/>
      <c r="I1454" s="80"/>
      <c r="K1454" s="71"/>
      <c r="N1454" s="109"/>
      <c r="Q1454" s="78"/>
      <c r="R1454" s="78"/>
      <c r="S1454" s="80"/>
      <c r="T1454" s="80"/>
      <c r="V1454" s="78"/>
      <c r="W1454" s="62"/>
      <c r="X1454" s="80"/>
      <c r="Y1454" s="109"/>
    </row>
    <row r="1455">
      <c r="E1455" s="78"/>
      <c r="G1455" s="78"/>
      <c r="I1455" s="80"/>
      <c r="K1455" s="71"/>
      <c r="N1455" s="109"/>
      <c r="Q1455" s="78"/>
      <c r="R1455" s="78"/>
      <c r="S1455" s="80"/>
      <c r="T1455" s="80"/>
      <c r="V1455" s="78"/>
      <c r="W1455" s="62"/>
      <c r="X1455" s="80"/>
      <c r="Y1455" s="109"/>
    </row>
    <row r="1456">
      <c r="E1456" s="78"/>
      <c r="G1456" s="78"/>
      <c r="I1456" s="80"/>
      <c r="K1456" s="71"/>
      <c r="N1456" s="109"/>
      <c r="Q1456" s="78"/>
      <c r="R1456" s="78"/>
      <c r="S1456" s="80"/>
      <c r="T1456" s="80"/>
      <c r="V1456" s="78"/>
      <c r="W1456" s="62"/>
      <c r="X1456" s="80"/>
      <c r="Y1456" s="109"/>
    </row>
    <row r="1457">
      <c r="E1457" s="78"/>
      <c r="G1457" s="78"/>
      <c r="I1457" s="80"/>
      <c r="K1457" s="71"/>
      <c r="N1457" s="109"/>
      <c r="Q1457" s="78"/>
      <c r="R1457" s="78"/>
      <c r="S1457" s="80"/>
      <c r="T1457" s="80"/>
      <c r="V1457" s="78"/>
      <c r="W1457" s="62"/>
      <c r="X1457" s="80"/>
      <c r="Y1457" s="109"/>
    </row>
    <row r="1458">
      <c r="E1458" s="78"/>
      <c r="G1458" s="78"/>
      <c r="I1458" s="80"/>
      <c r="K1458" s="71"/>
      <c r="N1458" s="109"/>
      <c r="Q1458" s="78"/>
      <c r="R1458" s="78"/>
      <c r="S1458" s="80"/>
      <c r="T1458" s="80"/>
      <c r="V1458" s="78"/>
      <c r="W1458" s="62"/>
      <c r="X1458" s="80"/>
      <c r="Y1458" s="109"/>
    </row>
    <row r="1459">
      <c r="E1459" s="78"/>
      <c r="G1459" s="78"/>
      <c r="I1459" s="80"/>
      <c r="K1459" s="71"/>
      <c r="N1459" s="109"/>
      <c r="Q1459" s="78"/>
      <c r="R1459" s="78"/>
      <c r="S1459" s="80"/>
      <c r="T1459" s="80"/>
      <c r="V1459" s="78"/>
      <c r="W1459" s="62"/>
      <c r="X1459" s="80"/>
      <c r="Y1459" s="109"/>
    </row>
    <row r="1460">
      <c r="E1460" s="78"/>
      <c r="G1460" s="78"/>
      <c r="I1460" s="80"/>
      <c r="K1460" s="71"/>
      <c r="N1460" s="109"/>
      <c r="Q1460" s="78"/>
      <c r="R1460" s="78"/>
      <c r="S1460" s="80"/>
      <c r="T1460" s="80"/>
      <c r="V1460" s="78"/>
      <c r="W1460" s="62"/>
      <c r="X1460" s="80"/>
      <c r="Y1460" s="109"/>
    </row>
    <row r="1461">
      <c r="E1461" s="78"/>
      <c r="G1461" s="78"/>
      <c r="I1461" s="80"/>
      <c r="K1461" s="71"/>
      <c r="N1461" s="109"/>
      <c r="Q1461" s="78"/>
      <c r="R1461" s="78"/>
      <c r="S1461" s="80"/>
      <c r="T1461" s="80"/>
      <c r="V1461" s="78"/>
      <c r="W1461" s="62"/>
      <c r="X1461" s="80"/>
      <c r="Y1461" s="109"/>
    </row>
    <row r="1462">
      <c r="E1462" s="78"/>
      <c r="G1462" s="78"/>
      <c r="I1462" s="80"/>
      <c r="K1462" s="71"/>
      <c r="N1462" s="109"/>
      <c r="Q1462" s="78"/>
      <c r="R1462" s="78"/>
      <c r="S1462" s="80"/>
      <c r="T1462" s="80"/>
      <c r="V1462" s="78"/>
      <c r="W1462" s="62"/>
      <c r="X1462" s="80"/>
      <c r="Y1462" s="109"/>
    </row>
    <row r="1463">
      <c r="E1463" s="78"/>
      <c r="G1463" s="78"/>
      <c r="I1463" s="80"/>
      <c r="K1463" s="71"/>
      <c r="N1463" s="109"/>
      <c r="Q1463" s="78"/>
      <c r="R1463" s="78"/>
      <c r="S1463" s="80"/>
      <c r="T1463" s="80"/>
      <c r="V1463" s="78"/>
      <c r="W1463" s="62"/>
      <c r="X1463" s="80"/>
      <c r="Y1463" s="109"/>
    </row>
    <row r="1464">
      <c r="E1464" s="78"/>
      <c r="G1464" s="78"/>
      <c r="I1464" s="80"/>
      <c r="K1464" s="71"/>
      <c r="N1464" s="109"/>
      <c r="Q1464" s="78"/>
      <c r="R1464" s="78"/>
      <c r="S1464" s="80"/>
      <c r="T1464" s="80"/>
      <c r="V1464" s="78"/>
      <c r="W1464" s="62"/>
      <c r="X1464" s="80"/>
      <c r="Y1464" s="109"/>
    </row>
    <row r="1465">
      <c r="E1465" s="78"/>
      <c r="G1465" s="78"/>
      <c r="I1465" s="80"/>
      <c r="K1465" s="71"/>
      <c r="N1465" s="109"/>
      <c r="Q1465" s="78"/>
      <c r="R1465" s="78"/>
      <c r="S1465" s="80"/>
      <c r="T1465" s="80"/>
      <c r="V1465" s="78"/>
      <c r="W1465" s="62"/>
      <c r="X1465" s="80"/>
      <c r="Y1465" s="109"/>
    </row>
    <row r="1466">
      <c r="E1466" s="78"/>
      <c r="G1466" s="78"/>
      <c r="I1466" s="80"/>
      <c r="K1466" s="71"/>
      <c r="N1466" s="109"/>
      <c r="Q1466" s="78"/>
      <c r="R1466" s="78"/>
      <c r="S1466" s="80"/>
      <c r="T1466" s="80"/>
      <c r="V1466" s="78"/>
      <c r="W1466" s="62"/>
      <c r="X1466" s="80"/>
      <c r="Y1466" s="109"/>
    </row>
    <row r="1467">
      <c r="E1467" s="78"/>
      <c r="G1467" s="78"/>
      <c r="I1467" s="80"/>
      <c r="K1467" s="71"/>
      <c r="N1467" s="109"/>
      <c r="Q1467" s="78"/>
      <c r="R1467" s="78"/>
      <c r="S1467" s="80"/>
      <c r="T1467" s="80"/>
      <c r="V1467" s="78"/>
      <c r="W1467" s="62"/>
      <c r="X1467" s="80"/>
      <c r="Y1467" s="109"/>
    </row>
    <row r="1468">
      <c r="E1468" s="78"/>
      <c r="G1468" s="78"/>
      <c r="I1468" s="80"/>
      <c r="K1468" s="71"/>
      <c r="N1468" s="109"/>
      <c r="Q1468" s="78"/>
      <c r="R1468" s="78"/>
      <c r="S1468" s="80"/>
      <c r="T1468" s="80"/>
      <c r="V1468" s="78"/>
      <c r="W1468" s="62"/>
      <c r="X1468" s="80"/>
      <c r="Y1468" s="109"/>
    </row>
    <row r="1469">
      <c r="E1469" s="78"/>
      <c r="G1469" s="78"/>
      <c r="I1469" s="80"/>
      <c r="K1469" s="71"/>
      <c r="N1469" s="109"/>
      <c r="Q1469" s="78"/>
      <c r="R1469" s="78"/>
      <c r="S1469" s="80"/>
      <c r="T1469" s="80"/>
      <c r="V1469" s="78"/>
      <c r="W1469" s="62"/>
      <c r="X1469" s="80"/>
      <c r="Y1469" s="109"/>
    </row>
    <row r="1470">
      <c r="E1470" s="78"/>
      <c r="G1470" s="78"/>
      <c r="I1470" s="80"/>
      <c r="K1470" s="71"/>
      <c r="N1470" s="109"/>
      <c r="Q1470" s="78"/>
      <c r="R1470" s="78"/>
      <c r="S1470" s="80"/>
      <c r="T1470" s="80"/>
      <c r="V1470" s="78"/>
      <c r="W1470" s="62"/>
      <c r="X1470" s="80"/>
      <c r="Y1470" s="109"/>
    </row>
    <row r="1471">
      <c r="E1471" s="78"/>
      <c r="G1471" s="78"/>
      <c r="I1471" s="80"/>
      <c r="K1471" s="71"/>
      <c r="N1471" s="109"/>
      <c r="Q1471" s="78"/>
      <c r="R1471" s="78"/>
      <c r="S1471" s="80"/>
      <c r="T1471" s="80"/>
      <c r="V1471" s="78"/>
      <c r="W1471" s="62"/>
      <c r="X1471" s="80"/>
      <c r="Y1471" s="109"/>
    </row>
    <row r="1472">
      <c r="E1472" s="78"/>
      <c r="G1472" s="78"/>
      <c r="I1472" s="80"/>
      <c r="K1472" s="71"/>
      <c r="N1472" s="109"/>
      <c r="Q1472" s="78"/>
      <c r="R1472" s="78"/>
      <c r="S1472" s="80"/>
      <c r="T1472" s="80"/>
      <c r="V1472" s="78"/>
      <c r="W1472" s="62"/>
      <c r="X1472" s="80"/>
      <c r="Y1472" s="109"/>
    </row>
    <row r="1473">
      <c r="E1473" s="78"/>
      <c r="G1473" s="78"/>
      <c r="I1473" s="80"/>
      <c r="K1473" s="71"/>
      <c r="N1473" s="109"/>
      <c r="Q1473" s="78"/>
      <c r="R1473" s="78"/>
      <c r="S1473" s="80"/>
      <c r="T1473" s="80"/>
      <c r="V1473" s="78"/>
      <c r="W1473" s="62"/>
      <c r="X1473" s="80"/>
      <c r="Y1473" s="109"/>
    </row>
    <row r="1474">
      <c r="E1474" s="78"/>
      <c r="G1474" s="78"/>
      <c r="I1474" s="80"/>
      <c r="K1474" s="71"/>
      <c r="N1474" s="109"/>
      <c r="Q1474" s="78"/>
      <c r="R1474" s="78"/>
      <c r="S1474" s="80"/>
      <c r="T1474" s="80"/>
      <c r="V1474" s="78"/>
      <c r="W1474" s="62"/>
      <c r="X1474" s="80"/>
      <c r="Y1474" s="109"/>
    </row>
    <row r="1475">
      <c r="E1475" s="78"/>
      <c r="G1475" s="78"/>
      <c r="I1475" s="80"/>
      <c r="K1475" s="71"/>
      <c r="N1475" s="109"/>
      <c r="Q1475" s="78"/>
      <c r="R1475" s="78"/>
      <c r="S1475" s="80"/>
      <c r="T1475" s="80"/>
      <c r="V1475" s="78"/>
      <c r="W1475" s="62"/>
      <c r="X1475" s="80"/>
      <c r="Y1475" s="109"/>
    </row>
    <row r="1476">
      <c r="E1476" s="78"/>
      <c r="G1476" s="78"/>
      <c r="I1476" s="80"/>
      <c r="K1476" s="71"/>
      <c r="N1476" s="109"/>
      <c r="Q1476" s="78"/>
      <c r="R1476" s="78"/>
      <c r="S1476" s="80"/>
      <c r="T1476" s="80"/>
      <c r="V1476" s="78"/>
      <c r="W1476" s="62"/>
      <c r="X1476" s="80"/>
      <c r="Y1476" s="109"/>
    </row>
    <row r="1477">
      <c r="E1477" s="78"/>
      <c r="G1477" s="78"/>
      <c r="I1477" s="80"/>
      <c r="K1477" s="71"/>
      <c r="N1477" s="109"/>
      <c r="Q1477" s="78"/>
      <c r="R1477" s="78"/>
      <c r="S1477" s="80"/>
      <c r="T1477" s="80"/>
      <c r="V1477" s="78"/>
      <c r="W1477" s="62"/>
      <c r="X1477" s="80"/>
      <c r="Y1477" s="109"/>
    </row>
    <row r="1478">
      <c r="E1478" s="78"/>
      <c r="G1478" s="78"/>
      <c r="I1478" s="80"/>
      <c r="K1478" s="71"/>
      <c r="N1478" s="109"/>
      <c r="Q1478" s="78"/>
      <c r="R1478" s="78"/>
      <c r="S1478" s="80"/>
      <c r="T1478" s="80"/>
      <c r="V1478" s="78"/>
      <c r="W1478" s="62"/>
      <c r="X1478" s="80"/>
      <c r="Y1478" s="109"/>
    </row>
    <row r="1479">
      <c r="E1479" s="78"/>
      <c r="G1479" s="78"/>
      <c r="I1479" s="80"/>
      <c r="K1479" s="71"/>
      <c r="N1479" s="109"/>
      <c r="Q1479" s="78"/>
      <c r="R1479" s="78"/>
      <c r="S1479" s="80"/>
      <c r="T1479" s="80"/>
      <c r="V1479" s="78"/>
      <c r="W1479" s="62"/>
      <c r="X1479" s="80"/>
      <c r="Y1479" s="109"/>
    </row>
    <row r="1480">
      <c r="E1480" s="78"/>
      <c r="G1480" s="78"/>
      <c r="I1480" s="80"/>
      <c r="K1480" s="71"/>
      <c r="N1480" s="109"/>
      <c r="Q1480" s="78"/>
      <c r="R1480" s="78"/>
      <c r="S1480" s="80"/>
      <c r="T1480" s="80"/>
      <c r="V1480" s="78"/>
      <c r="W1480" s="62"/>
      <c r="X1480" s="80"/>
      <c r="Y1480" s="109"/>
    </row>
    <row r="1481">
      <c r="E1481" s="78"/>
      <c r="G1481" s="78"/>
      <c r="I1481" s="80"/>
      <c r="K1481" s="71"/>
      <c r="N1481" s="109"/>
      <c r="Q1481" s="78"/>
      <c r="R1481" s="78"/>
      <c r="S1481" s="80"/>
      <c r="T1481" s="80"/>
      <c r="V1481" s="78"/>
      <c r="W1481" s="62"/>
      <c r="X1481" s="80"/>
      <c r="Y1481" s="109"/>
    </row>
    <row r="1482">
      <c r="E1482" s="78"/>
      <c r="G1482" s="78"/>
      <c r="I1482" s="80"/>
      <c r="K1482" s="71"/>
      <c r="N1482" s="109"/>
      <c r="Q1482" s="78"/>
      <c r="R1482" s="78"/>
      <c r="S1482" s="80"/>
      <c r="T1482" s="80"/>
      <c r="V1482" s="78"/>
      <c r="W1482" s="62"/>
      <c r="X1482" s="80"/>
      <c r="Y1482" s="109"/>
    </row>
    <row r="1483">
      <c r="E1483" s="78"/>
      <c r="G1483" s="78"/>
      <c r="I1483" s="80"/>
      <c r="K1483" s="71"/>
      <c r="N1483" s="109"/>
      <c r="Q1483" s="78"/>
      <c r="R1483" s="78"/>
      <c r="S1483" s="80"/>
      <c r="T1483" s="80"/>
      <c r="V1483" s="78"/>
      <c r="W1483" s="62"/>
      <c r="X1483" s="80"/>
      <c r="Y1483" s="109"/>
    </row>
    <row r="1484">
      <c r="E1484" s="78"/>
      <c r="G1484" s="78"/>
      <c r="I1484" s="80"/>
      <c r="K1484" s="71"/>
      <c r="N1484" s="109"/>
      <c r="Q1484" s="78"/>
      <c r="R1484" s="78"/>
      <c r="S1484" s="80"/>
      <c r="T1484" s="80"/>
      <c r="V1484" s="78"/>
      <c r="W1484" s="62"/>
      <c r="X1484" s="80"/>
      <c r="Y1484" s="109"/>
    </row>
    <row r="1485">
      <c r="E1485" s="78"/>
      <c r="G1485" s="78"/>
      <c r="I1485" s="80"/>
      <c r="K1485" s="71"/>
      <c r="N1485" s="109"/>
      <c r="Q1485" s="78"/>
      <c r="R1485" s="78"/>
      <c r="S1485" s="80"/>
      <c r="T1485" s="80"/>
      <c r="V1485" s="78"/>
      <c r="W1485" s="62"/>
      <c r="X1485" s="80"/>
      <c r="Y1485" s="109"/>
    </row>
    <row r="1486">
      <c r="E1486" s="78"/>
      <c r="G1486" s="78"/>
      <c r="I1486" s="80"/>
      <c r="K1486" s="71"/>
      <c r="N1486" s="109"/>
      <c r="Q1486" s="78"/>
      <c r="R1486" s="78"/>
      <c r="S1486" s="80"/>
      <c r="T1486" s="80"/>
      <c r="V1486" s="78"/>
      <c r="W1486" s="62"/>
      <c r="X1486" s="80"/>
      <c r="Y1486" s="109"/>
    </row>
    <row r="1487">
      <c r="E1487" s="78"/>
      <c r="G1487" s="78"/>
      <c r="I1487" s="80"/>
      <c r="K1487" s="71"/>
      <c r="N1487" s="109"/>
      <c r="Q1487" s="78"/>
      <c r="R1487" s="78"/>
      <c r="S1487" s="80"/>
      <c r="T1487" s="80"/>
      <c r="V1487" s="78"/>
      <c r="W1487" s="62"/>
      <c r="X1487" s="80"/>
      <c r="Y1487" s="109"/>
    </row>
    <row r="1488">
      <c r="E1488" s="78"/>
      <c r="G1488" s="78"/>
      <c r="I1488" s="80"/>
      <c r="K1488" s="71"/>
      <c r="N1488" s="109"/>
      <c r="Q1488" s="78"/>
      <c r="R1488" s="78"/>
      <c r="S1488" s="80"/>
      <c r="T1488" s="80"/>
      <c r="V1488" s="78"/>
      <c r="W1488" s="62"/>
      <c r="X1488" s="80"/>
      <c r="Y1488" s="109"/>
    </row>
    <row r="1489">
      <c r="E1489" s="78"/>
      <c r="G1489" s="78"/>
      <c r="I1489" s="80"/>
      <c r="K1489" s="71"/>
      <c r="N1489" s="109"/>
      <c r="Q1489" s="78"/>
      <c r="R1489" s="78"/>
      <c r="S1489" s="80"/>
      <c r="T1489" s="80"/>
      <c r="V1489" s="78"/>
      <c r="W1489" s="62"/>
      <c r="X1489" s="80"/>
      <c r="Y1489" s="109"/>
    </row>
    <row r="1490">
      <c r="E1490" s="78"/>
      <c r="G1490" s="78"/>
      <c r="I1490" s="80"/>
      <c r="K1490" s="71"/>
      <c r="N1490" s="109"/>
      <c r="Q1490" s="78"/>
      <c r="R1490" s="78"/>
      <c r="S1490" s="80"/>
      <c r="T1490" s="80"/>
      <c r="V1490" s="78"/>
      <c r="W1490" s="62"/>
      <c r="X1490" s="80"/>
      <c r="Y1490" s="109"/>
    </row>
    <row r="1491">
      <c r="E1491" s="78"/>
      <c r="G1491" s="78"/>
      <c r="I1491" s="80"/>
      <c r="K1491" s="71"/>
      <c r="N1491" s="109"/>
      <c r="Q1491" s="78"/>
      <c r="R1491" s="78"/>
      <c r="S1491" s="80"/>
      <c r="T1491" s="80"/>
      <c r="V1491" s="78"/>
      <c r="W1491" s="62"/>
      <c r="X1491" s="80"/>
      <c r="Y1491" s="109"/>
    </row>
    <row r="1492">
      <c r="E1492" s="78"/>
      <c r="G1492" s="78"/>
      <c r="I1492" s="80"/>
      <c r="K1492" s="71"/>
      <c r="N1492" s="109"/>
      <c r="Q1492" s="78"/>
      <c r="R1492" s="78"/>
      <c r="S1492" s="80"/>
      <c r="T1492" s="80"/>
      <c r="V1492" s="78"/>
      <c r="W1492" s="62"/>
      <c r="X1492" s="80"/>
      <c r="Y1492" s="109"/>
    </row>
    <row r="1493">
      <c r="E1493" s="78"/>
      <c r="G1493" s="78"/>
      <c r="I1493" s="80"/>
      <c r="K1493" s="71"/>
      <c r="N1493" s="109"/>
      <c r="Q1493" s="78"/>
      <c r="R1493" s="78"/>
      <c r="S1493" s="80"/>
      <c r="T1493" s="80"/>
      <c r="V1493" s="78"/>
      <c r="W1493" s="62"/>
      <c r="X1493" s="80"/>
      <c r="Y1493" s="109"/>
    </row>
    <row r="1494">
      <c r="E1494" s="78"/>
      <c r="G1494" s="78"/>
      <c r="I1494" s="80"/>
      <c r="K1494" s="71"/>
      <c r="N1494" s="109"/>
      <c r="Q1494" s="78"/>
      <c r="R1494" s="78"/>
      <c r="S1494" s="80"/>
      <c r="T1494" s="80"/>
      <c r="V1494" s="78"/>
      <c r="W1494" s="62"/>
      <c r="X1494" s="80"/>
      <c r="Y1494" s="109"/>
    </row>
    <row r="1495">
      <c r="E1495" s="78"/>
      <c r="G1495" s="78"/>
      <c r="I1495" s="80"/>
      <c r="K1495" s="71"/>
      <c r="N1495" s="109"/>
      <c r="Q1495" s="78"/>
      <c r="R1495" s="78"/>
      <c r="S1495" s="80"/>
      <c r="T1495" s="80"/>
      <c r="V1495" s="78"/>
      <c r="W1495" s="62"/>
      <c r="X1495" s="80"/>
      <c r="Y1495" s="109"/>
    </row>
    <row r="1496">
      <c r="E1496" s="78"/>
      <c r="G1496" s="78"/>
      <c r="I1496" s="80"/>
      <c r="K1496" s="71"/>
      <c r="N1496" s="109"/>
      <c r="Q1496" s="78"/>
      <c r="R1496" s="78"/>
      <c r="S1496" s="80"/>
      <c r="T1496" s="80"/>
      <c r="V1496" s="78"/>
      <c r="W1496" s="62"/>
      <c r="X1496" s="80"/>
      <c r="Y1496" s="109"/>
    </row>
    <row r="1497">
      <c r="E1497" s="78"/>
      <c r="G1497" s="78"/>
      <c r="I1497" s="80"/>
      <c r="K1497" s="71"/>
      <c r="N1497" s="109"/>
      <c r="Q1497" s="78"/>
      <c r="R1497" s="78"/>
      <c r="S1497" s="80"/>
      <c r="T1497" s="80"/>
      <c r="V1497" s="78"/>
      <c r="W1497" s="62"/>
      <c r="X1497" s="80"/>
      <c r="Y1497" s="109"/>
    </row>
    <row r="1498">
      <c r="E1498" s="78"/>
      <c r="G1498" s="78"/>
      <c r="I1498" s="80"/>
      <c r="K1498" s="71"/>
      <c r="N1498" s="109"/>
      <c r="Q1498" s="78"/>
      <c r="R1498" s="78"/>
      <c r="S1498" s="80"/>
      <c r="T1498" s="80"/>
      <c r="V1498" s="78"/>
      <c r="W1498" s="62"/>
      <c r="X1498" s="80"/>
      <c r="Y1498" s="109"/>
    </row>
    <row r="1499">
      <c r="E1499" s="78"/>
      <c r="G1499" s="78"/>
      <c r="I1499" s="80"/>
      <c r="K1499" s="71"/>
      <c r="N1499" s="109"/>
      <c r="Q1499" s="78"/>
      <c r="R1499" s="78"/>
      <c r="S1499" s="80"/>
      <c r="T1499" s="80"/>
      <c r="V1499" s="78"/>
      <c r="W1499" s="62"/>
      <c r="X1499" s="80"/>
      <c r="Y1499" s="109"/>
    </row>
    <row r="1500">
      <c r="E1500" s="78"/>
      <c r="G1500" s="78"/>
      <c r="I1500" s="80"/>
      <c r="K1500" s="71"/>
      <c r="N1500" s="109"/>
      <c r="Q1500" s="78"/>
      <c r="R1500" s="78"/>
      <c r="S1500" s="80"/>
      <c r="T1500" s="80"/>
      <c r="V1500" s="78"/>
      <c r="W1500" s="62"/>
      <c r="X1500" s="80"/>
      <c r="Y1500" s="109"/>
    </row>
    <row r="1501">
      <c r="E1501" s="78"/>
      <c r="G1501" s="78"/>
      <c r="I1501" s="80"/>
      <c r="K1501" s="71"/>
      <c r="N1501" s="109"/>
      <c r="Q1501" s="78"/>
      <c r="R1501" s="78"/>
      <c r="S1501" s="80"/>
      <c r="T1501" s="80"/>
      <c r="V1501" s="78"/>
      <c r="W1501" s="62"/>
      <c r="X1501" s="80"/>
      <c r="Y1501" s="109"/>
    </row>
    <row r="1502">
      <c r="E1502" s="78"/>
      <c r="G1502" s="78"/>
      <c r="I1502" s="80"/>
      <c r="K1502" s="71"/>
      <c r="N1502" s="109"/>
      <c r="Q1502" s="78"/>
      <c r="R1502" s="78"/>
      <c r="S1502" s="80"/>
      <c r="T1502" s="80"/>
      <c r="V1502" s="78"/>
      <c r="W1502" s="62"/>
      <c r="X1502" s="80"/>
      <c r="Y1502" s="109"/>
    </row>
    <row r="1503">
      <c r="E1503" s="78"/>
      <c r="G1503" s="78"/>
      <c r="I1503" s="80"/>
      <c r="K1503" s="71"/>
      <c r="N1503" s="109"/>
      <c r="Q1503" s="78"/>
      <c r="R1503" s="78"/>
      <c r="S1503" s="80"/>
      <c r="T1503" s="80"/>
      <c r="V1503" s="78"/>
      <c r="W1503" s="62"/>
      <c r="X1503" s="80"/>
      <c r="Y1503" s="109"/>
    </row>
    <row r="1504">
      <c r="E1504" s="78"/>
      <c r="G1504" s="78"/>
      <c r="I1504" s="80"/>
      <c r="K1504" s="71"/>
      <c r="N1504" s="109"/>
      <c r="Q1504" s="78"/>
      <c r="R1504" s="78"/>
      <c r="S1504" s="80"/>
      <c r="T1504" s="80"/>
      <c r="V1504" s="78"/>
      <c r="W1504" s="62"/>
      <c r="X1504" s="80"/>
      <c r="Y1504" s="109"/>
    </row>
    <row r="1505">
      <c r="E1505" s="78"/>
      <c r="G1505" s="78"/>
      <c r="I1505" s="80"/>
      <c r="K1505" s="71"/>
      <c r="N1505" s="109"/>
      <c r="Q1505" s="78"/>
      <c r="R1505" s="78"/>
      <c r="S1505" s="80"/>
      <c r="T1505" s="80"/>
      <c r="V1505" s="78"/>
      <c r="W1505" s="62"/>
      <c r="X1505" s="80"/>
      <c r="Y1505" s="109"/>
    </row>
    <row r="1506">
      <c r="E1506" s="78"/>
      <c r="G1506" s="78"/>
      <c r="I1506" s="80"/>
      <c r="K1506" s="71"/>
      <c r="N1506" s="109"/>
      <c r="Q1506" s="78"/>
      <c r="R1506" s="78"/>
      <c r="S1506" s="80"/>
      <c r="T1506" s="80"/>
      <c r="V1506" s="78"/>
      <c r="W1506" s="62"/>
      <c r="X1506" s="80"/>
      <c r="Y1506" s="109"/>
    </row>
    <row r="1507">
      <c r="E1507" s="78"/>
      <c r="G1507" s="78"/>
      <c r="I1507" s="80"/>
      <c r="K1507" s="71"/>
      <c r="N1507" s="109"/>
      <c r="Q1507" s="78"/>
      <c r="R1507" s="78"/>
      <c r="S1507" s="80"/>
      <c r="T1507" s="80"/>
      <c r="V1507" s="78"/>
      <c r="W1507" s="62"/>
      <c r="X1507" s="80"/>
      <c r="Y1507" s="109"/>
    </row>
    <row r="1508">
      <c r="E1508" s="78"/>
      <c r="G1508" s="78"/>
      <c r="I1508" s="80"/>
      <c r="K1508" s="71"/>
      <c r="N1508" s="109"/>
      <c r="Q1508" s="78"/>
      <c r="R1508" s="78"/>
      <c r="S1508" s="80"/>
      <c r="T1508" s="80"/>
      <c r="V1508" s="78"/>
      <c r="W1508" s="62"/>
      <c r="X1508" s="80"/>
      <c r="Y1508" s="109"/>
    </row>
    <row r="1509">
      <c r="E1509" s="78"/>
      <c r="G1509" s="78"/>
      <c r="I1509" s="80"/>
      <c r="K1509" s="71"/>
      <c r="N1509" s="109"/>
      <c r="Q1509" s="78"/>
      <c r="R1509" s="78"/>
      <c r="S1509" s="80"/>
      <c r="T1509" s="80"/>
      <c r="V1509" s="78"/>
      <c r="W1509" s="62"/>
      <c r="X1509" s="80"/>
      <c r="Y1509" s="109"/>
    </row>
    <row r="1510">
      <c r="E1510" s="78"/>
      <c r="G1510" s="78"/>
      <c r="I1510" s="80"/>
      <c r="K1510" s="71"/>
      <c r="N1510" s="109"/>
      <c r="Q1510" s="78"/>
      <c r="R1510" s="78"/>
      <c r="S1510" s="80"/>
      <c r="T1510" s="80"/>
      <c r="V1510" s="78"/>
      <c r="W1510" s="62"/>
      <c r="X1510" s="80"/>
      <c r="Y1510" s="109"/>
    </row>
    <row r="1511">
      <c r="E1511" s="78"/>
      <c r="G1511" s="78"/>
      <c r="I1511" s="80"/>
      <c r="K1511" s="71"/>
      <c r="N1511" s="109"/>
      <c r="Q1511" s="78"/>
      <c r="R1511" s="78"/>
      <c r="S1511" s="80"/>
      <c r="T1511" s="80"/>
      <c r="V1511" s="78"/>
      <c r="W1511" s="62"/>
      <c r="X1511" s="80"/>
      <c r="Y1511" s="109"/>
    </row>
    <row r="1512">
      <c r="E1512" s="78"/>
      <c r="G1512" s="78"/>
      <c r="I1512" s="80"/>
      <c r="K1512" s="71"/>
      <c r="N1512" s="109"/>
      <c r="Q1512" s="78"/>
      <c r="R1512" s="78"/>
      <c r="S1512" s="80"/>
      <c r="T1512" s="80"/>
      <c r="V1512" s="78"/>
      <c r="W1512" s="62"/>
      <c r="X1512" s="80"/>
      <c r="Y1512" s="109"/>
    </row>
    <row r="1513">
      <c r="E1513" s="78"/>
      <c r="G1513" s="78"/>
      <c r="I1513" s="80"/>
      <c r="K1513" s="71"/>
      <c r="N1513" s="109"/>
      <c r="Q1513" s="78"/>
      <c r="R1513" s="78"/>
      <c r="S1513" s="80"/>
      <c r="T1513" s="80"/>
      <c r="V1513" s="78"/>
      <c r="W1513" s="62"/>
      <c r="X1513" s="80"/>
      <c r="Y1513" s="109"/>
    </row>
    <row r="1514">
      <c r="E1514" s="78"/>
      <c r="G1514" s="78"/>
      <c r="I1514" s="80"/>
      <c r="K1514" s="71"/>
      <c r="N1514" s="109"/>
      <c r="Q1514" s="78"/>
      <c r="R1514" s="78"/>
      <c r="S1514" s="80"/>
      <c r="T1514" s="80"/>
      <c r="V1514" s="78"/>
      <c r="W1514" s="62"/>
      <c r="X1514" s="80"/>
      <c r="Y1514" s="109"/>
    </row>
    <row r="1515">
      <c r="E1515" s="78"/>
      <c r="G1515" s="78"/>
      <c r="I1515" s="80"/>
      <c r="K1515" s="71"/>
      <c r="N1515" s="109"/>
      <c r="Q1515" s="78"/>
      <c r="R1515" s="78"/>
      <c r="S1515" s="80"/>
      <c r="T1515" s="80"/>
      <c r="V1515" s="78"/>
      <c r="W1515" s="62"/>
      <c r="X1515" s="80"/>
      <c r="Y1515" s="109"/>
    </row>
    <row r="1516">
      <c r="E1516" s="78"/>
      <c r="G1516" s="78"/>
      <c r="I1516" s="80"/>
      <c r="K1516" s="71"/>
      <c r="N1516" s="109"/>
      <c r="Q1516" s="78"/>
      <c r="R1516" s="78"/>
      <c r="S1516" s="80"/>
      <c r="T1516" s="80"/>
      <c r="V1516" s="78"/>
      <c r="W1516" s="62"/>
      <c r="X1516" s="80"/>
      <c r="Y1516" s="109"/>
    </row>
    <row r="1517">
      <c r="E1517" s="78"/>
      <c r="G1517" s="78"/>
      <c r="I1517" s="80"/>
      <c r="K1517" s="71"/>
      <c r="N1517" s="109"/>
      <c r="Q1517" s="78"/>
      <c r="R1517" s="78"/>
      <c r="S1517" s="80"/>
      <c r="T1517" s="80"/>
      <c r="V1517" s="78"/>
      <c r="W1517" s="62"/>
      <c r="X1517" s="80"/>
      <c r="Y1517" s="109"/>
    </row>
    <row r="1518">
      <c r="E1518" s="78"/>
      <c r="G1518" s="78"/>
      <c r="I1518" s="80"/>
      <c r="K1518" s="71"/>
      <c r="N1518" s="109"/>
      <c r="Q1518" s="78"/>
      <c r="R1518" s="78"/>
      <c r="S1518" s="80"/>
      <c r="T1518" s="80"/>
      <c r="V1518" s="78"/>
      <c r="W1518" s="62"/>
      <c r="X1518" s="80"/>
      <c r="Y1518" s="109"/>
    </row>
    <row r="1519">
      <c r="E1519" s="78"/>
      <c r="G1519" s="78"/>
      <c r="I1519" s="80"/>
      <c r="K1519" s="71"/>
      <c r="N1519" s="109"/>
      <c r="Q1519" s="78"/>
      <c r="R1519" s="78"/>
      <c r="S1519" s="80"/>
      <c r="T1519" s="80"/>
      <c r="V1519" s="78"/>
      <c r="W1519" s="62"/>
      <c r="X1519" s="80"/>
      <c r="Y1519" s="109"/>
    </row>
    <row r="1520">
      <c r="E1520" s="78"/>
      <c r="G1520" s="78"/>
      <c r="I1520" s="80"/>
      <c r="K1520" s="71"/>
      <c r="N1520" s="109"/>
      <c r="Q1520" s="78"/>
      <c r="R1520" s="78"/>
      <c r="S1520" s="80"/>
      <c r="T1520" s="80"/>
      <c r="V1520" s="78"/>
      <c r="W1520" s="62"/>
      <c r="X1520" s="80"/>
      <c r="Y1520" s="109"/>
    </row>
    <row r="1521">
      <c r="E1521" s="78"/>
      <c r="G1521" s="78"/>
      <c r="I1521" s="80"/>
      <c r="K1521" s="71"/>
      <c r="N1521" s="109"/>
      <c r="Q1521" s="78"/>
      <c r="R1521" s="78"/>
      <c r="S1521" s="80"/>
      <c r="T1521" s="80"/>
      <c r="V1521" s="78"/>
      <c r="W1521" s="62"/>
      <c r="X1521" s="80"/>
      <c r="Y1521" s="109"/>
    </row>
    <row r="1522">
      <c r="E1522" s="78"/>
      <c r="G1522" s="78"/>
      <c r="I1522" s="80"/>
      <c r="K1522" s="71"/>
      <c r="N1522" s="109"/>
      <c r="Q1522" s="78"/>
      <c r="R1522" s="78"/>
      <c r="S1522" s="80"/>
      <c r="T1522" s="80"/>
      <c r="V1522" s="78"/>
      <c r="W1522" s="62"/>
      <c r="X1522" s="80"/>
      <c r="Y1522" s="109"/>
    </row>
    <row r="1523">
      <c r="E1523" s="78"/>
      <c r="G1523" s="78"/>
      <c r="I1523" s="80"/>
      <c r="K1523" s="71"/>
      <c r="N1523" s="109"/>
      <c r="Q1523" s="78"/>
      <c r="R1523" s="78"/>
      <c r="S1523" s="80"/>
      <c r="T1523" s="80"/>
      <c r="V1523" s="78"/>
      <c r="W1523" s="62"/>
      <c r="X1523" s="80"/>
      <c r="Y1523" s="109"/>
    </row>
    <row r="1524">
      <c r="E1524" s="78"/>
      <c r="G1524" s="78"/>
      <c r="I1524" s="80"/>
      <c r="K1524" s="71"/>
      <c r="N1524" s="109"/>
      <c r="Q1524" s="78"/>
      <c r="R1524" s="78"/>
      <c r="S1524" s="80"/>
      <c r="T1524" s="80"/>
      <c r="V1524" s="78"/>
      <c r="W1524" s="62"/>
      <c r="X1524" s="80"/>
      <c r="Y1524" s="109"/>
    </row>
    <row r="1525">
      <c r="E1525" s="78"/>
      <c r="G1525" s="78"/>
      <c r="I1525" s="80"/>
      <c r="K1525" s="71"/>
      <c r="N1525" s="109"/>
      <c r="Q1525" s="78"/>
      <c r="R1525" s="78"/>
      <c r="S1525" s="80"/>
      <c r="T1525" s="80"/>
      <c r="V1525" s="78"/>
      <c r="W1525" s="62"/>
      <c r="X1525" s="80"/>
      <c r="Y1525" s="109"/>
    </row>
    <row r="1526">
      <c r="E1526" s="78"/>
      <c r="G1526" s="78"/>
      <c r="I1526" s="80"/>
      <c r="K1526" s="71"/>
      <c r="N1526" s="109"/>
      <c r="Q1526" s="78"/>
      <c r="R1526" s="78"/>
      <c r="S1526" s="80"/>
      <c r="T1526" s="80"/>
      <c r="V1526" s="78"/>
      <c r="W1526" s="62"/>
      <c r="X1526" s="80"/>
      <c r="Y1526" s="109"/>
    </row>
    <row r="1527">
      <c r="E1527" s="78"/>
      <c r="G1527" s="78"/>
      <c r="I1527" s="80"/>
      <c r="K1527" s="71"/>
      <c r="N1527" s="109"/>
      <c r="Q1527" s="78"/>
      <c r="R1527" s="78"/>
      <c r="S1527" s="80"/>
      <c r="T1527" s="80"/>
      <c r="V1527" s="78"/>
      <c r="W1527" s="62"/>
      <c r="X1527" s="80"/>
      <c r="Y1527" s="109"/>
    </row>
    <row r="1528">
      <c r="E1528" s="78"/>
      <c r="G1528" s="78"/>
      <c r="I1528" s="80"/>
      <c r="K1528" s="71"/>
      <c r="N1528" s="109"/>
      <c r="Q1528" s="78"/>
      <c r="R1528" s="78"/>
      <c r="S1528" s="80"/>
      <c r="T1528" s="80"/>
      <c r="V1528" s="78"/>
      <c r="W1528" s="62"/>
      <c r="X1528" s="80"/>
      <c r="Y1528" s="109"/>
    </row>
    <row r="1529">
      <c r="E1529" s="78"/>
      <c r="G1529" s="78"/>
      <c r="I1529" s="80"/>
      <c r="K1529" s="71"/>
      <c r="N1529" s="109"/>
      <c r="Q1529" s="78"/>
      <c r="R1529" s="78"/>
      <c r="S1529" s="80"/>
      <c r="T1529" s="80"/>
      <c r="V1529" s="78"/>
      <c r="W1529" s="62"/>
      <c r="X1529" s="80"/>
      <c r="Y1529" s="109"/>
    </row>
    <row r="1530">
      <c r="E1530" s="78"/>
      <c r="G1530" s="78"/>
      <c r="I1530" s="80"/>
      <c r="K1530" s="71"/>
      <c r="N1530" s="109"/>
      <c r="Q1530" s="78"/>
      <c r="R1530" s="78"/>
      <c r="S1530" s="80"/>
      <c r="T1530" s="80"/>
      <c r="V1530" s="78"/>
      <c r="W1530" s="62"/>
      <c r="X1530" s="80"/>
      <c r="Y1530" s="109"/>
    </row>
    <row r="1531">
      <c r="E1531" s="78"/>
      <c r="G1531" s="78"/>
      <c r="I1531" s="80"/>
      <c r="K1531" s="71"/>
      <c r="N1531" s="109"/>
      <c r="Q1531" s="78"/>
      <c r="R1531" s="78"/>
      <c r="S1531" s="80"/>
      <c r="T1531" s="80"/>
      <c r="V1531" s="78"/>
      <c r="W1531" s="62"/>
      <c r="X1531" s="80"/>
      <c r="Y1531" s="109"/>
    </row>
    <row r="1532">
      <c r="E1532" s="78"/>
      <c r="G1532" s="78"/>
      <c r="I1532" s="80"/>
      <c r="K1532" s="71"/>
      <c r="N1532" s="109"/>
      <c r="Q1532" s="78"/>
      <c r="R1532" s="78"/>
      <c r="S1532" s="80"/>
      <c r="T1532" s="80"/>
      <c r="V1532" s="78"/>
      <c r="W1532" s="62"/>
      <c r="X1532" s="80"/>
      <c r="Y1532" s="109"/>
    </row>
    <row r="1533">
      <c r="E1533" s="78"/>
      <c r="G1533" s="78"/>
      <c r="I1533" s="80"/>
      <c r="K1533" s="71"/>
      <c r="N1533" s="109"/>
      <c r="Q1533" s="78"/>
      <c r="R1533" s="78"/>
      <c r="S1533" s="80"/>
      <c r="T1533" s="80"/>
      <c r="V1533" s="78"/>
      <c r="W1533" s="62"/>
      <c r="X1533" s="80"/>
      <c r="Y1533" s="109"/>
    </row>
    <row r="1534">
      <c r="E1534" s="78"/>
      <c r="G1534" s="78"/>
      <c r="I1534" s="80"/>
      <c r="K1534" s="71"/>
      <c r="N1534" s="109"/>
      <c r="Q1534" s="78"/>
      <c r="R1534" s="78"/>
      <c r="S1534" s="80"/>
      <c r="T1534" s="80"/>
      <c r="V1534" s="78"/>
      <c r="W1534" s="62"/>
      <c r="X1534" s="80"/>
      <c r="Y1534" s="109"/>
    </row>
    <row r="1535">
      <c r="E1535" s="78"/>
      <c r="G1535" s="78"/>
      <c r="I1535" s="80"/>
      <c r="K1535" s="71"/>
      <c r="N1535" s="109"/>
      <c r="Q1535" s="78"/>
      <c r="R1535" s="78"/>
      <c r="S1535" s="80"/>
      <c r="T1535" s="80"/>
      <c r="V1535" s="78"/>
      <c r="W1535" s="62"/>
      <c r="X1535" s="80"/>
      <c r="Y1535" s="109"/>
    </row>
    <row r="1536">
      <c r="E1536" s="78"/>
      <c r="G1536" s="78"/>
      <c r="I1536" s="80"/>
      <c r="K1536" s="71"/>
      <c r="N1536" s="109"/>
      <c r="Q1536" s="78"/>
      <c r="R1536" s="78"/>
      <c r="S1536" s="80"/>
      <c r="T1536" s="80"/>
      <c r="V1536" s="78"/>
      <c r="W1536" s="62"/>
      <c r="X1536" s="80"/>
      <c r="Y1536" s="109"/>
    </row>
    <row r="1537">
      <c r="E1537" s="78"/>
      <c r="G1537" s="78"/>
      <c r="I1537" s="80"/>
      <c r="K1537" s="71"/>
      <c r="N1537" s="109"/>
      <c r="Q1537" s="78"/>
      <c r="R1537" s="78"/>
      <c r="S1537" s="80"/>
      <c r="T1537" s="80"/>
      <c r="V1537" s="78"/>
      <c r="W1537" s="62"/>
      <c r="X1537" s="80"/>
      <c r="Y1537" s="109"/>
    </row>
    <row r="1538">
      <c r="E1538" s="78"/>
      <c r="G1538" s="78"/>
      <c r="I1538" s="80"/>
      <c r="K1538" s="71"/>
      <c r="N1538" s="109"/>
      <c r="Q1538" s="78"/>
      <c r="R1538" s="78"/>
      <c r="S1538" s="80"/>
      <c r="T1538" s="80"/>
      <c r="V1538" s="78"/>
      <c r="W1538" s="62"/>
      <c r="X1538" s="80"/>
      <c r="Y1538" s="109"/>
    </row>
    <row r="1539">
      <c r="E1539" s="78"/>
      <c r="G1539" s="78"/>
      <c r="I1539" s="80"/>
      <c r="K1539" s="71"/>
      <c r="N1539" s="109"/>
      <c r="Q1539" s="78"/>
      <c r="R1539" s="78"/>
      <c r="S1539" s="80"/>
      <c r="T1539" s="80"/>
      <c r="V1539" s="78"/>
      <c r="W1539" s="62"/>
      <c r="X1539" s="80"/>
      <c r="Y1539" s="109"/>
    </row>
    <row r="1540">
      <c r="E1540" s="78"/>
      <c r="G1540" s="78"/>
      <c r="I1540" s="80"/>
      <c r="K1540" s="71"/>
      <c r="N1540" s="109"/>
      <c r="Q1540" s="78"/>
      <c r="R1540" s="78"/>
      <c r="S1540" s="80"/>
      <c r="T1540" s="80"/>
      <c r="V1540" s="78"/>
      <c r="W1540" s="62"/>
      <c r="X1540" s="80"/>
      <c r="Y1540" s="109"/>
    </row>
    <row r="1541">
      <c r="E1541" s="78"/>
      <c r="G1541" s="78"/>
      <c r="I1541" s="80"/>
      <c r="K1541" s="71"/>
      <c r="N1541" s="109"/>
      <c r="Q1541" s="78"/>
      <c r="R1541" s="78"/>
      <c r="S1541" s="80"/>
      <c r="T1541" s="80"/>
      <c r="V1541" s="78"/>
      <c r="W1541" s="62"/>
      <c r="X1541" s="80"/>
      <c r="Y1541" s="109"/>
    </row>
    <row r="1542">
      <c r="E1542" s="78"/>
      <c r="G1542" s="78"/>
      <c r="I1542" s="80"/>
      <c r="K1542" s="71"/>
      <c r="N1542" s="109"/>
      <c r="Q1542" s="78"/>
      <c r="R1542" s="78"/>
      <c r="S1542" s="80"/>
      <c r="T1542" s="80"/>
      <c r="V1542" s="78"/>
      <c r="W1542" s="62"/>
      <c r="X1542" s="80"/>
      <c r="Y1542" s="109"/>
    </row>
    <row r="1543">
      <c r="E1543" s="78"/>
      <c r="G1543" s="78"/>
      <c r="I1543" s="80"/>
      <c r="K1543" s="71"/>
      <c r="N1543" s="109"/>
      <c r="Q1543" s="78"/>
      <c r="R1543" s="78"/>
      <c r="S1543" s="80"/>
      <c r="T1543" s="80"/>
      <c r="V1543" s="78"/>
      <c r="W1543" s="62"/>
      <c r="X1543" s="80"/>
      <c r="Y1543" s="109"/>
    </row>
    <row r="1544">
      <c r="E1544" s="78"/>
      <c r="G1544" s="78"/>
      <c r="I1544" s="80"/>
      <c r="K1544" s="71"/>
      <c r="N1544" s="109"/>
      <c r="Q1544" s="78"/>
      <c r="R1544" s="78"/>
      <c r="S1544" s="80"/>
      <c r="T1544" s="80"/>
      <c r="V1544" s="78"/>
      <c r="W1544" s="62"/>
      <c r="X1544" s="80"/>
      <c r="Y1544" s="109"/>
    </row>
    <row r="1545">
      <c r="E1545" s="78"/>
      <c r="G1545" s="78"/>
      <c r="I1545" s="80"/>
      <c r="K1545" s="71"/>
      <c r="N1545" s="109"/>
      <c r="Q1545" s="78"/>
      <c r="R1545" s="78"/>
      <c r="S1545" s="80"/>
      <c r="T1545" s="80"/>
      <c r="V1545" s="78"/>
      <c r="W1545" s="62"/>
      <c r="X1545" s="80"/>
      <c r="Y1545" s="109"/>
    </row>
    <row r="1546">
      <c r="E1546" s="78"/>
      <c r="G1546" s="78"/>
      <c r="I1546" s="80"/>
      <c r="K1546" s="71"/>
      <c r="N1546" s="109"/>
      <c r="Q1546" s="78"/>
      <c r="R1546" s="78"/>
      <c r="S1546" s="80"/>
      <c r="T1546" s="80"/>
      <c r="V1546" s="78"/>
      <c r="W1546" s="62"/>
      <c r="X1546" s="80"/>
      <c r="Y1546" s="109"/>
    </row>
    <row r="1547">
      <c r="E1547" s="78"/>
      <c r="G1547" s="78"/>
      <c r="I1547" s="80"/>
      <c r="K1547" s="71"/>
      <c r="N1547" s="109"/>
      <c r="Q1547" s="78"/>
      <c r="R1547" s="78"/>
      <c r="S1547" s="80"/>
      <c r="T1547" s="80"/>
      <c r="V1547" s="78"/>
      <c r="W1547" s="62"/>
      <c r="X1547" s="80"/>
      <c r="Y1547" s="109"/>
    </row>
    <row r="1548">
      <c r="E1548" s="78"/>
      <c r="G1548" s="78"/>
      <c r="I1548" s="80"/>
      <c r="K1548" s="71"/>
      <c r="N1548" s="109"/>
      <c r="Q1548" s="78"/>
      <c r="R1548" s="78"/>
      <c r="S1548" s="80"/>
      <c r="T1548" s="80"/>
      <c r="V1548" s="78"/>
      <c r="W1548" s="62"/>
      <c r="X1548" s="80"/>
      <c r="Y1548" s="109"/>
    </row>
    <row r="1549">
      <c r="E1549" s="78"/>
      <c r="G1549" s="78"/>
      <c r="I1549" s="80"/>
      <c r="K1549" s="71"/>
      <c r="N1549" s="109"/>
      <c r="Q1549" s="78"/>
      <c r="R1549" s="78"/>
      <c r="S1549" s="80"/>
      <c r="T1549" s="80"/>
      <c r="V1549" s="78"/>
      <c r="W1549" s="62"/>
      <c r="X1549" s="80"/>
      <c r="Y1549" s="109"/>
    </row>
    <row r="1550">
      <c r="E1550" s="78"/>
      <c r="G1550" s="78"/>
      <c r="I1550" s="80"/>
      <c r="K1550" s="71"/>
      <c r="N1550" s="109"/>
      <c r="Q1550" s="78"/>
      <c r="R1550" s="78"/>
      <c r="S1550" s="80"/>
      <c r="T1550" s="80"/>
      <c r="V1550" s="78"/>
      <c r="W1550" s="62"/>
      <c r="X1550" s="80"/>
      <c r="Y1550" s="109"/>
    </row>
    <row r="1551">
      <c r="E1551" s="78"/>
      <c r="G1551" s="78"/>
      <c r="I1551" s="80"/>
      <c r="K1551" s="71"/>
      <c r="N1551" s="109"/>
      <c r="Q1551" s="78"/>
      <c r="R1551" s="78"/>
      <c r="S1551" s="80"/>
      <c r="T1551" s="80"/>
      <c r="V1551" s="78"/>
      <c r="W1551" s="62"/>
      <c r="X1551" s="80"/>
      <c r="Y1551" s="109"/>
    </row>
    <row r="1552">
      <c r="E1552" s="78"/>
      <c r="G1552" s="78"/>
      <c r="I1552" s="80"/>
      <c r="K1552" s="71"/>
      <c r="N1552" s="109"/>
      <c r="Q1552" s="78"/>
      <c r="R1552" s="78"/>
      <c r="S1552" s="80"/>
      <c r="T1552" s="80"/>
      <c r="V1552" s="78"/>
      <c r="W1552" s="62"/>
      <c r="X1552" s="80"/>
      <c r="Y1552" s="109"/>
    </row>
    <row r="1553">
      <c r="E1553" s="78"/>
      <c r="G1553" s="78"/>
      <c r="I1553" s="80"/>
      <c r="K1553" s="71"/>
      <c r="N1553" s="109"/>
      <c r="Q1553" s="78"/>
      <c r="R1553" s="78"/>
      <c r="S1553" s="80"/>
      <c r="T1553" s="80"/>
      <c r="V1553" s="78"/>
      <c r="W1553" s="62"/>
      <c r="X1553" s="80"/>
      <c r="Y1553" s="109"/>
    </row>
    <row r="1554">
      <c r="E1554" s="78"/>
      <c r="G1554" s="78"/>
      <c r="I1554" s="80"/>
      <c r="K1554" s="71"/>
      <c r="N1554" s="109"/>
      <c r="Q1554" s="78"/>
      <c r="R1554" s="78"/>
      <c r="S1554" s="80"/>
      <c r="T1554" s="80"/>
      <c r="V1554" s="78"/>
      <c r="W1554" s="62"/>
      <c r="X1554" s="80"/>
      <c r="Y1554" s="109"/>
    </row>
    <row r="1555">
      <c r="E1555" s="78"/>
      <c r="G1555" s="78"/>
      <c r="I1555" s="80"/>
      <c r="K1555" s="71"/>
      <c r="N1555" s="109"/>
      <c r="Q1555" s="78"/>
      <c r="R1555" s="78"/>
      <c r="S1555" s="80"/>
      <c r="T1555" s="80"/>
      <c r="V1555" s="78"/>
      <c r="W1555" s="62"/>
      <c r="X1555" s="80"/>
      <c r="Y1555" s="109"/>
    </row>
    <row r="1556">
      <c r="E1556" s="78"/>
      <c r="G1556" s="78"/>
      <c r="I1556" s="80"/>
      <c r="K1556" s="71"/>
      <c r="N1556" s="109"/>
      <c r="Q1556" s="78"/>
      <c r="R1556" s="78"/>
      <c r="S1556" s="80"/>
      <c r="T1556" s="80"/>
      <c r="V1556" s="78"/>
      <c r="W1556" s="62"/>
      <c r="X1556" s="80"/>
      <c r="Y1556" s="109"/>
    </row>
    <row r="1557">
      <c r="E1557" s="78"/>
      <c r="G1557" s="78"/>
      <c r="I1557" s="80"/>
      <c r="K1557" s="71"/>
      <c r="N1557" s="109"/>
      <c r="Q1557" s="78"/>
      <c r="R1557" s="78"/>
      <c r="S1557" s="80"/>
      <c r="T1557" s="80"/>
      <c r="V1557" s="78"/>
      <c r="W1557" s="62"/>
      <c r="X1557" s="80"/>
      <c r="Y1557" s="109"/>
    </row>
    <row r="1558">
      <c r="E1558" s="78"/>
      <c r="G1558" s="78"/>
      <c r="I1558" s="80"/>
      <c r="K1558" s="71"/>
      <c r="N1558" s="109"/>
      <c r="Q1558" s="78"/>
      <c r="R1558" s="78"/>
      <c r="S1558" s="80"/>
      <c r="T1558" s="80"/>
      <c r="V1558" s="78"/>
      <c r="W1558" s="62"/>
      <c r="X1558" s="80"/>
      <c r="Y1558" s="109"/>
    </row>
    <row r="1559">
      <c r="E1559" s="78"/>
      <c r="G1559" s="78"/>
      <c r="I1559" s="80"/>
      <c r="K1559" s="71"/>
      <c r="N1559" s="109"/>
      <c r="Q1559" s="78"/>
      <c r="R1559" s="78"/>
      <c r="S1559" s="80"/>
      <c r="T1559" s="80"/>
      <c r="V1559" s="78"/>
      <c r="W1559" s="62"/>
      <c r="X1559" s="80"/>
      <c r="Y1559" s="109"/>
    </row>
    <row r="1560">
      <c r="E1560" s="78"/>
      <c r="G1560" s="78"/>
      <c r="I1560" s="80"/>
      <c r="K1560" s="71"/>
      <c r="N1560" s="109"/>
      <c r="Q1560" s="78"/>
      <c r="R1560" s="78"/>
      <c r="S1560" s="80"/>
      <c r="T1560" s="80"/>
      <c r="V1560" s="78"/>
      <c r="W1560" s="62"/>
      <c r="X1560" s="80"/>
      <c r="Y1560" s="109"/>
    </row>
    <row r="1561">
      <c r="E1561" s="78"/>
      <c r="G1561" s="78"/>
      <c r="I1561" s="80"/>
      <c r="K1561" s="71"/>
      <c r="N1561" s="109"/>
      <c r="Q1561" s="78"/>
      <c r="R1561" s="78"/>
      <c r="S1561" s="80"/>
      <c r="T1561" s="80"/>
      <c r="V1561" s="78"/>
      <c r="W1561" s="62"/>
      <c r="X1561" s="80"/>
      <c r="Y1561" s="109"/>
    </row>
    <row r="1562">
      <c r="E1562" s="78"/>
      <c r="G1562" s="78"/>
      <c r="I1562" s="80"/>
      <c r="K1562" s="71"/>
      <c r="N1562" s="109"/>
      <c r="Q1562" s="78"/>
      <c r="R1562" s="78"/>
      <c r="S1562" s="80"/>
      <c r="T1562" s="80"/>
      <c r="V1562" s="78"/>
      <c r="W1562" s="62"/>
      <c r="X1562" s="80"/>
      <c r="Y1562" s="109"/>
    </row>
    <row r="1563">
      <c r="E1563" s="78"/>
      <c r="G1563" s="78"/>
      <c r="I1563" s="80"/>
      <c r="K1563" s="71"/>
      <c r="N1563" s="109"/>
      <c r="Q1563" s="78"/>
      <c r="R1563" s="78"/>
      <c r="S1563" s="80"/>
      <c r="T1563" s="80"/>
      <c r="V1563" s="78"/>
      <c r="W1563" s="62"/>
      <c r="X1563" s="80"/>
      <c r="Y1563" s="109"/>
    </row>
    <row r="1564">
      <c r="E1564" s="78"/>
      <c r="G1564" s="78"/>
      <c r="I1564" s="80"/>
      <c r="K1564" s="71"/>
      <c r="N1564" s="109"/>
      <c r="Q1564" s="78"/>
      <c r="R1564" s="78"/>
      <c r="S1564" s="80"/>
      <c r="T1564" s="80"/>
      <c r="V1564" s="78"/>
      <c r="W1564" s="62"/>
      <c r="X1564" s="80"/>
      <c r="Y1564" s="109"/>
    </row>
    <row r="1565">
      <c r="E1565" s="78"/>
      <c r="G1565" s="78"/>
      <c r="I1565" s="80"/>
      <c r="K1565" s="71"/>
      <c r="N1565" s="109"/>
      <c r="Q1565" s="78"/>
      <c r="R1565" s="78"/>
      <c r="S1565" s="80"/>
      <c r="T1565" s="80"/>
      <c r="V1565" s="78"/>
      <c r="W1565" s="62"/>
      <c r="X1565" s="80"/>
      <c r="Y1565" s="109"/>
    </row>
    <row r="1566">
      <c r="E1566" s="78"/>
      <c r="G1566" s="78"/>
      <c r="I1566" s="80"/>
      <c r="K1566" s="71"/>
      <c r="N1566" s="109"/>
      <c r="Q1566" s="78"/>
      <c r="R1566" s="78"/>
      <c r="S1566" s="80"/>
      <c r="T1566" s="80"/>
      <c r="V1566" s="78"/>
      <c r="W1566" s="62"/>
      <c r="X1566" s="80"/>
      <c r="Y1566" s="109"/>
    </row>
    <row r="1567">
      <c r="E1567" s="78"/>
      <c r="G1567" s="78"/>
      <c r="I1567" s="80"/>
      <c r="K1567" s="71"/>
      <c r="N1567" s="109"/>
      <c r="Q1567" s="78"/>
      <c r="R1567" s="78"/>
      <c r="S1567" s="80"/>
      <c r="T1567" s="80"/>
      <c r="V1567" s="78"/>
      <c r="W1567" s="62"/>
      <c r="X1567" s="80"/>
      <c r="Y1567" s="109"/>
    </row>
    <row r="1568">
      <c r="E1568" s="78"/>
      <c r="G1568" s="78"/>
      <c r="I1568" s="80"/>
      <c r="K1568" s="71"/>
      <c r="N1568" s="109"/>
      <c r="Q1568" s="78"/>
      <c r="R1568" s="78"/>
      <c r="S1568" s="80"/>
      <c r="T1568" s="80"/>
      <c r="V1568" s="78"/>
      <c r="W1568" s="62"/>
      <c r="X1568" s="80"/>
      <c r="Y1568" s="109"/>
    </row>
    <row r="1569">
      <c r="E1569" s="78"/>
      <c r="G1569" s="78"/>
      <c r="I1569" s="80"/>
      <c r="K1569" s="71"/>
      <c r="N1569" s="109"/>
      <c r="Q1569" s="78"/>
      <c r="R1569" s="78"/>
      <c r="S1569" s="80"/>
      <c r="T1569" s="80"/>
      <c r="V1569" s="78"/>
      <c r="W1569" s="62"/>
      <c r="X1569" s="80"/>
      <c r="Y1569" s="109"/>
    </row>
    <row r="1570">
      <c r="E1570" s="78"/>
      <c r="G1570" s="78"/>
      <c r="I1570" s="80"/>
      <c r="K1570" s="71"/>
      <c r="N1570" s="109"/>
      <c r="Q1570" s="78"/>
      <c r="R1570" s="78"/>
      <c r="S1570" s="80"/>
      <c r="T1570" s="80"/>
      <c r="V1570" s="78"/>
      <c r="W1570" s="62"/>
      <c r="X1570" s="80"/>
      <c r="Y1570" s="109"/>
    </row>
    <row r="1571">
      <c r="E1571" s="78"/>
      <c r="G1571" s="78"/>
      <c r="I1571" s="80"/>
      <c r="K1571" s="71"/>
      <c r="N1571" s="109"/>
      <c r="Q1571" s="78"/>
      <c r="R1571" s="78"/>
      <c r="S1571" s="80"/>
      <c r="T1571" s="80"/>
      <c r="V1571" s="78"/>
      <c r="W1571" s="62"/>
      <c r="X1571" s="80"/>
      <c r="Y1571" s="109"/>
    </row>
    <row r="1572">
      <c r="E1572" s="78"/>
      <c r="G1572" s="78"/>
      <c r="I1572" s="80"/>
      <c r="K1572" s="71"/>
      <c r="N1572" s="109"/>
      <c r="Q1572" s="78"/>
      <c r="R1572" s="78"/>
      <c r="S1572" s="80"/>
      <c r="T1572" s="80"/>
      <c r="V1572" s="78"/>
      <c r="W1572" s="62"/>
      <c r="X1572" s="80"/>
      <c r="Y1572" s="109"/>
    </row>
    <row r="1573">
      <c r="E1573" s="78"/>
      <c r="G1573" s="78"/>
      <c r="I1573" s="80"/>
      <c r="K1573" s="71"/>
      <c r="N1573" s="109"/>
      <c r="Q1573" s="78"/>
      <c r="R1573" s="78"/>
      <c r="S1573" s="80"/>
      <c r="T1573" s="80"/>
      <c r="V1573" s="78"/>
      <c r="W1573" s="62"/>
      <c r="X1573" s="80"/>
      <c r="Y1573" s="109"/>
    </row>
    <row r="1574">
      <c r="E1574" s="78"/>
      <c r="G1574" s="78"/>
      <c r="I1574" s="80"/>
      <c r="K1574" s="71"/>
      <c r="N1574" s="109"/>
      <c r="Q1574" s="78"/>
      <c r="R1574" s="78"/>
      <c r="S1574" s="80"/>
      <c r="T1574" s="80"/>
      <c r="V1574" s="78"/>
      <c r="W1574" s="62"/>
      <c r="X1574" s="80"/>
      <c r="Y1574" s="109"/>
    </row>
    <row r="1575">
      <c r="E1575" s="78"/>
      <c r="G1575" s="78"/>
      <c r="I1575" s="80"/>
      <c r="K1575" s="71"/>
      <c r="N1575" s="109"/>
      <c r="Q1575" s="78"/>
      <c r="R1575" s="78"/>
      <c r="S1575" s="80"/>
      <c r="T1575" s="80"/>
      <c r="V1575" s="78"/>
      <c r="W1575" s="62"/>
      <c r="X1575" s="80"/>
      <c r="Y1575" s="109"/>
    </row>
    <row r="1576">
      <c r="E1576" s="78"/>
      <c r="G1576" s="78"/>
      <c r="I1576" s="80"/>
      <c r="K1576" s="71"/>
      <c r="N1576" s="109"/>
      <c r="Q1576" s="78"/>
      <c r="R1576" s="78"/>
      <c r="S1576" s="80"/>
      <c r="T1576" s="80"/>
      <c r="V1576" s="78"/>
      <c r="W1576" s="62"/>
      <c r="X1576" s="80"/>
      <c r="Y1576" s="109"/>
    </row>
    <row r="1577">
      <c r="E1577" s="78"/>
      <c r="G1577" s="78"/>
      <c r="I1577" s="80"/>
      <c r="K1577" s="71"/>
      <c r="N1577" s="109"/>
      <c r="Q1577" s="78"/>
      <c r="R1577" s="78"/>
      <c r="S1577" s="80"/>
      <c r="T1577" s="80"/>
      <c r="V1577" s="78"/>
      <c r="W1577" s="62"/>
      <c r="X1577" s="80"/>
      <c r="Y1577" s="109"/>
    </row>
    <row r="1578">
      <c r="E1578" s="78"/>
      <c r="G1578" s="78"/>
      <c r="I1578" s="80"/>
      <c r="K1578" s="71"/>
      <c r="N1578" s="109"/>
      <c r="Q1578" s="78"/>
      <c r="R1578" s="78"/>
      <c r="S1578" s="80"/>
      <c r="T1578" s="80"/>
      <c r="V1578" s="78"/>
      <c r="W1578" s="62"/>
      <c r="X1578" s="80"/>
      <c r="Y1578" s="109"/>
    </row>
    <row r="1579">
      <c r="E1579" s="78"/>
      <c r="G1579" s="78"/>
      <c r="I1579" s="80"/>
      <c r="K1579" s="71"/>
      <c r="N1579" s="109"/>
      <c r="Q1579" s="78"/>
      <c r="R1579" s="78"/>
      <c r="S1579" s="80"/>
      <c r="T1579" s="80"/>
      <c r="V1579" s="78"/>
      <c r="W1579" s="62"/>
      <c r="X1579" s="80"/>
      <c r="Y1579" s="109"/>
    </row>
    <row r="1580">
      <c r="E1580" s="78"/>
      <c r="G1580" s="78"/>
      <c r="I1580" s="80"/>
      <c r="K1580" s="71"/>
      <c r="N1580" s="109"/>
      <c r="Q1580" s="78"/>
      <c r="R1580" s="78"/>
      <c r="S1580" s="80"/>
      <c r="T1580" s="80"/>
      <c r="V1580" s="78"/>
      <c r="W1580" s="62"/>
      <c r="X1580" s="80"/>
      <c r="Y1580" s="109"/>
    </row>
    <row r="1581">
      <c r="E1581" s="78"/>
      <c r="G1581" s="78"/>
      <c r="I1581" s="80"/>
      <c r="K1581" s="71"/>
      <c r="N1581" s="109"/>
      <c r="Q1581" s="78"/>
      <c r="R1581" s="78"/>
      <c r="S1581" s="80"/>
      <c r="T1581" s="80"/>
      <c r="V1581" s="78"/>
      <c r="W1581" s="62"/>
      <c r="X1581" s="80"/>
      <c r="Y1581" s="109"/>
    </row>
    <row r="1582">
      <c r="E1582" s="78"/>
      <c r="G1582" s="78"/>
      <c r="I1582" s="80"/>
      <c r="K1582" s="71"/>
      <c r="N1582" s="109"/>
      <c r="Q1582" s="78"/>
      <c r="R1582" s="78"/>
      <c r="S1582" s="80"/>
      <c r="T1582" s="80"/>
      <c r="V1582" s="78"/>
      <c r="W1582" s="62"/>
      <c r="X1582" s="80"/>
      <c r="Y1582" s="109"/>
    </row>
    <row r="1583">
      <c r="E1583" s="78"/>
      <c r="G1583" s="78"/>
      <c r="I1583" s="80"/>
      <c r="K1583" s="71"/>
      <c r="N1583" s="109"/>
      <c r="Q1583" s="78"/>
      <c r="R1583" s="78"/>
      <c r="S1583" s="80"/>
      <c r="T1583" s="80"/>
      <c r="V1583" s="78"/>
      <c r="W1583" s="62"/>
      <c r="X1583" s="80"/>
      <c r="Y1583" s="109"/>
    </row>
    <row r="1584">
      <c r="E1584" s="78"/>
      <c r="G1584" s="78"/>
      <c r="I1584" s="80"/>
      <c r="K1584" s="71"/>
      <c r="N1584" s="109"/>
      <c r="Q1584" s="78"/>
      <c r="R1584" s="78"/>
      <c r="S1584" s="80"/>
      <c r="T1584" s="80"/>
      <c r="V1584" s="78"/>
      <c r="W1584" s="62"/>
      <c r="X1584" s="80"/>
      <c r="Y1584" s="109"/>
    </row>
    <row r="1585">
      <c r="E1585" s="78"/>
      <c r="G1585" s="78"/>
      <c r="I1585" s="80"/>
      <c r="K1585" s="71"/>
      <c r="N1585" s="109"/>
      <c r="Q1585" s="78"/>
      <c r="R1585" s="78"/>
      <c r="S1585" s="80"/>
      <c r="T1585" s="80"/>
      <c r="V1585" s="78"/>
      <c r="W1585" s="62"/>
      <c r="X1585" s="80"/>
      <c r="Y1585" s="109"/>
    </row>
    <row r="1586">
      <c r="E1586" s="78"/>
      <c r="G1586" s="78"/>
      <c r="I1586" s="80"/>
      <c r="K1586" s="71"/>
      <c r="N1586" s="109"/>
      <c r="Q1586" s="78"/>
      <c r="R1586" s="78"/>
      <c r="S1586" s="80"/>
      <c r="T1586" s="80"/>
      <c r="V1586" s="78"/>
      <c r="W1586" s="62"/>
      <c r="X1586" s="80"/>
      <c r="Y1586" s="109"/>
    </row>
    <row r="1587">
      <c r="E1587" s="78"/>
      <c r="G1587" s="78"/>
      <c r="I1587" s="80"/>
      <c r="K1587" s="71"/>
      <c r="N1587" s="109"/>
      <c r="Q1587" s="78"/>
      <c r="R1587" s="78"/>
      <c r="S1587" s="80"/>
      <c r="T1587" s="80"/>
      <c r="V1587" s="78"/>
      <c r="W1587" s="62"/>
      <c r="X1587" s="80"/>
      <c r="Y1587" s="109"/>
    </row>
    <row r="1588">
      <c r="E1588" s="78"/>
      <c r="G1588" s="78"/>
      <c r="I1588" s="80"/>
      <c r="K1588" s="71"/>
      <c r="N1588" s="109"/>
      <c r="Q1588" s="78"/>
      <c r="R1588" s="78"/>
      <c r="S1588" s="80"/>
      <c r="T1588" s="80"/>
      <c r="V1588" s="78"/>
      <c r="W1588" s="62"/>
      <c r="X1588" s="80"/>
      <c r="Y1588" s="109"/>
    </row>
    <row r="1589">
      <c r="E1589" s="78"/>
      <c r="G1589" s="78"/>
      <c r="I1589" s="80"/>
      <c r="K1589" s="71"/>
      <c r="N1589" s="109"/>
      <c r="Q1589" s="78"/>
      <c r="R1589" s="78"/>
      <c r="S1589" s="80"/>
      <c r="T1589" s="80"/>
      <c r="V1589" s="78"/>
      <c r="W1589" s="62"/>
      <c r="X1589" s="80"/>
      <c r="Y1589" s="109"/>
    </row>
    <row r="1590">
      <c r="E1590" s="78"/>
      <c r="G1590" s="78"/>
      <c r="I1590" s="80"/>
      <c r="K1590" s="71"/>
      <c r="N1590" s="109"/>
      <c r="Q1590" s="78"/>
      <c r="R1590" s="78"/>
      <c r="S1590" s="80"/>
      <c r="T1590" s="80"/>
      <c r="V1590" s="78"/>
      <c r="W1590" s="62"/>
      <c r="X1590" s="80"/>
      <c r="Y1590" s="109"/>
    </row>
    <row r="1591">
      <c r="E1591" s="78"/>
      <c r="G1591" s="78"/>
      <c r="I1591" s="80"/>
      <c r="K1591" s="71"/>
      <c r="N1591" s="109"/>
      <c r="Q1591" s="78"/>
      <c r="R1591" s="78"/>
      <c r="S1591" s="80"/>
      <c r="T1591" s="80"/>
      <c r="V1591" s="78"/>
      <c r="W1591" s="62"/>
      <c r="X1591" s="80"/>
      <c r="Y1591" s="109"/>
    </row>
    <row r="1592">
      <c r="E1592" s="78"/>
      <c r="G1592" s="78"/>
      <c r="I1592" s="80"/>
      <c r="K1592" s="71"/>
      <c r="N1592" s="109"/>
      <c r="Q1592" s="78"/>
      <c r="R1592" s="78"/>
      <c r="S1592" s="80"/>
      <c r="T1592" s="80"/>
      <c r="V1592" s="78"/>
      <c r="W1592" s="62"/>
      <c r="X1592" s="80"/>
      <c r="Y1592" s="109"/>
    </row>
    <row r="1593">
      <c r="E1593" s="78"/>
      <c r="G1593" s="78"/>
      <c r="I1593" s="80"/>
      <c r="K1593" s="71"/>
      <c r="N1593" s="109"/>
      <c r="Q1593" s="78"/>
      <c r="R1593" s="78"/>
      <c r="S1593" s="80"/>
      <c r="T1593" s="80"/>
      <c r="V1593" s="78"/>
      <c r="W1593" s="62"/>
      <c r="X1593" s="80"/>
      <c r="Y1593" s="109"/>
    </row>
    <row r="1594">
      <c r="E1594" s="78"/>
      <c r="G1594" s="78"/>
      <c r="I1594" s="80"/>
      <c r="K1594" s="71"/>
      <c r="N1594" s="109"/>
      <c r="Q1594" s="78"/>
      <c r="R1594" s="78"/>
      <c r="S1594" s="80"/>
      <c r="T1594" s="80"/>
      <c r="V1594" s="78"/>
      <c r="W1594" s="62"/>
      <c r="X1594" s="80"/>
      <c r="Y1594" s="109"/>
    </row>
    <row r="1595">
      <c r="E1595" s="78"/>
      <c r="G1595" s="78"/>
      <c r="I1595" s="80"/>
      <c r="K1595" s="71"/>
      <c r="N1595" s="109"/>
      <c r="Q1595" s="78"/>
      <c r="R1595" s="78"/>
      <c r="S1595" s="80"/>
      <c r="T1595" s="80"/>
      <c r="V1595" s="78"/>
      <c r="W1595" s="62"/>
      <c r="X1595" s="80"/>
      <c r="Y1595" s="109"/>
    </row>
    <row r="1596">
      <c r="E1596" s="78"/>
      <c r="G1596" s="78"/>
      <c r="I1596" s="80"/>
      <c r="K1596" s="71"/>
      <c r="N1596" s="109"/>
      <c r="Q1596" s="78"/>
      <c r="R1596" s="78"/>
      <c r="S1596" s="80"/>
      <c r="T1596" s="80"/>
      <c r="V1596" s="78"/>
      <c r="W1596" s="62"/>
      <c r="X1596" s="80"/>
      <c r="Y1596" s="109"/>
    </row>
    <row r="1597">
      <c r="E1597" s="78"/>
      <c r="G1597" s="78"/>
      <c r="I1597" s="80"/>
      <c r="K1597" s="71"/>
      <c r="N1597" s="109"/>
      <c r="Q1597" s="78"/>
      <c r="R1597" s="78"/>
      <c r="S1597" s="80"/>
      <c r="T1597" s="80"/>
      <c r="V1597" s="78"/>
      <c r="W1597" s="62"/>
      <c r="X1597" s="80"/>
      <c r="Y1597" s="109"/>
    </row>
    <row r="1598">
      <c r="E1598" s="78"/>
      <c r="G1598" s="78"/>
      <c r="I1598" s="80"/>
      <c r="K1598" s="71"/>
      <c r="N1598" s="109"/>
      <c r="Q1598" s="78"/>
      <c r="R1598" s="78"/>
      <c r="S1598" s="80"/>
      <c r="T1598" s="80"/>
      <c r="V1598" s="78"/>
      <c r="W1598" s="62"/>
      <c r="X1598" s="80"/>
      <c r="Y1598" s="109"/>
    </row>
    <row r="1599">
      <c r="E1599" s="78"/>
      <c r="G1599" s="78"/>
      <c r="I1599" s="80"/>
      <c r="K1599" s="71"/>
      <c r="N1599" s="109"/>
      <c r="Q1599" s="78"/>
      <c r="R1599" s="78"/>
      <c r="S1599" s="80"/>
      <c r="T1599" s="80"/>
      <c r="V1599" s="78"/>
      <c r="W1599" s="62"/>
      <c r="X1599" s="80"/>
      <c r="Y1599" s="109"/>
    </row>
    <row r="1600">
      <c r="E1600" s="78"/>
      <c r="G1600" s="78"/>
      <c r="I1600" s="80"/>
      <c r="K1600" s="71"/>
      <c r="N1600" s="109"/>
      <c r="Q1600" s="78"/>
      <c r="R1600" s="78"/>
      <c r="S1600" s="80"/>
      <c r="T1600" s="80"/>
      <c r="V1600" s="78"/>
      <c r="W1600" s="62"/>
      <c r="X1600" s="80"/>
      <c r="Y1600" s="109"/>
    </row>
    <row r="1601">
      <c r="E1601" s="78"/>
      <c r="G1601" s="78"/>
      <c r="I1601" s="80"/>
      <c r="K1601" s="71"/>
      <c r="N1601" s="109"/>
      <c r="Q1601" s="78"/>
      <c r="R1601" s="78"/>
      <c r="S1601" s="80"/>
      <c r="T1601" s="80"/>
      <c r="V1601" s="78"/>
      <c r="W1601" s="62"/>
      <c r="X1601" s="80"/>
      <c r="Y1601" s="109"/>
    </row>
    <row r="1602">
      <c r="E1602" s="78"/>
      <c r="G1602" s="78"/>
      <c r="I1602" s="80"/>
      <c r="K1602" s="71"/>
      <c r="N1602" s="109"/>
      <c r="Q1602" s="78"/>
      <c r="R1602" s="78"/>
      <c r="S1602" s="80"/>
      <c r="T1602" s="80"/>
      <c r="V1602" s="78"/>
      <c r="W1602" s="62"/>
      <c r="X1602" s="80"/>
      <c r="Y1602" s="109"/>
    </row>
    <row r="1603">
      <c r="E1603" s="78"/>
      <c r="G1603" s="78"/>
      <c r="I1603" s="80"/>
      <c r="K1603" s="71"/>
      <c r="N1603" s="109"/>
      <c r="Q1603" s="78"/>
      <c r="R1603" s="78"/>
      <c r="S1603" s="80"/>
      <c r="T1603" s="80"/>
      <c r="V1603" s="78"/>
      <c r="W1603" s="62"/>
      <c r="X1603" s="80"/>
      <c r="Y1603" s="109"/>
    </row>
    <row r="1604">
      <c r="E1604" s="78"/>
      <c r="G1604" s="78"/>
      <c r="I1604" s="80"/>
      <c r="K1604" s="71"/>
      <c r="N1604" s="109"/>
      <c r="Q1604" s="78"/>
      <c r="R1604" s="78"/>
      <c r="S1604" s="80"/>
      <c r="T1604" s="80"/>
      <c r="V1604" s="78"/>
      <c r="W1604" s="62"/>
      <c r="X1604" s="80"/>
      <c r="Y1604" s="109"/>
    </row>
    <row r="1605">
      <c r="E1605" s="78"/>
      <c r="G1605" s="78"/>
      <c r="I1605" s="80"/>
      <c r="K1605" s="71"/>
      <c r="N1605" s="109"/>
      <c r="Q1605" s="78"/>
      <c r="R1605" s="78"/>
      <c r="S1605" s="80"/>
      <c r="T1605" s="80"/>
      <c r="V1605" s="78"/>
      <c r="W1605" s="62"/>
      <c r="X1605" s="80"/>
      <c r="Y1605" s="109"/>
    </row>
    <row r="1606">
      <c r="E1606" s="78"/>
      <c r="G1606" s="78"/>
      <c r="I1606" s="80"/>
      <c r="K1606" s="71"/>
      <c r="N1606" s="109"/>
      <c r="Q1606" s="78"/>
      <c r="R1606" s="78"/>
      <c r="S1606" s="80"/>
      <c r="T1606" s="80"/>
      <c r="V1606" s="78"/>
      <c r="W1606" s="62"/>
      <c r="X1606" s="80"/>
      <c r="Y1606" s="109"/>
    </row>
    <row r="1607">
      <c r="E1607" s="78"/>
      <c r="G1607" s="78"/>
      <c r="I1607" s="80"/>
      <c r="K1607" s="71"/>
      <c r="N1607" s="109"/>
      <c r="Q1607" s="78"/>
      <c r="R1607" s="78"/>
      <c r="S1607" s="80"/>
      <c r="T1607" s="80"/>
      <c r="V1607" s="78"/>
      <c r="W1607" s="62"/>
      <c r="X1607" s="80"/>
      <c r="Y1607" s="109"/>
    </row>
    <row r="1608">
      <c r="E1608" s="78"/>
      <c r="G1608" s="78"/>
      <c r="I1608" s="80"/>
      <c r="K1608" s="71"/>
      <c r="N1608" s="109"/>
      <c r="Q1608" s="78"/>
      <c r="R1608" s="78"/>
      <c r="S1608" s="80"/>
      <c r="T1608" s="80"/>
      <c r="V1608" s="78"/>
      <c r="W1608" s="62"/>
      <c r="X1608" s="80"/>
      <c r="Y1608" s="109"/>
    </row>
    <row r="1609">
      <c r="E1609" s="78"/>
      <c r="G1609" s="78"/>
      <c r="I1609" s="80"/>
      <c r="K1609" s="71"/>
      <c r="N1609" s="109"/>
      <c r="Q1609" s="78"/>
      <c r="R1609" s="78"/>
      <c r="S1609" s="80"/>
      <c r="T1609" s="80"/>
      <c r="V1609" s="78"/>
      <c r="W1609" s="62"/>
      <c r="X1609" s="80"/>
      <c r="Y1609" s="109"/>
    </row>
    <row r="1610">
      <c r="E1610" s="78"/>
      <c r="G1610" s="78"/>
      <c r="I1610" s="80"/>
      <c r="K1610" s="71"/>
      <c r="N1610" s="109"/>
      <c r="Q1610" s="78"/>
      <c r="R1610" s="78"/>
      <c r="S1610" s="80"/>
      <c r="T1610" s="80"/>
      <c r="V1610" s="78"/>
      <c r="W1610" s="62"/>
      <c r="X1610" s="80"/>
      <c r="Y1610" s="109"/>
    </row>
    <row r="1611">
      <c r="E1611" s="78"/>
      <c r="G1611" s="78"/>
      <c r="I1611" s="80"/>
      <c r="K1611" s="71"/>
      <c r="N1611" s="109"/>
      <c r="Q1611" s="78"/>
      <c r="R1611" s="78"/>
      <c r="S1611" s="80"/>
      <c r="T1611" s="80"/>
      <c r="V1611" s="78"/>
      <c r="W1611" s="62"/>
      <c r="X1611" s="80"/>
      <c r="Y1611" s="109"/>
    </row>
    <row r="1612">
      <c r="E1612" s="78"/>
      <c r="G1612" s="78"/>
      <c r="I1612" s="80"/>
      <c r="K1612" s="71"/>
      <c r="N1612" s="109"/>
      <c r="Q1612" s="78"/>
      <c r="R1612" s="78"/>
      <c r="S1612" s="80"/>
      <c r="T1612" s="80"/>
      <c r="V1612" s="78"/>
      <c r="W1612" s="62"/>
      <c r="X1612" s="80"/>
      <c r="Y1612" s="109"/>
    </row>
    <row r="1613">
      <c r="E1613" s="78"/>
      <c r="G1613" s="78"/>
      <c r="I1613" s="80"/>
      <c r="K1613" s="71"/>
      <c r="N1613" s="109"/>
      <c r="Q1613" s="78"/>
      <c r="R1613" s="78"/>
      <c r="S1613" s="80"/>
      <c r="T1613" s="80"/>
      <c r="V1613" s="78"/>
      <c r="W1613" s="62"/>
      <c r="X1613" s="80"/>
      <c r="Y1613" s="109"/>
    </row>
    <row r="1614">
      <c r="E1614" s="78"/>
      <c r="G1614" s="78"/>
      <c r="I1614" s="80"/>
      <c r="K1614" s="71"/>
      <c r="N1614" s="109"/>
      <c r="Q1614" s="78"/>
      <c r="R1614" s="78"/>
      <c r="S1614" s="80"/>
      <c r="T1614" s="80"/>
      <c r="V1614" s="78"/>
      <c r="W1614" s="62"/>
      <c r="X1614" s="80"/>
      <c r="Y1614" s="109"/>
    </row>
    <row r="1615">
      <c r="E1615" s="78"/>
      <c r="G1615" s="78"/>
      <c r="I1615" s="80"/>
      <c r="K1615" s="71"/>
      <c r="N1615" s="109"/>
      <c r="Q1615" s="78"/>
      <c r="R1615" s="78"/>
      <c r="S1615" s="80"/>
      <c r="T1615" s="80"/>
      <c r="V1615" s="78"/>
      <c r="W1615" s="62"/>
      <c r="X1615" s="80"/>
      <c r="Y1615" s="109"/>
    </row>
    <row r="1616">
      <c r="E1616" s="78"/>
      <c r="G1616" s="78"/>
      <c r="I1616" s="80"/>
      <c r="K1616" s="71"/>
      <c r="N1616" s="109"/>
      <c r="Q1616" s="78"/>
      <c r="R1616" s="78"/>
      <c r="S1616" s="80"/>
      <c r="T1616" s="80"/>
      <c r="V1616" s="78"/>
      <c r="W1616" s="62"/>
      <c r="X1616" s="80"/>
      <c r="Y1616" s="109"/>
    </row>
    <row r="1617">
      <c r="E1617" s="78"/>
      <c r="G1617" s="78"/>
      <c r="I1617" s="80"/>
      <c r="K1617" s="71"/>
      <c r="N1617" s="109"/>
      <c r="Q1617" s="78"/>
      <c r="R1617" s="78"/>
      <c r="S1617" s="80"/>
      <c r="T1617" s="80"/>
      <c r="V1617" s="78"/>
      <c r="W1617" s="62"/>
      <c r="X1617" s="80"/>
      <c r="Y1617" s="109"/>
    </row>
    <row r="1618">
      <c r="E1618" s="78"/>
      <c r="G1618" s="78"/>
      <c r="I1618" s="80"/>
      <c r="K1618" s="71"/>
      <c r="N1618" s="109"/>
      <c r="Q1618" s="78"/>
      <c r="R1618" s="78"/>
      <c r="S1618" s="80"/>
      <c r="T1618" s="80"/>
      <c r="V1618" s="78"/>
      <c r="W1618" s="62"/>
      <c r="X1618" s="80"/>
      <c r="Y1618" s="109"/>
    </row>
    <row r="1619">
      <c r="E1619" s="78"/>
      <c r="G1619" s="78"/>
      <c r="I1619" s="80"/>
      <c r="K1619" s="71"/>
      <c r="N1619" s="109"/>
      <c r="Q1619" s="78"/>
      <c r="R1619" s="78"/>
      <c r="S1619" s="80"/>
      <c r="T1619" s="80"/>
      <c r="V1619" s="78"/>
      <c r="W1619" s="62"/>
      <c r="X1619" s="80"/>
      <c r="Y1619" s="109"/>
    </row>
    <row r="1620">
      <c r="E1620" s="78"/>
      <c r="G1620" s="78"/>
      <c r="I1620" s="80"/>
      <c r="K1620" s="71"/>
      <c r="N1620" s="109"/>
      <c r="Q1620" s="78"/>
      <c r="R1620" s="78"/>
      <c r="S1620" s="80"/>
      <c r="T1620" s="80"/>
      <c r="V1620" s="78"/>
      <c r="W1620" s="62"/>
      <c r="X1620" s="80"/>
      <c r="Y1620" s="109"/>
    </row>
    <row r="1621">
      <c r="E1621" s="78"/>
      <c r="G1621" s="78"/>
      <c r="I1621" s="80"/>
      <c r="K1621" s="71"/>
      <c r="N1621" s="109"/>
      <c r="Q1621" s="78"/>
      <c r="R1621" s="78"/>
      <c r="S1621" s="80"/>
      <c r="T1621" s="80"/>
      <c r="V1621" s="78"/>
      <c r="W1621" s="62"/>
      <c r="X1621" s="80"/>
      <c r="Y1621" s="109"/>
    </row>
    <row r="1622">
      <c r="E1622" s="78"/>
      <c r="G1622" s="78"/>
      <c r="I1622" s="80"/>
      <c r="K1622" s="71"/>
      <c r="N1622" s="109"/>
      <c r="Q1622" s="78"/>
      <c r="R1622" s="78"/>
      <c r="S1622" s="80"/>
      <c r="T1622" s="80"/>
      <c r="V1622" s="78"/>
      <c r="W1622" s="62"/>
      <c r="X1622" s="80"/>
      <c r="Y1622" s="109"/>
    </row>
    <row r="1623">
      <c r="E1623" s="78"/>
      <c r="G1623" s="78"/>
      <c r="I1623" s="80"/>
      <c r="K1623" s="71"/>
      <c r="N1623" s="109"/>
      <c r="Q1623" s="78"/>
      <c r="R1623" s="78"/>
      <c r="S1623" s="80"/>
      <c r="T1623" s="80"/>
      <c r="V1623" s="78"/>
      <c r="W1623" s="62"/>
      <c r="X1623" s="80"/>
      <c r="Y1623" s="109"/>
    </row>
    <row r="1624">
      <c r="E1624" s="78"/>
      <c r="G1624" s="78"/>
      <c r="I1624" s="80"/>
      <c r="K1624" s="71"/>
      <c r="N1624" s="109"/>
      <c r="Q1624" s="78"/>
      <c r="R1624" s="78"/>
      <c r="S1624" s="80"/>
      <c r="T1624" s="80"/>
      <c r="V1624" s="78"/>
      <c r="W1624" s="62"/>
      <c r="X1624" s="80"/>
      <c r="Y1624" s="109"/>
    </row>
    <row r="1625">
      <c r="E1625" s="78"/>
      <c r="G1625" s="78"/>
      <c r="I1625" s="80"/>
      <c r="K1625" s="71"/>
      <c r="N1625" s="109"/>
      <c r="Q1625" s="78"/>
      <c r="R1625" s="78"/>
      <c r="S1625" s="80"/>
      <c r="T1625" s="80"/>
      <c r="V1625" s="78"/>
      <c r="W1625" s="62"/>
      <c r="X1625" s="80"/>
      <c r="Y1625" s="109"/>
    </row>
    <row r="1626">
      <c r="E1626" s="78"/>
      <c r="G1626" s="78"/>
      <c r="I1626" s="80"/>
      <c r="K1626" s="71"/>
      <c r="N1626" s="109"/>
      <c r="Q1626" s="78"/>
      <c r="R1626" s="78"/>
      <c r="S1626" s="80"/>
      <c r="T1626" s="80"/>
      <c r="V1626" s="78"/>
      <c r="W1626" s="62"/>
      <c r="X1626" s="80"/>
      <c r="Y1626" s="109"/>
    </row>
    <row r="1627">
      <c r="E1627" s="78"/>
      <c r="G1627" s="78"/>
      <c r="I1627" s="80"/>
      <c r="K1627" s="71"/>
      <c r="N1627" s="109"/>
      <c r="Q1627" s="78"/>
      <c r="R1627" s="78"/>
      <c r="S1627" s="80"/>
      <c r="T1627" s="80"/>
      <c r="V1627" s="78"/>
      <c r="W1627" s="62"/>
      <c r="X1627" s="80"/>
      <c r="Y1627" s="109"/>
    </row>
    <row r="1628">
      <c r="E1628" s="78"/>
      <c r="G1628" s="78"/>
      <c r="I1628" s="80"/>
      <c r="K1628" s="71"/>
      <c r="N1628" s="109"/>
      <c r="Q1628" s="78"/>
      <c r="R1628" s="78"/>
      <c r="S1628" s="80"/>
      <c r="T1628" s="80"/>
      <c r="V1628" s="78"/>
      <c r="W1628" s="62"/>
      <c r="X1628" s="80"/>
      <c r="Y1628" s="109"/>
    </row>
    <row r="1629">
      <c r="E1629" s="78"/>
      <c r="G1629" s="78"/>
      <c r="I1629" s="80"/>
      <c r="K1629" s="71"/>
      <c r="N1629" s="109"/>
      <c r="Q1629" s="78"/>
      <c r="R1629" s="78"/>
      <c r="S1629" s="80"/>
      <c r="T1629" s="80"/>
      <c r="V1629" s="78"/>
      <c r="W1629" s="62"/>
      <c r="X1629" s="80"/>
      <c r="Y1629" s="109"/>
    </row>
    <row r="1630">
      <c r="E1630" s="78"/>
      <c r="G1630" s="78"/>
      <c r="I1630" s="80"/>
      <c r="K1630" s="71"/>
      <c r="N1630" s="109"/>
      <c r="Q1630" s="78"/>
      <c r="R1630" s="78"/>
      <c r="S1630" s="80"/>
      <c r="T1630" s="80"/>
      <c r="V1630" s="78"/>
      <c r="W1630" s="62"/>
      <c r="X1630" s="80"/>
      <c r="Y1630" s="109"/>
    </row>
    <row r="1631">
      <c r="E1631" s="78"/>
      <c r="G1631" s="78"/>
      <c r="I1631" s="80"/>
      <c r="K1631" s="71"/>
      <c r="N1631" s="109"/>
      <c r="Q1631" s="78"/>
      <c r="R1631" s="78"/>
      <c r="S1631" s="80"/>
      <c r="T1631" s="80"/>
      <c r="V1631" s="78"/>
      <c r="W1631" s="62"/>
      <c r="X1631" s="80"/>
      <c r="Y1631" s="109"/>
    </row>
    <row r="1632">
      <c r="E1632" s="78"/>
      <c r="G1632" s="78"/>
      <c r="I1632" s="80"/>
      <c r="K1632" s="71"/>
      <c r="N1632" s="109"/>
      <c r="Q1632" s="78"/>
      <c r="R1632" s="78"/>
      <c r="S1632" s="80"/>
      <c r="T1632" s="80"/>
      <c r="V1632" s="78"/>
      <c r="W1632" s="62"/>
      <c r="X1632" s="80"/>
      <c r="Y1632" s="109"/>
    </row>
    <row r="1633">
      <c r="E1633" s="78"/>
      <c r="G1633" s="78"/>
      <c r="I1633" s="80"/>
      <c r="K1633" s="71"/>
      <c r="N1633" s="109"/>
      <c r="Q1633" s="78"/>
      <c r="R1633" s="78"/>
      <c r="S1633" s="80"/>
      <c r="T1633" s="80"/>
      <c r="V1633" s="78"/>
      <c r="W1633" s="62"/>
      <c r="X1633" s="80"/>
      <c r="Y1633" s="109"/>
    </row>
    <row r="1634">
      <c r="E1634" s="78"/>
      <c r="G1634" s="78"/>
      <c r="I1634" s="80"/>
      <c r="K1634" s="71"/>
      <c r="N1634" s="109"/>
      <c r="Q1634" s="78"/>
      <c r="R1634" s="78"/>
      <c r="S1634" s="80"/>
      <c r="T1634" s="80"/>
      <c r="V1634" s="78"/>
      <c r="W1634" s="62"/>
      <c r="X1634" s="80"/>
      <c r="Y1634" s="109"/>
    </row>
    <row r="1635">
      <c r="E1635" s="78"/>
      <c r="G1635" s="78"/>
      <c r="I1635" s="80"/>
      <c r="K1635" s="71"/>
      <c r="N1635" s="109"/>
      <c r="Q1635" s="78"/>
      <c r="R1635" s="78"/>
      <c r="S1635" s="80"/>
      <c r="T1635" s="80"/>
      <c r="V1635" s="78"/>
      <c r="W1635" s="62"/>
      <c r="X1635" s="80"/>
      <c r="Y1635" s="109"/>
    </row>
    <row r="1636">
      <c r="E1636" s="78"/>
      <c r="G1636" s="78"/>
      <c r="I1636" s="80"/>
      <c r="K1636" s="71"/>
      <c r="N1636" s="109"/>
      <c r="Q1636" s="78"/>
      <c r="R1636" s="78"/>
      <c r="S1636" s="80"/>
      <c r="T1636" s="80"/>
      <c r="V1636" s="78"/>
      <c r="W1636" s="62"/>
      <c r="X1636" s="80"/>
      <c r="Y1636" s="109"/>
    </row>
    <row r="1637">
      <c r="E1637" s="78"/>
      <c r="G1637" s="78"/>
      <c r="I1637" s="80"/>
      <c r="K1637" s="71"/>
      <c r="N1637" s="109"/>
      <c r="Q1637" s="78"/>
      <c r="R1637" s="78"/>
      <c r="S1637" s="80"/>
      <c r="T1637" s="80"/>
      <c r="V1637" s="78"/>
      <c r="W1637" s="62"/>
      <c r="X1637" s="80"/>
      <c r="Y1637" s="109"/>
    </row>
    <row r="1638">
      <c r="E1638" s="78"/>
      <c r="G1638" s="78"/>
      <c r="I1638" s="80"/>
      <c r="K1638" s="71"/>
      <c r="N1638" s="109"/>
      <c r="Q1638" s="78"/>
      <c r="R1638" s="78"/>
      <c r="S1638" s="80"/>
      <c r="T1638" s="80"/>
      <c r="V1638" s="78"/>
      <c r="W1638" s="62"/>
      <c r="X1638" s="80"/>
      <c r="Y1638" s="109"/>
    </row>
    <row r="1639">
      <c r="E1639" s="78"/>
      <c r="G1639" s="78"/>
      <c r="I1639" s="80"/>
      <c r="K1639" s="71"/>
      <c r="N1639" s="109"/>
      <c r="Q1639" s="78"/>
      <c r="R1639" s="78"/>
      <c r="S1639" s="80"/>
      <c r="T1639" s="80"/>
      <c r="V1639" s="78"/>
      <c r="W1639" s="62"/>
      <c r="X1639" s="80"/>
      <c r="Y1639" s="109"/>
    </row>
    <row r="1640">
      <c r="E1640" s="78"/>
      <c r="G1640" s="78"/>
      <c r="I1640" s="80"/>
      <c r="K1640" s="71"/>
      <c r="N1640" s="109"/>
      <c r="Q1640" s="78"/>
      <c r="R1640" s="78"/>
      <c r="S1640" s="80"/>
      <c r="T1640" s="80"/>
      <c r="V1640" s="78"/>
      <c r="W1640" s="62"/>
      <c r="X1640" s="80"/>
      <c r="Y1640" s="109"/>
    </row>
    <row r="1641">
      <c r="E1641" s="78"/>
      <c r="G1641" s="78"/>
      <c r="I1641" s="80"/>
      <c r="K1641" s="71"/>
      <c r="N1641" s="109"/>
      <c r="Q1641" s="78"/>
      <c r="R1641" s="78"/>
      <c r="S1641" s="80"/>
      <c r="T1641" s="80"/>
      <c r="V1641" s="78"/>
      <c r="W1641" s="62"/>
      <c r="X1641" s="80"/>
      <c r="Y1641" s="109"/>
    </row>
    <row r="1642">
      <c r="E1642" s="78"/>
      <c r="G1642" s="78"/>
      <c r="I1642" s="80"/>
      <c r="K1642" s="71"/>
      <c r="N1642" s="109"/>
      <c r="Q1642" s="78"/>
      <c r="R1642" s="78"/>
      <c r="S1642" s="80"/>
      <c r="T1642" s="80"/>
      <c r="V1642" s="78"/>
      <c r="W1642" s="62"/>
      <c r="X1642" s="80"/>
      <c r="Y1642" s="109"/>
    </row>
    <row r="1643">
      <c r="E1643" s="78"/>
      <c r="G1643" s="78"/>
      <c r="I1643" s="80"/>
      <c r="K1643" s="71"/>
      <c r="N1643" s="109"/>
      <c r="Q1643" s="78"/>
      <c r="R1643" s="78"/>
      <c r="S1643" s="80"/>
      <c r="T1643" s="80"/>
      <c r="V1643" s="78"/>
      <c r="W1643" s="62"/>
      <c r="X1643" s="80"/>
      <c r="Y1643" s="109"/>
    </row>
    <row r="1644">
      <c r="E1644" s="78"/>
      <c r="G1644" s="78"/>
      <c r="I1644" s="80"/>
      <c r="K1644" s="71"/>
      <c r="N1644" s="109"/>
      <c r="Q1644" s="78"/>
      <c r="R1644" s="78"/>
      <c r="S1644" s="80"/>
      <c r="T1644" s="80"/>
      <c r="V1644" s="78"/>
      <c r="W1644" s="62"/>
      <c r="X1644" s="80"/>
      <c r="Y1644" s="109"/>
    </row>
    <row r="1645">
      <c r="E1645" s="78"/>
      <c r="G1645" s="78"/>
      <c r="I1645" s="80"/>
      <c r="K1645" s="71"/>
      <c r="N1645" s="109"/>
      <c r="Q1645" s="78"/>
      <c r="R1645" s="78"/>
      <c r="S1645" s="80"/>
      <c r="T1645" s="80"/>
      <c r="V1645" s="78"/>
      <c r="W1645" s="62"/>
      <c r="X1645" s="80"/>
      <c r="Y1645" s="109"/>
    </row>
    <row r="1646">
      <c r="E1646" s="78"/>
      <c r="G1646" s="78"/>
      <c r="I1646" s="80"/>
      <c r="K1646" s="71"/>
      <c r="N1646" s="109"/>
      <c r="Q1646" s="78"/>
      <c r="R1646" s="78"/>
      <c r="S1646" s="80"/>
      <c r="T1646" s="80"/>
      <c r="V1646" s="78"/>
      <c r="W1646" s="62"/>
      <c r="X1646" s="80"/>
      <c r="Y1646" s="109"/>
    </row>
    <row r="1647">
      <c r="E1647" s="78"/>
      <c r="G1647" s="78"/>
      <c r="I1647" s="80"/>
      <c r="K1647" s="71"/>
      <c r="N1647" s="109"/>
      <c r="Q1647" s="78"/>
      <c r="R1647" s="78"/>
      <c r="S1647" s="80"/>
      <c r="T1647" s="80"/>
      <c r="V1647" s="78"/>
      <c r="W1647" s="62"/>
      <c r="X1647" s="80"/>
      <c r="Y1647" s="109"/>
    </row>
    <row r="1648">
      <c r="E1648" s="78"/>
      <c r="G1648" s="78"/>
      <c r="I1648" s="80"/>
      <c r="K1648" s="71"/>
      <c r="N1648" s="109"/>
      <c r="Q1648" s="78"/>
      <c r="R1648" s="78"/>
      <c r="S1648" s="80"/>
      <c r="T1648" s="80"/>
      <c r="V1648" s="78"/>
      <c r="W1648" s="62"/>
      <c r="X1648" s="80"/>
      <c r="Y1648" s="109"/>
    </row>
    <row r="1649">
      <c r="E1649" s="78"/>
      <c r="G1649" s="78"/>
      <c r="I1649" s="80"/>
      <c r="K1649" s="71"/>
      <c r="N1649" s="109"/>
      <c r="Q1649" s="78"/>
      <c r="R1649" s="78"/>
      <c r="S1649" s="80"/>
      <c r="T1649" s="80"/>
      <c r="V1649" s="78"/>
      <c r="W1649" s="62"/>
      <c r="X1649" s="80"/>
      <c r="Y1649" s="109"/>
    </row>
    <row r="1650">
      <c r="E1650" s="78"/>
      <c r="G1650" s="78"/>
      <c r="I1650" s="80"/>
      <c r="K1650" s="71"/>
      <c r="N1650" s="109"/>
      <c r="Q1650" s="78"/>
      <c r="R1650" s="78"/>
      <c r="S1650" s="80"/>
      <c r="T1650" s="80"/>
      <c r="V1650" s="78"/>
      <c r="W1650" s="62"/>
      <c r="X1650" s="80"/>
      <c r="Y1650" s="109"/>
    </row>
    <row r="1651">
      <c r="E1651" s="78"/>
      <c r="G1651" s="78"/>
      <c r="I1651" s="80"/>
      <c r="K1651" s="71"/>
      <c r="N1651" s="109"/>
      <c r="Q1651" s="78"/>
      <c r="R1651" s="78"/>
      <c r="S1651" s="80"/>
      <c r="T1651" s="80"/>
      <c r="V1651" s="78"/>
      <c r="W1651" s="62"/>
      <c r="X1651" s="80"/>
      <c r="Y1651" s="109"/>
    </row>
    <row r="1652">
      <c r="E1652" s="78"/>
      <c r="G1652" s="78"/>
      <c r="I1652" s="80"/>
      <c r="K1652" s="71"/>
      <c r="N1652" s="109"/>
      <c r="Q1652" s="78"/>
      <c r="R1652" s="78"/>
      <c r="S1652" s="80"/>
      <c r="T1652" s="80"/>
      <c r="V1652" s="78"/>
      <c r="W1652" s="62"/>
      <c r="X1652" s="80"/>
      <c r="Y1652" s="109"/>
    </row>
    <row r="1653">
      <c r="E1653" s="78"/>
      <c r="G1653" s="78"/>
      <c r="I1653" s="80"/>
      <c r="K1653" s="71"/>
      <c r="N1653" s="109"/>
      <c r="Q1653" s="78"/>
      <c r="R1653" s="78"/>
      <c r="S1653" s="80"/>
      <c r="T1653" s="80"/>
      <c r="V1653" s="78"/>
      <c r="W1653" s="62"/>
      <c r="X1653" s="80"/>
      <c r="Y1653" s="109"/>
    </row>
    <row r="1654">
      <c r="E1654" s="78"/>
      <c r="G1654" s="78"/>
      <c r="I1654" s="80"/>
      <c r="K1654" s="71"/>
      <c r="N1654" s="109"/>
      <c r="Q1654" s="78"/>
      <c r="R1654" s="78"/>
      <c r="S1654" s="80"/>
      <c r="T1654" s="80"/>
      <c r="V1654" s="78"/>
      <c r="W1654" s="62"/>
      <c r="X1654" s="80"/>
      <c r="Y1654" s="109"/>
    </row>
    <row r="1655">
      <c r="E1655" s="78"/>
      <c r="G1655" s="78"/>
      <c r="I1655" s="80"/>
      <c r="K1655" s="71"/>
      <c r="N1655" s="109"/>
      <c r="Q1655" s="78"/>
      <c r="R1655" s="78"/>
      <c r="S1655" s="80"/>
      <c r="T1655" s="80"/>
      <c r="V1655" s="78"/>
      <c r="W1655" s="62"/>
      <c r="X1655" s="80"/>
      <c r="Y1655" s="109"/>
    </row>
    <row r="1656">
      <c r="E1656" s="78"/>
      <c r="G1656" s="78"/>
      <c r="I1656" s="80"/>
      <c r="K1656" s="71"/>
      <c r="N1656" s="109"/>
      <c r="Q1656" s="78"/>
      <c r="R1656" s="78"/>
      <c r="S1656" s="80"/>
      <c r="T1656" s="80"/>
      <c r="V1656" s="78"/>
      <c r="W1656" s="62"/>
      <c r="X1656" s="80"/>
      <c r="Y1656" s="109"/>
    </row>
    <row r="1657">
      <c r="E1657" s="78"/>
      <c r="G1657" s="78"/>
      <c r="I1657" s="80"/>
      <c r="K1657" s="71"/>
      <c r="N1657" s="109"/>
      <c r="Q1657" s="78"/>
      <c r="R1657" s="78"/>
      <c r="S1657" s="80"/>
      <c r="T1657" s="80"/>
      <c r="V1657" s="78"/>
      <c r="W1657" s="62"/>
      <c r="X1657" s="80"/>
      <c r="Y1657" s="109"/>
    </row>
    <row r="1658">
      <c r="E1658" s="78"/>
      <c r="G1658" s="78"/>
      <c r="I1658" s="80"/>
      <c r="K1658" s="71"/>
      <c r="N1658" s="109"/>
      <c r="Q1658" s="78"/>
      <c r="R1658" s="78"/>
      <c r="S1658" s="80"/>
      <c r="T1658" s="80"/>
      <c r="V1658" s="78"/>
      <c r="W1658" s="62"/>
      <c r="X1658" s="80"/>
      <c r="Y1658" s="109"/>
    </row>
    <row r="1659">
      <c r="E1659" s="78"/>
      <c r="G1659" s="78"/>
      <c r="I1659" s="80"/>
      <c r="K1659" s="71"/>
      <c r="N1659" s="109"/>
      <c r="Q1659" s="78"/>
      <c r="R1659" s="78"/>
      <c r="S1659" s="80"/>
      <c r="T1659" s="80"/>
      <c r="V1659" s="78"/>
      <c r="W1659" s="62"/>
      <c r="X1659" s="80"/>
      <c r="Y1659" s="109"/>
    </row>
    <row r="1660">
      <c r="E1660" s="78"/>
      <c r="G1660" s="78"/>
      <c r="I1660" s="80"/>
      <c r="K1660" s="71"/>
      <c r="N1660" s="109"/>
      <c r="Q1660" s="78"/>
      <c r="R1660" s="78"/>
      <c r="S1660" s="80"/>
      <c r="T1660" s="80"/>
      <c r="V1660" s="78"/>
      <c r="W1660" s="62"/>
      <c r="X1660" s="80"/>
      <c r="Y1660" s="109"/>
    </row>
    <row r="1661">
      <c r="E1661" s="78"/>
      <c r="G1661" s="78"/>
      <c r="I1661" s="80"/>
      <c r="K1661" s="71"/>
      <c r="N1661" s="109"/>
      <c r="Q1661" s="78"/>
      <c r="R1661" s="78"/>
      <c r="S1661" s="80"/>
      <c r="T1661" s="80"/>
      <c r="V1661" s="78"/>
      <c r="W1661" s="62"/>
      <c r="X1661" s="80"/>
      <c r="Y1661" s="109"/>
    </row>
    <row r="1662">
      <c r="E1662" s="78"/>
      <c r="G1662" s="78"/>
      <c r="I1662" s="80"/>
      <c r="K1662" s="71"/>
      <c r="N1662" s="109"/>
      <c r="Q1662" s="78"/>
      <c r="R1662" s="78"/>
      <c r="S1662" s="80"/>
      <c r="T1662" s="80"/>
      <c r="V1662" s="78"/>
      <c r="W1662" s="62"/>
      <c r="X1662" s="80"/>
      <c r="Y1662" s="109"/>
    </row>
    <row r="1663">
      <c r="E1663" s="78"/>
      <c r="G1663" s="78"/>
      <c r="I1663" s="80"/>
      <c r="K1663" s="71"/>
      <c r="N1663" s="109"/>
      <c r="Q1663" s="78"/>
      <c r="R1663" s="78"/>
      <c r="S1663" s="80"/>
      <c r="T1663" s="80"/>
      <c r="V1663" s="78"/>
      <c r="W1663" s="62"/>
      <c r="X1663" s="80"/>
      <c r="Y1663" s="109"/>
    </row>
    <row r="1664">
      <c r="E1664" s="78"/>
      <c r="G1664" s="78"/>
      <c r="I1664" s="80"/>
      <c r="K1664" s="71"/>
      <c r="N1664" s="109"/>
      <c r="Q1664" s="78"/>
      <c r="R1664" s="78"/>
      <c r="S1664" s="80"/>
      <c r="T1664" s="80"/>
      <c r="V1664" s="78"/>
      <c r="W1664" s="62"/>
      <c r="X1664" s="80"/>
      <c r="Y1664" s="109"/>
    </row>
    <row r="1665">
      <c r="E1665" s="78"/>
      <c r="G1665" s="78"/>
      <c r="I1665" s="80"/>
      <c r="K1665" s="71"/>
      <c r="N1665" s="109"/>
      <c r="Q1665" s="78"/>
      <c r="R1665" s="78"/>
      <c r="S1665" s="80"/>
      <c r="T1665" s="80"/>
      <c r="V1665" s="78"/>
      <c r="W1665" s="62"/>
      <c r="X1665" s="80"/>
      <c r="Y1665" s="109"/>
    </row>
    <row r="1666">
      <c r="E1666" s="78"/>
      <c r="G1666" s="78"/>
      <c r="I1666" s="80"/>
      <c r="K1666" s="71"/>
      <c r="N1666" s="109"/>
      <c r="Q1666" s="78"/>
      <c r="R1666" s="78"/>
      <c r="S1666" s="80"/>
      <c r="T1666" s="80"/>
      <c r="V1666" s="78"/>
      <c r="W1666" s="62"/>
      <c r="X1666" s="80"/>
      <c r="Y1666" s="109"/>
    </row>
    <row r="1667">
      <c r="E1667" s="78"/>
      <c r="G1667" s="78"/>
      <c r="I1667" s="80"/>
      <c r="K1667" s="71"/>
      <c r="N1667" s="109"/>
      <c r="Q1667" s="78"/>
      <c r="R1667" s="78"/>
      <c r="S1667" s="80"/>
      <c r="T1667" s="80"/>
      <c r="V1667" s="78"/>
      <c r="W1667" s="62"/>
      <c r="X1667" s="80"/>
      <c r="Y1667" s="109"/>
    </row>
    <row r="1668">
      <c r="E1668" s="78"/>
      <c r="G1668" s="78"/>
      <c r="I1668" s="80"/>
      <c r="K1668" s="71"/>
      <c r="N1668" s="109"/>
      <c r="Q1668" s="78"/>
      <c r="R1668" s="78"/>
      <c r="S1668" s="80"/>
      <c r="T1668" s="80"/>
      <c r="V1668" s="78"/>
      <c r="W1668" s="62"/>
      <c r="X1668" s="80"/>
      <c r="Y1668" s="109"/>
    </row>
    <row r="1669">
      <c r="E1669" s="78"/>
      <c r="G1669" s="78"/>
      <c r="I1669" s="80"/>
      <c r="K1669" s="71"/>
      <c r="N1669" s="109"/>
      <c r="Q1669" s="78"/>
      <c r="R1669" s="78"/>
      <c r="S1669" s="80"/>
      <c r="T1669" s="80"/>
      <c r="V1669" s="78"/>
      <c r="W1669" s="62"/>
      <c r="X1669" s="80"/>
      <c r="Y1669" s="109"/>
    </row>
    <row r="1670">
      <c r="E1670" s="78"/>
      <c r="G1670" s="78"/>
      <c r="I1670" s="80"/>
      <c r="K1670" s="71"/>
      <c r="N1670" s="109"/>
      <c r="Q1670" s="78"/>
      <c r="R1670" s="78"/>
      <c r="S1670" s="80"/>
      <c r="T1670" s="80"/>
      <c r="V1670" s="78"/>
      <c r="W1670" s="62"/>
      <c r="X1670" s="80"/>
      <c r="Y1670" s="109"/>
    </row>
    <row r="1671">
      <c r="E1671" s="78"/>
      <c r="G1671" s="78"/>
      <c r="I1671" s="80"/>
      <c r="K1671" s="71"/>
      <c r="N1671" s="109"/>
      <c r="Q1671" s="78"/>
      <c r="R1671" s="78"/>
      <c r="S1671" s="80"/>
      <c r="T1671" s="80"/>
      <c r="V1671" s="78"/>
      <c r="W1671" s="62"/>
      <c r="X1671" s="80"/>
      <c r="Y1671" s="109"/>
    </row>
    <row r="1672">
      <c r="E1672" s="78"/>
      <c r="G1672" s="78"/>
      <c r="I1672" s="80"/>
      <c r="K1672" s="71"/>
      <c r="N1672" s="109"/>
      <c r="Q1672" s="78"/>
      <c r="R1672" s="78"/>
      <c r="S1672" s="80"/>
      <c r="T1672" s="80"/>
      <c r="V1672" s="78"/>
      <c r="W1672" s="62"/>
      <c r="X1672" s="80"/>
      <c r="Y1672" s="109"/>
    </row>
    <row r="1673">
      <c r="E1673" s="78"/>
      <c r="G1673" s="78"/>
      <c r="I1673" s="80"/>
      <c r="K1673" s="71"/>
      <c r="N1673" s="109"/>
      <c r="Q1673" s="78"/>
      <c r="R1673" s="78"/>
      <c r="S1673" s="80"/>
      <c r="T1673" s="80"/>
      <c r="V1673" s="78"/>
      <c r="W1673" s="62"/>
      <c r="X1673" s="80"/>
      <c r="Y1673" s="109"/>
    </row>
    <row r="1674">
      <c r="E1674" s="78"/>
      <c r="G1674" s="78"/>
      <c r="I1674" s="80"/>
      <c r="K1674" s="71"/>
      <c r="N1674" s="109"/>
      <c r="Q1674" s="78"/>
      <c r="R1674" s="78"/>
      <c r="S1674" s="80"/>
      <c r="T1674" s="80"/>
      <c r="V1674" s="78"/>
      <c r="W1674" s="62"/>
      <c r="X1674" s="80"/>
      <c r="Y1674" s="109"/>
    </row>
    <row r="1675">
      <c r="E1675" s="78"/>
      <c r="G1675" s="78"/>
      <c r="I1675" s="80"/>
      <c r="K1675" s="71"/>
      <c r="N1675" s="109"/>
      <c r="Q1675" s="78"/>
      <c r="R1675" s="78"/>
      <c r="S1675" s="80"/>
      <c r="T1675" s="80"/>
      <c r="V1675" s="78"/>
      <c r="W1675" s="62"/>
      <c r="X1675" s="80"/>
      <c r="Y1675" s="109"/>
    </row>
    <row r="1676">
      <c r="E1676" s="78"/>
      <c r="G1676" s="78"/>
      <c r="I1676" s="80"/>
      <c r="K1676" s="71"/>
      <c r="N1676" s="109"/>
      <c r="Q1676" s="78"/>
      <c r="R1676" s="78"/>
      <c r="S1676" s="80"/>
      <c r="T1676" s="80"/>
      <c r="V1676" s="78"/>
      <c r="W1676" s="62"/>
      <c r="X1676" s="80"/>
      <c r="Y1676" s="109"/>
    </row>
    <row r="1677">
      <c r="E1677" s="78"/>
      <c r="G1677" s="78"/>
      <c r="I1677" s="80"/>
      <c r="K1677" s="71"/>
      <c r="N1677" s="109"/>
      <c r="Q1677" s="78"/>
      <c r="R1677" s="78"/>
      <c r="S1677" s="80"/>
      <c r="T1677" s="80"/>
      <c r="V1677" s="78"/>
      <c r="W1677" s="62"/>
      <c r="X1677" s="80"/>
      <c r="Y1677" s="109"/>
    </row>
    <row r="1678">
      <c r="E1678" s="78"/>
      <c r="G1678" s="78"/>
      <c r="I1678" s="80"/>
      <c r="K1678" s="71"/>
      <c r="N1678" s="109"/>
      <c r="Q1678" s="78"/>
      <c r="R1678" s="78"/>
      <c r="S1678" s="80"/>
      <c r="T1678" s="80"/>
      <c r="V1678" s="78"/>
      <c r="W1678" s="62"/>
      <c r="X1678" s="80"/>
      <c r="Y1678" s="109"/>
    </row>
    <row r="1679">
      <c r="E1679" s="78"/>
      <c r="G1679" s="78"/>
      <c r="I1679" s="80"/>
      <c r="K1679" s="71"/>
      <c r="N1679" s="109"/>
      <c r="Q1679" s="78"/>
      <c r="R1679" s="78"/>
      <c r="S1679" s="80"/>
      <c r="T1679" s="80"/>
      <c r="V1679" s="78"/>
      <c r="W1679" s="62"/>
      <c r="X1679" s="80"/>
      <c r="Y1679" s="109"/>
    </row>
    <row r="1680">
      <c r="E1680" s="78"/>
      <c r="G1680" s="78"/>
      <c r="I1680" s="80"/>
      <c r="K1680" s="71"/>
      <c r="N1680" s="109"/>
      <c r="Q1680" s="78"/>
      <c r="R1680" s="78"/>
      <c r="S1680" s="80"/>
      <c r="T1680" s="80"/>
      <c r="V1680" s="78"/>
      <c r="W1680" s="62"/>
      <c r="X1680" s="80"/>
      <c r="Y1680" s="109"/>
    </row>
    <row r="1681">
      <c r="E1681" s="78"/>
      <c r="G1681" s="78"/>
      <c r="I1681" s="80"/>
      <c r="K1681" s="71"/>
      <c r="N1681" s="109"/>
      <c r="Q1681" s="78"/>
      <c r="R1681" s="78"/>
      <c r="S1681" s="80"/>
      <c r="T1681" s="80"/>
      <c r="V1681" s="78"/>
      <c r="W1681" s="62"/>
      <c r="X1681" s="80"/>
      <c r="Y1681" s="109"/>
    </row>
    <row r="1682">
      <c r="E1682" s="78"/>
      <c r="G1682" s="78"/>
      <c r="I1682" s="80"/>
      <c r="K1682" s="71"/>
      <c r="N1682" s="109"/>
      <c r="Q1682" s="78"/>
      <c r="R1682" s="78"/>
      <c r="S1682" s="80"/>
      <c r="T1682" s="80"/>
      <c r="V1682" s="78"/>
      <c r="W1682" s="62"/>
      <c r="X1682" s="80"/>
      <c r="Y1682" s="109"/>
    </row>
    <row r="1683">
      <c r="E1683" s="78"/>
      <c r="G1683" s="78"/>
      <c r="I1683" s="80"/>
      <c r="K1683" s="71"/>
      <c r="N1683" s="109"/>
      <c r="Q1683" s="78"/>
      <c r="R1683" s="78"/>
      <c r="S1683" s="80"/>
      <c r="T1683" s="80"/>
      <c r="V1683" s="78"/>
      <c r="W1683" s="62"/>
      <c r="X1683" s="80"/>
      <c r="Y1683" s="109"/>
    </row>
    <row r="1684">
      <c r="E1684" s="78"/>
      <c r="G1684" s="78"/>
      <c r="I1684" s="80"/>
      <c r="K1684" s="71"/>
      <c r="N1684" s="109"/>
      <c r="Q1684" s="78"/>
      <c r="R1684" s="78"/>
      <c r="S1684" s="80"/>
      <c r="T1684" s="80"/>
      <c r="V1684" s="78"/>
      <c r="W1684" s="62"/>
      <c r="X1684" s="80"/>
      <c r="Y1684" s="109"/>
    </row>
    <row r="1685">
      <c r="E1685" s="78"/>
      <c r="G1685" s="78"/>
      <c r="I1685" s="80"/>
      <c r="K1685" s="71"/>
      <c r="N1685" s="109"/>
      <c r="Q1685" s="78"/>
      <c r="R1685" s="78"/>
      <c r="S1685" s="80"/>
      <c r="T1685" s="80"/>
      <c r="V1685" s="78"/>
      <c r="W1685" s="62"/>
      <c r="X1685" s="80"/>
      <c r="Y1685" s="109"/>
    </row>
    <row r="1686">
      <c r="E1686" s="78"/>
      <c r="G1686" s="78"/>
      <c r="I1686" s="80"/>
      <c r="K1686" s="71"/>
      <c r="N1686" s="109"/>
      <c r="Q1686" s="78"/>
      <c r="R1686" s="78"/>
      <c r="S1686" s="80"/>
      <c r="T1686" s="80"/>
      <c r="V1686" s="78"/>
      <c r="W1686" s="62"/>
      <c r="X1686" s="80"/>
      <c r="Y1686" s="109"/>
    </row>
    <row r="1687">
      <c r="E1687" s="78"/>
      <c r="G1687" s="78"/>
      <c r="I1687" s="80"/>
      <c r="K1687" s="71"/>
      <c r="N1687" s="109"/>
      <c r="Q1687" s="78"/>
      <c r="R1687" s="78"/>
      <c r="S1687" s="80"/>
      <c r="T1687" s="80"/>
      <c r="V1687" s="78"/>
      <c r="W1687" s="62"/>
      <c r="X1687" s="80"/>
      <c r="Y1687" s="109"/>
    </row>
    <row r="1688">
      <c r="E1688" s="78"/>
      <c r="G1688" s="78"/>
      <c r="I1688" s="80"/>
      <c r="K1688" s="71"/>
      <c r="N1688" s="109"/>
      <c r="Q1688" s="78"/>
      <c r="R1688" s="78"/>
      <c r="S1688" s="80"/>
      <c r="T1688" s="80"/>
      <c r="V1688" s="78"/>
      <c r="W1688" s="62"/>
      <c r="X1688" s="80"/>
      <c r="Y1688" s="109"/>
    </row>
    <row r="1689">
      <c r="E1689" s="78"/>
      <c r="G1689" s="78"/>
      <c r="I1689" s="80"/>
      <c r="K1689" s="71"/>
      <c r="N1689" s="109"/>
      <c r="Q1689" s="78"/>
      <c r="R1689" s="78"/>
      <c r="S1689" s="80"/>
      <c r="T1689" s="80"/>
      <c r="V1689" s="78"/>
      <c r="W1689" s="62"/>
      <c r="X1689" s="80"/>
      <c r="Y1689" s="109"/>
    </row>
    <row r="1690">
      <c r="E1690" s="78"/>
      <c r="G1690" s="78"/>
      <c r="I1690" s="80"/>
      <c r="K1690" s="71"/>
      <c r="N1690" s="109"/>
      <c r="Q1690" s="78"/>
      <c r="R1690" s="78"/>
      <c r="S1690" s="80"/>
      <c r="T1690" s="80"/>
      <c r="V1690" s="78"/>
      <c r="W1690" s="62"/>
      <c r="X1690" s="80"/>
      <c r="Y1690" s="109"/>
    </row>
    <row r="1691">
      <c r="E1691" s="78"/>
      <c r="G1691" s="78"/>
      <c r="I1691" s="80"/>
      <c r="K1691" s="71"/>
      <c r="N1691" s="109"/>
      <c r="Q1691" s="78"/>
      <c r="R1691" s="78"/>
      <c r="S1691" s="80"/>
      <c r="T1691" s="80"/>
      <c r="V1691" s="78"/>
      <c r="W1691" s="62"/>
      <c r="X1691" s="80"/>
      <c r="Y1691" s="109"/>
    </row>
    <row r="1692">
      <c r="E1692" s="78"/>
      <c r="G1692" s="78"/>
      <c r="I1692" s="80"/>
      <c r="K1692" s="71"/>
      <c r="N1692" s="109"/>
      <c r="Q1692" s="78"/>
      <c r="R1692" s="78"/>
      <c r="S1692" s="80"/>
      <c r="T1692" s="80"/>
      <c r="V1692" s="78"/>
      <c r="W1692" s="62"/>
      <c r="X1692" s="80"/>
      <c r="Y1692" s="109"/>
    </row>
    <row r="1693">
      <c r="E1693" s="78"/>
      <c r="G1693" s="78"/>
      <c r="I1693" s="80"/>
      <c r="K1693" s="71"/>
      <c r="N1693" s="109"/>
      <c r="Q1693" s="78"/>
      <c r="R1693" s="78"/>
      <c r="S1693" s="80"/>
      <c r="T1693" s="80"/>
      <c r="V1693" s="78"/>
      <c r="W1693" s="62"/>
      <c r="X1693" s="80"/>
      <c r="Y1693" s="109"/>
    </row>
    <row r="1694">
      <c r="E1694" s="78"/>
      <c r="G1694" s="78"/>
      <c r="I1694" s="80"/>
      <c r="K1694" s="71"/>
      <c r="N1694" s="109"/>
      <c r="Q1694" s="78"/>
      <c r="R1694" s="78"/>
      <c r="S1694" s="80"/>
      <c r="T1694" s="80"/>
      <c r="V1694" s="78"/>
      <c r="W1694" s="62"/>
      <c r="X1694" s="80"/>
      <c r="Y1694" s="109"/>
    </row>
    <row r="1695">
      <c r="E1695" s="78"/>
      <c r="G1695" s="78"/>
      <c r="I1695" s="80"/>
      <c r="K1695" s="71"/>
      <c r="N1695" s="109"/>
      <c r="Q1695" s="78"/>
      <c r="R1695" s="78"/>
      <c r="S1695" s="80"/>
      <c r="T1695" s="80"/>
      <c r="V1695" s="78"/>
      <c r="W1695" s="62"/>
      <c r="X1695" s="80"/>
      <c r="Y1695" s="109"/>
    </row>
    <row r="1696">
      <c r="E1696" s="78"/>
      <c r="G1696" s="78"/>
      <c r="I1696" s="80"/>
      <c r="K1696" s="71"/>
      <c r="N1696" s="109"/>
      <c r="Q1696" s="78"/>
      <c r="R1696" s="78"/>
      <c r="S1696" s="80"/>
      <c r="T1696" s="80"/>
      <c r="V1696" s="78"/>
      <c r="W1696" s="62"/>
      <c r="X1696" s="80"/>
      <c r="Y1696" s="109"/>
    </row>
    <row r="1697">
      <c r="E1697" s="78"/>
      <c r="G1697" s="78"/>
      <c r="I1697" s="80"/>
      <c r="K1697" s="71"/>
      <c r="N1697" s="109"/>
      <c r="Q1697" s="78"/>
      <c r="R1697" s="78"/>
      <c r="S1697" s="80"/>
      <c r="T1697" s="80"/>
      <c r="V1697" s="78"/>
      <c r="W1697" s="62"/>
      <c r="X1697" s="80"/>
      <c r="Y1697" s="109"/>
    </row>
    <row r="1698">
      <c r="E1698" s="78"/>
      <c r="G1698" s="78"/>
      <c r="I1698" s="80"/>
      <c r="K1698" s="71"/>
      <c r="N1698" s="109"/>
      <c r="Q1698" s="78"/>
      <c r="R1698" s="78"/>
      <c r="S1698" s="80"/>
      <c r="T1698" s="80"/>
      <c r="V1698" s="78"/>
      <c r="W1698" s="62"/>
      <c r="X1698" s="80"/>
      <c r="Y1698" s="109"/>
    </row>
    <row r="1699">
      <c r="E1699" s="78"/>
      <c r="G1699" s="78"/>
      <c r="I1699" s="80"/>
      <c r="K1699" s="71"/>
      <c r="N1699" s="109"/>
      <c r="Q1699" s="78"/>
      <c r="R1699" s="78"/>
      <c r="S1699" s="80"/>
      <c r="T1699" s="80"/>
      <c r="V1699" s="78"/>
      <c r="W1699" s="62"/>
      <c r="X1699" s="80"/>
      <c r="Y1699" s="109"/>
    </row>
    <row r="1700">
      <c r="E1700" s="78"/>
      <c r="G1700" s="78"/>
      <c r="I1700" s="80"/>
      <c r="K1700" s="71"/>
      <c r="N1700" s="109"/>
      <c r="Q1700" s="78"/>
      <c r="R1700" s="78"/>
      <c r="S1700" s="80"/>
      <c r="T1700" s="80"/>
      <c r="V1700" s="78"/>
      <c r="W1700" s="62"/>
      <c r="X1700" s="80"/>
      <c r="Y1700" s="109"/>
    </row>
    <row r="1701">
      <c r="E1701" s="78"/>
      <c r="G1701" s="78"/>
      <c r="I1701" s="80"/>
      <c r="K1701" s="71"/>
      <c r="N1701" s="109"/>
      <c r="Q1701" s="78"/>
      <c r="R1701" s="78"/>
      <c r="S1701" s="80"/>
      <c r="T1701" s="80"/>
      <c r="V1701" s="78"/>
      <c r="W1701" s="62"/>
      <c r="X1701" s="80"/>
      <c r="Y1701" s="109"/>
    </row>
    <row r="1702">
      <c r="E1702" s="78"/>
      <c r="G1702" s="78"/>
      <c r="I1702" s="80"/>
      <c r="K1702" s="71"/>
      <c r="N1702" s="109"/>
      <c r="Q1702" s="78"/>
      <c r="R1702" s="78"/>
      <c r="S1702" s="80"/>
      <c r="T1702" s="80"/>
      <c r="V1702" s="78"/>
      <c r="W1702" s="62"/>
      <c r="X1702" s="80"/>
      <c r="Y1702" s="109"/>
    </row>
    <row r="1703">
      <c r="E1703" s="78"/>
      <c r="G1703" s="78"/>
      <c r="I1703" s="80"/>
      <c r="K1703" s="71"/>
      <c r="N1703" s="109"/>
      <c r="Q1703" s="78"/>
      <c r="R1703" s="78"/>
      <c r="S1703" s="80"/>
      <c r="T1703" s="80"/>
      <c r="V1703" s="78"/>
      <c r="W1703" s="62"/>
      <c r="X1703" s="80"/>
      <c r="Y1703" s="109"/>
    </row>
    <row r="1704">
      <c r="E1704" s="78"/>
      <c r="G1704" s="78"/>
      <c r="I1704" s="80"/>
      <c r="K1704" s="71"/>
      <c r="N1704" s="109"/>
      <c r="Q1704" s="78"/>
      <c r="R1704" s="78"/>
      <c r="S1704" s="80"/>
      <c r="T1704" s="80"/>
      <c r="V1704" s="78"/>
      <c r="W1704" s="62"/>
      <c r="X1704" s="80"/>
      <c r="Y1704" s="109"/>
    </row>
    <row r="1705">
      <c r="E1705" s="78"/>
      <c r="G1705" s="78"/>
      <c r="I1705" s="80"/>
      <c r="K1705" s="71"/>
      <c r="N1705" s="109"/>
      <c r="Q1705" s="78"/>
      <c r="R1705" s="78"/>
      <c r="S1705" s="80"/>
      <c r="T1705" s="80"/>
      <c r="V1705" s="78"/>
      <c r="W1705" s="62"/>
      <c r="X1705" s="80"/>
      <c r="Y1705" s="109"/>
    </row>
    <row r="1706">
      <c r="E1706" s="78"/>
      <c r="G1706" s="78"/>
      <c r="I1706" s="80"/>
      <c r="K1706" s="71"/>
      <c r="N1706" s="109"/>
      <c r="Q1706" s="78"/>
      <c r="R1706" s="78"/>
      <c r="S1706" s="80"/>
      <c r="T1706" s="80"/>
      <c r="V1706" s="78"/>
      <c r="W1706" s="62"/>
      <c r="X1706" s="80"/>
      <c r="Y1706" s="109"/>
    </row>
    <row r="1707">
      <c r="E1707" s="78"/>
      <c r="G1707" s="78"/>
      <c r="I1707" s="80"/>
      <c r="K1707" s="71"/>
      <c r="N1707" s="109"/>
      <c r="Q1707" s="78"/>
      <c r="R1707" s="78"/>
      <c r="S1707" s="80"/>
      <c r="T1707" s="80"/>
      <c r="V1707" s="78"/>
      <c r="W1707" s="62"/>
      <c r="X1707" s="80"/>
      <c r="Y1707" s="109"/>
    </row>
    <row r="1708">
      <c r="E1708" s="78"/>
      <c r="G1708" s="78"/>
      <c r="I1708" s="80"/>
      <c r="K1708" s="71"/>
      <c r="N1708" s="109"/>
      <c r="Q1708" s="78"/>
      <c r="R1708" s="78"/>
      <c r="S1708" s="80"/>
      <c r="T1708" s="80"/>
      <c r="V1708" s="78"/>
      <c r="W1708" s="62"/>
      <c r="X1708" s="80"/>
      <c r="Y1708" s="109"/>
    </row>
    <row r="1709">
      <c r="E1709" s="78"/>
      <c r="G1709" s="78"/>
      <c r="I1709" s="80"/>
      <c r="K1709" s="71"/>
      <c r="N1709" s="109"/>
      <c r="Q1709" s="78"/>
      <c r="R1709" s="78"/>
      <c r="S1709" s="80"/>
      <c r="T1709" s="80"/>
      <c r="V1709" s="78"/>
      <c r="W1709" s="62"/>
      <c r="X1709" s="80"/>
      <c r="Y1709" s="109"/>
    </row>
    <row r="1710">
      <c r="E1710" s="78"/>
      <c r="G1710" s="78"/>
      <c r="I1710" s="80"/>
      <c r="K1710" s="71"/>
      <c r="N1710" s="109"/>
      <c r="Q1710" s="78"/>
      <c r="R1710" s="78"/>
      <c r="S1710" s="80"/>
      <c r="T1710" s="80"/>
      <c r="V1710" s="78"/>
      <c r="W1710" s="62"/>
      <c r="X1710" s="80"/>
      <c r="Y1710" s="109"/>
    </row>
    <row r="1711">
      <c r="E1711" s="78"/>
      <c r="G1711" s="78"/>
      <c r="I1711" s="80"/>
      <c r="K1711" s="71"/>
      <c r="N1711" s="109"/>
      <c r="Q1711" s="78"/>
      <c r="R1711" s="78"/>
      <c r="S1711" s="80"/>
      <c r="T1711" s="80"/>
      <c r="V1711" s="78"/>
      <c r="W1711" s="62"/>
      <c r="X1711" s="80"/>
      <c r="Y1711" s="109"/>
    </row>
    <row r="1712">
      <c r="E1712" s="78"/>
      <c r="G1712" s="78"/>
      <c r="I1712" s="80"/>
      <c r="K1712" s="71"/>
      <c r="N1712" s="109"/>
      <c r="Q1712" s="78"/>
      <c r="R1712" s="78"/>
      <c r="S1712" s="80"/>
      <c r="T1712" s="80"/>
      <c r="V1712" s="78"/>
      <c r="W1712" s="62"/>
      <c r="X1712" s="80"/>
      <c r="Y1712" s="109"/>
    </row>
    <row r="1713">
      <c r="E1713" s="78"/>
      <c r="G1713" s="78"/>
      <c r="I1713" s="80"/>
      <c r="K1713" s="71"/>
      <c r="N1713" s="109"/>
      <c r="Q1713" s="78"/>
      <c r="R1713" s="78"/>
      <c r="S1713" s="80"/>
      <c r="T1713" s="80"/>
      <c r="V1713" s="78"/>
      <c r="W1713" s="62"/>
      <c r="X1713" s="80"/>
      <c r="Y1713" s="109"/>
    </row>
    <row r="1714">
      <c r="E1714" s="78"/>
      <c r="G1714" s="78"/>
      <c r="I1714" s="80"/>
      <c r="K1714" s="71"/>
      <c r="N1714" s="109"/>
      <c r="Q1714" s="78"/>
      <c r="R1714" s="78"/>
      <c r="S1714" s="80"/>
      <c r="T1714" s="80"/>
      <c r="V1714" s="78"/>
      <c r="W1714" s="62"/>
      <c r="X1714" s="80"/>
      <c r="Y1714" s="109"/>
    </row>
    <row r="1715">
      <c r="E1715" s="78"/>
      <c r="G1715" s="78"/>
      <c r="I1715" s="80"/>
      <c r="K1715" s="71"/>
      <c r="N1715" s="109"/>
      <c r="Q1715" s="78"/>
      <c r="R1715" s="78"/>
      <c r="S1715" s="80"/>
      <c r="T1715" s="80"/>
      <c r="V1715" s="78"/>
      <c r="W1715" s="62"/>
      <c r="X1715" s="80"/>
      <c r="Y1715" s="109"/>
    </row>
    <row r="1716">
      <c r="E1716" s="78"/>
      <c r="G1716" s="78"/>
      <c r="I1716" s="80"/>
      <c r="K1716" s="71"/>
      <c r="N1716" s="109"/>
      <c r="Q1716" s="78"/>
      <c r="R1716" s="78"/>
      <c r="S1716" s="80"/>
      <c r="T1716" s="80"/>
      <c r="V1716" s="78"/>
      <c r="W1716" s="62"/>
      <c r="X1716" s="80"/>
      <c r="Y1716" s="109"/>
    </row>
    <row r="1717">
      <c r="E1717" s="78"/>
      <c r="G1717" s="78"/>
      <c r="I1717" s="80"/>
      <c r="K1717" s="71"/>
      <c r="N1717" s="109"/>
      <c r="Q1717" s="78"/>
      <c r="R1717" s="78"/>
      <c r="S1717" s="80"/>
      <c r="T1717" s="80"/>
      <c r="V1717" s="78"/>
      <c r="W1717" s="62"/>
      <c r="X1717" s="80"/>
      <c r="Y1717" s="109"/>
    </row>
    <row r="1718">
      <c r="E1718" s="78"/>
      <c r="G1718" s="78"/>
      <c r="I1718" s="80"/>
      <c r="K1718" s="71"/>
      <c r="N1718" s="109"/>
      <c r="Q1718" s="78"/>
      <c r="R1718" s="78"/>
      <c r="S1718" s="80"/>
      <c r="T1718" s="80"/>
      <c r="V1718" s="78"/>
      <c r="W1718" s="62"/>
      <c r="X1718" s="80"/>
      <c r="Y1718" s="109"/>
    </row>
    <row r="1719">
      <c r="E1719" s="78"/>
      <c r="G1719" s="78"/>
      <c r="I1719" s="80"/>
      <c r="K1719" s="71"/>
      <c r="N1719" s="109"/>
      <c r="Q1719" s="78"/>
      <c r="R1719" s="78"/>
      <c r="S1719" s="80"/>
      <c r="T1719" s="80"/>
      <c r="V1719" s="78"/>
      <c r="W1719" s="62"/>
      <c r="X1719" s="80"/>
      <c r="Y1719" s="109"/>
    </row>
    <row r="1720">
      <c r="E1720" s="78"/>
      <c r="G1720" s="78"/>
      <c r="I1720" s="80"/>
      <c r="K1720" s="71"/>
      <c r="N1720" s="109"/>
      <c r="Q1720" s="78"/>
      <c r="R1720" s="78"/>
      <c r="S1720" s="80"/>
      <c r="T1720" s="80"/>
      <c r="V1720" s="78"/>
      <c r="W1720" s="62"/>
      <c r="X1720" s="80"/>
      <c r="Y1720" s="109"/>
    </row>
    <row r="1721">
      <c r="E1721" s="78"/>
      <c r="G1721" s="78"/>
      <c r="I1721" s="80"/>
      <c r="K1721" s="71"/>
      <c r="N1721" s="109"/>
      <c r="Q1721" s="78"/>
      <c r="R1721" s="78"/>
      <c r="S1721" s="80"/>
      <c r="T1721" s="80"/>
      <c r="V1721" s="78"/>
      <c r="W1721" s="62"/>
      <c r="X1721" s="80"/>
      <c r="Y1721" s="109"/>
    </row>
    <row r="1722">
      <c r="E1722" s="78"/>
      <c r="G1722" s="78"/>
      <c r="I1722" s="80"/>
      <c r="K1722" s="71"/>
      <c r="N1722" s="109"/>
      <c r="Q1722" s="78"/>
      <c r="R1722" s="78"/>
      <c r="S1722" s="80"/>
      <c r="T1722" s="80"/>
      <c r="V1722" s="78"/>
      <c r="W1722" s="62"/>
      <c r="X1722" s="80"/>
      <c r="Y1722" s="109"/>
    </row>
    <row r="1723">
      <c r="E1723" s="78"/>
      <c r="G1723" s="78"/>
      <c r="I1723" s="80"/>
      <c r="K1723" s="71"/>
      <c r="N1723" s="109"/>
      <c r="Q1723" s="78"/>
      <c r="R1723" s="78"/>
      <c r="S1723" s="80"/>
      <c r="T1723" s="80"/>
      <c r="V1723" s="78"/>
      <c r="W1723" s="62"/>
      <c r="X1723" s="80"/>
      <c r="Y1723" s="109"/>
    </row>
    <row r="1724">
      <c r="E1724" s="78"/>
      <c r="G1724" s="78"/>
      <c r="I1724" s="80"/>
      <c r="K1724" s="71"/>
      <c r="N1724" s="109"/>
      <c r="Q1724" s="78"/>
      <c r="R1724" s="78"/>
      <c r="S1724" s="80"/>
      <c r="T1724" s="80"/>
      <c r="V1724" s="78"/>
      <c r="W1724" s="62"/>
      <c r="X1724" s="80"/>
      <c r="Y1724" s="109"/>
    </row>
    <row r="1725">
      <c r="E1725" s="78"/>
      <c r="G1725" s="78"/>
      <c r="I1725" s="80"/>
      <c r="K1725" s="71"/>
      <c r="N1725" s="109"/>
      <c r="Q1725" s="78"/>
      <c r="R1725" s="78"/>
      <c r="S1725" s="80"/>
      <c r="T1725" s="80"/>
      <c r="V1725" s="78"/>
      <c r="W1725" s="62"/>
      <c r="X1725" s="80"/>
      <c r="Y1725" s="109"/>
    </row>
    <row r="1726">
      <c r="E1726" s="78"/>
      <c r="G1726" s="78"/>
      <c r="I1726" s="80"/>
      <c r="K1726" s="71"/>
      <c r="N1726" s="109"/>
      <c r="Q1726" s="78"/>
      <c r="R1726" s="78"/>
      <c r="S1726" s="80"/>
      <c r="T1726" s="80"/>
      <c r="V1726" s="78"/>
      <c r="W1726" s="62"/>
      <c r="X1726" s="80"/>
      <c r="Y1726" s="109"/>
    </row>
    <row r="1727">
      <c r="E1727" s="78"/>
      <c r="G1727" s="78"/>
      <c r="I1727" s="80"/>
      <c r="K1727" s="71"/>
      <c r="N1727" s="109"/>
      <c r="Q1727" s="78"/>
      <c r="R1727" s="78"/>
      <c r="S1727" s="80"/>
      <c r="T1727" s="80"/>
      <c r="V1727" s="78"/>
      <c r="W1727" s="62"/>
      <c r="X1727" s="80"/>
      <c r="Y1727" s="109"/>
    </row>
    <row r="1728">
      <c r="E1728" s="78"/>
      <c r="G1728" s="78"/>
      <c r="I1728" s="80"/>
      <c r="K1728" s="71"/>
      <c r="N1728" s="109"/>
      <c r="Q1728" s="78"/>
      <c r="R1728" s="78"/>
      <c r="S1728" s="80"/>
      <c r="T1728" s="80"/>
      <c r="V1728" s="78"/>
      <c r="W1728" s="62"/>
      <c r="X1728" s="80"/>
      <c r="Y1728" s="109"/>
    </row>
    <row r="1729">
      <c r="E1729" s="78"/>
      <c r="G1729" s="78"/>
      <c r="I1729" s="80"/>
      <c r="K1729" s="71"/>
      <c r="N1729" s="109"/>
      <c r="Q1729" s="78"/>
      <c r="R1729" s="78"/>
      <c r="S1729" s="80"/>
      <c r="T1729" s="80"/>
      <c r="V1729" s="78"/>
      <c r="W1729" s="62"/>
      <c r="X1729" s="80"/>
      <c r="Y1729" s="109"/>
    </row>
    <row r="1730">
      <c r="E1730" s="78"/>
      <c r="G1730" s="78"/>
      <c r="I1730" s="80"/>
      <c r="K1730" s="71"/>
      <c r="N1730" s="109"/>
      <c r="Q1730" s="78"/>
      <c r="R1730" s="78"/>
      <c r="S1730" s="80"/>
      <c r="T1730" s="80"/>
      <c r="V1730" s="78"/>
      <c r="W1730" s="62"/>
      <c r="X1730" s="80"/>
      <c r="Y1730" s="109"/>
    </row>
    <row r="1731">
      <c r="E1731" s="78"/>
      <c r="G1731" s="78"/>
      <c r="I1731" s="80"/>
      <c r="K1731" s="71"/>
      <c r="N1731" s="109"/>
      <c r="Q1731" s="78"/>
      <c r="R1731" s="78"/>
      <c r="S1731" s="80"/>
      <c r="T1731" s="80"/>
      <c r="V1731" s="78"/>
      <c r="W1731" s="62"/>
      <c r="X1731" s="80"/>
      <c r="Y1731" s="109"/>
    </row>
    <row r="1732">
      <c r="E1732" s="78"/>
      <c r="G1732" s="78"/>
      <c r="I1732" s="80"/>
      <c r="K1732" s="71"/>
      <c r="N1732" s="109"/>
      <c r="Q1732" s="78"/>
      <c r="R1732" s="78"/>
      <c r="S1732" s="80"/>
      <c r="T1732" s="80"/>
      <c r="V1732" s="78"/>
      <c r="W1732" s="62"/>
      <c r="X1732" s="80"/>
      <c r="Y1732" s="109"/>
    </row>
    <row r="1733">
      <c r="E1733" s="78"/>
      <c r="G1733" s="78"/>
      <c r="I1733" s="80"/>
      <c r="K1733" s="71"/>
      <c r="N1733" s="109"/>
      <c r="Q1733" s="78"/>
      <c r="R1733" s="78"/>
      <c r="S1733" s="80"/>
      <c r="T1733" s="80"/>
      <c r="V1733" s="78"/>
      <c r="W1733" s="62"/>
      <c r="X1733" s="80"/>
      <c r="Y1733" s="109"/>
    </row>
    <row r="1734">
      <c r="E1734" s="78"/>
      <c r="G1734" s="78"/>
      <c r="I1734" s="80"/>
      <c r="K1734" s="71"/>
      <c r="N1734" s="109"/>
      <c r="Q1734" s="78"/>
      <c r="R1734" s="78"/>
      <c r="S1734" s="80"/>
      <c r="T1734" s="80"/>
      <c r="V1734" s="78"/>
      <c r="W1734" s="62"/>
      <c r="X1734" s="80"/>
      <c r="Y1734" s="109"/>
    </row>
    <row r="1735">
      <c r="E1735" s="78"/>
      <c r="G1735" s="78"/>
      <c r="I1735" s="80"/>
      <c r="K1735" s="71"/>
      <c r="N1735" s="109"/>
      <c r="Q1735" s="78"/>
      <c r="R1735" s="78"/>
      <c r="S1735" s="80"/>
      <c r="T1735" s="80"/>
      <c r="V1735" s="78"/>
      <c r="W1735" s="62"/>
      <c r="X1735" s="80"/>
      <c r="Y1735" s="109"/>
    </row>
    <row r="1736">
      <c r="E1736" s="78"/>
      <c r="G1736" s="78"/>
      <c r="I1736" s="80"/>
      <c r="K1736" s="71"/>
      <c r="N1736" s="109"/>
      <c r="Q1736" s="78"/>
      <c r="R1736" s="78"/>
      <c r="S1736" s="80"/>
      <c r="T1736" s="80"/>
      <c r="V1736" s="78"/>
      <c r="W1736" s="62"/>
      <c r="X1736" s="80"/>
      <c r="Y1736" s="109"/>
    </row>
    <row r="1737">
      <c r="E1737" s="78"/>
      <c r="G1737" s="78"/>
      <c r="I1737" s="80"/>
      <c r="K1737" s="71"/>
      <c r="N1737" s="109"/>
      <c r="Q1737" s="78"/>
      <c r="R1737" s="78"/>
      <c r="S1737" s="80"/>
      <c r="T1737" s="80"/>
      <c r="V1737" s="78"/>
      <c r="W1737" s="62"/>
      <c r="X1737" s="80"/>
      <c r="Y1737" s="109"/>
    </row>
    <row r="1738">
      <c r="E1738" s="78"/>
      <c r="G1738" s="78"/>
      <c r="I1738" s="80"/>
      <c r="K1738" s="71"/>
      <c r="N1738" s="109"/>
      <c r="Q1738" s="78"/>
      <c r="R1738" s="78"/>
      <c r="S1738" s="80"/>
      <c r="T1738" s="80"/>
      <c r="V1738" s="78"/>
      <c r="W1738" s="62"/>
      <c r="X1738" s="80"/>
      <c r="Y1738" s="109"/>
    </row>
    <row r="1739">
      <c r="E1739" s="78"/>
      <c r="G1739" s="78"/>
      <c r="I1739" s="80"/>
      <c r="K1739" s="71"/>
      <c r="N1739" s="109"/>
      <c r="Q1739" s="78"/>
      <c r="R1739" s="78"/>
      <c r="S1739" s="80"/>
      <c r="T1739" s="80"/>
      <c r="V1739" s="78"/>
      <c r="W1739" s="62"/>
      <c r="X1739" s="80"/>
      <c r="Y1739" s="109"/>
    </row>
    <row r="1740">
      <c r="E1740" s="78"/>
      <c r="G1740" s="78"/>
      <c r="I1740" s="80"/>
      <c r="K1740" s="71"/>
      <c r="N1740" s="109"/>
      <c r="Q1740" s="78"/>
      <c r="R1740" s="78"/>
      <c r="S1740" s="80"/>
      <c r="T1740" s="80"/>
      <c r="V1740" s="78"/>
      <c r="W1740" s="62"/>
      <c r="X1740" s="80"/>
      <c r="Y1740" s="109"/>
    </row>
    <row r="1741">
      <c r="E1741" s="78"/>
      <c r="G1741" s="78"/>
      <c r="I1741" s="80"/>
      <c r="K1741" s="71"/>
      <c r="N1741" s="109"/>
      <c r="Q1741" s="78"/>
      <c r="R1741" s="78"/>
      <c r="S1741" s="80"/>
      <c r="T1741" s="80"/>
      <c r="V1741" s="78"/>
      <c r="W1741" s="62"/>
      <c r="X1741" s="80"/>
      <c r="Y1741" s="109"/>
    </row>
    <row r="1742">
      <c r="E1742" s="78"/>
      <c r="G1742" s="78"/>
      <c r="I1742" s="80"/>
      <c r="K1742" s="71"/>
      <c r="N1742" s="109"/>
      <c r="Q1742" s="78"/>
      <c r="R1742" s="78"/>
      <c r="S1742" s="80"/>
      <c r="T1742" s="80"/>
      <c r="V1742" s="78"/>
      <c r="W1742" s="62"/>
      <c r="X1742" s="80"/>
      <c r="Y1742" s="109"/>
    </row>
    <row r="1743">
      <c r="E1743" s="78"/>
      <c r="G1743" s="78"/>
      <c r="I1743" s="80"/>
      <c r="K1743" s="71"/>
      <c r="N1743" s="109"/>
      <c r="Q1743" s="78"/>
      <c r="R1743" s="78"/>
      <c r="S1743" s="80"/>
      <c r="T1743" s="80"/>
      <c r="V1743" s="78"/>
      <c r="W1743" s="62"/>
      <c r="X1743" s="80"/>
      <c r="Y1743" s="109"/>
    </row>
    <row r="1744">
      <c r="E1744" s="78"/>
      <c r="G1744" s="78"/>
      <c r="I1744" s="80"/>
      <c r="K1744" s="71"/>
      <c r="N1744" s="109"/>
      <c r="Q1744" s="78"/>
      <c r="R1744" s="78"/>
      <c r="S1744" s="80"/>
      <c r="T1744" s="80"/>
      <c r="V1744" s="78"/>
      <c r="W1744" s="62"/>
      <c r="X1744" s="80"/>
      <c r="Y1744" s="109"/>
    </row>
    <row r="1745">
      <c r="E1745" s="78"/>
      <c r="G1745" s="78"/>
      <c r="I1745" s="80"/>
      <c r="K1745" s="71"/>
      <c r="N1745" s="109"/>
      <c r="Q1745" s="78"/>
      <c r="R1745" s="78"/>
      <c r="S1745" s="80"/>
      <c r="T1745" s="80"/>
      <c r="V1745" s="78"/>
      <c r="W1745" s="62"/>
      <c r="X1745" s="80"/>
      <c r="Y1745" s="109"/>
    </row>
    <row r="1746">
      <c r="E1746" s="78"/>
      <c r="G1746" s="78"/>
      <c r="I1746" s="80"/>
      <c r="K1746" s="71"/>
      <c r="N1746" s="109"/>
      <c r="Q1746" s="78"/>
      <c r="R1746" s="78"/>
      <c r="S1746" s="80"/>
      <c r="T1746" s="80"/>
      <c r="V1746" s="78"/>
      <c r="W1746" s="62"/>
      <c r="X1746" s="80"/>
      <c r="Y1746" s="109"/>
    </row>
    <row r="1747">
      <c r="E1747" s="78"/>
      <c r="G1747" s="78"/>
      <c r="I1747" s="80"/>
      <c r="K1747" s="71"/>
      <c r="N1747" s="109"/>
      <c r="Q1747" s="78"/>
      <c r="R1747" s="78"/>
      <c r="S1747" s="80"/>
      <c r="T1747" s="80"/>
      <c r="V1747" s="78"/>
      <c r="W1747" s="62"/>
      <c r="X1747" s="80"/>
      <c r="Y1747" s="109"/>
    </row>
    <row r="1748">
      <c r="E1748" s="78"/>
      <c r="G1748" s="78"/>
      <c r="I1748" s="80"/>
      <c r="K1748" s="71"/>
      <c r="N1748" s="109"/>
      <c r="Q1748" s="78"/>
      <c r="R1748" s="78"/>
      <c r="S1748" s="80"/>
      <c r="T1748" s="80"/>
      <c r="V1748" s="78"/>
      <c r="W1748" s="62"/>
      <c r="X1748" s="80"/>
      <c r="Y1748" s="109"/>
    </row>
    <row r="1749">
      <c r="E1749" s="78"/>
      <c r="G1749" s="78"/>
      <c r="I1749" s="80"/>
      <c r="K1749" s="71"/>
      <c r="N1749" s="109"/>
      <c r="Q1749" s="78"/>
      <c r="R1749" s="78"/>
      <c r="S1749" s="80"/>
      <c r="T1749" s="80"/>
      <c r="V1749" s="78"/>
      <c r="W1749" s="62"/>
      <c r="X1749" s="80"/>
      <c r="Y1749" s="109"/>
    </row>
    <row r="1750">
      <c r="E1750" s="78"/>
      <c r="G1750" s="78"/>
      <c r="I1750" s="80"/>
      <c r="K1750" s="71"/>
      <c r="N1750" s="109"/>
      <c r="Q1750" s="78"/>
      <c r="R1750" s="78"/>
      <c r="S1750" s="80"/>
      <c r="T1750" s="80"/>
      <c r="V1750" s="78"/>
      <c r="W1750" s="62"/>
      <c r="X1750" s="80"/>
      <c r="Y1750" s="109"/>
    </row>
    <row r="1751">
      <c r="E1751" s="78"/>
      <c r="G1751" s="78"/>
      <c r="I1751" s="80"/>
      <c r="K1751" s="71"/>
      <c r="N1751" s="109"/>
      <c r="Q1751" s="78"/>
      <c r="R1751" s="78"/>
      <c r="S1751" s="80"/>
      <c r="T1751" s="80"/>
      <c r="V1751" s="78"/>
      <c r="W1751" s="62"/>
      <c r="X1751" s="80"/>
      <c r="Y1751" s="109"/>
    </row>
    <row r="1752">
      <c r="E1752" s="78"/>
      <c r="G1752" s="78"/>
      <c r="I1752" s="80"/>
      <c r="K1752" s="71"/>
      <c r="N1752" s="109"/>
      <c r="Q1752" s="78"/>
      <c r="R1752" s="78"/>
      <c r="S1752" s="80"/>
      <c r="T1752" s="80"/>
      <c r="V1752" s="78"/>
      <c r="W1752" s="62"/>
      <c r="X1752" s="80"/>
      <c r="Y1752" s="109"/>
    </row>
    <row r="1753">
      <c r="E1753" s="78"/>
      <c r="G1753" s="78"/>
      <c r="I1753" s="80"/>
      <c r="K1753" s="71"/>
      <c r="N1753" s="109"/>
      <c r="Q1753" s="78"/>
      <c r="R1753" s="78"/>
      <c r="S1753" s="80"/>
      <c r="T1753" s="80"/>
      <c r="V1753" s="78"/>
      <c r="W1753" s="62"/>
      <c r="X1753" s="80"/>
      <c r="Y1753" s="109"/>
    </row>
    <row r="1754">
      <c r="E1754" s="78"/>
      <c r="G1754" s="78"/>
      <c r="I1754" s="80"/>
      <c r="K1754" s="71"/>
      <c r="N1754" s="109"/>
      <c r="Q1754" s="78"/>
      <c r="R1754" s="78"/>
      <c r="S1754" s="80"/>
      <c r="T1754" s="80"/>
      <c r="V1754" s="78"/>
      <c r="W1754" s="62"/>
      <c r="X1754" s="80"/>
      <c r="Y1754" s="109"/>
    </row>
    <row r="1755">
      <c r="E1755" s="78"/>
      <c r="G1755" s="78"/>
      <c r="I1755" s="80"/>
      <c r="K1755" s="71"/>
      <c r="N1755" s="109"/>
      <c r="Q1755" s="78"/>
      <c r="R1755" s="78"/>
      <c r="S1755" s="80"/>
      <c r="T1755" s="80"/>
      <c r="V1755" s="78"/>
      <c r="W1755" s="62"/>
      <c r="X1755" s="80"/>
      <c r="Y1755" s="109"/>
    </row>
    <row r="1756">
      <c r="E1756" s="78"/>
      <c r="G1756" s="78"/>
      <c r="I1756" s="80"/>
      <c r="K1756" s="71"/>
      <c r="N1756" s="109"/>
      <c r="Q1756" s="78"/>
      <c r="R1756" s="78"/>
      <c r="S1756" s="80"/>
      <c r="T1756" s="80"/>
      <c r="V1756" s="78"/>
      <c r="W1756" s="62"/>
      <c r="X1756" s="80"/>
      <c r="Y1756" s="109"/>
    </row>
    <row r="1757">
      <c r="E1757" s="78"/>
      <c r="G1757" s="78"/>
      <c r="I1757" s="80"/>
      <c r="K1757" s="71"/>
      <c r="N1757" s="109"/>
      <c r="Q1757" s="78"/>
      <c r="R1757" s="78"/>
      <c r="S1757" s="80"/>
      <c r="T1757" s="80"/>
      <c r="V1757" s="78"/>
      <c r="W1757" s="62"/>
      <c r="X1757" s="80"/>
      <c r="Y1757" s="109"/>
    </row>
    <row r="1758">
      <c r="E1758" s="78"/>
      <c r="G1758" s="78"/>
      <c r="I1758" s="80"/>
      <c r="K1758" s="71"/>
      <c r="N1758" s="109"/>
      <c r="Q1758" s="78"/>
      <c r="R1758" s="78"/>
      <c r="S1758" s="80"/>
      <c r="T1758" s="80"/>
      <c r="V1758" s="78"/>
      <c r="W1758" s="62"/>
      <c r="X1758" s="80"/>
      <c r="Y1758" s="109"/>
    </row>
    <row r="1759">
      <c r="E1759" s="78"/>
      <c r="G1759" s="78"/>
      <c r="I1759" s="80"/>
      <c r="K1759" s="71"/>
      <c r="N1759" s="109"/>
      <c r="Q1759" s="78"/>
      <c r="R1759" s="78"/>
      <c r="S1759" s="80"/>
      <c r="T1759" s="80"/>
      <c r="V1759" s="78"/>
      <c r="W1759" s="62"/>
      <c r="X1759" s="80"/>
      <c r="Y1759" s="109"/>
    </row>
    <row r="1760">
      <c r="E1760" s="78"/>
      <c r="G1760" s="78"/>
      <c r="I1760" s="80"/>
      <c r="K1760" s="71"/>
      <c r="N1760" s="109"/>
      <c r="Q1760" s="78"/>
      <c r="R1760" s="78"/>
      <c r="S1760" s="80"/>
      <c r="T1760" s="80"/>
      <c r="V1760" s="78"/>
      <c r="W1760" s="62"/>
      <c r="X1760" s="80"/>
      <c r="Y1760" s="109"/>
    </row>
    <row r="1761">
      <c r="E1761" s="78"/>
      <c r="G1761" s="78"/>
      <c r="I1761" s="80"/>
      <c r="K1761" s="71"/>
      <c r="N1761" s="109"/>
      <c r="Q1761" s="78"/>
      <c r="R1761" s="78"/>
      <c r="S1761" s="80"/>
      <c r="T1761" s="80"/>
      <c r="V1761" s="78"/>
      <c r="W1761" s="62"/>
      <c r="X1761" s="80"/>
      <c r="Y1761" s="109"/>
    </row>
    <row r="1762">
      <c r="E1762" s="78"/>
      <c r="G1762" s="78"/>
      <c r="I1762" s="80"/>
      <c r="K1762" s="71"/>
      <c r="N1762" s="109"/>
      <c r="Q1762" s="78"/>
      <c r="R1762" s="78"/>
      <c r="S1762" s="80"/>
      <c r="T1762" s="80"/>
      <c r="V1762" s="78"/>
      <c r="W1762" s="62"/>
      <c r="X1762" s="80"/>
      <c r="Y1762" s="109"/>
    </row>
    <row r="1763">
      <c r="E1763" s="78"/>
      <c r="G1763" s="78"/>
      <c r="I1763" s="80"/>
      <c r="K1763" s="71"/>
      <c r="N1763" s="109"/>
      <c r="Q1763" s="78"/>
      <c r="R1763" s="78"/>
      <c r="S1763" s="80"/>
      <c r="T1763" s="80"/>
      <c r="V1763" s="78"/>
      <c r="W1763" s="62"/>
      <c r="X1763" s="80"/>
      <c r="Y1763" s="109"/>
    </row>
    <row r="1764">
      <c r="E1764" s="78"/>
      <c r="G1764" s="78"/>
      <c r="I1764" s="80"/>
      <c r="K1764" s="71"/>
      <c r="N1764" s="109"/>
      <c r="Q1764" s="78"/>
      <c r="R1764" s="78"/>
      <c r="S1764" s="80"/>
      <c r="T1764" s="80"/>
      <c r="V1764" s="78"/>
      <c r="W1764" s="62"/>
      <c r="X1764" s="80"/>
      <c r="Y1764" s="109"/>
    </row>
    <row r="1765">
      <c r="E1765" s="78"/>
      <c r="G1765" s="78"/>
      <c r="I1765" s="80"/>
      <c r="K1765" s="71"/>
      <c r="N1765" s="109"/>
      <c r="Q1765" s="78"/>
      <c r="R1765" s="78"/>
      <c r="S1765" s="80"/>
      <c r="T1765" s="80"/>
      <c r="V1765" s="78"/>
      <c r="W1765" s="62"/>
      <c r="X1765" s="80"/>
      <c r="Y1765" s="109"/>
    </row>
    <row r="1766">
      <c r="E1766" s="78"/>
      <c r="G1766" s="78"/>
      <c r="I1766" s="80"/>
      <c r="K1766" s="71"/>
      <c r="N1766" s="109"/>
      <c r="Q1766" s="78"/>
      <c r="R1766" s="78"/>
      <c r="S1766" s="80"/>
      <c r="T1766" s="80"/>
      <c r="V1766" s="78"/>
      <c r="W1766" s="62"/>
      <c r="X1766" s="80"/>
      <c r="Y1766" s="109"/>
    </row>
    <row r="1767">
      <c r="E1767" s="78"/>
      <c r="G1767" s="78"/>
      <c r="I1767" s="80"/>
      <c r="K1767" s="71"/>
      <c r="N1767" s="109"/>
      <c r="Q1767" s="78"/>
      <c r="R1767" s="78"/>
      <c r="S1767" s="80"/>
      <c r="T1767" s="80"/>
      <c r="V1767" s="78"/>
      <c r="W1767" s="62"/>
      <c r="X1767" s="80"/>
      <c r="Y1767" s="109"/>
    </row>
    <row r="1768">
      <c r="E1768" s="78"/>
      <c r="G1768" s="78"/>
      <c r="I1768" s="80"/>
      <c r="K1768" s="71"/>
      <c r="N1768" s="109"/>
      <c r="Q1768" s="78"/>
      <c r="R1768" s="78"/>
      <c r="S1768" s="80"/>
      <c r="T1768" s="80"/>
      <c r="V1768" s="78"/>
      <c r="W1768" s="62"/>
      <c r="X1768" s="80"/>
      <c r="Y1768" s="109"/>
    </row>
    <row r="1769">
      <c r="E1769" s="78"/>
      <c r="G1769" s="78"/>
      <c r="I1769" s="80"/>
      <c r="K1769" s="71"/>
      <c r="N1769" s="109"/>
      <c r="Q1769" s="78"/>
      <c r="R1769" s="78"/>
      <c r="S1769" s="80"/>
      <c r="T1769" s="80"/>
      <c r="V1769" s="78"/>
      <c r="W1769" s="62"/>
      <c r="X1769" s="80"/>
      <c r="Y1769" s="109"/>
    </row>
    <row r="1770">
      <c r="E1770" s="78"/>
      <c r="G1770" s="78"/>
      <c r="I1770" s="80"/>
      <c r="K1770" s="71"/>
      <c r="N1770" s="109"/>
      <c r="Q1770" s="78"/>
      <c r="R1770" s="78"/>
      <c r="S1770" s="80"/>
      <c r="T1770" s="80"/>
      <c r="V1770" s="78"/>
      <c r="W1770" s="62"/>
      <c r="X1770" s="80"/>
      <c r="Y1770" s="109"/>
    </row>
    <row r="1771">
      <c r="E1771" s="78"/>
      <c r="G1771" s="78"/>
      <c r="I1771" s="80"/>
      <c r="K1771" s="71"/>
      <c r="N1771" s="109"/>
      <c r="Q1771" s="78"/>
      <c r="R1771" s="78"/>
      <c r="S1771" s="80"/>
      <c r="T1771" s="80"/>
      <c r="V1771" s="78"/>
      <c r="W1771" s="62"/>
      <c r="X1771" s="80"/>
      <c r="Y1771" s="109"/>
    </row>
    <row r="1772">
      <c r="E1772" s="78"/>
      <c r="G1772" s="78"/>
      <c r="I1772" s="80"/>
      <c r="K1772" s="71"/>
      <c r="N1772" s="109"/>
      <c r="Q1772" s="78"/>
      <c r="R1772" s="78"/>
      <c r="S1772" s="80"/>
      <c r="T1772" s="80"/>
      <c r="V1772" s="78"/>
      <c r="W1772" s="62"/>
      <c r="X1772" s="80"/>
      <c r="Y1772" s="109"/>
    </row>
    <row r="1773">
      <c r="E1773" s="78"/>
      <c r="G1773" s="78"/>
      <c r="I1773" s="80"/>
      <c r="K1773" s="71"/>
      <c r="N1773" s="109"/>
      <c r="Q1773" s="78"/>
      <c r="R1773" s="78"/>
      <c r="S1773" s="80"/>
      <c r="T1773" s="80"/>
      <c r="V1773" s="78"/>
      <c r="W1773" s="62"/>
      <c r="X1773" s="80"/>
      <c r="Y1773" s="109"/>
    </row>
    <row r="1774">
      <c r="E1774" s="78"/>
      <c r="G1774" s="78"/>
      <c r="I1774" s="80"/>
      <c r="K1774" s="71"/>
      <c r="N1774" s="109"/>
      <c r="Q1774" s="78"/>
      <c r="R1774" s="78"/>
      <c r="S1774" s="80"/>
      <c r="T1774" s="80"/>
      <c r="V1774" s="78"/>
      <c r="W1774" s="62"/>
      <c r="X1774" s="80"/>
      <c r="Y1774" s="109"/>
    </row>
    <row r="1775">
      <c r="E1775" s="78"/>
      <c r="G1775" s="78"/>
      <c r="I1775" s="80"/>
      <c r="K1775" s="71"/>
      <c r="N1775" s="109"/>
      <c r="Q1775" s="78"/>
      <c r="R1775" s="78"/>
      <c r="S1775" s="80"/>
      <c r="T1775" s="80"/>
      <c r="V1775" s="78"/>
      <c r="W1775" s="62"/>
      <c r="X1775" s="80"/>
      <c r="Y1775" s="109"/>
    </row>
    <row r="1776">
      <c r="E1776" s="78"/>
      <c r="G1776" s="78"/>
      <c r="I1776" s="80"/>
      <c r="K1776" s="71"/>
      <c r="N1776" s="109"/>
      <c r="Q1776" s="78"/>
      <c r="R1776" s="78"/>
      <c r="S1776" s="80"/>
      <c r="T1776" s="80"/>
      <c r="V1776" s="78"/>
      <c r="W1776" s="62"/>
      <c r="X1776" s="80"/>
      <c r="Y1776" s="109"/>
    </row>
    <row r="1777">
      <c r="E1777" s="78"/>
      <c r="G1777" s="78"/>
      <c r="I1777" s="80"/>
      <c r="K1777" s="71"/>
      <c r="N1777" s="109"/>
      <c r="Q1777" s="78"/>
      <c r="R1777" s="78"/>
      <c r="S1777" s="80"/>
      <c r="T1777" s="80"/>
      <c r="V1777" s="78"/>
      <c r="W1777" s="62"/>
      <c r="X1777" s="80"/>
      <c r="Y1777" s="109"/>
    </row>
    <row r="1778">
      <c r="E1778" s="78"/>
      <c r="G1778" s="78"/>
      <c r="I1778" s="80"/>
      <c r="K1778" s="71"/>
      <c r="N1778" s="109"/>
      <c r="Q1778" s="78"/>
      <c r="R1778" s="78"/>
      <c r="S1778" s="80"/>
      <c r="T1778" s="80"/>
      <c r="V1778" s="78"/>
      <c r="W1778" s="62"/>
      <c r="X1778" s="80"/>
      <c r="Y1778" s="109"/>
    </row>
    <row r="1779">
      <c r="E1779" s="78"/>
      <c r="G1779" s="78"/>
      <c r="I1779" s="80"/>
      <c r="K1779" s="71"/>
      <c r="N1779" s="109"/>
      <c r="Q1779" s="78"/>
      <c r="R1779" s="78"/>
      <c r="S1779" s="80"/>
      <c r="T1779" s="80"/>
      <c r="V1779" s="78"/>
      <c r="W1779" s="62"/>
      <c r="X1779" s="80"/>
      <c r="Y1779" s="109"/>
    </row>
    <row r="1780">
      <c r="E1780" s="78"/>
      <c r="G1780" s="78"/>
      <c r="I1780" s="80"/>
      <c r="K1780" s="71"/>
      <c r="N1780" s="109"/>
      <c r="Q1780" s="78"/>
      <c r="R1780" s="78"/>
      <c r="S1780" s="80"/>
      <c r="T1780" s="80"/>
      <c r="V1780" s="78"/>
      <c r="W1780" s="62"/>
      <c r="X1780" s="80"/>
      <c r="Y1780" s="109"/>
    </row>
    <row r="1781">
      <c r="E1781" s="78"/>
      <c r="G1781" s="78"/>
      <c r="I1781" s="80"/>
      <c r="K1781" s="71"/>
      <c r="N1781" s="109"/>
      <c r="Q1781" s="78"/>
      <c r="R1781" s="78"/>
      <c r="S1781" s="80"/>
      <c r="T1781" s="80"/>
      <c r="V1781" s="78"/>
      <c r="W1781" s="62"/>
      <c r="X1781" s="80"/>
      <c r="Y1781" s="109"/>
    </row>
    <row r="1782">
      <c r="E1782" s="78"/>
      <c r="G1782" s="78"/>
      <c r="I1782" s="80"/>
      <c r="K1782" s="71"/>
      <c r="N1782" s="109"/>
      <c r="Q1782" s="78"/>
      <c r="R1782" s="78"/>
      <c r="S1782" s="80"/>
      <c r="T1782" s="80"/>
      <c r="V1782" s="78"/>
      <c r="W1782" s="62"/>
      <c r="X1782" s="80"/>
      <c r="Y1782" s="109"/>
    </row>
    <row r="1783">
      <c r="E1783" s="78"/>
      <c r="G1783" s="78"/>
      <c r="I1783" s="80"/>
      <c r="K1783" s="71"/>
      <c r="N1783" s="109"/>
      <c r="Q1783" s="78"/>
      <c r="R1783" s="78"/>
      <c r="S1783" s="80"/>
      <c r="T1783" s="80"/>
      <c r="V1783" s="78"/>
      <c r="W1783" s="62"/>
      <c r="X1783" s="80"/>
      <c r="Y1783" s="109"/>
    </row>
    <row r="1784">
      <c r="E1784" s="78"/>
      <c r="G1784" s="78"/>
      <c r="I1784" s="80"/>
      <c r="K1784" s="71"/>
      <c r="N1784" s="109"/>
      <c r="Q1784" s="78"/>
      <c r="R1784" s="78"/>
      <c r="S1784" s="80"/>
      <c r="T1784" s="80"/>
      <c r="V1784" s="78"/>
      <c r="W1784" s="62"/>
      <c r="X1784" s="80"/>
      <c r="Y1784" s="109"/>
    </row>
    <row r="1785">
      <c r="E1785" s="78"/>
      <c r="G1785" s="78"/>
      <c r="I1785" s="80"/>
      <c r="K1785" s="71"/>
      <c r="N1785" s="109"/>
      <c r="Q1785" s="78"/>
      <c r="R1785" s="78"/>
      <c r="S1785" s="80"/>
      <c r="T1785" s="80"/>
      <c r="V1785" s="78"/>
      <c r="W1785" s="62"/>
      <c r="X1785" s="80"/>
      <c r="Y1785" s="109"/>
    </row>
    <row r="1786">
      <c r="E1786" s="78"/>
      <c r="G1786" s="78"/>
      <c r="I1786" s="80"/>
      <c r="K1786" s="71"/>
      <c r="N1786" s="109"/>
      <c r="Q1786" s="78"/>
      <c r="R1786" s="78"/>
      <c r="S1786" s="80"/>
      <c r="T1786" s="80"/>
      <c r="V1786" s="78"/>
      <c r="W1786" s="62"/>
      <c r="X1786" s="80"/>
      <c r="Y1786" s="109"/>
    </row>
    <row r="1787">
      <c r="E1787" s="78"/>
      <c r="G1787" s="78"/>
      <c r="I1787" s="80"/>
      <c r="K1787" s="71"/>
      <c r="N1787" s="109"/>
      <c r="Q1787" s="78"/>
      <c r="R1787" s="78"/>
      <c r="S1787" s="80"/>
      <c r="T1787" s="80"/>
      <c r="V1787" s="78"/>
      <c r="W1787" s="62"/>
      <c r="X1787" s="80"/>
      <c r="Y1787" s="109"/>
    </row>
    <row r="1788">
      <c r="E1788" s="78"/>
      <c r="G1788" s="78"/>
      <c r="I1788" s="80"/>
      <c r="K1788" s="71"/>
      <c r="N1788" s="109"/>
      <c r="Q1788" s="78"/>
      <c r="R1788" s="78"/>
      <c r="S1788" s="80"/>
      <c r="T1788" s="80"/>
      <c r="V1788" s="78"/>
      <c r="W1788" s="62"/>
      <c r="X1788" s="80"/>
      <c r="Y1788" s="109"/>
    </row>
    <row r="1789">
      <c r="E1789" s="78"/>
      <c r="G1789" s="78"/>
      <c r="I1789" s="80"/>
      <c r="K1789" s="71"/>
      <c r="N1789" s="109"/>
      <c r="Q1789" s="78"/>
      <c r="R1789" s="78"/>
      <c r="S1789" s="80"/>
      <c r="T1789" s="80"/>
      <c r="V1789" s="78"/>
      <c r="W1789" s="62"/>
      <c r="X1789" s="80"/>
      <c r="Y1789" s="109"/>
    </row>
    <row r="1790">
      <c r="E1790" s="78"/>
      <c r="G1790" s="78"/>
      <c r="I1790" s="80"/>
      <c r="K1790" s="71"/>
      <c r="N1790" s="109"/>
      <c r="Q1790" s="78"/>
      <c r="R1790" s="78"/>
      <c r="S1790" s="80"/>
      <c r="T1790" s="80"/>
      <c r="V1790" s="78"/>
      <c r="W1790" s="62"/>
      <c r="X1790" s="80"/>
      <c r="Y1790" s="109"/>
    </row>
    <row r="1791">
      <c r="E1791" s="78"/>
      <c r="G1791" s="78"/>
      <c r="I1791" s="80"/>
      <c r="K1791" s="71"/>
      <c r="N1791" s="109"/>
      <c r="Q1791" s="78"/>
      <c r="R1791" s="78"/>
      <c r="S1791" s="80"/>
      <c r="T1791" s="80"/>
      <c r="V1791" s="78"/>
      <c r="W1791" s="62"/>
      <c r="X1791" s="80"/>
      <c r="Y1791" s="109"/>
    </row>
    <row r="1792">
      <c r="E1792" s="78"/>
      <c r="G1792" s="78"/>
      <c r="I1792" s="80"/>
      <c r="K1792" s="71"/>
      <c r="N1792" s="109"/>
      <c r="Q1792" s="78"/>
      <c r="R1792" s="78"/>
      <c r="S1792" s="80"/>
      <c r="T1792" s="80"/>
      <c r="V1792" s="78"/>
      <c r="W1792" s="62"/>
      <c r="X1792" s="80"/>
      <c r="Y1792" s="109"/>
    </row>
    <row r="1793">
      <c r="E1793" s="78"/>
      <c r="G1793" s="78"/>
      <c r="I1793" s="80"/>
      <c r="K1793" s="71"/>
      <c r="N1793" s="109"/>
      <c r="Q1793" s="78"/>
      <c r="R1793" s="78"/>
      <c r="S1793" s="80"/>
      <c r="T1793" s="80"/>
      <c r="V1793" s="78"/>
      <c r="W1793" s="62"/>
      <c r="X1793" s="80"/>
      <c r="Y1793" s="109"/>
    </row>
    <row r="1794">
      <c r="E1794" s="78"/>
      <c r="G1794" s="78"/>
      <c r="I1794" s="80"/>
      <c r="K1794" s="71"/>
      <c r="N1794" s="109"/>
      <c r="Q1794" s="78"/>
      <c r="R1794" s="78"/>
      <c r="S1794" s="80"/>
      <c r="T1794" s="80"/>
      <c r="V1794" s="78"/>
      <c r="W1794" s="62"/>
      <c r="X1794" s="80"/>
      <c r="Y1794" s="109"/>
    </row>
    <row r="1795">
      <c r="E1795" s="78"/>
      <c r="G1795" s="78"/>
      <c r="I1795" s="80"/>
      <c r="K1795" s="71"/>
      <c r="N1795" s="109"/>
      <c r="Q1795" s="78"/>
      <c r="R1795" s="78"/>
      <c r="S1795" s="80"/>
      <c r="T1795" s="80"/>
      <c r="V1795" s="78"/>
      <c r="W1795" s="62"/>
      <c r="X1795" s="80"/>
      <c r="Y1795" s="109"/>
    </row>
    <row r="1796">
      <c r="E1796" s="78"/>
      <c r="G1796" s="78"/>
      <c r="I1796" s="80"/>
      <c r="K1796" s="71"/>
      <c r="N1796" s="109"/>
      <c r="Q1796" s="78"/>
      <c r="R1796" s="78"/>
      <c r="S1796" s="80"/>
      <c r="T1796" s="80"/>
      <c r="V1796" s="78"/>
      <c r="W1796" s="62"/>
      <c r="X1796" s="80"/>
      <c r="Y1796" s="109"/>
    </row>
    <row r="1797">
      <c r="E1797" s="78"/>
      <c r="G1797" s="78"/>
      <c r="I1797" s="80"/>
      <c r="K1797" s="71"/>
      <c r="N1797" s="109"/>
      <c r="Q1797" s="78"/>
      <c r="R1797" s="78"/>
      <c r="S1797" s="80"/>
      <c r="T1797" s="80"/>
      <c r="V1797" s="78"/>
      <c r="W1797" s="62"/>
      <c r="X1797" s="80"/>
      <c r="Y1797" s="109"/>
    </row>
    <row r="1798">
      <c r="E1798" s="78"/>
      <c r="G1798" s="78"/>
      <c r="I1798" s="80"/>
      <c r="K1798" s="71"/>
      <c r="N1798" s="109"/>
      <c r="Q1798" s="78"/>
      <c r="R1798" s="78"/>
      <c r="S1798" s="80"/>
      <c r="T1798" s="80"/>
      <c r="V1798" s="78"/>
      <c r="W1798" s="62"/>
      <c r="X1798" s="80"/>
      <c r="Y1798" s="109"/>
    </row>
    <row r="1799">
      <c r="E1799" s="78"/>
      <c r="G1799" s="78"/>
      <c r="I1799" s="80"/>
      <c r="K1799" s="71"/>
      <c r="N1799" s="109"/>
      <c r="Q1799" s="78"/>
      <c r="R1799" s="78"/>
      <c r="S1799" s="80"/>
      <c r="T1799" s="80"/>
      <c r="V1799" s="78"/>
      <c r="W1799" s="62"/>
      <c r="X1799" s="80"/>
      <c r="Y1799" s="109"/>
    </row>
    <row r="1800">
      <c r="E1800" s="78"/>
      <c r="G1800" s="78"/>
      <c r="I1800" s="80"/>
      <c r="K1800" s="71"/>
      <c r="N1800" s="109"/>
      <c r="Q1800" s="78"/>
      <c r="R1800" s="78"/>
      <c r="S1800" s="80"/>
      <c r="T1800" s="80"/>
      <c r="V1800" s="78"/>
      <c r="W1800" s="62"/>
      <c r="X1800" s="80"/>
      <c r="Y1800" s="109"/>
    </row>
    <row r="1801">
      <c r="E1801" s="78"/>
      <c r="G1801" s="78"/>
      <c r="I1801" s="80"/>
      <c r="K1801" s="71"/>
      <c r="N1801" s="109"/>
      <c r="Q1801" s="78"/>
      <c r="R1801" s="78"/>
      <c r="S1801" s="80"/>
      <c r="T1801" s="80"/>
      <c r="V1801" s="78"/>
      <c r="W1801" s="62"/>
      <c r="X1801" s="80"/>
      <c r="Y1801" s="109"/>
    </row>
    <row r="1802">
      <c r="E1802" s="78"/>
      <c r="G1802" s="78"/>
      <c r="I1802" s="80"/>
      <c r="K1802" s="71"/>
      <c r="N1802" s="109"/>
      <c r="Q1802" s="78"/>
      <c r="R1802" s="78"/>
      <c r="S1802" s="80"/>
      <c r="T1802" s="80"/>
      <c r="V1802" s="78"/>
      <c r="W1802" s="62"/>
      <c r="X1802" s="80"/>
      <c r="Y1802" s="109"/>
    </row>
    <row r="1803">
      <c r="E1803" s="78"/>
      <c r="G1803" s="78"/>
      <c r="I1803" s="80"/>
      <c r="K1803" s="71"/>
      <c r="N1803" s="109"/>
      <c r="Q1803" s="78"/>
      <c r="R1803" s="78"/>
      <c r="S1803" s="80"/>
      <c r="T1803" s="80"/>
      <c r="V1803" s="78"/>
      <c r="W1803" s="62"/>
      <c r="X1803" s="80"/>
      <c r="Y1803" s="109"/>
    </row>
    <row r="1804">
      <c r="E1804" s="78"/>
      <c r="G1804" s="78"/>
      <c r="I1804" s="80"/>
      <c r="K1804" s="71"/>
      <c r="N1804" s="109"/>
      <c r="Q1804" s="78"/>
      <c r="R1804" s="78"/>
      <c r="S1804" s="80"/>
      <c r="T1804" s="80"/>
      <c r="V1804" s="78"/>
      <c r="W1804" s="62"/>
      <c r="X1804" s="80"/>
      <c r="Y1804" s="109"/>
    </row>
    <row r="1805">
      <c r="E1805" s="78"/>
      <c r="G1805" s="78"/>
      <c r="I1805" s="80"/>
      <c r="K1805" s="71"/>
      <c r="N1805" s="109"/>
      <c r="Q1805" s="78"/>
      <c r="R1805" s="78"/>
      <c r="S1805" s="80"/>
      <c r="T1805" s="80"/>
      <c r="V1805" s="78"/>
      <c r="W1805" s="62"/>
      <c r="X1805" s="80"/>
      <c r="Y1805" s="109"/>
    </row>
    <row r="1806">
      <c r="E1806" s="78"/>
      <c r="G1806" s="78"/>
      <c r="I1806" s="80"/>
      <c r="K1806" s="71"/>
      <c r="N1806" s="109"/>
      <c r="Q1806" s="78"/>
      <c r="R1806" s="78"/>
      <c r="S1806" s="80"/>
      <c r="T1806" s="80"/>
      <c r="V1806" s="78"/>
      <c r="W1806" s="62"/>
      <c r="X1806" s="80"/>
      <c r="Y1806" s="109"/>
    </row>
    <row r="1807">
      <c r="E1807" s="78"/>
      <c r="G1807" s="78"/>
      <c r="I1807" s="80"/>
      <c r="K1807" s="71"/>
      <c r="N1807" s="109"/>
      <c r="Q1807" s="78"/>
      <c r="R1807" s="78"/>
      <c r="S1807" s="80"/>
      <c r="T1807" s="80"/>
      <c r="V1807" s="78"/>
      <c r="W1807" s="62"/>
      <c r="X1807" s="80"/>
      <c r="Y1807" s="109"/>
    </row>
    <row r="1808">
      <c r="E1808" s="78"/>
      <c r="G1808" s="78"/>
      <c r="I1808" s="80"/>
      <c r="K1808" s="71"/>
      <c r="N1808" s="109"/>
      <c r="Q1808" s="78"/>
      <c r="R1808" s="78"/>
      <c r="S1808" s="80"/>
      <c r="T1808" s="80"/>
      <c r="V1808" s="78"/>
      <c r="W1808" s="62"/>
      <c r="X1808" s="80"/>
      <c r="Y1808" s="109"/>
    </row>
    <row r="1809">
      <c r="E1809" s="78"/>
      <c r="G1809" s="78"/>
      <c r="I1809" s="80"/>
      <c r="K1809" s="71"/>
      <c r="N1809" s="109"/>
      <c r="Q1809" s="78"/>
      <c r="R1809" s="78"/>
      <c r="S1809" s="80"/>
      <c r="T1809" s="80"/>
      <c r="V1809" s="78"/>
      <c r="W1809" s="62"/>
      <c r="X1809" s="80"/>
      <c r="Y1809" s="109"/>
    </row>
    <row r="1810">
      <c r="E1810" s="78"/>
      <c r="G1810" s="78"/>
      <c r="I1810" s="80"/>
      <c r="K1810" s="71"/>
      <c r="N1810" s="109"/>
      <c r="Q1810" s="78"/>
      <c r="R1810" s="78"/>
      <c r="S1810" s="80"/>
      <c r="T1810" s="80"/>
      <c r="V1810" s="78"/>
      <c r="W1810" s="62"/>
      <c r="X1810" s="80"/>
      <c r="Y1810" s="109"/>
    </row>
    <row r="1811">
      <c r="E1811" s="78"/>
      <c r="G1811" s="78"/>
      <c r="I1811" s="80"/>
      <c r="K1811" s="71"/>
      <c r="N1811" s="109"/>
      <c r="Q1811" s="78"/>
      <c r="R1811" s="78"/>
      <c r="S1811" s="80"/>
      <c r="T1811" s="80"/>
      <c r="V1811" s="78"/>
      <c r="W1811" s="62"/>
      <c r="X1811" s="80"/>
      <c r="Y1811" s="109"/>
    </row>
    <row r="1812">
      <c r="E1812" s="78"/>
      <c r="G1812" s="78"/>
      <c r="I1812" s="80"/>
      <c r="K1812" s="71"/>
      <c r="N1812" s="109"/>
      <c r="Q1812" s="78"/>
      <c r="R1812" s="78"/>
      <c r="S1812" s="80"/>
      <c r="T1812" s="80"/>
      <c r="V1812" s="78"/>
      <c r="W1812" s="62"/>
      <c r="X1812" s="80"/>
      <c r="Y1812" s="109"/>
    </row>
    <row r="1813">
      <c r="E1813" s="78"/>
      <c r="G1813" s="78"/>
      <c r="I1813" s="80"/>
      <c r="K1813" s="71"/>
      <c r="N1813" s="109"/>
      <c r="Q1813" s="78"/>
      <c r="R1813" s="78"/>
      <c r="S1813" s="80"/>
      <c r="T1813" s="80"/>
      <c r="V1813" s="78"/>
      <c r="W1813" s="62"/>
      <c r="X1813" s="80"/>
      <c r="Y1813" s="109"/>
    </row>
    <row r="1814">
      <c r="E1814" s="78"/>
      <c r="G1814" s="78"/>
      <c r="I1814" s="80"/>
      <c r="K1814" s="71"/>
      <c r="N1814" s="109"/>
      <c r="Q1814" s="78"/>
      <c r="R1814" s="78"/>
      <c r="S1814" s="80"/>
      <c r="T1814" s="80"/>
      <c r="V1814" s="78"/>
      <c r="W1814" s="62"/>
      <c r="X1814" s="80"/>
      <c r="Y1814" s="109"/>
    </row>
    <row r="1815">
      <c r="E1815" s="78"/>
      <c r="G1815" s="78"/>
      <c r="I1815" s="80"/>
      <c r="K1815" s="71"/>
      <c r="N1815" s="109"/>
      <c r="Q1815" s="78"/>
      <c r="R1815" s="78"/>
      <c r="S1815" s="80"/>
      <c r="T1815" s="80"/>
      <c r="V1815" s="78"/>
      <c r="W1815" s="62"/>
      <c r="X1815" s="80"/>
      <c r="Y1815" s="109"/>
    </row>
    <row r="1816">
      <c r="E1816" s="78"/>
      <c r="G1816" s="78"/>
      <c r="I1816" s="80"/>
      <c r="K1816" s="71"/>
      <c r="N1816" s="109"/>
      <c r="Q1816" s="78"/>
      <c r="R1816" s="78"/>
      <c r="S1816" s="80"/>
      <c r="T1816" s="80"/>
      <c r="V1816" s="78"/>
      <c r="W1816" s="62"/>
      <c r="X1816" s="80"/>
      <c r="Y1816" s="109"/>
    </row>
    <row r="1817">
      <c r="E1817" s="78"/>
      <c r="G1817" s="78"/>
      <c r="I1817" s="80"/>
      <c r="K1817" s="71"/>
      <c r="N1817" s="109"/>
      <c r="Q1817" s="78"/>
      <c r="R1817" s="78"/>
      <c r="S1817" s="80"/>
      <c r="T1817" s="80"/>
      <c r="V1817" s="78"/>
      <c r="W1817" s="62"/>
      <c r="X1817" s="80"/>
      <c r="Y1817" s="109"/>
    </row>
    <row r="1818">
      <c r="E1818" s="78"/>
      <c r="G1818" s="78"/>
      <c r="I1818" s="80"/>
      <c r="K1818" s="71"/>
      <c r="N1818" s="109"/>
      <c r="Q1818" s="78"/>
      <c r="R1818" s="78"/>
      <c r="S1818" s="80"/>
      <c r="T1818" s="80"/>
      <c r="V1818" s="78"/>
      <c r="W1818" s="62"/>
      <c r="X1818" s="80"/>
      <c r="Y1818" s="109"/>
    </row>
    <row r="1819">
      <c r="E1819" s="78"/>
      <c r="G1819" s="78"/>
      <c r="I1819" s="80"/>
      <c r="K1819" s="71"/>
      <c r="N1819" s="109"/>
      <c r="Q1819" s="78"/>
      <c r="R1819" s="78"/>
      <c r="S1819" s="80"/>
      <c r="T1819" s="80"/>
      <c r="V1819" s="78"/>
      <c r="W1819" s="62"/>
      <c r="X1819" s="80"/>
      <c r="Y1819" s="109"/>
    </row>
    <row r="1820">
      <c r="E1820" s="78"/>
      <c r="G1820" s="78"/>
      <c r="I1820" s="80"/>
      <c r="K1820" s="71"/>
      <c r="N1820" s="109"/>
      <c r="Q1820" s="78"/>
      <c r="R1820" s="78"/>
      <c r="S1820" s="80"/>
      <c r="T1820" s="80"/>
      <c r="V1820" s="78"/>
      <c r="W1820" s="62"/>
      <c r="X1820" s="80"/>
      <c r="Y1820" s="109"/>
    </row>
    <row r="1821">
      <c r="E1821" s="78"/>
      <c r="G1821" s="78"/>
      <c r="I1821" s="80"/>
      <c r="K1821" s="71"/>
      <c r="N1821" s="109"/>
      <c r="Q1821" s="78"/>
      <c r="R1821" s="78"/>
      <c r="S1821" s="80"/>
      <c r="T1821" s="80"/>
      <c r="V1821" s="78"/>
      <c r="W1821" s="62"/>
      <c r="X1821" s="80"/>
      <c r="Y1821" s="109"/>
    </row>
    <row r="1822">
      <c r="E1822" s="78"/>
      <c r="G1822" s="78"/>
      <c r="I1822" s="80"/>
      <c r="K1822" s="71"/>
      <c r="N1822" s="109"/>
      <c r="Q1822" s="78"/>
      <c r="R1822" s="78"/>
      <c r="S1822" s="80"/>
      <c r="T1822" s="80"/>
      <c r="V1822" s="78"/>
      <c r="W1822" s="62"/>
      <c r="X1822" s="80"/>
      <c r="Y1822" s="109"/>
    </row>
    <row r="1823">
      <c r="E1823" s="78"/>
      <c r="G1823" s="78"/>
      <c r="I1823" s="80"/>
      <c r="K1823" s="71"/>
      <c r="N1823" s="109"/>
      <c r="Q1823" s="78"/>
      <c r="R1823" s="78"/>
      <c r="S1823" s="80"/>
      <c r="T1823" s="80"/>
      <c r="V1823" s="78"/>
      <c r="W1823" s="62"/>
      <c r="X1823" s="80"/>
      <c r="Y1823" s="109"/>
    </row>
    <row r="1824">
      <c r="E1824" s="78"/>
      <c r="G1824" s="78"/>
      <c r="I1824" s="80"/>
      <c r="K1824" s="71"/>
      <c r="N1824" s="109"/>
      <c r="Q1824" s="78"/>
      <c r="R1824" s="78"/>
      <c r="S1824" s="80"/>
      <c r="T1824" s="80"/>
      <c r="V1824" s="78"/>
      <c r="W1824" s="62"/>
      <c r="X1824" s="80"/>
      <c r="Y1824" s="109"/>
    </row>
    <row r="1825">
      <c r="E1825" s="78"/>
      <c r="G1825" s="78"/>
      <c r="I1825" s="80"/>
      <c r="K1825" s="71"/>
      <c r="N1825" s="109"/>
      <c r="Q1825" s="78"/>
      <c r="R1825" s="78"/>
      <c r="S1825" s="80"/>
      <c r="T1825" s="80"/>
      <c r="V1825" s="78"/>
      <c r="W1825" s="62"/>
      <c r="X1825" s="80"/>
      <c r="Y1825" s="109"/>
    </row>
    <row r="1826">
      <c r="E1826" s="78"/>
      <c r="G1826" s="78"/>
      <c r="I1826" s="80"/>
      <c r="K1826" s="71"/>
      <c r="N1826" s="109"/>
      <c r="Q1826" s="78"/>
      <c r="R1826" s="78"/>
      <c r="S1826" s="80"/>
      <c r="T1826" s="80"/>
      <c r="V1826" s="78"/>
      <c r="W1826" s="62"/>
      <c r="X1826" s="80"/>
      <c r="Y1826" s="109"/>
    </row>
    <row r="1827">
      <c r="E1827" s="78"/>
      <c r="G1827" s="78"/>
      <c r="I1827" s="80"/>
      <c r="K1827" s="71"/>
      <c r="N1827" s="109"/>
      <c r="Q1827" s="78"/>
      <c r="R1827" s="78"/>
      <c r="S1827" s="80"/>
      <c r="T1827" s="80"/>
      <c r="V1827" s="78"/>
      <c r="W1827" s="62"/>
      <c r="X1827" s="80"/>
      <c r="Y1827" s="109"/>
    </row>
    <row r="1828">
      <c r="E1828" s="78"/>
      <c r="G1828" s="78"/>
      <c r="I1828" s="80"/>
      <c r="K1828" s="71"/>
      <c r="N1828" s="109"/>
      <c r="Q1828" s="78"/>
      <c r="R1828" s="78"/>
      <c r="S1828" s="80"/>
      <c r="T1828" s="80"/>
      <c r="V1828" s="78"/>
      <c r="W1828" s="62"/>
      <c r="X1828" s="80"/>
      <c r="Y1828" s="109"/>
    </row>
    <row r="1829">
      <c r="E1829" s="78"/>
      <c r="G1829" s="78"/>
      <c r="I1829" s="80"/>
      <c r="K1829" s="71"/>
      <c r="N1829" s="109"/>
      <c r="Q1829" s="78"/>
      <c r="R1829" s="78"/>
      <c r="S1829" s="80"/>
      <c r="T1829" s="80"/>
      <c r="V1829" s="78"/>
      <c r="W1829" s="62"/>
      <c r="X1829" s="80"/>
      <c r="Y1829" s="109"/>
    </row>
    <row r="1830">
      <c r="E1830" s="78"/>
      <c r="G1830" s="78"/>
      <c r="I1830" s="80"/>
      <c r="K1830" s="71"/>
      <c r="N1830" s="109"/>
      <c r="Q1830" s="78"/>
      <c r="R1830" s="78"/>
      <c r="S1830" s="80"/>
      <c r="T1830" s="80"/>
      <c r="V1830" s="78"/>
      <c r="W1830" s="62"/>
      <c r="X1830" s="80"/>
      <c r="Y1830" s="109"/>
    </row>
    <row r="1831">
      <c r="E1831" s="78"/>
      <c r="G1831" s="78"/>
      <c r="I1831" s="80"/>
      <c r="K1831" s="71"/>
      <c r="N1831" s="109"/>
      <c r="Q1831" s="78"/>
      <c r="R1831" s="78"/>
      <c r="S1831" s="80"/>
      <c r="T1831" s="80"/>
      <c r="V1831" s="78"/>
      <c r="W1831" s="62"/>
      <c r="X1831" s="80"/>
      <c r="Y1831" s="109"/>
    </row>
    <row r="1832">
      <c r="E1832" s="78"/>
      <c r="G1832" s="78"/>
      <c r="I1832" s="80"/>
      <c r="K1832" s="71"/>
      <c r="N1832" s="109"/>
      <c r="Q1832" s="78"/>
      <c r="R1832" s="78"/>
      <c r="S1832" s="80"/>
      <c r="T1832" s="80"/>
      <c r="V1832" s="78"/>
      <c r="W1832" s="62"/>
      <c r="X1832" s="80"/>
      <c r="Y1832" s="109"/>
    </row>
    <row r="1833">
      <c r="E1833" s="78"/>
      <c r="G1833" s="78"/>
      <c r="I1833" s="80"/>
      <c r="K1833" s="71"/>
      <c r="N1833" s="109"/>
      <c r="Q1833" s="78"/>
      <c r="R1833" s="78"/>
      <c r="S1833" s="80"/>
      <c r="T1833" s="80"/>
      <c r="V1833" s="78"/>
      <c r="W1833" s="62"/>
      <c r="X1833" s="80"/>
      <c r="Y1833" s="109"/>
    </row>
    <row r="1834">
      <c r="E1834" s="78"/>
      <c r="G1834" s="78"/>
      <c r="I1834" s="80"/>
      <c r="K1834" s="71"/>
      <c r="N1834" s="109"/>
      <c r="Q1834" s="78"/>
      <c r="R1834" s="78"/>
      <c r="S1834" s="80"/>
      <c r="T1834" s="80"/>
      <c r="V1834" s="78"/>
      <c r="W1834" s="62"/>
      <c r="X1834" s="80"/>
      <c r="Y1834" s="109"/>
    </row>
    <row r="1835">
      <c r="E1835" s="78"/>
      <c r="G1835" s="78"/>
      <c r="I1835" s="80"/>
      <c r="K1835" s="71"/>
      <c r="N1835" s="109"/>
      <c r="Q1835" s="78"/>
      <c r="R1835" s="78"/>
      <c r="S1835" s="80"/>
      <c r="T1835" s="80"/>
      <c r="V1835" s="78"/>
      <c r="W1835" s="62"/>
      <c r="X1835" s="80"/>
      <c r="Y1835" s="109"/>
    </row>
    <row r="1836">
      <c r="E1836" s="78"/>
      <c r="G1836" s="78"/>
      <c r="I1836" s="80"/>
      <c r="K1836" s="71"/>
      <c r="N1836" s="109"/>
      <c r="Q1836" s="78"/>
      <c r="R1836" s="78"/>
      <c r="S1836" s="80"/>
      <c r="T1836" s="80"/>
      <c r="V1836" s="78"/>
      <c r="W1836" s="62"/>
      <c r="X1836" s="80"/>
      <c r="Y1836" s="109"/>
    </row>
    <row r="1837">
      <c r="E1837" s="78"/>
      <c r="G1837" s="78"/>
      <c r="I1837" s="80"/>
      <c r="K1837" s="71"/>
      <c r="N1837" s="109"/>
      <c r="Q1837" s="78"/>
      <c r="R1837" s="78"/>
      <c r="S1837" s="80"/>
      <c r="T1837" s="80"/>
      <c r="V1837" s="78"/>
      <c r="W1837" s="62"/>
      <c r="X1837" s="80"/>
      <c r="Y1837" s="109"/>
    </row>
    <row r="1838">
      <c r="E1838" s="78"/>
      <c r="G1838" s="78"/>
      <c r="I1838" s="80"/>
      <c r="K1838" s="71"/>
      <c r="N1838" s="109"/>
      <c r="Q1838" s="78"/>
      <c r="R1838" s="78"/>
      <c r="S1838" s="80"/>
      <c r="T1838" s="80"/>
      <c r="V1838" s="78"/>
      <c r="W1838" s="62"/>
      <c r="X1838" s="80"/>
      <c r="Y1838" s="109"/>
    </row>
    <row r="1839">
      <c r="E1839" s="78"/>
      <c r="G1839" s="78"/>
      <c r="I1839" s="80"/>
      <c r="K1839" s="71"/>
      <c r="N1839" s="109"/>
      <c r="Q1839" s="78"/>
      <c r="R1839" s="78"/>
      <c r="S1839" s="80"/>
      <c r="T1839" s="80"/>
      <c r="V1839" s="78"/>
      <c r="W1839" s="62"/>
      <c r="X1839" s="80"/>
      <c r="Y1839" s="109"/>
    </row>
    <row r="1840">
      <c r="E1840" s="78"/>
      <c r="G1840" s="78"/>
      <c r="I1840" s="80"/>
      <c r="K1840" s="71"/>
      <c r="N1840" s="109"/>
      <c r="Q1840" s="78"/>
      <c r="R1840" s="78"/>
      <c r="S1840" s="80"/>
      <c r="T1840" s="80"/>
      <c r="V1840" s="78"/>
      <c r="W1840" s="62"/>
      <c r="X1840" s="80"/>
      <c r="Y1840" s="109"/>
    </row>
    <row r="1841">
      <c r="E1841" s="78"/>
      <c r="G1841" s="78"/>
      <c r="I1841" s="80"/>
      <c r="K1841" s="71"/>
      <c r="N1841" s="109"/>
      <c r="Q1841" s="78"/>
      <c r="R1841" s="78"/>
      <c r="S1841" s="80"/>
      <c r="T1841" s="80"/>
      <c r="V1841" s="78"/>
      <c r="W1841" s="62"/>
      <c r="X1841" s="80"/>
      <c r="Y1841" s="109"/>
    </row>
    <row r="1842">
      <c r="E1842" s="78"/>
      <c r="G1842" s="78"/>
      <c r="I1842" s="80"/>
      <c r="K1842" s="71"/>
      <c r="N1842" s="109"/>
      <c r="Q1842" s="78"/>
      <c r="R1842" s="78"/>
      <c r="S1842" s="80"/>
      <c r="T1842" s="80"/>
      <c r="V1842" s="78"/>
      <c r="W1842" s="62"/>
      <c r="X1842" s="80"/>
      <c r="Y1842" s="109"/>
    </row>
    <row r="1843">
      <c r="E1843" s="78"/>
      <c r="G1843" s="78"/>
      <c r="I1843" s="80"/>
      <c r="K1843" s="71"/>
      <c r="N1843" s="109"/>
      <c r="Q1843" s="78"/>
      <c r="R1843" s="78"/>
      <c r="S1843" s="80"/>
      <c r="T1843" s="80"/>
      <c r="V1843" s="78"/>
      <c r="W1843" s="62"/>
      <c r="X1843" s="80"/>
      <c r="Y1843" s="109"/>
    </row>
    <row r="1844">
      <c r="E1844" s="78"/>
      <c r="G1844" s="78"/>
      <c r="I1844" s="80"/>
      <c r="K1844" s="71"/>
      <c r="N1844" s="109"/>
      <c r="Q1844" s="78"/>
      <c r="R1844" s="78"/>
      <c r="S1844" s="80"/>
      <c r="T1844" s="80"/>
      <c r="V1844" s="78"/>
      <c r="W1844" s="62"/>
      <c r="X1844" s="80"/>
      <c r="Y1844" s="109"/>
    </row>
    <row r="1845">
      <c r="E1845" s="78"/>
      <c r="G1845" s="78"/>
      <c r="I1845" s="80"/>
      <c r="K1845" s="71"/>
      <c r="N1845" s="109"/>
      <c r="Q1845" s="78"/>
      <c r="R1845" s="78"/>
      <c r="S1845" s="80"/>
      <c r="T1845" s="80"/>
      <c r="V1845" s="78"/>
      <c r="W1845" s="62"/>
      <c r="X1845" s="80"/>
      <c r="Y1845" s="109"/>
    </row>
    <row r="1846">
      <c r="E1846" s="78"/>
      <c r="G1846" s="78"/>
      <c r="I1846" s="80"/>
      <c r="K1846" s="71"/>
      <c r="N1846" s="109"/>
      <c r="Q1846" s="78"/>
      <c r="R1846" s="78"/>
      <c r="S1846" s="80"/>
      <c r="T1846" s="80"/>
      <c r="V1846" s="78"/>
      <c r="W1846" s="62"/>
      <c r="X1846" s="80"/>
      <c r="Y1846" s="109"/>
    </row>
    <row r="1847">
      <c r="E1847" s="78"/>
      <c r="G1847" s="78"/>
      <c r="I1847" s="80"/>
      <c r="K1847" s="71"/>
      <c r="N1847" s="109"/>
      <c r="Q1847" s="78"/>
      <c r="R1847" s="78"/>
      <c r="S1847" s="80"/>
      <c r="T1847" s="80"/>
      <c r="V1847" s="78"/>
      <c r="W1847" s="62"/>
      <c r="X1847" s="80"/>
      <c r="Y1847" s="109"/>
    </row>
    <row r="1848">
      <c r="E1848" s="78"/>
      <c r="G1848" s="78"/>
      <c r="I1848" s="80"/>
      <c r="K1848" s="71"/>
      <c r="N1848" s="109"/>
      <c r="Q1848" s="78"/>
      <c r="R1848" s="78"/>
      <c r="S1848" s="80"/>
      <c r="T1848" s="80"/>
      <c r="V1848" s="78"/>
      <c r="W1848" s="62"/>
      <c r="X1848" s="80"/>
      <c r="Y1848" s="109"/>
    </row>
    <row r="1849">
      <c r="E1849" s="78"/>
      <c r="G1849" s="78"/>
      <c r="I1849" s="80"/>
      <c r="K1849" s="71"/>
      <c r="N1849" s="109"/>
      <c r="Q1849" s="78"/>
      <c r="R1849" s="78"/>
      <c r="S1849" s="80"/>
      <c r="T1849" s="80"/>
      <c r="V1849" s="78"/>
      <c r="W1849" s="62"/>
      <c r="X1849" s="80"/>
      <c r="Y1849" s="109"/>
    </row>
    <row r="1850">
      <c r="E1850" s="78"/>
      <c r="G1850" s="78"/>
      <c r="I1850" s="80"/>
      <c r="K1850" s="71"/>
      <c r="N1850" s="109"/>
      <c r="Q1850" s="78"/>
      <c r="R1850" s="78"/>
      <c r="S1850" s="80"/>
      <c r="T1850" s="80"/>
      <c r="V1850" s="78"/>
      <c r="W1850" s="62"/>
      <c r="X1850" s="80"/>
      <c r="Y1850" s="109"/>
    </row>
    <row r="1851">
      <c r="E1851" s="78"/>
      <c r="G1851" s="78"/>
      <c r="I1851" s="80"/>
      <c r="K1851" s="71"/>
      <c r="N1851" s="109"/>
      <c r="Q1851" s="78"/>
      <c r="R1851" s="78"/>
      <c r="S1851" s="80"/>
      <c r="T1851" s="80"/>
      <c r="V1851" s="78"/>
      <c r="W1851" s="62"/>
      <c r="X1851" s="80"/>
      <c r="Y1851" s="109"/>
    </row>
    <row r="1852">
      <c r="E1852" s="78"/>
      <c r="G1852" s="78"/>
      <c r="I1852" s="80"/>
      <c r="K1852" s="71"/>
      <c r="N1852" s="109"/>
      <c r="Q1852" s="78"/>
      <c r="R1852" s="78"/>
      <c r="S1852" s="80"/>
      <c r="T1852" s="80"/>
      <c r="V1852" s="78"/>
      <c r="W1852" s="62"/>
      <c r="X1852" s="80"/>
      <c r="Y1852" s="109"/>
    </row>
    <row r="1853">
      <c r="E1853" s="78"/>
      <c r="G1853" s="78"/>
      <c r="I1853" s="80"/>
      <c r="K1853" s="71"/>
      <c r="N1853" s="109"/>
      <c r="Q1853" s="78"/>
      <c r="R1853" s="78"/>
      <c r="S1853" s="80"/>
      <c r="T1853" s="80"/>
      <c r="V1853" s="78"/>
      <c r="W1853" s="62"/>
      <c r="X1853" s="80"/>
      <c r="Y1853" s="109"/>
    </row>
    <row r="1854">
      <c r="E1854" s="78"/>
      <c r="G1854" s="78"/>
      <c r="I1854" s="80"/>
      <c r="K1854" s="71"/>
      <c r="N1854" s="109"/>
      <c r="Q1854" s="78"/>
      <c r="R1854" s="78"/>
      <c r="S1854" s="80"/>
      <c r="T1854" s="80"/>
      <c r="V1854" s="78"/>
      <c r="W1854" s="62"/>
      <c r="X1854" s="80"/>
      <c r="Y1854" s="109"/>
    </row>
    <row r="1855">
      <c r="E1855" s="78"/>
      <c r="G1855" s="78"/>
      <c r="I1855" s="80"/>
      <c r="K1855" s="71"/>
      <c r="N1855" s="109"/>
      <c r="Q1855" s="78"/>
      <c r="R1855" s="78"/>
      <c r="S1855" s="80"/>
      <c r="T1855" s="80"/>
      <c r="V1855" s="78"/>
      <c r="W1855" s="62"/>
      <c r="X1855" s="80"/>
      <c r="Y1855" s="109"/>
    </row>
    <row r="1856">
      <c r="E1856" s="78"/>
      <c r="G1856" s="78"/>
      <c r="I1856" s="80"/>
      <c r="K1856" s="71"/>
      <c r="N1856" s="109"/>
      <c r="Q1856" s="78"/>
      <c r="R1856" s="78"/>
      <c r="S1856" s="80"/>
      <c r="T1856" s="80"/>
      <c r="V1856" s="78"/>
      <c r="W1856" s="62"/>
      <c r="X1856" s="80"/>
      <c r="Y1856" s="109"/>
    </row>
    <row r="1857">
      <c r="E1857" s="78"/>
      <c r="G1857" s="78"/>
      <c r="I1857" s="80"/>
      <c r="K1857" s="71"/>
      <c r="N1857" s="109"/>
      <c r="Q1857" s="78"/>
      <c r="R1857" s="78"/>
      <c r="S1857" s="80"/>
      <c r="T1857" s="80"/>
      <c r="V1857" s="78"/>
      <c r="W1857" s="62"/>
      <c r="X1857" s="80"/>
      <c r="Y1857" s="109"/>
    </row>
    <row r="1858">
      <c r="E1858" s="78"/>
      <c r="G1858" s="78"/>
      <c r="I1858" s="80"/>
      <c r="K1858" s="71"/>
      <c r="N1858" s="109"/>
      <c r="Q1858" s="78"/>
      <c r="R1858" s="78"/>
      <c r="S1858" s="80"/>
      <c r="T1858" s="80"/>
      <c r="V1858" s="78"/>
      <c r="W1858" s="62"/>
      <c r="X1858" s="80"/>
      <c r="Y1858" s="109"/>
    </row>
    <row r="1859">
      <c r="E1859" s="78"/>
      <c r="G1859" s="78"/>
      <c r="I1859" s="80"/>
      <c r="K1859" s="71"/>
      <c r="N1859" s="109"/>
      <c r="Q1859" s="78"/>
      <c r="R1859" s="78"/>
      <c r="S1859" s="80"/>
      <c r="T1859" s="80"/>
      <c r="V1859" s="78"/>
      <c r="W1859" s="62"/>
      <c r="X1859" s="80"/>
      <c r="Y1859" s="109"/>
    </row>
    <row r="1860">
      <c r="E1860" s="78"/>
      <c r="G1860" s="78"/>
      <c r="I1860" s="80"/>
      <c r="K1860" s="71"/>
      <c r="N1860" s="109"/>
      <c r="Q1860" s="78"/>
      <c r="R1860" s="78"/>
      <c r="S1860" s="80"/>
      <c r="T1860" s="80"/>
      <c r="V1860" s="78"/>
      <c r="W1860" s="62"/>
      <c r="X1860" s="80"/>
      <c r="Y1860" s="109"/>
    </row>
    <row r="1861">
      <c r="E1861" s="78"/>
      <c r="G1861" s="78"/>
      <c r="I1861" s="80"/>
      <c r="K1861" s="71"/>
      <c r="N1861" s="109"/>
      <c r="Q1861" s="78"/>
      <c r="R1861" s="78"/>
      <c r="S1861" s="80"/>
      <c r="T1861" s="80"/>
      <c r="V1861" s="78"/>
      <c r="W1861" s="62"/>
      <c r="X1861" s="80"/>
      <c r="Y1861" s="109"/>
    </row>
    <row r="1862">
      <c r="E1862" s="78"/>
      <c r="G1862" s="78"/>
      <c r="I1862" s="80"/>
      <c r="K1862" s="71"/>
      <c r="N1862" s="109"/>
      <c r="Q1862" s="78"/>
      <c r="R1862" s="78"/>
      <c r="S1862" s="80"/>
      <c r="T1862" s="80"/>
      <c r="V1862" s="78"/>
      <c r="W1862" s="62"/>
      <c r="X1862" s="80"/>
      <c r="Y1862" s="109"/>
    </row>
    <row r="1863">
      <c r="E1863" s="78"/>
      <c r="G1863" s="78"/>
      <c r="I1863" s="80"/>
      <c r="K1863" s="71"/>
      <c r="N1863" s="109"/>
      <c r="Q1863" s="78"/>
      <c r="R1863" s="78"/>
      <c r="S1863" s="80"/>
      <c r="T1863" s="80"/>
      <c r="V1863" s="78"/>
      <c r="W1863" s="62"/>
      <c r="X1863" s="80"/>
      <c r="Y1863" s="109"/>
    </row>
    <row r="1864">
      <c r="E1864" s="78"/>
      <c r="G1864" s="78"/>
      <c r="I1864" s="80"/>
      <c r="K1864" s="71"/>
      <c r="N1864" s="109"/>
      <c r="Q1864" s="78"/>
      <c r="R1864" s="78"/>
      <c r="S1864" s="80"/>
      <c r="T1864" s="80"/>
      <c r="V1864" s="78"/>
      <c r="W1864" s="62"/>
      <c r="X1864" s="80"/>
      <c r="Y1864" s="109"/>
    </row>
    <row r="1865">
      <c r="E1865" s="78"/>
      <c r="G1865" s="78"/>
      <c r="I1865" s="80"/>
      <c r="K1865" s="71"/>
      <c r="N1865" s="109"/>
      <c r="Q1865" s="78"/>
      <c r="R1865" s="78"/>
      <c r="S1865" s="80"/>
      <c r="T1865" s="80"/>
      <c r="V1865" s="78"/>
      <c r="W1865" s="62"/>
      <c r="X1865" s="80"/>
      <c r="Y1865" s="109"/>
    </row>
    <row r="1866">
      <c r="E1866" s="78"/>
      <c r="G1866" s="78"/>
      <c r="I1866" s="80"/>
      <c r="K1866" s="71"/>
      <c r="N1866" s="109"/>
      <c r="Q1866" s="78"/>
      <c r="R1866" s="78"/>
      <c r="S1866" s="80"/>
      <c r="T1866" s="80"/>
      <c r="V1866" s="78"/>
      <c r="W1866" s="62"/>
      <c r="X1866" s="80"/>
      <c r="Y1866" s="109"/>
    </row>
    <row r="1867">
      <c r="E1867" s="78"/>
      <c r="G1867" s="78"/>
      <c r="I1867" s="80"/>
      <c r="K1867" s="71"/>
      <c r="N1867" s="109"/>
      <c r="Q1867" s="78"/>
      <c r="R1867" s="78"/>
      <c r="S1867" s="80"/>
      <c r="T1867" s="80"/>
      <c r="V1867" s="78"/>
      <c r="W1867" s="62"/>
      <c r="X1867" s="80"/>
      <c r="Y1867" s="109"/>
    </row>
    <row r="1868">
      <c r="E1868" s="78"/>
      <c r="G1868" s="78"/>
      <c r="I1868" s="80"/>
      <c r="K1868" s="71"/>
      <c r="N1868" s="109"/>
      <c r="Q1868" s="78"/>
      <c r="R1868" s="78"/>
      <c r="S1868" s="80"/>
      <c r="T1868" s="80"/>
      <c r="V1868" s="78"/>
      <c r="W1868" s="62"/>
      <c r="X1868" s="80"/>
      <c r="Y1868" s="109"/>
    </row>
    <row r="1869">
      <c r="E1869" s="78"/>
      <c r="G1869" s="78"/>
      <c r="I1869" s="80"/>
      <c r="K1869" s="71"/>
      <c r="N1869" s="109"/>
      <c r="Q1869" s="78"/>
      <c r="R1869" s="78"/>
      <c r="S1869" s="80"/>
      <c r="T1869" s="80"/>
      <c r="V1869" s="78"/>
      <c r="W1869" s="62"/>
      <c r="X1869" s="80"/>
      <c r="Y1869" s="109"/>
    </row>
    <row r="1870">
      <c r="E1870" s="78"/>
      <c r="G1870" s="78"/>
      <c r="I1870" s="80"/>
      <c r="K1870" s="71"/>
      <c r="N1870" s="109"/>
      <c r="Q1870" s="78"/>
      <c r="R1870" s="78"/>
      <c r="S1870" s="80"/>
      <c r="T1870" s="80"/>
      <c r="V1870" s="78"/>
      <c r="W1870" s="62"/>
      <c r="X1870" s="80"/>
      <c r="Y1870" s="109"/>
    </row>
    <row r="1871">
      <c r="E1871" s="78"/>
      <c r="G1871" s="78"/>
      <c r="I1871" s="80"/>
      <c r="K1871" s="71"/>
      <c r="N1871" s="109"/>
      <c r="Q1871" s="78"/>
      <c r="R1871" s="78"/>
      <c r="S1871" s="80"/>
      <c r="T1871" s="80"/>
      <c r="V1871" s="78"/>
      <c r="W1871" s="62"/>
      <c r="X1871" s="80"/>
      <c r="Y1871" s="109"/>
    </row>
    <row r="1872">
      <c r="E1872" s="78"/>
      <c r="G1872" s="78"/>
      <c r="I1872" s="80"/>
      <c r="K1872" s="71"/>
      <c r="N1872" s="109"/>
      <c r="Q1872" s="78"/>
      <c r="R1872" s="78"/>
      <c r="S1872" s="80"/>
      <c r="T1872" s="80"/>
      <c r="V1872" s="78"/>
      <c r="W1872" s="62"/>
      <c r="X1872" s="80"/>
      <c r="Y1872" s="109"/>
    </row>
    <row r="1873">
      <c r="E1873" s="78"/>
      <c r="G1873" s="78"/>
      <c r="I1873" s="80"/>
      <c r="K1873" s="71"/>
      <c r="N1873" s="109"/>
      <c r="Q1873" s="78"/>
      <c r="R1873" s="78"/>
      <c r="S1873" s="80"/>
      <c r="T1873" s="80"/>
      <c r="V1873" s="78"/>
      <c r="W1873" s="62"/>
      <c r="X1873" s="80"/>
      <c r="Y1873" s="109"/>
    </row>
    <row r="1874">
      <c r="E1874" s="78"/>
      <c r="G1874" s="78"/>
      <c r="I1874" s="80"/>
      <c r="K1874" s="71"/>
      <c r="N1874" s="109"/>
      <c r="Q1874" s="78"/>
      <c r="R1874" s="78"/>
      <c r="S1874" s="80"/>
      <c r="T1874" s="80"/>
      <c r="V1874" s="78"/>
      <c r="W1874" s="62"/>
      <c r="X1874" s="80"/>
      <c r="Y1874" s="109"/>
    </row>
    <row r="1875">
      <c r="E1875" s="78"/>
      <c r="G1875" s="78"/>
      <c r="I1875" s="80"/>
      <c r="K1875" s="71"/>
      <c r="N1875" s="109"/>
      <c r="Q1875" s="78"/>
      <c r="R1875" s="78"/>
      <c r="S1875" s="80"/>
      <c r="T1875" s="80"/>
      <c r="V1875" s="78"/>
      <c r="W1875" s="62"/>
      <c r="X1875" s="80"/>
      <c r="Y1875" s="109"/>
    </row>
    <row r="1876">
      <c r="E1876" s="78"/>
      <c r="G1876" s="78"/>
      <c r="I1876" s="80"/>
      <c r="K1876" s="71"/>
      <c r="N1876" s="109"/>
      <c r="Q1876" s="78"/>
      <c r="R1876" s="78"/>
      <c r="S1876" s="80"/>
      <c r="T1876" s="80"/>
      <c r="V1876" s="78"/>
      <c r="W1876" s="62"/>
      <c r="X1876" s="80"/>
      <c r="Y1876" s="109"/>
    </row>
    <row r="1877">
      <c r="E1877" s="78"/>
      <c r="G1877" s="78"/>
      <c r="I1877" s="80"/>
      <c r="K1877" s="71"/>
      <c r="N1877" s="109"/>
      <c r="Q1877" s="78"/>
      <c r="R1877" s="78"/>
      <c r="S1877" s="80"/>
      <c r="T1877" s="80"/>
      <c r="V1877" s="78"/>
      <c r="W1877" s="62"/>
      <c r="X1877" s="80"/>
      <c r="Y1877" s="109"/>
    </row>
    <row r="1878">
      <c r="E1878" s="78"/>
      <c r="G1878" s="78"/>
      <c r="I1878" s="80"/>
      <c r="K1878" s="71"/>
      <c r="N1878" s="109"/>
      <c r="Q1878" s="78"/>
      <c r="R1878" s="78"/>
      <c r="S1878" s="80"/>
      <c r="T1878" s="80"/>
      <c r="V1878" s="78"/>
      <c r="W1878" s="62"/>
      <c r="X1878" s="80"/>
      <c r="Y1878" s="109"/>
    </row>
    <row r="1879">
      <c r="E1879" s="78"/>
      <c r="G1879" s="78"/>
      <c r="I1879" s="80"/>
      <c r="K1879" s="71"/>
      <c r="N1879" s="109"/>
      <c r="Q1879" s="78"/>
      <c r="R1879" s="78"/>
      <c r="S1879" s="80"/>
      <c r="T1879" s="80"/>
      <c r="V1879" s="78"/>
      <c r="W1879" s="62"/>
      <c r="X1879" s="80"/>
      <c r="Y1879" s="109"/>
    </row>
    <row r="1880">
      <c r="E1880" s="78"/>
      <c r="G1880" s="78"/>
      <c r="I1880" s="80"/>
      <c r="K1880" s="71"/>
      <c r="N1880" s="109"/>
      <c r="Q1880" s="78"/>
      <c r="R1880" s="78"/>
      <c r="S1880" s="80"/>
      <c r="T1880" s="80"/>
      <c r="V1880" s="78"/>
      <c r="W1880" s="62"/>
      <c r="X1880" s="80"/>
      <c r="Y1880" s="109"/>
    </row>
    <row r="1881">
      <c r="E1881" s="78"/>
      <c r="G1881" s="78"/>
      <c r="I1881" s="80"/>
      <c r="K1881" s="71"/>
      <c r="N1881" s="109"/>
      <c r="Q1881" s="78"/>
      <c r="R1881" s="78"/>
      <c r="S1881" s="80"/>
      <c r="T1881" s="80"/>
      <c r="V1881" s="78"/>
      <c r="W1881" s="62"/>
      <c r="X1881" s="80"/>
      <c r="Y1881" s="109"/>
    </row>
    <row r="1882">
      <c r="E1882" s="78"/>
      <c r="G1882" s="78"/>
      <c r="I1882" s="80"/>
      <c r="K1882" s="71"/>
      <c r="N1882" s="109"/>
      <c r="Q1882" s="78"/>
      <c r="R1882" s="78"/>
      <c r="S1882" s="80"/>
      <c r="T1882" s="80"/>
      <c r="V1882" s="78"/>
      <c r="W1882" s="62"/>
      <c r="X1882" s="80"/>
      <c r="Y1882" s="109"/>
    </row>
    <row r="1883">
      <c r="E1883" s="78"/>
      <c r="G1883" s="78"/>
      <c r="I1883" s="80"/>
      <c r="K1883" s="71"/>
      <c r="N1883" s="109"/>
      <c r="Q1883" s="78"/>
      <c r="R1883" s="78"/>
      <c r="S1883" s="80"/>
      <c r="T1883" s="80"/>
      <c r="V1883" s="78"/>
      <c r="W1883" s="62"/>
      <c r="X1883" s="80"/>
      <c r="Y1883" s="109"/>
    </row>
    <row r="1884">
      <c r="E1884" s="78"/>
      <c r="G1884" s="78"/>
      <c r="I1884" s="80"/>
      <c r="K1884" s="71"/>
      <c r="N1884" s="109"/>
      <c r="Q1884" s="78"/>
      <c r="R1884" s="78"/>
      <c r="S1884" s="80"/>
      <c r="T1884" s="80"/>
      <c r="V1884" s="78"/>
      <c r="W1884" s="62"/>
      <c r="X1884" s="80"/>
      <c r="Y1884" s="109"/>
    </row>
    <row r="1885">
      <c r="E1885" s="78"/>
      <c r="G1885" s="78"/>
      <c r="I1885" s="80"/>
      <c r="K1885" s="71"/>
      <c r="N1885" s="109"/>
      <c r="Q1885" s="78"/>
      <c r="R1885" s="78"/>
      <c r="S1885" s="80"/>
      <c r="T1885" s="80"/>
      <c r="V1885" s="78"/>
      <c r="W1885" s="62"/>
      <c r="X1885" s="80"/>
      <c r="Y1885" s="109"/>
    </row>
    <row r="1886">
      <c r="E1886" s="78"/>
      <c r="G1886" s="78"/>
      <c r="I1886" s="80"/>
      <c r="K1886" s="71"/>
      <c r="N1886" s="109"/>
      <c r="Q1886" s="78"/>
      <c r="R1886" s="78"/>
      <c r="S1886" s="80"/>
      <c r="T1886" s="80"/>
      <c r="V1886" s="78"/>
      <c r="W1886" s="62"/>
      <c r="X1886" s="80"/>
      <c r="Y1886" s="109"/>
    </row>
    <row r="1887">
      <c r="E1887" s="78"/>
      <c r="G1887" s="78"/>
      <c r="I1887" s="80"/>
      <c r="K1887" s="71"/>
      <c r="N1887" s="109"/>
      <c r="Q1887" s="78"/>
      <c r="R1887" s="78"/>
      <c r="S1887" s="80"/>
      <c r="T1887" s="80"/>
      <c r="V1887" s="78"/>
      <c r="W1887" s="62"/>
      <c r="X1887" s="80"/>
      <c r="Y1887" s="109"/>
    </row>
    <row r="1888">
      <c r="E1888" s="78"/>
      <c r="G1888" s="78"/>
      <c r="I1888" s="80"/>
      <c r="K1888" s="71"/>
      <c r="N1888" s="109"/>
      <c r="Q1888" s="78"/>
      <c r="R1888" s="78"/>
      <c r="S1888" s="80"/>
      <c r="T1888" s="80"/>
      <c r="V1888" s="78"/>
      <c r="W1888" s="62"/>
      <c r="X1888" s="80"/>
      <c r="Y1888" s="109"/>
    </row>
    <row r="1889">
      <c r="E1889" s="78"/>
      <c r="G1889" s="78"/>
      <c r="I1889" s="80"/>
      <c r="K1889" s="71"/>
      <c r="N1889" s="109"/>
      <c r="Q1889" s="78"/>
      <c r="R1889" s="78"/>
      <c r="S1889" s="80"/>
      <c r="T1889" s="80"/>
      <c r="V1889" s="78"/>
      <c r="W1889" s="62"/>
      <c r="X1889" s="80"/>
      <c r="Y1889" s="109"/>
    </row>
    <row r="1890">
      <c r="E1890" s="78"/>
      <c r="G1890" s="78"/>
      <c r="I1890" s="80"/>
      <c r="K1890" s="71"/>
      <c r="N1890" s="109"/>
      <c r="Q1890" s="78"/>
      <c r="R1890" s="78"/>
      <c r="S1890" s="80"/>
      <c r="T1890" s="80"/>
      <c r="V1890" s="78"/>
      <c r="W1890" s="62"/>
      <c r="X1890" s="80"/>
      <c r="Y1890" s="109"/>
    </row>
    <row r="1891">
      <c r="E1891" s="78"/>
      <c r="G1891" s="78"/>
      <c r="I1891" s="80"/>
      <c r="K1891" s="71"/>
      <c r="N1891" s="109"/>
      <c r="Q1891" s="78"/>
      <c r="R1891" s="78"/>
      <c r="S1891" s="80"/>
      <c r="T1891" s="80"/>
      <c r="V1891" s="78"/>
      <c r="W1891" s="62"/>
      <c r="X1891" s="80"/>
      <c r="Y1891" s="109"/>
    </row>
    <row r="1892">
      <c r="E1892" s="78"/>
      <c r="G1892" s="78"/>
      <c r="I1892" s="80"/>
      <c r="K1892" s="71"/>
      <c r="N1892" s="109"/>
      <c r="Q1892" s="78"/>
      <c r="R1892" s="78"/>
      <c r="S1892" s="80"/>
      <c r="T1892" s="80"/>
      <c r="V1892" s="78"/>
      <c r="W1892" s="62"/>
      <c r="X1892" s="80"/>
      <c r="Y1892" s="109"/>
    </row>
    <row r="1893">
      <c r="E1893" s="78"/>
      <c r="G1893" s="78"/>
      <c r="I1893" s="80"/>
      <c r="K1893" s="71"/>
      <c r="N1893" s="109"/>
      <c r="Q1893" s="78"/>
      <c r="R1893" s="78"/>
      <c r="S1893" s="80"/>
      <c r="T1893" s="80"/>
      <c r="V1893" s="78"/>
      <c r="W1893" s="62"/>
      <c r="X1893" s="80"/>
      <c r="Y1893" s="109"/>
    </row>
    <row r="1894">
      <c r="E1894" s="78"/>
      <c r="G1894" s="78"/>
      <c r="I1894" s="80"/>
      <c r="K1894" s="71"/>
      <c r="N1894" s="109"/>
      <c r="Q1894" s="78"/>
      <c r="R1894" s="78"/>
      <c r="S1894" s="80"/>
      <c r="T1894" s="80"/>
      <c r="V1894" s="78"/>
      <c r="W1894" s="62"/>
      <c r="X1894" s="80"/>
      <c r="Y1894" s="109"/>
    </row>
    <row r="1895">
      <c r="E1895" s="78"/>
      <c r="G1895" s="78"/>
      <c r="I1895" s="80"/>
      <c r="K1895" s="71"/>
      <c r="N1895" s="109"/>
      <c r="Q1895" s="78"/>
      <c r="R1895" s="78"/>
      <c r="S1895" s="80"/>
      <c r="T1895" s="80"/>
      <c r="V1895" s="78"/>
      <c r="W1895" s="62"/>
      <c r="X1895" s="80"/>
      <c r="Y1895" s="109"/>
    </row>
    <row r="1896">
      <c r="E1896" s="78"/>
      <c r="G1896" s="78"/>
      <c r="I1896" s="80"/>
      <c r="K1896" s="71"/>
      <c r="N1896" s="109"/>
      <c r="Q1896" s="78"/>
      <c r="R1896" s="78"/>
      <c r="S1896" s="80"/>
      <c r="T1896" s="80"/>
      <c r="V1896" s="78"/>
      <c r="W1896" s="62"/>
      <c r="X1896" s="80"/>
      <c r="Y1896" s="109"/>
    </row>
    <row r="1897">
      <c r="E1897" s="78"/>
      <c r="G1897" s="78"/>
      <c r="I1897" s="80"/>
      <c r="K1897" s="71"/>
      <c r="N1897" s="109"/>
      <c r="Q1897" s="78"/>
      <c r="R1897" s="78"/>
      <c r="S1897" s="80"/>
      <c r="T1897" s="80"/>
      <c r="V1897" s="78"/>
      <c r="W1897" s="62"/>
      <c r="X1897" s="80"/>
      <c r="Y1897" s="109"/>
    </row>
    <row r="1898">
      <c r="E1898" s="78"/>
      <c r="G1898" s="78"/>
      <c r="I1898" s="80"/>
      <c r="K1898" s="71"/>
      <c r="N1898" s="109"/>
      <c r="Q1898" s="78"/>
      <c r="R1898" s="78"/>
      <c r="S1898" s="80"/>
      <c r="T1898" s="80"/>
      <c r="V1898" s="78"/>
      <c r="W1898" s="62"/>
      <c r="X1898" s="80"/>
      <c r="Y1898" s="109"/>
    </row>
    <row r="1899">
      <c r="E1899" s="78"/>
      <c r="G1899" s="78"/>
      <c r="I1899" s="80"/>
      <c r="K1899" s="71"/>
      <c r="N1899" s="109"/>
      <c r="Q1899" s="78"/>
      <c r="R1899" s="78"/>
      <c r="S1899" s="80"/>
      <c r="T1899" s="80"/>
      <c r="V1899" s="78"/>
      <c r="W1899" s="62"/>
      <c r="X1899" s="80"/>
      <c r="Y1899" s="109"/>
    </row>
    <row r="1900">
      <c r="E1900" s="78"/>
      <c r="G1900" s="78"/>
      <c r="I1900" s="80"/>
      <c r="K1900" s="71"/>
      <c r="N1900" s="109"/>
      <c r="Q1900" s="78"/>
      <c r="R1900" s="78"/>
      <c r="S1900" s="80"/>
      <c r="T1900" s="80"/>
      <c r="V1900" s="78"/>
      <c r="W1900" s="62"/>
      <c r="X1900" s="80"/>
      <c r="Y1900" s="109"/>
    </row>
    <row r="1901">
      <c r="E1901" s="78"/>
      <c r="G1901" s="78"/>
      <c r="I1901" s="80"/>
      <c r="K1901" s="71"/>
      <c r="N1901" s="109"/>
      <c r="Q1901" s="78"/>
      <c r="R1901" s="78"/>
      <c r="S1901" s="80"/>
      <c r="T1901" s="80"/>
      <c r="V1901" s="78"/>
      <c r="W1901" s="62"/>
      <c r="X1901" s="80"/>
      <c r="Y1901" s="109"/>
    </row>
    <row r="1902">
      <c r="E1902" s="78"/>
      <c r="G1902" s="78"/>
      <c r="I1902" s="80"/>
      <c r="K1902" s="71"/>
      <c r="N1902" s="109"/>
      <c r="Q1902" s="78"/>
      <c r="R1902" s="78"/>
      <c r="S1902" s="80"/>
      <c r="T1902" s="80"/>
      <c r="V1902" s="78"/>
      <c r="W1902" s="62"/>
      <c r="X1902" s="80"/>
      <c r="Y1902" s="109"/>
    </row>
    <row r="1903">
      <c r="E1903" s="78"/>
      <c r="G1903" s="78"/>
      <c r="I1903" s="80"/>
      <c r="K1903" s="71"/>
      <c r="N1903" s="109"/>
      <c r="Q1903" s="78"/>
      <c r="R1903" s="78"/>
      <c r="S1903" s="80"/>
      <c r="T1903" s="80"/>
      <c r="V1903" s="78"/>
      <c r="W1903" s="62"/>
      <c r="X1903" s="80"/>
      <c r="Y1903" s="109"/>
    </row>
    <row r="1904">
      <c r="E1904" s="78"/>
      <c r="G1904" s="78"/>
      <c r="I1904" s="80"/>
      <c r="K1904" s="71"/>
      <c r="N1904" s="109"/>
      <c r="Q1904" s="78"/>
      <c r="R1904" s="78"/>
      <c r="S1904" s="80"/>
      <c r="T1904" s="80"/>
      <c r="V1904" s="78"/>
      <c r="W1904" s="62"/>
      <c r="X1904" s="80"/>
      <c r="Y1904" s="109"/>
    </row>
    <row r="1905">
      <c r="E1905" s="78"/>
      <c r="G1905" s="78"/>
      <c r="I1905" s="80"/>
      <c r="K1905" s="71"/>
      <c r="N1905" s="109"/>
      <c r="Q1905" s="78"/>
      <c r="R1905" s="78"/>
      <c r="S1905" s="80"/>
      <c r="T1905" s="80"/>
      <c r="V1905" s="78"/>
      <c r="W1905" s="62"/>
      <c r="X1905" s="80"/>
      <c r="Y1905" s="109"/>
    </row>
    <row r="1906">
      <c r="E1906" s="78"/>
      <c r="G1906" s="78"/>
      <c r="I1906" s="80"/>
      <c r="K1906" s="71"/>
      <c r="N1906" s="109"/>
      <c r="Q1906" s="78"/>
      <c r="R1906" s="78"/>
      <c r="S1906" s="80"/>
      <c r="T1906" s="80"/>
      <c r="V1906" s="78"/>
      <c r="W1906" s="62"/>
      <c r="X1906" s="80"/>
      <c r="Y1906" s="109"/>
    </row>
    <row r="1907">
      <c r="E1907" s="78"/>
      <c r="G1907" s="78"/>
      <c r="I1907" s="80"/>
      <c r="K1907" s="71"/>
      <c r="N1907" s="109"/>
      <c r="Q1907" s="78"/>
      <c r="R1907" s="78"/>
      <c r="S1907" s="80"/>
      <c r="T1907" s="80"/>
      <c r="V1907" s="78"/>
      <c r="W1907" s="62"/>
      <c r="X1907" s="80"/>
      <c r="Y1907" s="109"/>
    </row>
    <row r="1908">
      <c r="E1908" s="78"/>
      <c r="G1908" s="78"/>
      <c r="I1908" s="80"/>
      <c r="K1908" s="71"/>
      <c r="N1908" s="109"/>
      <c r="Q1908" s="78"/>
      <c r="R1908" s="78"/>
      <c r="S1908" s="80"/>
      <c r="T1908" s="80"/>
      <c r="V1908" s="78"/>
      <c r="W1908" s="62"/>
      <c r="X1908" s="80"/>
      <c r="Y1908" s="109"/>
    </row>
    <row r="1909">
      <c r="E1909" s="78"/>
      <c r="G1909" s="78"/>
      <c r="I1909" s="80"/>
      <c r="K1909" s="71"/>
      <c r="N1909" s="109"/>
      <c r="Q1909" s="78"/>
      <c r="R1909" s="78"/>
      <c r="S1909" s="80"/>
      <c r="T1909" s="80"/>
      <c r="V1909" s="78"/>
      <c r="W1909" s="62"/>
      <c r="X1909" s="80"/>
      <c r="Y1909" s="109"/>
    </row>
    <row r="1910">
      <c r="E1910" s="78"/>
      <c r="G1910" s="78"/>
      <c r="I1910" s="80"/>
      <c r="K1910" s="71"/>
      <c r="N1910" s="109"/>
      <c r="Q1910" s="78"/>
      <c r="R1910" s="78"/>
      <c r="S1910" s="80"/>
      <c r="T1910" s="80"/>
      <c r="V1910" s="78"/>
      <c r="W1910" s="62"/>
      <c r="X1910" s="80"/>
      <c r="Y1910" s="109"/>
    </row>
    <row r="1911">
      <c r="E1911" s="78"/>
      <c r="G1911" s="78"/>
      <c r="I1911" s="80"/>
      <c r="K1911" s="71"/>
      <c r="N1911" s="109"/>
      <c r="Q1911" s="78"/>
      <c r="R1911" s="78"/>
      <c r="S1911" s="80"/>
      <c r="T1911" s="80"/>
      <c r="V1911" s="78"/>
      <c r="W1911" s="62"/>
      <c r="X1911" s="80"/>
      <c r="Y1911" s="109"/>
    </row>
    <row r="1912">
      <c r="E1912" s="78"/>
      <c r="G1912" s="78"/>
      <c r="I1912" s="80"/>
      <c r="K1912" s="71"/>
      <c r="N1912" s="109"/>
      <c r="Q1912" s="78"/>
      <c r="R1912" s="78"/>
      <c r="S1912" s="80"/>
      <c r="T1912" s="80"/>
      <c r="V1912" s="78"/>
      <c r="W1912" s="62"/>
      <c r="X1912" s="80"/>
      <c r="Y1912" s="109"/>
    </row>
    <row r="1913">
      <c r="E1913" s="78"/>
      <c r="G1913" s="78"/>
      <c r="I1913" s="80"/>
      <c r="K1913" s="71"/>
      <c r="N1913" s="109"/>
      <c r="Q1913" s="78"/>
      <c r="R1913" s="78"/>
      <c r="S1913" s="80"/>
      <c r="T1913" s="80"/>
      <c r="V1913" s="78"/>
      <c r="W1913" s="62"/>
      <c r="X1913" s="80"/>
      <c r="Y1913" s="109"/>
    </row>
    <row r="1914">
      <c r="E1914" s="78"/>
      <c r="G1914" s="78"/>
      <c r="I1914" s="80"/>
      <c r="K1914" s="71"/>
      <c r="N1914" s="109"/>
      <c r="Q1914" s="78"/>
      <c r="R1914" s="78"/>
      <c r="S1914" s="80"/>
      <c r="T1914" s="80"/>
      <c r="V1914" s="78"/>
      <c r="W1914" s="62"/>
      <c r="X1914" s="80"/>
      <c r="Y1914" s="109"/>
    </row>
    <row r="1915">
      <c r="E1915" s="78"/>
      <c r="G1915" s="78"/>
      <c r="I1915" s="80"/>
      <c r="K1915" s="71"/>
      <c r="N1915" s="109"/>
      <c r="Q1915" s="78"/>
      <c r="R1915" s="78"/>
      <c r="S1915" s="80"/>
      <c r="T1915" s="80"/>
      <c r="V1915" s="78"/>
      <c r="W1915" s="62"/>
      <c r="X1915" s="80"/>
      <c r="Y1915" s="109"/>
    </row>
    <row r="1916">
      <c r="E1916" s="78"/>
      <c r="G1916" s="78"/>
      <c r="I1916" s="80"/>
      <c r="K1916" s="71"/>
      <c r="N1916" s="109"/>
      <c r="Q1916" s="78"/>
      <c r="R1916" s="78"/>
      <c r="S1916" s="80"/>
      <c r="T1916" s="80"/>
      <c r="V1916" s="78"/>
      <c r="W1916" s="62"/>
      <c r="X1916" s="80"/>
      <c r="Y1916" s="109"/>
    </row>
    <row r="1917">
      <c r="E1917" s="78"/>
      <c r="G1917" s="78"/>
      <c r="I1917" s="80"/>
      <c r="K1917" s="71"/>
      <c r="N1917" s="109"/>
      <c r="Q1917" s="78"/>
      <c r="R1917" s="78"/>
      <c r="S1917" s="80"/>
      <c r="T1917" s="80"/>
      <c r="V1917" s="78"/>
      <c r="W1917" s="62"/>
      <c r="X1917" s="80"/>
      <c r="Y1917" s="109"/>
    </row>
    <row r="1918">
      <c r="E1918" s="78"/>
      <c r="G1918" s="78"/>
      <c r="I1918" s="80"/>
      <c r="K1918" s="71"/>
      <c r="N1918" s="109"/>
      <c r="Q1918" s="78"/>
      <c r="R1918" s="78"/>
      <c r="S1918" s="80"/>
      <c r="T1918" s="80"/>
      <c r="V1918" s="78"/>
      <c r="W1918" s="62"/>
      <c r="X1918" s="80"/>
      <c r="Y1918" s="109"/>
    </row>
    <row r="1919">
      <c r="E1919" s="78"/>
      <c r="G1919" s="78"/>
      <c r="I1919" s="80"/>
      <c r="K1919" s="71"/>
      <c r="N1919" s="109"/>
      <c r="Q1919" s="78"/>
      <c r="R1919" s="78"/>
      <c r="S1919" s="80"/>
      <c r="T1919" s="80"/>
      <c r="V1919" s="78"/>
      <c r="W1919" s="62"/>
      <c r="X1919" s="80"/>
      <c r="Y1919" s="109"/>
    </row>
    <row r="1920">
      <c r="E1920" s="78"/>
      <c r="G1920" s="78"/>
      <c r="I1920" s="80"/>
      <c r="K1920" s="71"/>
      <c r="N1920" s="109"/>
      <c r="Q1920" s="78"/>
      <c r="R1920" s="78"/>
      <c r="S1920" s="80"/>
      <c r="T1920" s="80"/>
      <c r="V1920" s="78"/>
      <c r="W1920" s="62"/>
      <c r="X1920" s="80"/>
      <c r="Y1920" s="109"/>
    </row>
    <row r="1921">
      <c r="E1921" s="78"/>
      <c r="G1921" s="78"/>
      <c r="I1921" s="80"/>
      <c r="K1921" s="71"/>
      <c r="N1921" s="109"/>
      <c r="Q1921" s="78"/>
      <c r="R1921" s="78"/>
      <c r="S1921" s="80"/>
      <c r="T1921" s="80"/>
      <c r="V1921" s="78"/>
      <c r="W1921" s="62"/>
      <c r="X1921" s="80"/>
      <c r="Y1921" s="109"/>
    </row>
    <row r="1922">
      <c r="E1922" s="78"/>
      <c r="G1922" s="78"/>
      <c r="I1922" s="80"/>
      <c r="K1922" s="71"/>
      <c r="N1922" s="109"/>
      <c r="Q1922" s="78"/>
      <c r="R1922" s="78"/>
      <c r="S1922" s="80"/>
      <c r="T1922" s="80"/>
      <c r="V1922" s="78"/>
      <c r="W1922" s="62"/>
      <c r="X1922" s="80"/>
      <c r="Y1922" s="109"/>
    </row>
    <row r="1923">
      <c r="E1923" s="78"/>
      <c r="G1923" s="78"/>
      <c r="I1923" s="80"/>
      <c r="K1923" s="71"/>
      <c r="N1923" s="109"/>
      <c r="Q1923" s="78"/>
      <c r="R1923" s="78"/>
      <c r="S1923" s="80"/>
      <c r="T1923" s="80"/>
      <c r="V1923" s="78"/>
      <c r="W1923" s="62"/>
      <c r="X1923" s="80"/>
      <c r="Y1923" s="109"/>
    </row>
    <row r="1924">
      <c r="E1924" s="78"/>
      <c r="G1924" s="78"/>
      <c r="I1924" s="80"/>
      <c r="K1924" s="71"/>
      <c r="N1924" s="109"/>
      <c r="Q1924" s="78"/>
      <c r="R1924" s="78"/>
      <c r="S1924" s="80"/>
      <c r="T1924" s="80"/>
      <c r="V1924" s="78"/>
      <c r="W1924" s="62"/>
      <c r="X1924" s="80"/>
      <c r="Y1924" s="109"/>
    </row>
    <row r="1925">
      <c r="E1925" s="78"/>
      <c r="G1925" s="78"/>
      <c r="I1925" s="80"/>
      <c r="K1925" s="71"/>
      <c r="N1925" s="109"/>
      <c r="Q1925" s="78"/>
      <c r="R1925" s="78"/>
      <c r="S1925" s="80"/>
      <c r="T1925" s="80"/>
      <c r="V1925" s="78"/>
      <c r="W1925" s="62"/>
      <c r="X1925" s="80"/>
      <c r="Y1925" s="109"/>
    </row>
    <row r="1926">
      <c r="E1926" s="78"/>
      <c r="G1926" s="78"/>
      <c r="I1926" s="80"/>
      <c r="K1926" s="71"/>
      <c r="N1926" s="109"/>
      <c r="Q1926" s="78"/>
      <c r="R1926" s="78"/>
      <c r="S1926" s="80"/>
      <c r="T1926" s="80"/>
      <c r="V1926" s="78"/>
      <c r="W1926" s="62"/>
      <c r="X1926" s="80"/>
      <c r="Y1926" s="109"/>
    </row>
    <row r="1927">
      <c r="E1927" s="78"/>
      <c r="G1927" s="78"/>
      <c r="I1927" s="80"/>
      <c r="K1927" s="71"/>
      <c r="N1927" s="109"/>
      <c r="Q1927" s="78"/>
      <c r="R1927" s="78"/>
      <c r="S1927" s="80"/>
      <c r="T1927" s="80"/>
      <c r="V1927" s="78"/>
      <c r="W1927" s="62"/>
      <c r="X1927" s="80"/>
      <c r="Y1927" s="109"/>
    </row>
    <row r="1928">
      <c r="E1928" s="78"/>
      <c r="G1928" s="78"/>
      <c r="I1928" s="80"/>
      <c r="K1928" s="71"/>
      <c r="N1928" s="109"/>
      <c r="Q1928" s="78"/>
      <c r="R1928" s="78"/>
      <c r="S1928" s="80"/>
      <c r="T1928" s="80"/>
      <c r="V1928" s="78"/>
      <c r="W1928" s="62"/>
      <c r="X1928" s="80"/>
      <c r="Y1928" s="109"/>
    </row>
    <row r="1929">
      <c r="E1929" s="78"/>
      <c r="G1929" s="78"/>
      <c r="I1929" s="80"/>
      <c r="K1929" s="71"/>
      <c r="N1929" s="109"/>
      <c r="Q1929" s="78"/>
      <c r="R1929" s="78"/>
      <c r="S1929" s="80"/>
      <c r="T1929" s="80"/>
      <c r="V1929" s="78"/>
      <c r="W1929" s="62"/>
      <c r="X1929" s="80"/>
      <c r="Y1929" s="109"/>
    </row>
    <row r="1930">
      <c r="E1930" s="78"/>
      <c r="G1930" s="78"/>
      <c r="I1930" s="80"/>
      <c r="K1930" s="71"/>
      <c r="N1930" s="109"/>
      <c r="Q1930" s="78"/>
      <c r="R1930" s="78"/>
      <c r="S1930" s="80"/>
      <c r="T1930" s="80"/>
      <c r="V1930" s="78"/>
      <c r="W1930" s="62"/>
      <c r="X1930" s="80"/>
      <c r="Y1930" s="109"/>
    </row>
    <row r="1931">
      <c r="E1931" s="78"/>
      <c r="G1931" s="78"/>
      <c r="I1931" s="80"/>
      <c r="K1931" s="71"/>
      <c r="N1931" s="109"/>
      <c r="Q1931" s="78"/>
      <c r="R1931" s="78"/>
      <c r="S1931" s="80"/>
      <c r="T1931" s="80"/>
      <c r="V1931" s="78"/>
      <c r="W1931" s="62"/>
      <c r="X1931" s="80"/>
      <c r="Y1931" s="109"/>
    </row>
    <row r="1932">
      <c r="E1932" s="78"/>
      <c r="G1932" s="78"/>
      <c r="I1932" s="80"/>
      <c r="K1932" s="71"/>
      <c r="N1932" s="109"/>
      <c r="Q1932" s="78"/>
      <c r="R1932" s="78"/>
      <c r="S1932" s="80"/>
      <c r="T1932" s="80"/>
      <c r="V1932" s="78"/>
      <c r="W1932" s="62"/>
      <c r="X1932" s="80"/>
      <c r="Y1932" s="109"/>
    </row>
    <row r="1933">
      <c r="E1933" s="78"/>
      <c r="G1933" s="78"/>
      <c r="I1933" s="80"/>
      <c r="K1933" s="71"/>
      <c r="N1933" s="109"/>
      <c r="Q1933" s="78"/>
      <c r="R1933" s="78"/>
      <c r="S1933" s="80"/>
      <c r="T1933" s="80"/>
      <c r="V1933" s="78"/>
      <c r="W1933" s="62"/>
      <c r="X1933" s="80"/>
      <c r="Y1933" s="109"/>
    </row>
    <row r="1934">
      <c r="E1934" s="78"/>
      <c r="G1934" s="78"/>
      <c r="I1934" s="80"/>
      <c r="K1934" s="71"/>
      <c r="N1934" s="109"/>
      <c r="Q1934" s="78"/>
      <c r="R1934" s="78"/>
      <c r="S1934" s="80"/>
      <c r="T1934" s="80"/>
      <c r="V1934" s="78"/>
      <c r="W1934" s="62"/>
      <c r="X1934" s="80"/>
      <c r="Y1934" s="109"/>
    </row>
    <row r="1935">
      <c r="E1935" s="78"/>
      <c r="G1935" s="78"/>
      <c r="I1935" s="80"/>
      <c r="K1935" s="71"/>
      <c r="N1935" s="109"/>
      <c r="Q1935" s="78"/>
      <c r="R1935" s="78"/>
      <c r="S1935" s="80"/>
      <c r="T1935" s="80"/>
      <c r="V1935" s="78"/>
      <c r="W1935" s="62"/>
      <c r="X1935" s="80"/>
      <c r="Y1935" s="109"/>
    </row>
    <row r="1936">
      <c r="E1936" s="78"/>
      <c r="G1936" s="78"/>
      <c r="I1936" s="80"/>
      <c r="K1936" s="71"/>
      <c r="N1936" s="109"/>
      <c r="Q1936" s="78"/>
      <c r="R1936" s="78"/>
      <c r="S1936" s="80"/>
      <c r="T1936" s="80"/>
      <c r="V1936" s="78"/>
      <c r="W1936" s="62"/>
      <c r="X1936" s="80"/>
      <c r="Y1936" s="109"/>
    </row>
    <row r="1937">
      <c r="E1937" s="78"/>
      <c r="G1937" s="78"/>
      <c r="I1937" s="80"/>
      <c r="K1937" s="71"/>
      <c r="N1937" s="109"/>
      <c r="Q1937" s="78"/>
      <c r="R1937" s="78"/>
      <c r="S1937" s="80"/>
      <c r="T1937" s="80"/>
      <c r="V1937" s="78"/>
      <c r="W1937" s="62"/>
      <c r="X1937" s="80"/>
      <c r="Y1937" s="109"/>
    </row>
    <row r="1938">
      <c r="E1938" s="78"/>
      <c r="G1938" s="78"/>
      <c r="I1938" s="80"/>
      <c r="K1938" s="71"/>
      <c r="N1938" s="109"/>
      <c r="Q1938" s="78"/>
      <c r="R1938" s="78"/>
      <c r="S1938" s="80"/>
      <c r="T1938" s="80"/>
      <c r="V1938" s="78"/>
      <c r="W1938" s="62"/>
      <c r="X1938" s="80"/>
      <c r="Y1938" s="109"/>
    </row>
    <row r="1939">
      <c r="E1939" s="78"/>
      <c r="G1939" s="78"/>
      <c r="I1939" s="80"/>
      <c r="K1939" s="71"/>
      <c r="N1939" s="109"/>
      <c r="Q1939" s="78"/>
      <c r="R1939" s="78"/>
      <c r="S1939" s="80"/>
      <c r="T1939" s="80"/>
      <c r="V1939" s="78"/>
      <c r="W1939" s="62"/>
      <c r="X1939" s="80"/>
      <c r="Y1939" s="109"/>
    </row>
    <row r="1940">
      <c r="E1940" s="78"/>
      <c r="G1940" s="78"/>
      <c r="I1940" s="80"/>
      <c r="K1940" s="71"/>
      <c r="N1940" s="109"/>
      <c r="Q1940" s="78"/>
      <c r="R1940" s="78"/>
      <c r="S1940" s="80"/>
      <c r="T1940" s="80"/>
      <c r="V1940" s="78"/>
      <c r="W1940" s="62"/>
      <c r="X1940" s="80"/>
      <c r="Y1940" s="109"/>
    </row>
    <row r="1941">
      <c r="E1941" s="78"/>
      <c r="G1941" s="78"/>
      <c r="I1941" s="80"/>
      <c r="K1941" s="71"/>
      <c r="N1941" s="109"/>
      <c r="Q1941" s="78"/>
      <c r="R1941" s="78"/>
      <c r="S1941" s="80"/>
      <c r="T1941" s="80"/>
      <c r="V1941" s="78"/>
      <c r="W1941" s="62"/>
      <c r="X1941" s="80"/>
      <c r="Y1941" s="109"/>
    </row>
    <row r="1942">
      <c r="E1942" s="78"/>
      <c r="G1942" s="78"/>
      <c r="I1942" s="80"/>
      <c r="K1942" s="71"/>
      <c r="N1942" s="109"/>
      <c r="Q1942" s="78"/>
      <c r="R1942" s="78"/>
      <c r="S1942" s="80"/>
      <c r="T1942" s="80"/>
      <c r="V1942" s="78"/>
      <c r="W1942" s="62"/>
      <c r="X1942" s="80"/>
      <c r="Y1942" s="109"/>
    </row>
    <row r="1943">
      <c r="E1943" s="78"/>
      <c r="G1943" s="78"/>
      <c r="I1943" s="80"/>
      <c r="K1943" s="71"/>
      <c r="N1943" s="109"/>
      <c r="Q1943" s="78"/>
      <c r="R1943" s="78"/>
      <c r="S1943" s="80"/>
      <c r="T1943" s="80"/>
      <c r="V1943" s="78"/>
      <c r="W1943" s="62"/>
      <c r="X1943" s="80"/>
      <c r="Y1943" s="109"/>
    </row>
    <row r="1944">
      <c r="E1944" s="78"/>
      <c r="G1944" s="78"/>
      <c r="I1944" s="80"/>
      <c r="K1944" s="71"/>
      <c r="N1944" s="109"/>
      <c r="Q1944" s="78"/>
      <c r="R1944" s="78"/>
      <c r="S1944" s="80"/>
      <c r="T1944" s="80"/>
      <c r="V1944" s="78"/>
      <c r="W1944" s="62"/>
      <c r="X1944" s="80"/>
      <c r="Y1944" s="109"/>
    </row>
    <row r="1945">
      <c r="E1945" s="78"/>
      <c r="G1945" s="78"/>
      <c r="I1945" s="80"/>
      <c r="K1945" s="71"/>
      <c r="N1945" s="109"/>
      <c r="Q1945" s="78"/>
      <c r="R1945" s="78"/>
      <c r="S1945" s="80"/>
      <c r="T1945" s="80"/>
      <c r="V1945" s="78"/>
      <c r="W1945" s="62"/>
      <c r="X1945" s="80"/>
      <c r="Y1945" s="109"/>
    </row>
    <row r="1946">
      <c r="E1946" s="78"/>
      <c r="G1946" s="78"/>
      <c r="I1946" s="80"/>
      <c r="K1946" s="71"/>
      <c r="N1946" s="109"/>
      <c r="Q1946" s="78"/>
      <c r="R1946" s="78"/>
      <c r="S1946" s="80"/>
      <c r="T1946" s="80"/>
      <c r="V1946" s="78"/>
      <c r="W1946" s="62"/>
      <c r="X1946" s="80"/>
      <c r="Y1946" s="109"/>
    </row>
    <row r="1947">
      <c r="E1947" s="78"/>
      <c r="G1947" s="78"/>
      <c r="I1947" s="80"/>
      <c r="K1947" s="71"/>
      <c r="N1947" s="109"/>
      <c r="Q1947" s="78"/>
      <c r="R1947" s="78"/>
      <c r="S1947" s="80"/>
      <c r="T1947" s="80"/>
      <c r="V1947" s="78"/>
      <c r="W1947" s="62"/>
      <c r="X1947" s="80"/>
      <c r="Y1947" s="109"/>
    </row>
    <row r="1948">
      <c r="E1948" s="78"/>
      <c r="G1948" s="78"/>
      <c r="I1948" s="80"/>
      <c r="K1948" s="71"/>
      <c r="N1948" s="109"/>
      <c r="Q1948" s="78"/>
      <c r="R1948" s="78"/>
      <c r="S1948" s="80"/>
      <c r="T1948" s="80"/>
      <c r="V1948" s="78"/>
      <c r="W1948" s="62"/>
      <c r="X1948" s="80"/>
      <c r="Y1948" s="109"/>
    </row>
    <row r="1949">
      <c r="E1949" s="78"/>
      <c r="G1949" s="78"/>
      <c r="I1949" s="80"/>
      <c r="K1949" s="71"/>
      <c r="N1949" s="109"/>
      <c r="Q1949" s="78"/>
      <c r="R1949" s="78"/>
      <c r="S1949" s="80"/>
      <c r="T1949" s="80"/>
      <c r="V1949" s="78"/>
      <c r="W1949" s="62"/>
      <c r="X1949" s="80"/>
      <c r="Y1949" s="109"/>
    </row>
    <row r="1950">
      <c r="E1950" s="78"/>
      <c r="G1950" s="78"/>
      <c r="I1950" s="80"/>
      <c r="K1950" s="71"/>
      <c r="N1950" s="109"/>
      <c r="Q1950" s="78"/>
      <c r="R1950" s="78"/>
      <c r="S1950" s="80"/>
      <c r="T1950" s="80"/>
      <c r="V1950" s="78"/>
      <c r="W1950" s="62"/>
      <c r="X1950" s="80"/>
      <c r="Y1950" s="109"/>
    </row>
    <row r="1951">
      <c r="E1951" s="78"/>
      <c r="G1951" s="78"/>
      <c r="I1951" s="80"/>
      <c r="K1951" s="71"/>
      <c r="N1951" s="109"/>
      <c r="Q1951" s="78"/>
      <c r="R1951" s="78"/>
      <c r="S1951" s="80"/>
      <c r="T1951" s="80"/>
      <c r="V1951" s="78"/>
      <c r="W1951" s="62"/>
      <c r="X1951" s="80"/>
      <c r="Y1951" s="109"/>
    </row>
    <row r="1952">
      <c r="E1952" s="78"/>
      <c r="G1952" s="78"/>
      <c r="I1952" s="80"/>
      <c r="K1952" s="71"/>
      <c r="N1952" s="109"/>
      <c r="Q1952" s="78"/>
      <c r="R1952" s="78"/>
      <c r="S1952" s="80"/>
      <c r="T1952" s="80"/>
      <c r="V1952" s="78"/>
      <c r="W1952" s="62"/>
      <c r="X1952" s="80"/>
      <c r="Y1952" s="109"/>
    </row>
    <row r="1953">
      <c r="E1953" s="78"/>
      <c r="G1953" s="78"/>
      <c r="I1953" s="80"/>
      <c r="K1953" s="71"/>
      <c r="N1953" s="109"/>
      <c r="Q1953" s="78"/>
      <c r="R1953" s="78"/>
      <c r="S1953" s="80"/>
      <c r="T1953" s="80"/>
      <c r="V1953" s="78"/>
      <c r="W1953" s="62"/>
      <c r="X1953" s="80"/>
      <c r="Y1953" s="109"/>
    </row>
    <row r="1954">
      <c r="E1954" s="78"/>
      <c r="G1954" s="78"/>
      <c r="I1954" s="80"/>
      <c r="K1954" s="71"/>
      <c r="N1954" s="109"/>
      <c r="Q1954" s="78"/>
      <c r="R1954" s="78"/>
      <c r="S1954" s="80"/>
      <c r="T1954" s="80"/>
      <c r="V1954" s="78"/>
      <c r="W1954" s="62"/>
      <c r="X1954" s="80"/>
      <c r="Y1954" s="109"/>
    </row>
    <row r="1955">
      <c r="E1955" s="78"/>
      <c r="G1955" s="78"/>
      <c r="I1955" s="80"/>
      <c r="K1955" s="71"/>
      <c r="N1955" s="109"/>
      <c r="Q1955" s="78"/>
      <c r="R1955" s="78"/>
      <c r="S1955" s="80"/>
      <c r="T1955" s="80"/>
      <c r="V1955" s="78"/>
      <c r="W1955" s="62"/>
      <c r="X1955" s="80"/>
      <c r="Y1955" s="109"/>
    </row>
    <row r="1956">
      <c r="E1956" s="78"/>
      <c r="G1956" s="78"/>
      <c r="I1956" s="80"/>
      <c r="K1956" s="71"/>
      <c r="N1956" s="109"/>
      <c r="Q1956" s="78"/>
      <c r="R1956" s="78"/>
      <c r="S1956" s="80"/>
      <c r="T1956" s="80"/>
      <c r="V1956" s="78"/>
      <c r="W1956" s="62"/>
      <c r="X1956" s="80"/>
      <c r="Y1956" s="109"/>
    </row>
    <row r="1957">
      <c r="E1957" s="78"/>
      <c r="G1957" s="78"/>
      <c r="I1957" s="80"/>
      <c r="K1957" s="71"/>
      <c r="N1957" s="109"/>
      <c r="Q1957" s="78"/>
      <c r="R1957" s="78"/>
      <c r="S1957" s="80"/>
      <c r="T1957" s="80"/>
      <c r="V1957" s="78"/>
      <c r="W1957" s="62"/>
      <c r="X1957" s="80"/>
      <c r="Y1957" s="109"/>
    </row>
    <row r="1958">
      <c r="E1958" s="78"/>
      <c r="G1958" s="78"/>
      <c r="I1958" s="80"/>
      <c r="K1958" s="71"/>
      <c r="N1958" s="109"/>
      <c r="Q1958" s="78"/>
      <c r="R1958" s="78"/>
      <c r="S1958" s="80"/>
      <c r="T1958" s="80"/>
      <c r="V1958" s="78"/>
      <c r="W1958" s="62"/>
      <c r="X1958" s="80"/>
      <c r="Y1958" s="109"/>
    </row>
    <row r="1959">
      <c r="E1959" s="78"/>
      <c r="G1959" s="78"/>
      <c r="I1959" s="80"/>
      <c r="K1959" s="71"/>
      <c r="N1959" s="109"/>
      <c r="Q1959" s="78"/>
      <c r="R1959" s="78"/>
      <c r="S1959" s="80"/>
      <c r="T1959" s="80"/>
      <c r="V1959" s="78"/>
      <c r="W1959" s="62"/>
      <c r="X1959" s="80"/>
      <c r="Y1959" s="109"/>
    </row>
    <row r="1960">
      <c r="E1960" s="78"/>
      <c r="G1960" s="78"/>
      <c r="I1960" s="80"/>
      <c r="K1960" s="71"/>
      <c r="N1960" s="109"/>
      <c r="Q1960" s="78"/>
      <c r="R1960" s="78"/>
      <c r="S1960" s="80"/>
      <c r="T1960" s="80"/>
      <c r="V1960" s="78"/>
      <c r="W1960" s="62"/>
      <c r="X1960" s="80"/>
      <c r="Y1960" s="109"/>
    </row>
    <row r="1961">
      <c r="E1961" s="78"/>
      <c r="G1961" s="78"/>
      <c r="I1961" s="80"/>
      <c r="K1961" s="71"/>
      <c r="N1961" s="109"/>
      <c r="Q1961" s="78"/>
      <c r="R1961" s="78"/>
      <c r="S1961" s="80"/>
      <c r="T1961" s="80"/>
      <c r="V1961" s="78"/>
      <c r="W1961" s="62"/>
      <c r="X1961" s="80"/>
      <c r="Y1961" s="109"/>
    </row>
    <row r="1962">
      <c r="E1962" s="78"/>
      <c r="G1962" s="78"/>
      <c r="I1962" s="80"/>
      <c r="K1962" s="71"/>
      <c r="N1962" s="109"/>
      <c r="Q1962" s="78"/>
      <c r="R1962" s="78"/>
      <c r="S1962" s="80"/>
      <c r="T1962" s="80"/>
      <c r="V1962" s="78"/>
      <c r="W1962" s="62"/>
      <c r="X1962" s="80"/>
      <c r="Y1962" s="109"/>
    </row>
    <row r="1963">
      <c r="E1963" s="78"/>
      <c r="G1963" s="78"/>
      <c r="I1963" s="80"/>
      <c r="K1963" s="71"/>
      <c r="N1963" s="109"/>
      <c r="Q1963" s="78"/>
      <c r="R1963" s="78"/>
      <c r="S1963" s="80"/>
      <c r="T1963" s="80"/>
      <c r="V1963" s="78"/>
      <c r="W1963" s="62"/>
      <c r="X1963" s="80"/>
      <c r="Y1963" s="109"/>
    </row>
    <row r="1964">
      <c r="E1964" s="78"/>
      <c r="G1964" s="78"/>
      <c r="I1964" s="80"/>
      <c r="K1964" s="71"/>
      <c r="N1964" s="109"/>
      <c r="Q1964" s="78"/>
      <c r="R1964" s="78"/>
      <c r="S1964" s="80"/>
      <c r="T1964" s="80"/>
      <c r="V1964" s="78"/>
      <c r="W1964" s="62"/>
      <c r="X1964" s="80"/>
      <c r="Y1964" s="109"/>
    </row>
    <row r="1965">
      <c r="E1965" s="78"/>
      <c r="G1965" s="78"/>
      <c r="I1965" s="80"/>
      <c r="K1965" s="71"/>
      <c r="N1965" s="109"/>
      <c r="Q1965" s="78"/>
      <c r="R1965" s="78"/>
      <c r="S1965" s="80"/>
      <c r="T1965" s="80"/>
      <c r="V1965" s="78"/>
      <c r="W1965" s="62"/>
      <c r="X1965" s="80"/>
      <c r="Y1965" s="109"/>
    </row>
    <row r="1966">
      <c r="E1966" s="78"/>
      <c r="G1966" s="78"/>
      <c r="I1966" s="80"/>
      <c r="K1966" s="71"/>
      <c r="N1966" s="109"/>
      <c r="Q1966" s="78"/>
      <c r="R1966" s="78"/>
      <c r="S1966" s="80"/>
      <c r="T1966" s="80"/>
      <c r="V1966" s="78"/>
      <c r="W1966" s="62"/>
      <c r="X1966" s="80"/>
      <c r="Y1966" s="109"/>
    </row>
    <row r="1967">
      <c r="E1967" s="78"/>
      <c r="G1967" s="78"/>
      <c r="I1967" s="80"/>
      <c r="K1967" s="71"/>
      <c r="N1967" s="109"/>
      <c r="Q1967" s="78"/>
      <c r="R1967" s="78"/>
      <c r="S1967" s="80"/>
      <c r="T1967" s="80"/>
      <c r="V1967" s="78"/>
      <c r="W1967" s="62"/>
      <c r="X1967" s="80"/>
      <c r="Y1967" s="109"/>
    </row>
    <row r="1968">
      <c r="E1968" s="78"/>
      <c r="G1968" s="78"/>
      <c r="I1968" s="80"/>
      <c r="K1968" s="71"/>
      <c r="N1968" s="109"/>
      <c r="Q1968" s="78"/>
      <c r="R1968" s="78"/>
      <c r="S1968" s="80"/>
      <c r="T1968" s="80"/>
      <c r="V1968" s="78"/>
      <c r="W1968" s="62"/>
      <c r="X1968" s="80"/>
      <c r="Y1968" s="109"/>
    </row>
    <row r="1969">
      <c r="E1969" s="78"/>
      <c r="G1969" s="78"/>
      <c r="I1969" s="80"/>
      <c r="K1969" s="71"/>
      <c r="N1969" s="109"/>
      <c r="Q1969" s="78"/>
      <c r="R1969" s="78"/>
      <c r="S1969" s="80"/>
      <c r="T1969" s="80"/>
      <c r="V1969" s="78"/>
      <c r="W1969" s="62"/>
      <c r="X1969" s="80"/>
      <c r="Y1969" s="109"/>
    </row>
    <row r="1970">
      <c r="E1970" s="78"/>
      <c r="G1970" s="78"/>
      <c r="I1970" s="80"/>
      <c r="K1970" s="71"/>
      <c r="N1970" s="109"/>
      <c r="Q1970" s="78"/>
      <c r="R1970" s="78"/>
      <c r="S1970" s="80"/>
      <c r="T1970" s="80"/>
      <c r="V1970" s="78"/>
      <c r="W1970" s="62"/>
      <c r="X1970" s="80"/>
      <c r="Y1970" s="109"/>
    </row>
    <row r="1971">
      <c r="E1971" s="78"/>
      <c r="G1971" s="78"/>
      <c r="I1971" s="80"/>
      <c r="K1971" s="71"/>
      <c r="N1971" s="109"/>
      <c r="Q1971" s="78"/>
      <c r="R1971" s="78"/>
      <c r="S1971" s="80"/>
      <c r="T1971" s="80"/>
      <c r="V1971" s="78"/>
      <c r="W1971" s="62"/>
      <c r="X1971" s="80"/>
      <c r="Y1971" s="109"/>
    </row>
    <row r="1972">
      <c r="E1972" s="78"/>
      <c r="G1972" s="78"/>
      <c r="I1972" s="80"/>
      <c r="K1972" s="71"/>
      <c r="N1972" s="109"/>
      <c r="Q1972" s="78"/>
      <c r="R1972" s="78"/>
      <c r="S1972" s="80"/>
      <c r="T1972" s="80"/>
      <c r="V1972" s="78"/>
      <c r="W1972" s="62"/>
      <c r="X1972" s="80"/>
      <c r="Y1972" s="109"/>
    </row>
    <row r="1973">
      <c r="E1973" s="78"/>
      <c r="G1973" s="78"/>
      <c r="I1973" s="80"/>
      <c r="K1973" s="71"/>
      <c r="N1973" s="109"/>
      <c r="Q1973" s="78"/>
      <c r="R1973" s="78"/>
      <c r="S1973" s="80"/>
      <c r="T1973" s="80"/>
      <c r="V1973" s="78"/>
      <c r="W1973" s="62"/>
      <c r="X1973" s="80"/>
      <c r="Y1973" s="109"/>
    </row>
    <row r="1974">
      <c r="E1974" s="78"/>
      <c r="G1974" s="78"/>
      <c r="I1974" s="80"/>
      <c r="K1974" s="71"/>
      <c r="N1974" s="109"/>
      <c r="Q1974" s="78"/>
      <c r="R1974" s="78"/>
      <c r="S1974" s="80"/>
      <c r="T1974" s="80"/>
      <c r="V1974" s="78"/>
      <c r="W1974" s="62"/>
      <c r="X1974" s="80"/>
      <c r="Y1974" s="109"/>
    </row>
    <row r="1975">
      <c r="E1975" s="78"/>
      <c r="G1975" s="78"/>
      <c r="I1975" s="80"/>
      <c r="K1975" s="71"/>
      <c r="N1975" s="109"/>
      <c r="Q1975" s="78"/>
      <c r="R1975" s="78"/>
      <c r="S1975" s="80"/>
      <c r="T1975" s="80"/>
      <c r="V1975" s="78"/>
      <c r="W1975" s="62"/>
      <c r="X1975" s="80"/>
      <c r="Y1975" s="109"/>
    </row>
    <row r="1976">
      <c r="E1976" s="78"/>
      <c r="G1976" s="78"/>
      <c r="I1976" s="80"/>
      <c r="K1976" s="71"/>
      <c r="N1976" s="109"/>
      <c r="Q1976" s="78"/>
      <c r="R1976" s="78"/>
      <c r="S1976" s="80"/>
      <c r="T1976" s="80"/>
      <c r="V1976" s="78"/>
      <c r="W1976" s="62"/>
      <c r="X1976" s="80"/>
      <c r="Y1976" s="109"/>
    </row>
    <row r="1977">
      <c r="E1977" s="78"/>
      <c r="G1977" s="78"/>
      <c r="I1977" s="80"/>
      <c r="K1977" s="71"/>
      <c r="N1977" s="109"/>
      <c r="Q1977" s="78"/>
      <c r="R1977" s="78"/>
      <c r="S1977" s="80"/>
      <c r="T1977" s="80"/>
      <c r="V1977" s="78"/>
      <c r="W1977" s="62"/>
      <c r="X1977" s="80"/>
      <c r="Y1977" s="109"/>
    </row>
    <row r="1978">
      <c r="E1978" s="78"/>
      <c r="G1978" s="78"/>
      <c r="I1978" s="80"/>
      <c r="K1978" s="71"/>
      <c r="N1978" s="109"/>
      <c r="Q1978" s="78"/>
      <c r="R1978" s="78"/>
      <c r="S1978" s="80"/>
      <c r="T1978" s="80"/>
      <c r="V1978" s="78"/>
      <c r="W1978" s="62"/>
      <c r="X1978" s="80"/>
      <c r="Y1978" s="109"/>
    </row>
    <row r="1979">
      <c r="E1979" s="78"/>
      <c r="G1979" s="78"/>
      <c r="I1979" s="80"/>
      <c r="K1979" s="71"/>
      <c r="N1979" s="109"/>
      <c r="Q1979" s="78"/>
      <c r="R1979" s="78"/>
      <c r="S1979" s="80"/>
      <c r="T1979" s="80"/>
      <c r="V1979" s="78"/>
      <c r="W1979" s="62"/>
      <c r="X1979" s="80"/>
      <c r="Y1979" s="109"/>
    </row>
    <row r="1980">
      <c r="E1980" s="78"/>
      <c r="G1980" s="78"/>
      <c r="I1980" s="80"/>
      <c r="K1980" s="71"/>
      <c r="N1980" s="109"/>
      <c r="Q1980" s="78"/>
      <c r="R1980" s="78"/>
      <c r="S1980" s="80"/>
      <c r="T1980" s="80"/>
      <c r="V1980" s="78"/>
      <c r="W1980" s="62"/>
      <c r="X1980" s="80"/>
      <c r="Y1980" s="109"/>
    </row>
    <row r="1981">
      <c r="E1981" s="78"/>
      <c r="G1981" s="78"/>
      <c r="I1981" s="80"/>
      <c r="K1981" s="71"/>
      <c r="N1981" s="109"/>
      <c r="Q1981" s="78"/>
      <c r="R1981" s="78"/>
      <c r="S1981" s="80"/>
      <c r="T1981" s="80"/>
      <c r="V1981" s="78"/>
      <c r="W1981" s="62"/>
      <c r="X1981" s="80"/>
      <c r="Y1981" s="109"/>
    </row>
    <row r="1982">
      <c r="E1982" s="78"/>
      <c r="G1982" s="78"/>
      <c r="I1982" s="80"/>
      <c r="K1982" s="71"/>
      <c r="N1982" s="109"/>
      <c r="Q1982" s="78"/>
      <c r="R1982" s="78"/>
      <c r="S1982" s="80"/>
      <c r="T1982" s="80"/>
      <c r="V1982" s="78"/>
      <c r="W1982" s="62"/>
      <c r="X1982" s="80"/>
      <c r="Y1982" s="109"/>
    </row>
    <row r="1983">
      <c r="E1983" s="78"/>
      <c r="G1983" s="78"/>
      <c r="I1983" s="80"/>
      <c r="K1983" s="71"/>
      <c r="N1983" s="109"/>
      <c r="Q1983" s="78"/>
      <c r="R1983" s="78"/>
      <c r="S1983" s="80"/>
      <c r="T1983" s="80"/>
      <c r="V1983" s="78"/>
      <c r="W1983" s="62"/>
      <c r="X1983" s="80"/>
      <c r="Y1983" s="109"/>
    </row>
    <row r="1984">
      <c r="E1984" s="78"/>
      <c r="G1984" s="78"/>
      <c r="I1984" s="80"/>
      <c r="K1984" s="71"/>
      <c r="N1984" s="109"/>
      <c r="Q1984" s="78"/>
      <c r="R1984" s="78"/>
      <c r="S1984" s="80"/>
      <c r="T1984" s="80"/>
      <c r="V1984" s="78"/>
      <c r="W1984" s="62"/>
      <c r="X1984" s="80"/>
      <c r="Y1984" s="109"/>
    </row>
    <row r="1985">
      <c r="E1985" s="78"/>
      <c r="G1985" s="78"/>
      <c r="I1985" s="80"/>
      <c r="K1985" s="71"/>
      <c r="N1985" s="109"/>
      <c r="Q1985" s="78"/>
      <c r="R1985" s="78"/>
      <c r="S1985" s="80"/>
      <c r="T1985" s="80"/>
      <c r="V1985" s="78"/>
      <c r="W1985" s="62"/>
      <c r="X1985" s="80"/>
      <c r="Y1985" s="109"/>
    </row>
    <row r="1986">
      <c r="E1986" s="78"/>
      <c r="G1986" s="78"/>
      <c r="I1986" s="80"/>
      <c r="K1986" s="71"/>
      <c r="N1986" s="109"/>
      <c r="Q1986" s="78"/>
      <c r="R1986" s="78"/>
      <c r="S1986" s="80"/>
      <c r="T1986" s="80"/>
      <c r="V1986" s="78"/>
      <c r="W1986" s="62"/>
      <c r="X1986" s="80"/>
      <c r="Y1986" s="109"/>
    </row>
    <row r="1987">
      <c r="E1987" s="78"/>
      <c r="G1987" s="78"/>
      <c r="I1987" s="80"/>
      <c r="K1987" s="71"/>
      <c r="N1987" s="109"/>
      <c r="Q1987" s="78"/>
      <c r="R1987" s="78"/>
      <c r="S1987" s="80"/>
      <c r="T1987" s="80"/>
      <c r="V1987" s="78"/>
      <c r="W1987" s="62"/>
      <c r="X1987" s="80"/>
      <c r="Y1987" s="109"/>
    </row>
    <row r="1988">
      <c r="E1988" s="78"/>
      <c r="G1988" s="78"/>
      <c r="I1988" s="80"/>
      <c r="K1988" s="71"/>
      <c r="N1988" s="109"/>
      <c r="Q1988" s="78"/>
      <c r="R1988" s="78"/>
      <c r="S1988" s="80"/>
      <c r="T1988" s="80"/>
      <c r="V1988" s="78"/>
      <c r="W1988" s="62"/>
      <c r="X1988" s="80"/>
      <c r="Y1988" s="109"/>
    </row>
    <row r="1989">
      <c r="E1989" s="78"/>
      <c r="G1989" s="78"/>
      <c r="I1989" s="80"/>
      <c r="K1989" s="71"/>
      <c r="N1989" s="109"/>
      <c r="Q1989" s="78"/>
      <c r="R1989" s="78"/>
      <c r="S1989" s="80"/>
      <c r="T1989" s="80"/>
      <c r="V1989" s="78"/>
      <c r="W1989" s="62"/>
      <c r="X1989" s="80"/>
      <c r="Y1989" s="109"/>
    </row>
    <row r="1990">
      <c r="E1990" s="78"/>
      <c r="G1990" s="78"/>
      <c r="I1990" s="80"/>
      <c r="K1990" s="71"/>
      <c r="N1990" s="109"/>
      <c r="Q1990" s="78"/>
      <c r="R1990" s="78"/>
      <c r="S1990" s="80"/>
      <c r="T1990" s="80"/>
      <c r="V1990" s="78"/>
      <c r="W1990" s="62"/>
      <c r="X1990" s="80"/>
      <c r="Y1990" s="109"/>
    </row>
    <row r="1991">
      <c r="E1991" s="78"/>
      <c r="G1991" s="78"/>
      <c r="I1991" s="80"/>
      <c r="K1991" s="71"/>
      <c r="N1991" s="109"/>
      <c r="Q1991" s="78"/>
      <c r="R1991" s="78"/>
      <c r="S1991" s="80"/>
      <c r="T1991" s="80"/>
      <c r="V1991" s="78"/>
      <c r="W1991" s="62"/>
      <c r="X1991" s="80"/>
      <c r="Y1991" s="109"/>
    </row>
    <row r="1992">
      <c r="E1992" s="78"/>
      <c r="G1992" s="78"/>
      <c r="I1992" s="80"/>
      <c r="K1992" s="71"/>
      <c r="N1992" s="109"/>
      <c r="Q1992" s="78"/>
      <c r="R1992" s="78"/>
      <c r="S1992" s="80"/>
      <c r="T1992" s="80"/>
      <c r="V1992" s="78"/>
      <c r="W1992" s="62"/>
      <c r="X1992" s="80"/>
      <c r="Y1992" s="109"/>
    </row>
    <row r="1993">
      <c r="E1993" s="78"/>
      <c r="G1993" s="78"/>
      <c r="I1993" s="80"/>
      <c r="K1993" s="71"/>
      <c r="N1993" s="109"/>
      <c r="Q1993" s="78"/>
      <c r="R1993" s="78"/>
      <c r="S1993" s="80"/>
      <c r="T1993" s="80"/>
      <c r="V1993" s="78"/>
      <c r="W1993" s="62"/>
      <c r="X1993" s="80"/>
      <c r="Y1993" s="109"/>
    </row>
    <row r="1994">
      <c r="E1994" s="78"/>
      <c r="G1994" s="78"/>
      <c r="I1994" s="80"/>
      <c r="K1994" s="71"/>
      <c r="N1994" s="109"/>
      <c r="Q1994" s="78"/>
      <c r="R1994" s="78"/>
      <c r="S1994" s="80"/>
      <c r="T1994" s="80"/>
      <c r="V1994" s="78"/>
      <c r="W1994" s="62"/>
      <c r="X1994" s="80"/>
      <c r="Y1994" s="109"/>
    </row>
    <row r="1995">
      <c r="E1995" s="78"/>
      <c r="G1995" s="78"/>
      <c r="I1995" s="80"/>
      <c r="K1995" s="71"/>
      <c r="N1995" s="109"/>
      <c r="Q1995" s="78"/>
      <c r="R1995" s="78"/>
      <c r="S1995" s="80"/>
      <c r="T1995" s="80"/>
      <c r="V1995" s="78"/>
      <c r="W1995" s="62"/>
      <c r="X1995" s="80"/>
      <c r="Y1995" s="109"/>
    </row>
    <row r="1996">
      <c r="E1996" s="78"/>
      <c r="G1996" s="78"/>
      <c r="I1996" s="80"/>
      <c r="K1996" s="71"/>
      <c r="N1996" s="109"/>
      <c r="Q1996" s="78"/>
      <c r="R1996" s="78"/>
      <c r="S1996" s="80"/>
      <c r="T1996" s="80"/>
      <c r="V1996" s="78"/>
      <c r="W1996" s="62"/>
      <c r="X1996" s="80"/>
      <c r="Y1996" s="109"/>
    </row>
    <row r="1997">
      <c r="E1997" s="78"/>
      <c r="G1997" s="78"/>
      <c r="I1997" s="80"/>
      <c r="K1997" s="71"/>
      <c r="N1997" s="109"/>
      <c r="Q1997" s="78"/>
      <c r="R1997" s="78"/>
      <c r="S1997" s="80"/>
      <c r="T1997" s="80"/>
      <c r="V1997" s="78"/>
      <c r="W1997" s="62"/>
      <c r="X1997" s="80"/>
      <c r="Y1997" s="109"/>
    </row>
    <row r="1998">
      <c r="E1998" s="78"/>
      <c r="G1998" s="78"/>
      <c r="I1998" s="80"/>
      <c r="K1998" s="71"/>
      <c r="N1998" s="109"/>
      <c r="Q1998" s="78"/>
      <c r="R1998" s="78"/>
      <c r="S1998" s="80"/>
      <c r="T1998" s="80"/>
      <c r="V1998" s="78"/>
      <c r="W1998" s="62"/>
      <c r="X1998" s="80"/>
      <c r="Y1998" s="109"/>
    </row>
    <row r="1999">
      <c r="E1999" s="78"/>
      <c r="G1999" s="78"/>
      <c r="I1999" s="80"/>
      <c r="K1999" s="71"/>
      <c r="N1999" s="109"/>
      <c r="Q1999" s="78"/>
      <c r="R1999" s="78"/>
      <c r="S1999" s="80"/>
      <c r="T1999" s="80"/>
      <c r="V1999" s="78"/>
      <c r="W1999" s="62"/>
      <c r="X1999" s="80"/>
      <c r="Y1999" s="109"/>
    </row>
    <row r="2000">
      <c r="E2000" s="78"/>
      <c r="G2000" s="78"/>
      <c r="I2000" s="80"/>
      <c r="K2000" s="71"/>
      <c r="N2000" s="109"/>
      <c r="Q2000" s="78"/>
      <c r="R2000" s="78"/>
      <c r="S2000" s="80"/>
      <c r="T2000" s="80"/>
      <c r="V2000" s="78"/>
      <c r="W2000" s="62"/>
      <c r="X2000" s="80"/>
      <c r="Y2000" s="109"/>
    </row>
    <row r="2001">
      <c r="E2001" s="78"/>
      <c r="G2001" s="78"/>
      <c r="I2001" s="80"/>
      <c r="K2001" s="71"/>
      <c r="N2001" s="109"/>
      <c r="Q2001" s="78"/>
      <c r="R2001" s="78"/>
      <c r="S2001" s="80"/>
      <c r="T2001" s="80"/>
      <c r="V2001" s="78"/>
      <c r="W2001" s="62"/>
      <c r="X2001" s="80"/>
      <c r="Y2001" s="109"/>
    </row>
    <row r="2002">
      <c r="E2002" s="78"/>
      <c r="G2002" s="78"/>
      <c r="I2002" s="80"/>
      <c r="K2002" s="71"/>
      <c r="N2002" s="109"/>
      <c r="Q2002" s="78"/>
      <c r="R2002" s="78"/>
      <c r="S2002" s="80"/>
      <c r="T2002" s="80"/>
      <c r="V2002" s="78"/>
      <c r="W2002" s="62"/>
      <c r="X2002" s="80"/>
      <c r="Y2002" s="109"/>
    </row>
    <row r="2003">
      <c r="E2003" s="78"/>
      <c r="G2003" s="78"/>
      <c r="I2003" s="80"/>
      <c r="K2003" s="71"/>
      <c r="N2003" s="109"/>
      <c r="Q2003" s="78"/>
      <c r="R2003" s="78"/>
      <c r="S2003" s="80"/>
      <c r="T2003" s="80"/>
      <c r="V2003" s="78"/>
      <c r="W2003" s="62"/>
      <c r="X2003" s="80"/>
      <c r="Y2003" s="109"/>
    </row>
    <row r="2004">
      <c r="E2004" s="78"/>
      <c r="G2004" s="78"/>
      <c r="I2004" s="80"/>
      <c r="K2004" s="71"/>
      <c r="N2004" s="109"/>
      <c r="Q2004" s="78"/>
      <c r="R2004" s="78"/>
      <c r="S2004" s="80"/>
      <c r="T2004" s="80"/>
      <c r="V2004" s="78"/>
      <c r="W2004" s="62"/>
      <c r="X2004" s="80"/>
      <c r="Y2004" s="109"/>
    </row>
    <row r="2005">
      <c r="E2005" s="78"/>
      <c r="G2005" s="78"/>
      <c r="I2005" s="80"/>
      <c r="K2005" s="71"/>
      <c r="N2005" s="109"/>
      <c r="Q2005" s="78"/>
      <c r="R2005" s="78"/>
      <c r="S2005" s="80"/>
      <c r="T2005" s="80"/>
      <c r="V2005" s="78"/>
      <c r="W2005" s="62"/>
      <c r="X2005" s="80"/>
      <c r="Y2005" s="109"/>
    </row>
    <row r="2006">
      <c r="E2006" s="78"/>
      <c r="G2006" s="78"/>
      <c r="I2006" s="80"/>
      <c r="K2006" s="71"/>
      <c r="N2006" s="109"/>
      <c r="Q2006" s="78"/>
      <c r="R2006" s="78"/>
      <c r="S2006" s="80"/>
      <c r="T2006" s="80"/>
      <c r="V2006" s="78"/>
      <c r="W2006" s="62"/>
      <c r="X2006" s="80"/>
      <c r="Y2006" s="109"/>
    </row>
    <row r="2007">
      <c r="E2007" s="78"/>
      <c r="G2007" s="78"/>
      <c r="I2007" s="80"/>
      <c r="K2007" s="71"/>
      <c r="N2007" s="109"/>
      <c r="Q2007" s="78"/>
      <c r="R2007" s="78"/>
      <c r="S2007" s="80"/>
      <c r="T2007" s="80"/>
      <c r="V2007" s="78"/>
      <c r="W2007" s="62"/>
      <c r="X2007" s="80"/>
      <c r="Y2007" s="109"/>
    </row>
    <row r="2008">
      <c r="E2008" s="78"/>
      <c r="G2008" s="78"/>
      <c r="I2008" s="80"/>
      <c r="K2008" s="71"/>
      <c r="N2008" s="109"/>
      <c r="Q2008" s="78"/>
      <c r="R2008" s="78"/>
      <c r="S2008" s="80"/>
      <c r="T2008" s="80"/>
      <c r="V2008" s="78"/>
      <c r="W2008" s="62"/>
      <c r="X2008" s="80"/>
      <c r="Y2008" s="109"/>
    </row>
    <row r="2009">
      <c r="E2009" s="78"/>
      <c r="G2009" s="78"/>
      <c r="I2009" s="80"/>
      <c r="K2009" s="71"/>
      <c r="N2009" s="109"/>
      <c r="Q2009" s="78"/>
      <c r="R2009" s="78"/>
      <c r="S2009" s="80"/>
      <c r="T2009" s="80"/>
      <c r="V2009" s="78"/>
      <c r="W2009" s="62"/>
      <c r="X2009" s="80"/>
      <c r="Y2009" s="109"/>
    </row>
    <row r="2010">
      <c r="E2010" s="78"/>
      <c r="G2010" s="78"/>
      <c r="I2010" s="80"/>
      <c r="K2010" s="71"/>
      <c r="N2010" s="109"/>
      <c r="Q2010" s="78"/>
      <c r="R2010" s="78"/>
      <c r="S2010" s="80"/>
      <c r="T2010" s="80"/>
      <c r="V2010" s="78"/>
      <c r="W2010" s="62"/>
      <c r="X2010" s="80"/>
      <c r="Y2010" s="109"/>
    </row>
    <row r="2011">
      <c r="E2011" s="78"/>
      <c r="G2011" s="78"/>
      <c r="I2011" s="80"/>
      <c r="K2011" s="71"/>
      <c r="N2011" s="109"/>
      <c r="Q2011" s="78"/>
      <c r="R2011" s="78"/>
      <c r="S2011" s="80"/>
      <c r="T2011" s="80"/>
      <c r="V2011" s="78"/>
      <c r="W2011" s="62"/>
      <c r="X2011" s="80"/>
      <c r="Y2011" s="109"/>
    </row>
    <row r="2012">
      <c r="E2012" s="78"/>
      <c r="G2012" s="78"/>
      <c r="I2012" s="80"/>
      <c r="K2012" s="71"/>
      <c r="N2012" s="109"/>
      <c r="Q2012" s="78"/>
      <c r="R2012" s="78"/>
      <c r="S2012" s="80"/>
      <c r="T2012" s="80"/>
      <c r="V2012" s="78"/>
      <c r="W2012" s="62"/>
      <c r="X2012" s="80"/>
      <c r="Y2012" s="109"/>
    </row>
    <row r="2013">
      <c r="E2013" s="78"/>
      <c r="G2013" s="78"/>
      <c r="I2013" s="80"/>
      <c r="K2013" s="71"/>
      <c r="N2013" s="109"/>
      <c r="Q2013" s="78"/>
      <c r="R2013" s="78"/>
      <c r="S2013" s="80"/>
      <c r="T2013" s="80"/>
      <c r="V2013" s="78"/>
      <c r="W2013" s="62"/>
      <c r="X2013" s="80"/>
      <c r="Y2013" s="109"/>
    </row>
    <row r="2014">
      <c r="E2014" s="78"/>
      <c r="G2014" s="78"/>
      <c r="I2014" s="80"/>
      <c r="K2014" s="71"/>
      <c r="N2014" s="109"/>
      <c r="Q2014" s="78"/>
      <c r="R2014" s="78"/>
      <c r="S2014" s="80"/>
      <c r="T2014" s="80"/>
      <c r="V2014" s="78"/>
      <c r="W2014" s="62"/>
      <c r="X2014" s="80"/>
      <c r="Y2014" s="109"/>
    </row>
    <row r="2015">
      <c r="E2015" s="78"/>
      <c r="G2015" s="78"/>
      <c r="I2015" s="80"/>
      <c r="K2015" s="71"/>
      <c r="N2015" s="109"/>
      <c r="Q2015" s="78"/>
      <c r="R2015" s="78"/>
      <c r="S2015" s="80"/>
      <c r="T2015" s="80"/>
      <c r="V2015" s="78"/>
      <c r="W2015" s="62"/>
      <c r="X2015" s="80"/>
      <c r="Y2015" s="109"/>
    </row>
    <row r="2016">
      <c r="E2016" s="78"/>
      <c r="G2016" s="78"/>
      <c r="I2016" s="80"/>
      <c r="K2016" s="71"/>
      <c r="N2016" s="109"/>
      <c r="Q2016" s="78"/>
      <c r="R2016" s="78"/>
      <c r="S2016" s="80"/>
      <c r="T2016" s="80"/>
      <c r="V2016" s="78"/>
      <c r="W2016" s="62"/>
      <c r="X2016" s="80"/>
      <c r="Y2016" s="109"/>
    </row>
    <row r="2017">
      <c r="E2017" s="78"/>
      <c r="G2017" s="78"/>
      <c r="I2017" s="80"/>
      <c r="K2017" s="71"/>
      <c r="N2017" s="109"/>
      <c r="Q2017" s="78"/>
      <c r="R2017" s="78"/>
      <c r="S2017" s="80"/>
      <c r="T2017" s="80"/>
      <c r="V2017" s="78"/>
      <c r="W2017" s="62"/>
      <c r="X2017" s="80"/>
      <c r="Y2017" s="109"/>
    </row>
    <row r="2018">
      <c r="E2018" s="78"/>
      <c r="G2018" s="78"/>
      <c r="I2018" s="80"/>
      <c r="K2018" s="71"/>
      <c r="N2018" s="109"/>
      <c r="Q2018" s="78"/>
      <c r="R2018" s="78"/>
      <c r="S2018" s="80"/>
      <c r="T2018" s="80"/>
      <c r="V2018" s="78"/>
      <c r="W2018" s="62"/>
      <c r="X2018" s="80"/>
      <c r="Y2018" s="109"/>
    </row>
    <row r="2019">
      <c r="E2019" s="78"/>
      <c r="G2019" s="78"/>
      <c r="I2019" s="80"/>
      <c r="K2019" s="71"/>
      <c r="N2019" s="109"/>
      <c r="Q2019" s="78"/>
      <c r="R2019" s="78"/>
      <c r="S2019" s="80"/>
      <c r="T2019" s="80"/>
      <c r="V2019" s="78"/>
      <c r="W2019" s="62"/>
      <c r="X2019" s="80"/>
      <c r="Y2019" s="109"/>
    </row>
    <row r="2020">
      <c r="E2020" s="78"/>
      <c r="G2020" s="78"/>
      <c r="I2020" s="80"/>
      <c r="K2020" s="71"/>
      <c r="N2020" s="109"/>
      <c r="Q2020" s="78"/>
      <c r="R2020" s="78"/>
      <c r="S2020" s="80"/>
      <c r="T2020" s="80"/>
      <c r="V2020" s="78"/>
      <c r="W2020" s="62"/>
      <c r="X2020" s="80"/>
      <c r="Y2020" s="109"/>
    </row>
    <row r="2021">
      <c r="E2021" s="78"/>
      <c r="G2021" s="78"/>
      <c r="I2021" s="80"/>
      <c r="K2021" s="71"/>
      <c r="N2021" s="109"/>
      <c r="Q2021" s="78"/>
      <c r="R2021" s="78"/>
      <c r="S2021" s="80"/>
      <c r="T2021" s="80"/>
      <c r="V2021" s="78"/>
      <c r="W2021" s="62"/>
      <c r="X2021" s="80"/>
      <c r="Y2021" s="109"/>
    </row>
    <row r="2022">
      <c r="E2022" s="78"/>
      <c r="G2022" s="78"/>
      <c r="I2022" s="80"/>
      <c r="K2022" s="71"/>
      <c r="N2022" s="109"/>
      <c r="Q2022" s="78"/>
      <c r="R2022" s="78"/>
      <c r="S2022" s="80"/>
      <c r="T2022" s="80"/>
      <c r="V2022" s="78"/>
      <c r="W2022" s="62"/>
      <c r="X2022" s="80"/>
      <c r="Y2022" s="109"/>
    </row>
    <row r="2023">
      <c r="E2023" s="78"/>
      <c r="G2023" s="78"/>
      <c r="I2023" s="80"/>
      <c r="K2023" s="71"/>
      <c r="N2023" s="109"/>
      <c r="Q2023" s="78"/>
      <c r="R2023" s="78"/>
      <c r="S2023" s="80"/>
      <c r="T2023" s="80"/>
      <c r="V2023" s="78"/>
      <c r="W2023" s="62"/>
      <c r="X2023" s="80"/>
      <c r="Y2023" s="109"/>
    </row>
    <row r="2024">
      <c r="E2024" s="78"/>
      <c r="G2024" s="78"/>
      <c r="I2024" s="80"/>
      <c r="K2024" s="71"/>
      <c r="N2024" s="109"/>
      <c r="Q2024" s="78"/>
      <c r="R2024" s="78"/>
      <c r="S2024" s="80"/>
      <c r="T2024" s="80"/>
      <c r="V2024" s="78"/>
      <c r="W2024" s="62"/>
      <c r="X2024" s="80"/>
      <c r="Y2024" s="109"/>
    </row>
    <row r="2025">
      <c r="E2025" s="78"/>
      <c r="G2025" s="78"/>
      <c r="I2025" s="80"/>
      <c r="K2025" s="71"/>
      <c r="N2025" s="109"/>
      <c r="Q2025" s="78"/>
      <c r="R2025" s="78"/>
      <c r="S2025" s="80"/>
      <c r="T2025" s="80"/>
      <c r="V2025" s="78"/>
      <c r="W2025" s="62"/>
      <c r="X2025" s="80"/>
      <c r="Y2025" s="109"/>
    </row>
    <row r="2026">
      <c r="E2026" s="78"/>
      <c r="G2026" s="78"/>
      <c r="I2026" s="80"/>
      <c r="K2026" s="71"/>
      <c r="N2026" s="109"/>
      <c r="Q2026" s="78"/>
      <c r="R2026" s="78"/>
      <c r="S2026" s="80"/>
      <c r="T2026" s="80"/>
      <c r="V2026" s="78"/>
      <c r="W2026" s="62"/>
      <c r="X2026" s="80"/>
      <c r="Y2026" s="109"/>
    </row>
    <row r="2027">
      <c r="E2027" s="78"/>
      <c r="G2027" s="78"/>
      <c r="I2027" s="80"/>
      <c r="K2027" s="71"/>
      <c r="N2027" s="109"/>
      <c r="Q2027" s="78"/>
      <c r="R2027" s="78"/>
      <c r="S2027" s="80"/>
      <c r="T2027" s="80"/>
      <c r="V2027" s="78"/>
      <c r="W2027" s="62"/>
      <c r="X2027" s="80"/>
      <c r="Y2027" s="109"/>
    </row>
    <row r="2028">
      <c r="E2028" s="78"/>
      <c r="G2028" s="78"/>
      <c r="I2028" s="80"/>
      <c r="K2028" s="71"/>
      <c r="N2028" s="109"/>
      <c r="Q2028" s="78"/>
      <c r="R2028" s="78"/>
      <c r="S2028" s="80"/>
      <c r="T2028" s="80"/>
      <c r="V2028" s="78"/>
      <c r="W2028" s="62"/>
      <c r="X2028" s="80"/>
      <c r="Y2028" s="109"/>
    </row>
    <row r="2029">
      <c r="E2029" s="78"/>
      <c r="G2029" s="78"/>
      <c r="I2029" s="80"/>
      <c r="K2029" s="71"/>
      <c r="N2029" s="109"/>
      <c r="Q2029" s="78"/>
      <c r="R2029" s="78"/>
      <c r="S2029" s="80"/>
      <c r="T2029" s="80"/>
      <c r="V2029" s="78"/>
      <c r="W2029" s="62"/>
      <c r="X2029" s="80"/>
      <c r="Y2029" s="109"/>
    </row>
    <row r="2030">
      <c r="E2030" s="78"/>
      <c r="G2030" s="78"/>
      <c r="I2030" s="80"/>
      <c r="K2030" s="71"/>
      <c r="N2030" s="109"/>
      <c r="Q2030" s="78"/>
      <c r="R2030" s="78"/>
      <c r="S2030" s="80"/>
      <c r="T2030" s="80"/>
      <c r="V2030" s="78"/>
      <c r="W2030" s="62"/>
      <c r="X2030" s="80"/>
      <c r="Y2030" s="109"/>
    </row>
    <row r="2031">
      <c r="E2031" s="78"/>
      <c r="G2031" s="78"/>
      <c r="I2031" s="80"/>
      <c r="K2031" s="71"/>
      <c r="N2031" s="109"/>
      <c r="Q2031" s="78"/>
      <c r="R2031" s="78"/>
      <c r="S2031" s="80"/>
      <c r="T2031" s="80"/>
      <c r="V2031" s="78"/>
      <c r="W2031" s="62"/>
      <c r="X2031" s="80"/>
      <c r="Y2031" s="109"/>
    </row>
    <row r="2032">
      <c r="E2032" s="78"/>
      <c r="G2032" s="78"/>
      <c r="I2032" s="80"/>
      <c r="K2032" s="71"/>
      <c r="N2032" s="109"/>
      <c r="Q2032" s="78"/>
      <c r="R2032" s="78"/>
      <c r="S2032" s="80"/>
      <c r="T2032" s="80"/>
      <c r="V2032" s="78"/>
      <c r="W2032" s="62"/>
      <c r="X2032" s="80"/>
      <c r="Y2032" s="109"/>
    </row>
    <row r="2033">
      <c r="E2033" s="78"/>
      <c r="G2033" s="78"/>
      <c r="I2033" s="80"/>
      <c r="K2033" s="71"/>
      <c r="N2033" s="109"/>
      <c r="Q2033" s="78"/>
      <c r="R2033" s="78"/>
      <c r="S2033" s="80"/>
      <c r="T2033" s="80"/>
      <c r="V2033" s="78"/>
      <c r="W2033" s="62"/>
      <c r="X2033" s="80"/>
      <c r="Y2033" s="109"/>
    </row>
    <row r="2034">
      <c r="E2034" s="78"/>
      <c r="G2034" s="78"/>
      <c r="I2034" s="80"/>
      <c r="K2034" s="71"/>
      <c r="N2034" s="109"/>
      <c r="Q2034" s="78"/>
      <c r="R2034" s="78"/>
      <c r="S2034" s="80"/>
      <c r="T2034" s="80"/>
      <c r="V2034" s="78"/>
      <c r="W2034" s="62"/>
      <c r="X2034" s="80"/>
      <c r="Y2034" s="109"/>
    </row>
    <row r="2035">
      <c r="E2035" s="78"/>
      <c r="G2035" s="78"/>
      <c r="I2035" s="80"/>
      <c r="K2035" s="71"/>
      <c r="N2035" s="109"/>
      <c r="Q2035" s="78"/>
      <c r="R2035" s="78"/>
      <c r="S2035" s="80"/>
      <c r="T2035" s="80"/>
      <c r="V2035" s="78"/>
      <c r="W2035" s="62"/>
      <c r="X2035" s="80"/>
      <c r="Y2035" s="109"/>
    </row>
    <row r="2036">
      <c r="E2036" s="78"/>
      <c r="G2036" s="78"/>
      <c r="I2036" s="80"/>
      <c r="K2036" s="71"/>
      <c r="N2036" s="109"/>
      <c r="Q2036" s="78"/>
      <c r="R2036" s="78"/>
      <c r="S2036" s="80"/>
      <c r="T2036" s="80"/>
      <c r="V2036" s="78"/>
      <c r="W2036" s="62"/>
      <c r="X2036" s="80"/>
      <c r="Y2036" s="109"/>
    </row>
    <row r="2037">
      <c r="E2037" s="78"/>
      <c r="G2037" s="78"/>
      <c r="I2037" s="80"/>
      <c r="K2037" s="71"/>
      <c r="N2037" s="109"/>
      <c r="Q2037" s="78"/>
      <c r="R2037" s="78"/>
      <c r="S2037" s="80"/>
      <c r="T2037" s="80"/>
      <c r="V2037" s="78"/>
      <c r="W2037" s="62"/>
      <c r="X2037" s="80"/>
      <c r="Y2037" s="109"/>
    </row>
    <row r="2038">
      <c r="E2038" s="78"/>
      <c r="G2038" s="78"/>
      <c r="I2038" s="80"/>
      <c r="K2038" s="71"/>
      <c r="N2038" s="109"/>
      <c r="Q2038" s="78"/>
      <c r="R2038" s="78"/>
      <c r="S2038" s="80"/>
      <c r="T2038" s="80"/>
      <c r="V2038" s="78"/>
      <c r="W2038" s="62"/>
      <c r="X2038" s="80"/>
      <c r="Y2038" s="109"/>
    </row>
    <row r="2039">
      <c r="E2039" s="78"/>
      <c r="G2039" s="78"/>
      <c r="I2039" s="80"/>
      <c r="K2039" s="71"/>
      <c r="N2039" s="109"/>
      <c r="Q2039" s="78"/>
      <c r="R2039" s="78"/>
      <c r="S2039" s="80"/>
      <c r="T2039" s="80"/>
      <c r="V2039" s="78"/>
      <c r="W2039" s="62"/>
      <c r="X2039" s="80"/>
      <c r="Y2039" s="109"/>
    </row>
    <row r="2040">
      <c r="E2040" s="78"/>
      <c r="G2040" s="78"/>
      <c r="I2040" s="80"/>
      <c r="K2040" s="71"/>
      <c r="N2040" s="109"/>
      <c r="Q2040" s="78"/>
      <c r="R2040" s="78"/>
      <c r="S2040" s="80"/>
      <c r="T2040" s="80"/>
      <c r="V2040" s="78"/>
      <c r="W2040" s="62"/>
      <c r="X2040" s="80"/>
      <c r="Y2040" s="109"/>
    </row>
    <row r="2041">
      <c r="E2041" s="78"/>
      <c r="G2041" s="78"/>
      <c r="I2041" s="80"/>
      <c r="K2041" s="71"/>
      <c r="N2041" s="109"/>
      <c r="Q2041" s="78"/>
      <c r="R2041" s="78"/>
      <c r="S2041" s="80"/>
      <c r="T2041" s="80"/>
      <c r="V2041" s="78"/>
      <c r="W2041" s="62"/>
      <c r="X2041" s="80"/>
      <c r="Y2041" s="109"/>
    </row>
    <row r="2042">
      <c r="E2042" s="78"/>
      <c r="G2042" s="78"/>
      <c r="I2042" s="80"/>
      <c r="K2042" s="71"/>
      <c r="N2042" s="109"/>
      <c r="Q2042" s="78"/>
      <c r="R2042" s="78"/>
      <c r="S2042" s="80"/>
      <c r="T2042" s="80"/>
      <c r="V2042" s="78"/>
      <c r="W2042" s="62"/>
      <c r="X2042" s="80"/>
      <c r="Y2042" s="109"/>
    </row>
    <row r="2043">
      <c r="E2043" s="78"/>
      <c r="G2043" s="78"/>
      <c r="I2043" s="80"/>
      <c r="K2043" s="71"/>
      <c r="N2043" s="109"/>
      <c r="Q2043" s="78"/>
      <c r="R2043" s="78"/>
      <c r="S2043" s="80"/>
      <c r="T2043" s="80"/>
      <c r="V2043" s="78"/>
      <c r="W2043" s="62"/>
      <c r="X2043" s="80"/>
      <c r="Y2043" s="109"/>
    </row>
    <row r="2044">
      <c r="E2044" s="78"/>
      <c r="G2044" s="78"/>
      <c r="I2044" s="80"/>
      <c r="K2044" s="71"/>
      <c r="N2044" s="109"/>
      <c r="Q2044" s="78"/>
      <c r="R2044" s="78"/>
      <c r="S2044" s="80"/>
      <c r="T2044" s="80"/>
      <c r="V2044" s="78"/>
      <c r="W2044" s="62"/>
      <c r="X2044" s="80"/>
      <c r="Y2044" s="109"/>
    </row>
    <row r="2045">
      <c r="E2045" s="78"/>
      <c r="G2045" s="78"/>
      <c r="I2045" s="80"/>
      <c r="K2045" s="71"/>
      <c r="N2045" s="109"/>
      <c r="Q2045" s="78"/>
      <c r="R2045" s="78"/>
      <c r="S2045" s="80"/>
      <c r="T2045" s="80"/>
      <c r="V2045" s="78"/>
      <c r="W2045" s="62"/>
      <c r="X2045" s="80"/>
      <c r="Y2045" s="109"/>
    </row>
    <row r="2046">
      <c r="E2046" s="78"/>
      <c r="G2046" s="78"/>
      <c r="I2046" s="80"/>
      <c r="K2046" s="71"/>
      <c r="N2046" s="109"/>
      <c r="Q2046" s="78"/>
      <c r="R2046" s="78"/>
      <c r="S2046" s="80"/>
      <c r="T2046" s="80"/>
      <c r="V2046" s="78"/>
      <c r="W2046" s="62"/>
      <c r="X2046" s="80"/>
      <c r="Y2046" s="109"/>
    </row>
    <row r="2047">
      <c r="E2047" s="78"/>
      <c r="G2047" s="78"/>
      <c r="I2047" s="80"/>
      <c r="K2047" s="71"/>
      <c r="N2047" s="109"/>
      <c r="Q2047" s="78"/>
      <c r="R2047" s="78"/>
      <c r="S2047" s="80"/>
      <c r="T2047" s="80"/>
      <c r="V2047" s="78"/>
      <c r="W2047" s="62"/>
      <c r="X2047" s="80"/>
      <c r="Y2047" s="109"/>
    </row>
    <row r="2048">
      <c r="E2048" s="78"/>
      <c r="G2048" s="78"/>
      <c r="I2048" s="80"/>
      <c r="K2048" s="71"/>
      <c r="N2048" s="109"/>
      <c r="Q2048" s="78"/>
      <c r="R2048" s="78"/>
      <c r="S2048" s="80"/>
      <c r="T2048" s="80"/>
      <c r="V2048" s="78"/>
      <c r="W2048" s="62"/>
      <c r="X2048" s="80"/>
      <c r="Y2048" s="109"/>
    </row>
    <row r="2049">
      <c r="E2049" s="78"/>
      <c r="G2049" s="78"/>
      <c r="I2049" s="80"/>
      <c r="K2049" s="71"/>
      <c r="N2049" s="109"/>
      <c r="Q2049" s="78"/>
      <c r="R2049" s="78"/>
      <c r="S2049" s="80"/>
      <c r="T2049" s="80"/>
      <c r="V2049" s="78"/>
      <c r="W2049" s="62"/>
      <c r="X2049" s="80"/>
      <c r="Y2049" s="109"/>
    </row>
    <row r="2050">
      <c r="E2050" s="78"/>
      <c r="G2050" s="78"/>
      <c r="I2050" s="80"/>
      <c r="K2050" s="71"/>
      <c r="N2050" s="109"/>
      <c r="Q2050" s="78"/>
      <c r="R2050" s="78"/>
      <c r="S2050" s="80"/>
      <c r="T2050" s="80"/>
      <c r="V2050" s="78"/>
      <c r="W2050" s="62"/>
      <c r="X2050" s="80"/>
      <c r="Y2050" s="109"/>
    </row>
    <row r="2051">
      <c r="E2051" s="78"/>
      <c r="G2051" s="78"/>
      <c r="I2051" s="80"/>
      <c r="K2051" s="71"/>
      <c r="N2051" s="109"/>
      <c r="Q2051" s="78"/>
      <c r="R2051" s="78"/>
      <c r="S2051" s="80"/>
      <c r="T2051" s="80"/>
      <c r="V2051" s="78"/>
      <c r="W2051" s="62"/>
      <c r="X2051" s="80"/>
      <c r="Y2051" s="109"/>
    </row>
    <row r="2052">
      <c r="E2052" s="78"/>
      <c r="G2052" s="78"/>
      <c r="I2052" s="80"/>
      <c r="K2052" s="71"/>
      <c r="N2052" s="109"/>
      <c r="Q2052" s="78"/>
      <c r="R2052" s="78"/>
      <c r="S2052" s="80"/>
      <c r="T2052" s="80"/>
      <c r="V2052" s="78"/>
      <c r="W2052" s="62"/>
      <c r="X2052" s="80"/>
      <c r="Y2052" s="109"/>
    </row>
    <row r="2053">
      <c r="E2053" s="78"/>
      <c r="G2053" s="78"/>
      <c r="I2053" s="80"/>
      <c r="K2053" s="71"/>
      <c r="N2053" s="109"/>
      <c r="Q2053" s="78"/>
      <c r="R2053" s="78"/>
      <c r="S2053" s="80"/>
      <c r="T2053" s="80"/>
      <c r="V2053" s="78"/>
      <c r="W2053" s="62"/>
      <c r="X2053" s="80"/>
      <c r="Y2053" s="109"/>
    </row>
    <row r="2054">
      <c r="E2054" s="78"/>
      <c r="G2054" s="78"/>
      <c r="I2054" s="80"/>
      <c r="K2054" s="71"/>
      <c r="N2054" s="109"/>
      <c r="Q2054" s="78"/>
      <c r="R2054" s="78"/>
      <c r="S2054" s="80"/>
      <c r="T2054" s="80"/>
      <c r="V2054" s="78"/>
      <c r="W2054" s="62"/>
      <c r="X2054" s="80"/>
      <c r="Y2054" s="109"/>
    </row>
    <row r="2055">
      <c r="E2055" s="78"/>
      <c r="G2055" s="78"/>
      <c r="I2055" s="80"/>
      <c r="K2055" s="71"/>
      <c r="N2055" s="109"/>
      <c r="Q2055" s="78"/>
      <c r="R2055" s="78"/>
      <c r="S2055" s="80"/>
      <c r="T2055" s="80"/>
      <c r="V2055" s="78"/>
      <c r="W2055" s="62"/>
      <c r="X2055" s="80"/>
      <c r="Y2055" s="109"/>
    </row>
    <row r="2056">
      <c r="E2056" s="78"/>
      <c r="G2056" s="78"/>
      <c r="I2056" s="80"/>
      <c r="K2056" s="71"/>
      <c r="N2056" s="109"/>
      <c r="Q2056" s="78"/>
      <c r="R2056" s="78"/>
      <c r="S2056" s="80"/>
      <c r="T2056" s="80"/>
      <c r="V2056" s="78"/>
      <c r="W2056" s="62"/>
      <c r="X2056" s="80"/>
      <c r="Y2056" s="109"/>
    </row>
    <row r="2057">
      <c r="E2057" s="78"/>
      <c r="G2057" s="78"/>
      <c r="I2057" s="80"/>
      <c r="K2057" s="71"/>
      <c r="N2057" s="109"/>
      <c r="Q2057" s="78"/>
      <c r="R2057" s="78"/>
      <c r="S2057" s="80"/>
      <c r="T2057" s="80"/>
      <c r="V2057" s="78"/>
      <c r="W2057" s="62"/>
      <c r="X2057" s="80"/>
      <c r="Y2057" s="109"/>
    </row>
    <row r="2058">
      <c r="E2058" s="78"/>
      <c r="G2058" s="78"/>
      <c r="I2058" s="80"/>
      <c r="K2058" s="71"/>
      <c r="N2058" s="109"/>
      <c r="Q2058" s="78"/>
      <c r="R2058" s="78"/>
      <c r="S2058" s="80"/>
      <c r="T2058" s="80"/>
      <c r="V2058" s="78"/>
      <c r="W2058" s="62"/>
      <c r="X2058" s="80"/>
      <c r="Y2058" s="109"/>
    </row>
    <row r="2059">
      <c r="E2059" s="78"/>
      <c r="G2059" s="78"/>
      <c r="I2059" s="80"/>
      <c r="K2059" s="71"/>
      <c r="N2059" s="109"/>
      <c r="Q2059" s="78"/>
      <c r="R2059" s="78"/>
      <c r="S2059" s="80"/>
      <c r="T2059" s="80"/>
      <c r="V2059" s="78"/>
      <c r="W2059" s="62"/>
      <c r="X2059" s="80"/>
      <c r="Y2059" s="109"/>
    </row>
    <row r="2060">
      <c r="E2060" s="78"/>
      <c r="G2060" s="78"/>
      <c r="I2060" s="80"/>
      <c r="K2060" s="71"/>
      <c r="N2060" s="109"/>
      <c r="Q2060" s="78"/>
      <c r="R2060" s="78"/>
      <c r="S2060" s="80"/>
      <c r="T2060" s="80"/>
      <c r="V2060" s="78"/>
      <c r="W2060" s="62"/>
      <c r="X2060" s="80"/>
      <c r="Y2060" s="109"/>
    </row>
    <row r="2061">
      <c r="E2061" s="78"/>
      <c r="G2061" s="78"/>
      <c r="I2061" s="80"/>
      <c r="K2061" s="71"/>
      <c r="N2061" s="109"/>
      <c r="Q2061" s="78"/>
      <c r="R2061" s="78"/>
      <c r="S2061" s="80"/>
      <c r="T2061" s="80"/>
      <c r="V2061" s="78"/>
      <c r="W2061" s="62"/>
      <c r="X2061" s="80"/>
      <c r="Y2061" s="109"/>
    </row>
    <row r="2062">
      <c r="E2062" s="78"/>
      <c r="G2062" s="78"/>
      <c r="I2062" s="80"/>
      <c r="K2062" s="71"/>
      <c r="N2062" s="109"/>
      <c r="Q2062" s="78"/>
      <c r="R2062" s="78"/>
      <c r="S2062" s="80"/>
      <c r="T2062" s="80"/>
      <c r="V2062" s="78"/>
      <c r="W2062" s="62"/>
      <c r="X2062" s="80"/>
      <c r="Y2062" s="109"/>
    </row>
    <row r="2063">
      <c r="E2063" s="78"/>
      <c r="G2063" s="78"/>
      <c r="I2063" s="80"/>
      <c r="K2063" s="71"/>
      <c r="N2063" s="109"/>
      <c r="Q2063" s="78"/>
      <c r="R2063" s="78"/>
      <c r="S2063" s="80"/>
      <c r="T2063" s="80"/>
      <c r="V2063" s="78"/>
      <c r="W2063" s="62"/>
      <c r="X2063" s="80"/>
      <c r="Y2063" s="109"/>
    </row>
    <row r="2064">
      <c r="E2064" s="78"/>
      <c r="G2064" s="78"/>
      <c r="I2064" s="80"/>
      <c r="K2064" s="71"/>
      <c r="N2064" s="109"/>
      <c r="Q2064" s="78"/>
      <c r="R2064" s="78"/>
      <c r="S2064" s="80"/>
      <c r="T2064" s="80"/>
      <c r="V2064" s="78"/>
      <c r="W2064" s="62"/>
      <c r="X2064" s="80"/>
      <c r="Y2064" s="109"/>
    </row>
    <row r="2065">
      <c r="E2065" s="78"/>
      <c r="G2065" s="78"/>
      <c r="I2065" s="80"/>
      <c r="K2065" s="71"/>
      <c r="N2065" s="109"/>
      <c r="Q2065" s="78"/>
      <c r="R2065" s="78"/>
      <c r="S2065" s="80"/>
      <c r="T2065" s="80"/>
      <c r="V2065" s="78"/>
      <c r="W2065" s="62"/>
      <c r="X2065" s="80"/>
      <c r="Y2065" s="109"/>
    </row>
    <row r="2066">
      <c r="E2066" s="78"/>
      <c r="G2066" s="78"/>
      <c r="I2066" s="80"/>
      <c r="K2066" s="71"/>
      <c r="N2066" s="109"/>
      <c r="Q2066" s="78"/>
      <c r="R2066" s="78"/>
      <c r="S2066" s="80"/>
      <c r="T2066" s="80"/>
      <c r="V2066" s="78"/>
      <c r="W2066" s="62"/>
      <c r="X2066" s="80"/>
      <c r="Y2066" s="109"/>
    </row>
    <row r="2067">
      <c r="E2067" s="78"/>
      <c r="G2067" s="78"/>
      <c r="I2067" s="80"/>
      <c r="K2067" s="71"/>
      <c r="N2067" s="109"/>
      <c r="Q2067" s="78"/>
      <c r="R2067" s="78"/>
      <c r="S2067" s="80"/>
      <c r="T2067" s="80"/>
      <c r="V2067" s="78"/>
      <c r="W2067" s="62"/>
      <c r="X2067" s="80"/>
      <c r="Y2067" s="109"/>
    </row>
    <row r="2068">
      <c r="E2068" s="78"/>
      <c r="G2068" s="78"/>
      <c r="I2068" s="80"/>
      <c r="K2068" s="71"/>
      <c r="N2068" s="109"/>
      <c r="Q2068" s="78"/>
      <c r="R2068" s="78"/>
      <c r="S2068" s="80"/>
      <c r="T2068" s="80"/>
      <c r="V2068" s="78"/>
      <c r="W2068" s="62"/>
      <c r="X2068" s="80"/>
      <c r="Y2068" s="109"/>
    </row>
    <row r="2069">
      <c r="E2069" s="78"/>
      <c r="G2069" s="78"/>
      <c r="I2069" s="80"/>
      <c r="K2069" s="71"/>
      <c r="N2069" s="109"/>
      <c r="Q2069" s="78"/>
      <c r="R2069" s="78"/>
      <c r="S2069" s="80"/>
      <c r="T2069" s="80"/>
      <c r="V2069" s="78"/>
      <c r="W2069" s="62"/>
      <c r="X2069" s="80"/>
      <c r="Y2069" s="109"/>
    </row>
    <row r="2070">
      <c r="E2070" s="78"/>
      <c r="G2070" s="78"/>
      <c r="I2070" s="80"/>
      <c r="K2070" s="71"/>
      <c r="N2070" s="109"/>
      <c r="Q2070" s="78"/>
      <c r="R2070" s="78"/>
      <c r="S2070" s="80"/>
      <c r="T2070" s="80"/>
      <c r="V2070" s="78"/>
      <c r="W2070" s="62"/>
      <c r="X2070" s="80"/>
      <c r="Y2070" s="109"/>
    </row>
    <row r="2071">
      <c r="E2071" s="78"/>
      <c r="G2071" s="78"/>
      <c r="I2071" s="80"/>
      <c r="K2071" s="71"/>
      <c r="N2071" s="109"/>
      <c r="Q2071" s="78"/>
      <c r="R2071" s="78"/>
      <c r="S2071" s="80"/>
      <c r="T2071" s="80"/>
      <c r="V2071" s="78"/>
      <c r="W2071" s="62"/>
      <c r="X2071" s="80"/>
      <c r="Y2071" s="109"/>
    </row>
    <row r="2072">
      <c r="E2072" s="78"/>
      <c r="G2072" s="78"/>
      <c r="I2072" s="80"/>
      <c r="K2072" s="71"/>
      <c r="N2072" s="109"/>
      <c r="Q2072" s="78"/>
      <c r="R2072" s="78"/>
      <c r="S2072" s="80"/>
      <c r="T2072" s="80"/>
      <c r="V2072" s="78"/>
      <c r="W2072" s="62"/>
      <c r="X2072" s="80"/>
      <c r="Y2072" s="109"/>
    </row>
    <row r="2073">
      <c r="E2073" s="78"/>
      <c r="G2073" s="78"/>
      <c r="I2073" s="80"/>
      <c r="K2073" s="71"/>
      <c r="N2073" s="109"/>
      <c r="Q2073" s="78"/>
      <c r="R2073" s="78"/>
      <c r="S2073" s="80"/>
      <c r="T2073" s="80"/>
      <c r="V2073" s="78"/>
      <c r="W2073" s="62"/>
      <c r="X2073" s="80"/>
      <c r="Y2073" s="109"/>
    </row>
    <row r="2074">
      <c r="E2074" s="78"/>
      <c r="G2074" s="78"/>
      <c r="I2074" s="80"/>
      <c r="K2074" s="71"/>
      <c r="N2074" s="109"/>
      <c r="Q2074" s="78"/>
      <c r="R2074" s="78"/>
      <c r="S2074" s="80"/>
      <c r="T2074" s="80"/>
      <c r="V2074" s="78"/>
      <c r="W2074" s="62"/>
      <c r="X2074" s="80"/>
      <c r="Y2074" s="109"/>
    </row>
    <row r="2075">
      <c r="E2075" s="78"/>
      <c r="G2075" s="78"/>
      <c r="I2075" s="80"/>
      <c r="K2075" s="71"/>
      <c r="N2075" s="109"/>
      <c r="Q2075" s="78"/>
      <c r="R2075" s="78"/>
      <c r="S2075" s="80"/>
      <c r="T2075" s="80"/>
      <c r="V2075" s="78"/>
      <c r="W2075" s="62"/>
      <c r="X2075" s="80"/>
      <c r="Y2075" s="109"/>
    </row>
    <row r="2076">
      <c r="E2076" s="78"/>
      <c r="G2076" s="78"/>
      <c r="I2076" s="80"/>
      <c r="K2076" s="71"/>
      <c r="N2076" s="109"/>
      <c r="Q2076" s="78"/>
      <c r="R2076" s="78"/>
      <c r="S2076" s="80"/>
      <c r="T2076" s="80"/>
      <c r="V2076" s="78"/>
      <c r="W2076" s="62"/>
      <c r="X2076" s="80"/>
      <c r="Y2076" s="109"/>
    </row>
    <row r="2077">
      <c r="E2077" s="78"/>
      <c r="G2077" s="78"/>
      <c r="I2077" s="80"/>
      <c r="K2077" s="71"/>
      <c r="N2077" s="109"/>
      <c r="Q2077" s="78"/>
      <c r="R2077" s="78"/>
      <c r="S2077" s="80"/>
      <c r="T2077" s="80"/>
      <c r="V2077" s="78"/>
      <c r="W2077" s="62"/>
      <c r="X2077" s="80"/>
      <c r="Y2077" s="109"/>
    </row>
    <row r="2078">
      <c r="E2078" s="78"/>
      <c r="G2078" s="78"/>
      <c r="I2078" s="80"/>
      <c r="K2078" s="71"/>
      <c r="N2078" s="109"/>
      <c r="Q2078" s="78"/>
      <c r="R2078" s="78"/>
      <c r="S2078" s="80"/>
      <c r="T2078" s="80"/>
      <c r="V2078" s="78"/>
      <c r="W2078" s="62"/>
      <c r="X2078" s="80"/>
      <c r="Y2078" s="109"/>
    </row>
    <row r="2079">
      <c r="E2079" s="78"/>
      <c r="G2079" s="78"/>
      <c r="I2079" s="80"/>
      <c r="K2079" s="71"/>
      <c r="N2079" s="109"/>
      <c r="Q2079" s="78"/>
      <c r="R2079" s="78"/>
      <c r="S2079" s="80"/>
      <c r="T2079" s="80"/>
      <c r="V2079" s="78"/>
      <c r="W2079" s="62"/>
      <c r="X2079" s="80"/>
      <c r="Y2079" s="109"/>
    </row>
    <row r="2080">
      <c r="E2080" s="78"/>
      <c r="G2080" s="78"/>
      <c r="I2080" s="80"/>
      <c r="K2080" s="71"/>
      <c r="N2080" s="109"/>
      <c r="Q2080" s="78"/>
      <c r="R2080" s="78"/>
      <c r="S2080" s="80"/>
      <c r="T2080" s="80"/>
      <c r="V2080" s="78"/>
      <c r="W2080" s="62"/>
      <c r="X2080" s="80"/>
      <c r="Y2080" s="109"/>
    </row>
    <row r="2081">
      <c r="E2081" s="78"/>
      <c r="G2081" s="78"/>
      <c r="I2081" s="80"/>
      <c r="K2081" s="71"/>
      <c r="N2081" s="109"/>
      <c r="Q2081" s="78"/>
      <c r="R2081" s="78"/>
      <c r="S2081" s="80"/>
      <c r="T2081" s="80"/>
      <c r="V2081" s="78"/>
      <c r="W2081" s="62"/>
      <c r="X2081" s="80"/>
      <c r="Y2081" s="109"/>
    </row>
    <row r="2082">
      <c r="E2082" s="78"/>
      <c r="G2082" s="78"/>
      <c r="I2082" s="80"/>
      <c r="K2082" s="71"/>
      <c r="N2082" s="109"/>
      <c r="Q2082" s="78"/>
      <c r="R2082" s="78"/>
      <c r="S2082" s="80"/>
      <c r="T2082" s="80"/>
      <c r="V2082" s="78"/>
      <c r="W2082" s="62"/>
      <c r="X2082" s="80"/>
      <c r="Y2082" s="109"/>
    </row>
    <row r="2083">
      <c r="E2083" s="78"/>
      <c r="G2083" s="78"/>
      <c r="I2083" s="80"/>
      <c r="K2083" s="71"/>
      <c r="N2083" s="109"/>
      <c r="Q2083" s="78"/>
      <c r="R2083" s="78"/>
      <c r="S2083" s="80"/>
      <c r="T2083" s="80"/>
      <c r="V2083" s="78"/>
      <c r="W2083" s="62"/>
      <c r="X2083" s="80"/>
      <c r="Y2083" s="109"/>
    </row>
    <row r="2084">
      <c r="E2084" s="78"/>
      <c r="G2084" s="78"/>
      <c r="I2084" s="80"/>
      <c r="K2084" s="71"/>
      <c r="N2084" s="109"/>
      <c r="Q2084" s="78"/>
      <c r="R2084" s="78"/>
      <c r="S2084" s="80"/>
      <c r="T2084" s="80"/>
      <c r="V2084" s="78"/>
      <c r="W2084" s="62"/>
      <c r="X2084" s="80"/>
      <c r="Y2084" s="109"/>
    </row>
    <row r="2085">
      <c r="E2085" s="78"/>
      <c r="G2085" s="78"/>
      <c r="I2085" s="80"/>
      <c r="K2085" s="71"/>
      <c r="N2085" s="109"/>
      <c r="Q2085" s="78"/>
      <c r="R2085" s="78"/>
      <c r="S2085" s="80"/>
      <c r="T2085" s="80"/>
      <c r="V2085" s="78"/>
      <c r="W2085" s="62"/>
      <c r="X2085" s="80"/>
      <c r="Y2085" s="109"/>
    </row>
    <row r="2086">
      <c r="E2086" s="78"/>
      <c r="G2086" s="78"/>
      <c r="I2086" s="80"/>
      <c r="K2086" s="71"/>
      <c r="N2086" s="109"/>
      <c r="Q2086" s="78"/>
      <c r="R2086" s="78"/>
      <c r="S2086" s="80"/>
      <c r="T2086" s="80"/>
      <c r="V2086" s="78"/>
      <c r="W2086" s="62"/>
      <c r="X2086" s="80"/>
      <c r="Y2086" s="109"/>
    </row>
    <row r="2087">
      <c r="E2087" s="78"/>
      <c r="G2087" s="78"/>
      <c r="I2087" s="80"/>
      <c r="K2087" s="71"/>
      <c r="N2087" s="109"/>
      <c r="Q2087" s="78"/>
      <c r="R2087" s="78"/>
      <c r="S2087" s="80"/>
      <c r="T2087" s="80"/>
      <c r="V2087" s="78"/>
      <c r="W2087" s="62"/>
      <c r="X2087" s="80"/>
      <c r="Y2087" s="109"/>
    </row>
    <row r="2088">
      <c r="E2088" s="78"/>
      <c r="G2088" s="78"/>
      <c r="I2088" s="80"/>
      <c r="K2088" s="71"/>
      <c r="N2088" s="109"/>
      <c r="Q2088" s="78"/>
      <c r="R2088" s="78"/>
      <c r="S2088" s="80"/>
      <c r="T2088" s="80"/>
      <c r="V2088" s="78"/>
      <c r="W2088" s="62"/>
      <c r="X2088" s="80"/>
      <c r="Y2088" s="109"/>
    </row>
    <row r="2089">
      <c r="E2089" s="78"/>
      <c r="G2089" s="78"/>
      <c r="I2089" s="80"/>
      <c r="K2089" s="71"/>
      <c r="N2089" s="109"/>
      <c r="Q2089" s="78"/>
      <c r="R2089" s="78"/>
      <c r="S2089" s="80"/>
      <c r="T2089" s="80"/>
      <c r="V2089" s="78"/>
      <c r="W2089" s="62"/>
      <c r="X2089" s="80"/>
      <c r="Y2089" s="109"/>
    </row>
    <row r="2090">
      <c r="E2090" s="78"/>
      <c r="G2090" s="78"/>
      <c r="I2090" s="80"/>
      <c r="K2090" s="71"/>
      <c r="N2090" s="109"/>
      <c r="Q2090" s="78"/>
      <c r="R2090" s="78"/>
      <c r="S2090" s="80"/>
      <c r="T2090" s="80"/>
      <c r="V2090" s="78"/>
      <c r="W2090" s="62"/>
      <c r="X2090" s="80"/>
      <c r="Y2090" s="109"/>
    </row>
    <row r="2091">
      <c r="E2091" s="78"/>
      <c r="G2091" s="78"/>
      <c r="I2091" s="80"/>
      <c r="K2091" s="71"/>
      <c r="N2091" s="109"/>
      <c r="Q2091" s="78"/>
      <c r="R2091" s="78"/>
      <c r="S2091" s="80"/>
      <c r="T2091" s="80"/>
      <c r="V2091" s="78"/>
      <c r="W2091" s="62"/>
      <c r="X2091" s="80"/>
      <c r="Y2091" s="109"/>
    </row>
    <row r="2092">
      <c r="E2092" s="78"/>
      <c r="G2092" s="78"/>
      <c r="I2092" s="80"/>
      <c r="K2092" s="71"/>
      <c r="N2092" s="109"/>
      <c r="Q2092" s="78"/>
      <c r="R2092" s="78"/>
      <c r="S2092" s="80"/>
      <c r="T2092" s="80"/>
      <c r="V2092" s="78"/>
      <c r="W2092" s="62"/>
      <c r="X2092" s="80"/>
      <c r="Y2092" s="109"/>
    </row>
    <row r="2093">
      <c r="E2093" s="78"/>
      <c r="G2093" s="78"/>
      <c r="I2093" s="80"/>
      <c r="K2093" s="71"/>
      <c r="N2093" s="109"/>
      <c r="Q2093" s="78"/>
      <c r="R2093" s="78"/>
      <c r="S2093" s="80"/>
      <c r="T2093" s="80"/>
      <c r="V2093" s="78"/>
      <c r="W2093" s="62"/>
      <c r="X2093" s="80"/>
      <c r="Y2093" s="109"/>
    </row>
    <row r="2094">
      <c r="E2094" s="78"/>
      <c r="G2094" s="78"/>
      <c r="I2094" s="80"/>
      <c r="K2094" s="71"/>
      <c r="N2094" s="109"/>
      <c r="Q2094" s="78"/>
      <c r="R2094" s="78"/>
      <c r="S2094" s="80"/>
      <c r="T2094" s="80"/>
      <c r="V2094" s="78"/>
      <c r="W2094" s="62"/>
      <c r="X2094" s="80"/>
      <c r="Y2094" s="109"/>
    </row>
    <row r="2095">
      <c r="E2095" s="78"/>
      <c r="G2095" s="78"/>
      <c r="I2095" s="80"/>
      <c r="K2095" s="71"/>
      <c r="N2095" s="109"/>
      <c r="Q2095" s="78"/>
      <c r="R2095" s="78"/>
      <c r="S2095" s="80"/>
      <c r="T2095" s="80"/>
      <c r="V2095" s="78"/>
      <c r="W2095" s="62"/>
      <c r="X2095" s="80"/>
      <c r="Y2095" s="109"/>
    </row>
    <row r="2096">
      <c r="E2096" s="78"/>
      <c r="G2096" s="78"/>
      <c r="I2096" s="80"/>
      <c r="K2096" s="71"/>
      <c r="N2096" s="109"/>
      <c r="Q2096" s="78"/>
      <c r="R2096" s="78"/>
      <c r="S2096" s="80"/>
      <c r="T2096" s="80"/>
      <c r="V2096" s="78"/>
      <c r="W2096" s="62"/>
      <c r="X2096" s="80"/>
      <c r="Y2096" s="109"/>
    </row>
    <row r="2097">
      <c r="E2097" s="78"/>
      <c r="G2097" s="78"/>
      <c r="I2097" s="80"/>
      <c r="K2097" s="71"/>
      <c r="N2097" s="109"/>
      <c r="Q2097" s="78"/>
      <c r="R2097" s="78"/>
      <c r="S2097" s="80"/>
      <c r="T2097" s="80"/>
      <c r="V2097" s="78"/>
      <c r="W2097" s="62"/>
      <c r="X2097" s="80"/>
      <c r="Y2097" s="109"/>
    </row>
    <row r="2098">
      <c r="E2098" s="78"/>
      <c r="G2098" s="78"/>
      <c r="I2098" s="80"/>
      <c r="K2098" s="71"/>
      <c r="N2098" s="109"/>
      <c r="Q2098" s="78"/>
      <c r="R2098" s="78"/>
      <c r="S2098" s="80"/>
      <c r="T2098" s="80"/>
      <c r="V2098" s="78"/>
      <c r="W2098" s="62"/>
      <c r="X2098" s="80"/>
      <c r="Y2098" s="109"/>
    </row>
    <row r="2099">
      <c r="E2099" s="78"/>
      <c r="G2099" s="78"/>
      <c r="I2099" s="80"/>
      <c r="K2099" s="71"/>
      <c r="N2099" s="109"/>
      <c r="Q2099" s="78"/>
      <c r="R2099" s="78"/>
      <c r="S2099" s="80"/>
      <c r="T2099" s="80"/>
      <c r="V2099" s="78"/>
      <c r="W2099" s="62"/>
      <c r="X2099" s="80"/>
      <c r="Y2099" s="109"/>
    </row>
    <row r="2100">
      <c r="E2100" s="78"/>
      <c r="G2100" s="78"/>
      <c r="I2100" s="80"/>
      <c r="K2100" s="71"/>
      <c r="N2100" s="109"/>
      <c r="Q2100" s="78"/>
      <c r="R2100" s="78"/>
      <c r="S2100" s="80"/>
      <c r="T2100" s="80"/>
      <c r="V2100" s="78"/>
      <c r="W2100" s="62"/>
      <c r="X2100" s="80"/>
      <c r="Y2100" s="109"/>
    </row>
    <row r="2101">
      <c r="E2101" s="78"/>
      <c r="G2101" s="78"/>
      <c r="I2101" s="80"/>
      <c r="K2101" s="71"/>
      <c r="N2101" s="109"/>
      <c r="Q2101" s="78"/>
      <c r="R2101" s="78"/>
      <c r="S2101" s="80"/>
      <c r="T2101" s="80"/>
      <c r="V2101" s="78"/>
      <c r="W2101" s="62"/>
      <c r="X2101" s="80"/>
      <c r="Y2101" s="109"/>
    </row>
    <row r="2102">
      <c r="E2102" s="78"/>
      <c r="G2102" s="78"/>
      <c r="I2102" s="80"/>
      <c r="K2102" s="71"/>
      <c r="N2102" s="109"/>
      <c r="Q2102" s="78"/>
      <c r="R2102" s="78"/>
      <c r="S2102" s="80"/>
      <c r="T2102" s="80"/>
      <c r="V2102" s="78"/>
      <c r="W2102" s="62"/>
      <c r="X2102" s="80"/>
      <c r="Y2102" s="109"/>
    </row>
    <row r="2103">
      <c r="E2103" s="78"/>
      <c r="G2103" s="78"/>
      <c r="I2103" s="80"/>
      <c r="K2103" s="71"/>
      <c r="N2103" s="109"/>
      <c r="Q2103" s="78"/>
      <c r="R2103" s="78"/>
      <c r="S2103" s="80"/>
      <c r="T2103" s="80"/>
      <c r="V2103" s="78"/>
      <c r="W2103" s="62"/>
      <c r="X2103" s="80"/>
      <c r="Y2103" s="109"/>
    </row>
    <row r="2104">
      <c r="E2104" s="78"/>
      <c r="G2104" s="78"/>
      <c r="I2104" s="80"/>
      <c r="K2104" s="71"/>
      <c r="N2104" s="109"/>
      <c r="Q2104" s="78"/>
      <c r="R2104" s="78"/>
      <c r="S2104" s="80"/>
      <c r="T2104" s="80"/>
      <c r="V2104" s="78"/>
      <c r="W2104" s="62"/>
      <c r="X2104" s="80"/>
      <c r="Y2104" s="109"/>
    </row>
    <row r="2105">
      <c r="E2105" s="78"/>
      <c r="G2105" s="78"/>
      <c r="I2105" s="80"/>
      <c r="K2105" s="71"/>
      <c r="N2105" s="109"/>
      <c r="Q2105" s="78"/>
      <c r="R2105" s="78"/>
      <c r="S2105" s="80"/>
      <c r="T2105" s="80"/>
      <c r="V2105" s="78"/>
      <c r="W2105" s="62"/>
      <c r="X2105" s="80"/>
      <c r="Y2105" s="109"/>
    </row>
    <row r="2106">
      <c r="E2106" s="78"/>
      <c r="G2106" s="78"/>
      <c r="I2106" s="80"/>
      <c r="K2106" s="71"/>
      <c r="N2106" s="109"/>
      <c r="Q2106" s="78"/>
      <c r="R2106" s="78"/>
      <c r="S2106" s="80"/>
      <c r="T2106" s="80"/>
      <c r="V2106" s="78"/>
      <c r="W2106" s="62"/>
      <c r="X2106" s="80"/>
      <c r="Y2106" s="109"/>
    </row>
    <row r="2107">
      <c r="E2107" s="78"/>
      <c r="G2107" s="78"/>
      <c r="I2107" s="80"/>
      <c r="K2107" s="71"/>
      <c r="N2107" s="109"/>
      <c r="Q2107" s="78"/>
      <c r="R2107" s="78"/>
      <c r="S2107" s="80"/>
      <c r="T2107" s="80"/>
      <c r="V2107" s="78"/>
      <c r="W2107" s="62"/>
      <c r="X2107" s="80"/>
      <c r="Y2107" s="109"/>
    </row>
    <row r="2108">
      <c r="E2108" s="78"/>
      <c r="G2108" s="78"/>
      <c r="I2108" s="80"/>
      <c r="K2108" s="71"/>
      <c r="N2108" s="109"/>
      <c r="Q2108" s="78"/>
      <c r="R2108" s="78"/>
      <c r="S2108" s="80"/>
      <c r="T2108" s="80"/>
      <c r="V2108" s="78"/>
      <c r="W2108" s="62"/>
      <c r="X2108" s="80"/>
      <c r="Y2108" s="109"/>
    </row>
    <row r="2109">
      <c r="E2109" s="78"/>
      <c r="G2109" s="78"/>
      <c r="I2109" s="80"/>
      <c r="K2109" s="71"/>
      <c r="N2109" s="109"/>
      <c r="Q2109" s="78"/>
      <c r="R2109" s="78"/>
      <c r="S2109" s="80"/>
      <c r="T2109" s="80"/>
      <c r="V2109" s="78"/>
      <c r="W2109" s="62"/>
      <c r="X2109" s="80"/>
      <c r="Y2109" s="109"/>
    </row>
    <row r="2110">
      <c r="E2110" s="78"/>
      <c r="G2110" s="78"/>
      <c r="I2110" s="80"/>
      <c r="K2110" s="71"/>
      <c r="N2110" s="109"/>
      <c r="Q2110" s="78"/>
      <c r="R2110" s="78"/>
      <c r="S2110" s="80"/>
      <c r="T2110" s="80"/>
      <c r="V2110" s="78"/>
      <c r="W2110" s="62"/>
      <c r="X2110" s="80"/>
      <c r="Y2110" s="109"/>
    </row>
    <row r="2111">
      <c r="E2111" s="78"/>
      <c r="G2111" s="78"/>
      <c r="I2111" s="80"/>
      <c r="K2111" s="71"/>
      <c r="N2111" s="109"/>
      <c r="Q2111" s="78"/>
      <c r="R2111" s="78"/>
      <c r="S2111" s="80"/>
      <c r="T2111" s="80"/>
      <c r="V2111" s="78"/>
      <c r="W2111" s="62"/>
      <c r="X2111" s="80"/>
      <c r="Y2111" s="109"/>
    </row>
    <row r="2112">
      <c r="E2112" s="78"/>
      <c r="G2112" s="78"/>
      <c r="I2112" s="80"/>
      <c r="K2112" s="71"/>
      <c r="N2112" s="109"/>
      <c r="Q2112" s="78"/>
      <c r="R2112" s="78"/>
      <c r="S2112" s="80"/>
      <c r="T2112" s="80"/>
      <c r="V2112" s="78"/>
      <c r="W2112" s="62"/>
      <c r="X2112" s="80"/>
      <c r="Y2112" s="109"/>
    </row>
    <row r="2113">
      <c r="E2113" s="78"/>
      <c r="G2113" s="78"/>
      <c r="I2113" s="80"/>
      <c r="K2113" s="71"/>
      <c r="N2113" s="109"/>
      <c r="Q2113" s="78"/>
      <c r="R2113" s="78"/>
      <c r="S2113" s="80"/>
      <c r="T2113" s="80"/>
      <c r="V2113" s="78"/>
      <c r="W2113" s="62"/>
      <c r="X2113" s="80"/>
      <c r="Y2113" s="109"/>
    </row>
    <row r="2114">
      <c r="E2114" s="78"/>
      <c r="G2114" s="78"/>
      <c r="I2114" s="80"/>
      <c r="K2114" s="71"/>
      <c r="N2114" s="109"/>
      <c r="Q2114" s="78"/>
      <c r="R2114" s="78"/>
      <c r="S2114" s="80"/>
      <c r="T2114" s="80"/>
      <c r="V2114" s="78"/>
      <c r="W2114" s="62"/>
      <c r="X2114" s="80"/>
      <c r="Y2114" s="109"/>
    </row>
    <row r="2115">
      <c r="E2115" s="78"/>
      <c r="G2115" s="78"/>
      <c r="I2115" s="80"/>
      <c r="K2115" s="71"/>
      <c r="N2115" s="109"/>
      <c r="Q2115" s="78"/>
      <c r="R2115" s="78"/>
      <c r="S2115" s="80"/>
      <c r="T2115" s="80"/>
      <c r="V2115" s="78"/>
      <c r="W2115" s="62"/>
      <c r="X2115" s="80"/>
      <c r="Y2115" s="109"/>
    </row>
    <row r="2116">
      <c r="E2116" s="78"/>
      <c r="G2116" s="78"/>
      <c r="I2116" s="80"/>
      <c r="K2116" s="71"/>
      <c r="N2116" s="109"/>
      <c r="Q2116" s="78"/>
      <c r="R2116" s="78"/>
      <c r="S2116" s="80"/>
      <c r="T2116" s="80"/>
      <c r="V2116" s="78"/>
      <c r="W2116" s="62"/>
      <c r="X2116" s="80"/>
      <c r="Y2116" s="109"/>
    </row>
    <row r="2117">
      <c r="E2117" s="78"/>
      <c r="G2117" s="78"/>
      <c r="I2117" s="80"/>
      <c r="K2117" s="71"/>
      <c r="N2117" s="109"/>
      <c r="Q2117" s="78"/>
      <c r="R2117" s="78"/>
      <c r="S2117" s="80"/>
      <c r="T2117" s="80"/>
      <c r="V2117" s="78"/>
      <c r="W2117" s="62"/>
      <c r="X2117" s="80"/>
      <c r="Y2117" s="109"/>
    </row>
    <row r="2118">
      <c r="E2118" s="78"/>
      <c r="G2118" s="78"/>
      <c r="I2118" s="80"/>
      <c r="K2118" s="71"/>
      <c r="N2118" s="109"/>
      <c r="Q2118" s="78"/>
      <c r="R2118" s="78"/>
      <c r="S2118" s="80"/>
      <c r="T2118" s="80"/>
      <c r="V2118" s="78"/>
      <c r="W2118" s="62"/>
      <c r="X2118" s="80"/>
      <c r="Y2118" s="109"/>
    </row>
    <row r="2119">
      <c r="E2119" s="78"/>
      <c r="G2119" s="78"/>
      <c r="I2119" s="80"/>
      <c r="K2119" s="71"/>
      <c r="N2119" s="109"/>
      <c r="Q2119" s="78"/>
      <c r="R2119" s="78"/>
      <c r="S2119" s="80"/>
      <c r="T2119" s="80"/>
      <c r="V2119" s="78"/>
      <c r="W2119" s="62"/>
      <c r="X2119" s="80"/>
      <c r="Y2119" s="109"/>
    </row>
    <row r="2120">
      <c r="E2120" s="78"/>
      <c r="G2120" s="78"/>
      <c r="I2120" s="80"/>
      <c r="K2120" s="71"/>
      <c r="N2120" s="109"/>
      <c r="Q2120" s="78"/>
      <c r="R2120" s="78"/>
      <c r="S2120" s="80"/>
      <c r="T2120" s="80"/>
      <c r="V2120" s="78"/>
      <c r="W2120" s="62"/>
      <c r="X2120" s="80"/>
      <c r="Y2120" s="109"/>
    </row>
    <row r="2121">
      <c r="E2121" s="78"/>
      <c r="G2121" s="78"/>
      <c r="I2121" s="80"/>
      <c r="K2121" s="71"/>
      <c r="N2121" s="109"/>
      <c r="Q2121" s="78"/>
      <c r="R2121" s="78"/>
      <c r="S2121" s="80"/>
      <c r="T2121" s="80"/>
      <c r="V2121" s="78"/>
      <c r="W2121" s="62"/>
      <c r="X2121" s="80"/>
      <c r="Y2121" s="109"/>
    </row>
    <row r="2122">
      <c r="E2122" s="78"/>
      <c r="G2122" s="78"/>
      <c r="I2122" s="80"/>
      <c r="K2122" s="71"/>
      <c r="N2122" s="109"/>
      <c r="Q2122" s="78"/>
      <c r="R2122" s="78"/>
      <c r="S2122" s="80"/>
      <c r="T2122" s="80"/>
      <c r="V2122" s="78"/>
      <c r="W2122" s="62"/>
      <c r="X2122" s="80"/>
      <c r="Y2122" s="109"/>
    </row>
    <row r="2123">
      <c r="E2123" s="78"/>
      <c r="G2123" s="78"/>
      <c r="I2123" s="80"/>
      <c r="K2123" s="71"/>
      <c r="N2123" s="109"/>
      <c r="Q2123" s="78"/>
      <c r="R2123" s="78"/>
      <c r="S2123" s="80"/>
      <c r="T2123" s="80"/>
      <c r="V2123" s="78"/>
      <c r="W2123" s="62"/>
      <c r="X2123" s="80"/>
      <c r="Y2123" s="109"/>
    </row>
    <row r="2124">
      <c r="E2124" s="78"/>
      <c r="G2124" s="78"/>
      <c r="I2124" s="80"/>
      <c r="K2124" s="71"/>
      <c r="N2124" s="109"/>
      <c r="Q2124" s="78"/>
      <c r="R2124" s="78"/>
      <c r="S2124" s="80"/>
      <c r="T2124" s="80"/>
      <c r="V2124" s="78"/>
      <c r="W2124" s="62"/>
      <c r="X2124" s="80"/>
      <c r="Y2124" s="109"/>
    </row>
    <row r="2125">
      <c r="E2125" s="78"/>
      <c r="G2125" s="78"/>
      <c r="I2125" s="80"/>
      <c r="K2125" s="71"/>
      <c r="N2125" s="109"/>
      <c r="Q2125" s="78"/>
      <c r="R2125" s="78"/>
      <c r="S2125" s="80"/>
      <c r="T2125" s="80"/>
      <c r="V2125" s="78"/>
      <c r="W2125" s="62"/>
      <c r="X2125" s="80"/>
      <c r="Y2125" s="109"/>
    </row>
    <row r="2126">
      <c r="E2126" s="78"/>
      <c r="G2126" s="78"/>
      <c r="I2126" s="80"/>
      <c r="K2126" s="71"/>
      <c r="N2126" s="109"/>
      <c r="Q2126" s="78"/>
      <c r="R2126" s="78"/>
      <c r="S2126" s="80"/>
      <c r="T2126" s="80"/>
      <c r="V2126" s="78"/>
      <c r="W2126" s="62"/>
      <c r="X2126" s="80"/>
      <c r="Y2126" s="109"/>
    </row>
    <row r="2127">
      <c r="E2127" s="78"/>
      <c r="G2127" s="78"/>
      <c r="I2127" s="80"/>
      <c r="K2127" s="71"/>
      <c r="N2127" s="109"/>
      <c r="Q2127" s="78"/>
      <c r="R2127" s="78"/>
      <c r="S2127" s="80"/>
      <c r="T2127" s="80"/>
      <c r="V2127" s="78"/>
      <c r="W2127" s="62"/>
      <c r="X2127" s="80"/>
      <c r="Y2127" s="109"/>
    </row>
    <row r="2128">
      <c r="E2128" s="78"/>
      <c r="G2128" s="78"/>
      <c r="I2128" s="80"/>
      <c r="K2128" s="71"/>
      <c r="N2128" s="109"/>
      <c r="Q2128" s="78"/>
      <c r="R2128" s="78"/>
      <c r="S2128" s="80"/>
      <c r="T2128" s="80"/>
      <c r="V2128" s="78"/>
      <c r="W2128" s="62"/>
      <c r="X2128" s="80"/>
      <c r="Y2128" s="109"/>
    </row>
    <row r="2129">
      <c r="E2129" s="78"/>
      <c r="G2129" s="78"/>
      <c r="I2129" s="80"/>
      <c r="K2129" s="71"/>
      <c r="N2129" s="109"/>
      <c r="Q2129" s="78"/>
      <c r="R2129" s="78"/>
      <c r="S2129" s="80"/>
      <c r="T2129" s="80"/>
      <c r="V2129" s="78"/>
      <c r="W2129" s="62"/>
      <c r="X2129" s="80"/>
      <c r="Y2129" s="109"/>
    </row>
    <row r="2130">
      <c r="E2130" s="78"/>
      <c r="G2130" s="78"/>
      <c r="I2130" s="80"/>
      <c r="K2130" s="71"/>
      <c r="N2130" s="109"/>
      <c r="Q2130" s="78"/>
      <c r="R2130" s="78"/>
      <c r="S2130" s="80"/>
      <c r="T2130" s="80"/>
      <c r="V2130" s="78"/>
      <c r="W2130" s="62"/>
      <c r="X2130" s="80"/>
      <c r="Y2130" s="109"/>
    </row>
    <row r="2131">
      <c r="E2131" s="78"/>
      <c r="G2131" s="78"/>
      <c r="I2131" s="80"/>
      <c r="K2131" s="71"/>
      <c r="N2131" s="109"/>
      <c r="Q2131" s="78"/>
      <c r="R2131" s="78"/>
      <c r="S2131" s="80"/>
      <c r="T2131" s="80"/>
      <c r="V2131" s="78"/>
      <c r="W2131" s="62"/>
      <c r="X2131" s="80"/>
      <c r="Y2131" s="109"/>
    </row>
    <row r="2132">
      <c r="E2132" s="78"/>
      <c r="G2132" s="78"/>
      <c r="I2132" s="80"/>
      <c r="K2132" s="71"/>
      <c r="N2132" s="109"/>
      <c r="Q2132" s="78"/>
      <c r="R2132" s="78"/>
      <c r="S2132" s="80"/>
      <c r="T2132" s="80"/>
      <c r="V2132" s="78"/>
      <c r="W2132" s="62"/>
      <c r="X2132" s="80"/>
      <c r="Y2132" s="109"/>
    </row>
    <row r="2133">
      <c r="E2133" s="78"/>
      <c r="G2133" s="78"/>
      <c r="I2133" s="80"/>
      <c r="K2133" s="71"/>
      <c r="N2133" s="109"/>
      <c r="Q2133" s="78"/>
      <c r="R2133" s="78"/>
      <c r="S2133" s="80"/>
      <c r="T2133" s="80"/>
      <c r="V2133" s="78"/>
      <c r="W2133" s="62"/>
      <c r="X2133" s="80"/>
      <c r="Y2133" s="109"/>
    </row>
    <row r="2134">
      <c r="E2134" s="78"/>
      <c r="G2134" s="78"/>
      <c r="I2134" s="80"/>
      <c r="K2134" s="71"/>
      <c r="N2134" s="109"/>
      <c r="Q2134" s="78"/>
      <c r="R2134" s="78"/>
      <c r="S2134" s="80"/>
      <c r="T2134" s="80"/>
      <c r="V2134" s="78"/>
      <c r="W2134" s="62"/>
      <c r="X2134" s="80"/>
      <c r="Y2134" s="109"/>
    </row>
    <row r="2135">
      <c r="E2135" s="78"/>
      <c r="G2135" s="78"/>
      <c r="I2135" s="80"/>
      <c r="K2135" s="71"/>
      <c r="N2135" s="109"/>
      <c r="Q2135" s="78"/>
      <c r="R2135" s="78"/>
      <c r="S2135" s="80"/>
      <c r="T2135" s="80"/>
      <c r="V2135" s="78"/>
      <c r="W2135" s="62"/>
      <c r="X2135" s="80"/>
      <c r="Y2135" s="109"/>
    </row>
    <row r="2136">
      <c r="E2136" s="78"/>
      <c r="G2136" s="78"/>
      <c r="I2136" s="80"/>
      <c r="K2136" s="71"/>
      <c r="N2136" s="109"/>
      <c r="Q2136" s="78"/>
      <c r="R2136" s="78"/>
      <c r="S2136" s="80"/>
      <c r="T2136" s="80"/>
      <c r="V2136" s="78"/>
      <c r="W2136" s="62"/>
      <c r="X2136" s="80"/>
      <c r="Y2136" s="109"/>
    </row>
    <row r="2137">
      <c r="E2137" s="78"/>
      <c r="G2137" s="78"/>
      <c r="I2137" s="80"/>
      <c r="K2137" s="71"/>
      <c r="N2137" s="109"/>
      <c r="Q2137" s="78"/>
      <c r="R2137" s="78"/>
      <c r="S2137" s="80"/>
      <c r="T2137" s="80"/>
      <c r="V2137" s="78"/>
      <c r="W2137" s="62"/>
      <c r="X2137" s="80"/>
      <c r="Y2137" s="109"/>
    </row>
    <row r="2138">
      <c r="E2138" s="78"/>
      <c r="G2138" s="78"/>
      <c r="I2138" s="80"/>
      <c r="K2138" s="71"/>
      <c r="N2138" s="109"/>
      <c r="Q2138" s="78"/>
      <c r="R2138" s="78"/>
      <c r="S2138" s="80"/>
      <c r="T2138" s="80"/>
      <c r="V2138" s="78"/>
      <c r="W2138" s="62"/>
      <c r="X2138" s="80"/>
      <c r="Y2138" s="109"/>
    </row>
    <row r="2139">
      <c r="E2139" s="78"/>
      <c r="G2139" s="78"/>
      <c r="I2139" s="80"/>
      <c r="K2139" s="71"/>
      <c r="N2139" s="109"/>
      <c r="Q2139" s="78"/>
      <c r="R2139" s="78"/>
      <c r="S2139" s="80"/>
      <c r="T2139" s="80"/>
      <c r="V2139" s="78"/>
      <c r="W2139" s="62"/>
      <c r="X2139" s="80"/>
      <c r="Y2139" s="109"/>
    </row>
    <row r="2140">
      <c r="E2140" s="78"/>
      <c r="G2140" s="78"/>
      <c r="I2140" s="80"/>
      <c r="K2140" s="71"/>
      <c r="N2140" s="109"/>
      <c r="Q2140" s="78"/>
      <c r="R2140" s="78"/>
      <c r="S2140" s="80"/>
      <c r="T2140" s="80"/>
      <c r="V2140" s="78"/>
      <c r="W2140" s="62"/>
      <c r="X2140" s="80"/>
      <c r="Y2140" s="109"/>
    </row>
    <row r="2141">
      <c r="E2141" s="78"/>
      <c r="G2141" s="78"/>
      <c r="I2141" s="80"/>
      <c r="K2141" s="71"/>
      <c r="N2141" s="109"/>
      <c r="Q2141" s="78"/>
      <c r="R2141" s="78"/>
      <c r="S2141" s="80"/>
      <c r="T2141" s="80"/>
      <c r="V2141" s="78"/>
      <c r="W2141" s="62"/>
      <c r="X2141" s="80"/>
      <c r="Y2141" s="109"/>
    </row>
    <row r="2142">
      <c r="E2142" s="78"/>
      <c r="G2142" s="78"/>
      <c r="I2142" s="80"/>
      <c r="K2142" s="71"/>
      <c r="N2142" s="109"/>
      <c r="Q2142" s="78"/>
      <c r="R2142" s="78"/>
      <c r="S2142" s="80"/>
      <c r="T2142" s="80"/>
      <c r="V2142" s="78"/>
      <c r="W2142" s="62"/>
      <c r="X2142" s="80"/>
      <c r="Y2142" s="109"/>
    </row>
    <row r="2143">
      <c r="E2143" s="78"/>
      <c r="G2143" s="78"/>
      <c r="I2143" s="80"/>
      <c r="K2143" s="71"/>
      <c r="N2143" s="109"/>
      <c r="Q2143" s="78"/>
      <c r="R2143" s="78"/>
      <c r="S2143" s="80"/>
      <c r="T2143" s="80"/>
      <c r="V2143" s="78"/>
      <c r="W2143" s="62"/>
      <c r="X2143" s="80"/>
      <c r="Y2143" s="109"/>
    </row>
    <row r="2144">
      <c r="E2144" s="78"/>
      <c r="G2144" s="78"/>
      <c r="I2144" s="80"/>
      <c r="K2144" s="71"/>
      <c r="N2144" s="109"/>
      <c r="Q2144" s="78"/>
      <c r="R2144" s="78"/>
      <c r="S2144" s="80"/>
      <c r="T2144" s="80"/>
      <c r="V2144" s="78"/>
      <c r="W2144" s="62"/>
      <c r="X2144" s="80"/>
      <c r="Y2144" s="109"/>
    </row>
    <row r="2145">
      <c r="E2145" s="78"/>
      <c r="G2145" s="78"/>
      <c r="I2145" s="80"/>
      <c r="K2145" s="71"/>
      <c r="N2145" s="109"/>
      <c r="Q2145" s="78"/>
      <c r="R2145" s="78"/>
      <c r="S2145" s="80"/>
      <c r="T2145" s="80"/>
      <c r="V2145" s="78"/>
      <c r="W2145" s="62"/>
      <c r="X2145" s="80"/>
      <c r="Y2145" s="109"/>
    </row>
    <row r="2146">
      <c r="E2146" s="78"/>
      <c r="G2146" s="78"/>
      <c r="I2146" s="80"/>
      <c r="K2146" s="71"/>
      <c r="N2146" s="109"/>
      <c r="Q2146" s="78"/>
      <c r="R2146" s="78"/>
      <c r="S2146" s="80"/>
      <c r="T2146" s="80"/>
      <c r="V2146" s="78"/>
      <c r="W2146" s="62"/>
      <c r="X2146" s="80"/>
      <c r="Y2146" s="109"/>
    </row>
    <row r="2147">
      <c r="E2147" s="78"/>
      <c r="G2147" s="78"/>
      <c r="I2147" s="80"/>
      <c r="K2147" s="71"/>
      <c r="N2147" s="109"/>
      <c r="Q2147" s="78"/>
      <c r="R2147" s="78"/>
      <c r="S2147" s="80"/>
      <c r="T2147" s="80"/>
      <c r="V2147" s="78"/>
      <c r="W2147" s="62"/>
      <c r="X2147" s="80"/>
      <c r="Y2147" s="109"/>
    </row>
    <row r="2148">
      <c r="E2148" s="78"/>
      <c r="G2148" s="78"/>
      <c r="I2148" s="80"/>
      <c r="K2148" s="71"/>
      <c r="N2148" s="109"/>
      <c r="Q2148" s="78"/>
      <c r="R2148" s="78"/>
      <c r="S2148" s="80"/>
      <c r="T2148" s="80"/>
      <c r="V2148" s="78"/>
      <c r="W2148" s="62"/>
      <c r="X2148" s="80"/>
      <c r="Y2148" s="109"/>
    </row>
    <row r="2149">
      <c r="E2149" s="78"/>
      <c r="G2149" s="78"/>
      <c r="I2149" s="80"/>
      <c r="K2149" s="71"/>
      <c r="N2149" s="109"/>
      <c r="Q2149" s="78"/>
      <c r="R2149" s="78"/>
      <c r="S2149" s="80"/>
      <c r="T2149" s="80"/>
      <c r="V2149" s="78"/>
      <c r="W2149" s="62"/>
      <c r="X2149" s="80"/>
      <c r="Y2149" s="109"/>
    </row>
    <row r="2150">
      <c r="E2150" s="78"/>
      <c r="G2150" s="78"/>
      <c r="I2150" s="80"/>
      <c r="K2150" s="71"/>
      <c r="N2150" s="109"/>
      <c r="Q2150" s="78"/>
      <c r="R2150" s="78"/>
      <c r="S2150" s="80"/>
      <c r="T2150" s="80"/>
      <c r="V2150" s="78"/>
      <c r="W2150" s="62"/>
      <c r="X2150" s="80"/>
      <c r="Y2150" s="109"/>
    </row>
    <row r="2151">
      <c r="E2151" s="78"/>
      <c r="G2151" s="78"/>
      <c r="I2151" s="80"/>
      <c r="K2151" s="71"/>
      <c r="N2151" s="109"/>
      <c r="Q2151" s="78"/>
      <c r="R2151" s="78"/>
      <c r="S2151" s="80"/>
      <c r="T2151" s="80"/>
      <c r="V2151" s="78"/>
      <c r="W2151" s="62"/>
      <c r="X2151" s="80"/>
      <c r="Y2151" s="109"/>
    </row>
    <row r="2152">
      <c r="E2152" s="78"/>
      <c r="G2152" s="78"/>
      <c r="I2152" s="80"/>
      <c r="K2152" s="71"/>
      <c r="N2152" s="109"/>
      <c r="Q2152" s="78"/>
      <c r="R2152" s="78"/>
      <c r="S2152" s="80"/>
      <c r="T2152" s="80"/>
      <c r="V2152" s="78"/>
      <c r="W2152" s="62"/>
      <c r="X2152" s="80"/>
      <c r="Y2152" s="109"/>
    </row>
    <row r="2153">
      <c r="E2153" s="78"/>
      <c r="G2153" s="78"/>
      <c r="I2153" s="80"/>
      <c r="K2153" s="71"/>
      <c r="N2153" s="109"/>
      <c r="Q2153" s="78"/>
      <c r="R2153" s="78"/>
      <c r="S2153" s="80"/>
      <c r="T2153" s="80"/>
      <c r="V2153" s="78"/>
      <c r="W2153" s="62"/>
      <c r="X2153" s="80"/>
      <c r="Y2153" s="109"/>
    </row>
    <row r="2154">
      <c r="E2154" s="78"/>
      <c r="G2154" s="78"/>
      <c r="I2154" s="80"/>
      <c r="K2154" s="71"/>
      <c r="N2154" s="109"/>
      <c r="Q2154" s="78"/>
      <c r="R2154" s="78"/>
      <c r="S2154" s="80"/>
      <c r="T2154" s="80"/>
      <c r="V2154" s="78"/>
      <c r="W2154" s="62"/>
      <c r="X2154" s="80"/>
      <c r="Y2154" s="109"/>
    </row>
    <row r="2155">
      <c r="E2155" s="78"/>
      <c r="G2155" s="78"/>
      <c r="I2155" s="80"/>
      <c r="K2155" s="71"/>
      <c r="N2155" s="109"/>
      <c r="Q2155" s="78"/>
      <c r="R2155" s="78"/>
      <c r="S2155" s="80"/>
      <c r="T2155" s="80"/>
      <c r="V2155" s="78"/>
      <c r="W2155" s="62"/>
      <c r="X2155" s="80"/>
      <c r="Y2155" s="109"/>
    </row>
    <row r="2156">
      <c r="E2156" s="78"/>
      <c r="G2156" s="78"/>
      <c r="I2156" s="80"/>
      <c r="K2156" s="71"/>
      <c r="N2156" s="109"/>
      <c r="Q2156" s="78"/>
      <c r="R2156" s="78"/>
      <c r="S2156" s="80"/>
      <c r="T2156" s="80"/>
      <c r="V2156" s="78"/>
      <c r="W2156" s="62"/>
      <c r="X2156" s="80"/>
      <c r="Y2156" s="109"/>
    </row>
    <row r="2157">
      <c r="E2157" s="78"/>
      <c r="G2157" s="78"/>
      <c r="I2157" s="80"/>
      <c r="K2157" s="71"/>
      <c r="N2157" s="109"/>
      <c r="Q2157" s="78"/>
      <c r="R2157" s="78"/>
      <c r="S2157" s="80"/>
      <c r="T2157" s="80"/>
      <c r="V2157" s="78"/>
      <c r="W2157" s="62"/>
      <c r="X2157" s="80"/>
      <c r="Y2157" s="109"/>
    </row>
    <row r="2158">
      <c r="E2158" s="78"/>
      <c r="G2158" s="78"/>
      <c r="I2158" s="80"/>
      <c r="K2158" s="71"/>
      <c r="N2158" s="109"/>
      <c r="Q2158" s="78"/>
      <c r="R2158" s="78"/>
      <c r="S2158" s="80"/>
      <c r="T2158" s="80"/>
      <c r="V2158" s="78"/>
      <c r="W2158" s="62"/>
      <c r="X2158" s="80"/>
      <c r="Y2158" s="109"/>
    </row>
    <row r="2159">
      <c r="E2159" s="78"/>
      <c r="G2159" s="78"/>
      <c r="I2159" s="80"/>
      <c r="K2159" s="71"/>
      <c r="N2159" s="109"/>
      <c r="Q2159" s="78"/>
      <c r="R2159" s="78"/>
      <c r="S2159" s="80"/>
      <c r="T2159" s="80"/>
      <c r="V2159" s="78"/>
      <c r="W2159" s="62"/>
      <c r="X2159" s="80"/>
      <c r="Y2159" s="109"/>
    </row>
    <row r="2160">
      <c r="E2160" s="78"/>
      <c r="G2160" s="78"/>
      <c r="I2160" s="80"/>
      <c r="K2160" s="71"/>
      <c r="N2160" s="109"/>
      <c r="Q2160" s="78"/>
      <c r="R2160" s="78"/>
      <c r="S2160" s="80"/>
      <c r="T2160" s="80"/>
      <c r="V2160" s="78"/>
      <c r="W2160" s="62"/>
      <c r="X2160" s="80"/>
      <c r="Y2160" s="109"/>
    </row>
    <row r="2161">
      <c r="E2161" s="78"/>
      <c r="G2161" s="78"/>
      <c r="I2161" s="80"/>
      <c r="K2161" s="71"/>
      <c r="N2161" s="109"/>
      <c r="Q2161" s="78"/>
      <c r="R2161" s="78"/>
      <c r="S2161" s="80"/>
      <c r="T2161" s="80"/>
      <c r="V2161" s="78"/>
      <c r="W2161" s="62"/>
      <c r="X2161" s="80"/>
      <c r="Y2161" s="109"/>
    </row>
    <row r="2162">
      <c r="E2162" s="78"/>
      <c r="G2162" s="78"/>
      <c r="I2162" s="80"/>
      <c r="K2162" s="71"/>
      <c r="N2162" s="109"/>
      <c r="Q2162" s="78"/>
      <c r="R2162" s="78"/>
      <c r="S2162" s="80"/>
      <c r="T2162" s="80"/>
      <c r="V2162" s="78"/>
      <c r="W2162" s="62"/>
      <c r="X2162" s="80"/>
      <c r="Y2162" s="109"/>
    </row>
    <row r="2163">
      <c r="E2163" s="78"/>
      <c r="G2163" s="78"/>
      <c r="I2163" s="80"/>
      <c r="K2163" s="71"/>
      <c r="N2163" s="109"/>
      <c r="Q2163" s="78"/>
      <c r="R2163" s="78"/>
      <c r="S2163" s="80"/>
      <c r="T2163" s="80"/>
      <c r="V2163" s="78"/>
      <c r="W2163" s="62"/>
      <c r="X2163" s="80"/>
      <c r="Y2163" s="109"/>
    </row>
    <row r="2164">
      <c r="E2164" s="78"/>
      <c r="G2164" s="78"/>
      <c r="I2164" s="80"/>
      <c r="K2164" s="71"/>
      <c r="N2164" s="109"/>
      <c r="Q2164" s="78"/>
      <c r="R2164" s="78"/>
      <c r="S2164" s="80"/>
      <c r="T2164" s="80"/>
      <c r="V2164" s="78"/>
      <c r="W2164" s="62"/>
      <c r="X2164" s="80"/>
      <c r="Y2164" s="109"/>
    </row>
    <row r="2165">
      <c r="E2165" s="78"/>
      <c r="G2165" s="78"/>
      <c r="I2165" s="80"/>
      <c r="K2165" s="71"/>
      <c r="N2165" s="109"/>
      <c r="Q2165" s="78"/>
      <c r="R2165" s="78"/>
      <c r="S2165" s="80"/>
      <c r="T2165" s="80"/>
      <c r="V2165" s="78"/>
      <c r="W2165" s="62"/>
      <c r="X2165" s="80"/>
      <c r="Y2165" s="109"/>
    </row>
    <row r="2166">
      <c r="E2166" s="78"/>
      <c r="G2166" s="78"/>
      <c r="I2166" s="80"/>
      <c r="K2166" s="71"/>
      <c r="N2166" s="109"/>
      <c r="Q2166" s="78"/>
      <c r="R2166" s="78"/>
      <c r="S2166" s="80"/>
      <c r="T2166" s="80"/>
      <c r="V2166" s="78"/>
      <c r="W2166" s="62"/>
      <c r="X2166" s="80"/>
      <c r="Y2166" s="109"/>
    </row>
    <row r="2167">
      <c r="E2167" s="78"/>
      <c r="G2167" s="78"/>
      <c r="I2167" s="80"/>
      <c r="K2167" s="71"/>
      <c r="N2167" s="109"/>
      <c r="Q2167" s="78"/>
      <c r="R2167" s="78"/>
      <c r="S2167" s="80"/>
      <c r="T2167" s="80"/>
      <c r="V2167" s="78"/>
      <c r="W2167" s="62"/>
      <c r="X2167" s="80"/>
      <c r="Y2167" s="109"/>
    </row>
    <row r="2168">
      <c r="E2168" s="78"/>
      <c r="G2168" s="78"/>
      <c r="I2168" s="80"/>
      <c r="K2168" s="71"/>
      <c r="N2168" s="109"/>
      <c r="Q2168" s="78"/>
      <c r="R2168" s="78"/>
      <c r="S2168" s="80"/>
      <c r="T2168" s="80"/>
      <c r="V2168" s="78"/>
      <c r="W2168" s="62"/>
      <c r="X2168" s="80"/>
      <c r="Y2168" s="109"/>
    </row>
    <row r="2169">
      <c r="E2169" s="78"/>
      <c r="G2169" s="78"/>
      <c r="I2169" s="80"/>
      <c r="K2169" s="71"/>
      <c r="N2169" s="109"/>
      <c r="Q2169" s="78"/>
      <c r="R2169" s="78"/>
      <c r="S2169" s="80"/>
      <c r="T2169" s="80"/>
      <c r="V2169" s="78"/>
      <c r="W2169" s="62"/>
      <c r="X2169" s="80"/>
      <c r="Y2169" s="109"/>
    </row>
    <row r="2170">
      <c r="E2170" s="78"/>
      <c r="G2170" s="78"/>
      <c r="I2170" s="80"/>
      <c r="K2170" s="71"/>
      <c r="N2170" s="109"/>
      <c r="Q2170" s="78"/>
      <c r="R2170" s="78"/>
      <c r="S2170" s="80"/>
      <c r="T2170" s="80"/>
      <c r="V2170" s="78"/>
      <c r="W2170" s="62"/>
      <c r="X2170" s="80"/>
      <c r="Y2170" s="109"/>
    </row>
    <row r="2171">
      <c r="E2171" s="78"/>
      <c r="G2171" s="78"/>
      <c r="I2171" s="80"/>
      <c r="K2171" s="71"/>
      <c r="N2171" s="109"/>
      <c r="Q2171" s="78"/>
      <c r="R2171" s="78"/>
      <c r="S2171" s="80"/>
      <c r="T2171" s="80"/>
      <c r="V2171" s="78"/>
      <c r="W2171" s="62"/>
      <c r="X2171" s="80"/>
      <c r="Y2171" s="109"/>
    </row>
    <row r="2172">
      <c r="E2172" s="78"/>
      <c r="G2172" s="78"/>
      <c r="I2172" s="80"/>
      <c r="K2172" s="71"/>
      <c r="N2172" s="109"/>
      <c r="Q2172" s="78"/>
      <c r="R2172" s="78"/>
      <c r="S2172" s="80"/>
      <c r="T2172" s="80"/>
      <c r="V2172" s="78"/>
      <c r="W2172" s="62"/>
      <c r="X2172" s="80"/>
      <c r="Y2172" s="109"/>
    </row>
    <row r="2173">
      <c r="E2173" s="78"/>
      <c r="G2173" s="78"/>
      <c r="I2173" s="80"/>
      <c r="K2173" s="71"/>
      <c r="N2173" s="109"/>
      <c r="Q2173" s="78"/>
      <c r="R2173" s="78"/>
      <c r="S2173" s="80"/>
      <c r="T2173" s="80"/>
      <c r="V2173" s="78"/>
      <c r="W2173" s="62"/>
      <c r="X2173" s="80"/>
      <c r="Y2173" s="109"/>
    </row>
    <row r="2174">
      <c r="E2174" s="78"/>
      <c r="G2174" s="78"/>
      <c r="I2174" s="80"/>
      <c r="K2174" s="71"/>
      <c r="N2174" s="109"/>
      <c r="Q2174" s="78"/>
      <c r="R2174" s="78"/>
      <c r="S2174" s="80"/>
      <c r="T2174" s="80"/>
      <c r="V2174" s="78"/>
      <c r="W2174" s="62"/>
      <c r="X2174" s="80"/>
      <c r="Y2174" s="109"/>
    </row>
    <row r="2175">
      <c r="E2175" s="78"/>
      <c r="G2175" s="78"/>
      <c r="I2175" s="80"/>
      <c r="K2175" s="71"/>
      <c r="N2175" s="109"/>
      <c r="Q2175" s="78"/>
      <c r="R2175" s="78"/>
      <c r="S2175" s="80"/>
      <c r="T2175" s="80"/>
      <c r="V2175" s="78"/>
      <c r="W2175" s="62"/>
      <c r="X2175" s="80"/>
      <c r="Y2175" s="109"/>
    </row>
    <row r="2176">
      <c r="E2176" s="78"/>
      <c r="G2176" s="78"/>
      <c r="I2176" s="80"/>
      <c r="K2176" s="71"/>
      <c r="N2176" s="109"/>
      <c r="Q2176" s="78"/>
      <c r="R2176" s="78"/>
      <c r="S2176" s="80"/>
      <c r="T2176" s="80"/>
      <c r="V2176" s="78"/>
      <c r="W2176" s="62"/>
      <c r="X2176" s="80"/>
      <c r="Y2176" s="109"/>
    </row>
    <row r="2177">
      <c r="E2177" s="78"/>
      <c r="G2177" s="78"/>
      <c r="I2177" s="80"/>
      <c r="K2177" s="71"/>
      <c r="N2177" s="109"/>
      <c r="Q2177" s="78"/>
      <c r="R2177" s="78"/>
      <c r="S2177" s="80"/>
      <c r="T2177" s="80"/>
      <c r="V2177" s="78"/>
      <c r="W2177" s="62"/>
      <c r="X2177" s="80"/>
      <c r="Y2177" s="109"/>
    </row>
    <row r="2178">
      <c r="E2178" s="78"/>
      <c r="G2178" s="78"/>
      <c r="I2178" s="80"/>
      <c r="K2178" s="71"/>
      <c r="N2178" s="109"/>
      <c r="Q2178" s="78"/>
      <c r="R2178" s="78"/>
      <c r="S2178" s="80"/>
      <c r="T2178" s="80"/>
      <c r="V2178" s="78"/>
      <c r="W2178" s="62"/>
      <c r="X2178" s="80"/>
      <c r="Y2178" s="109"/>
    </row>
    <row r="2179">
      <c r="E2179" s="78"/>
      <c r="G2179" s="78"/>
      <c r="I2179" s="80"/>
      <c r="K2179" s="71"/>
      <c r="N2179" s="109"/>
      <c r="Q2179" s="78"/>
      <c r="R2179" s="78"/>
      <c r="S2179" s="80"/>
      <c r="T2179" s="80"/>
      <c r="V2179" s="78"/>
      <c r="W2179" s="62"/>
      <c r="X2179" s="80"/>
      <c r="Y2179" s="109"/>
    </row>
    <row r="2180">
      <c r="E2180" s="78"/>
      <c r="G2180" s="78"/>
      <c r="I2180" s="80"/>
      <c r="K2180" s="71"/>
      <c r="N2180" s="109"/>
      <c r="Q2180" s="78"/>
      <c r="R2180" s="78"/>
      <c r="S2180" s="80"/>
      <c r="T2180" s="80"/>
      <c r="V2180" s="78"/>
      <c r="W2180" s="62"/>
      <c r="X2180" s="80"/>
      <c r="Y2180" s="109"/>
    </row>
    <row r="2181">
      <c r="E2181" s="78"/>
      <c r="G2181" s="78"/>
      <c r="I2181" s="80"/>
      <c r="K2181" s="71"/>
      <c r="N2181" s="109"/>
      <c r="Q2181" s="78"/>
      <c r="R2181" s="78"/>
      <c r="S2181" s="80"/>
      <c r="T2181" s="80"/>
      <c r="V2181" s="78"/>
      <c r="W2181" s="62"/>
      <c r="X2181" s="80"/>
      <c r="Y2181" s="109"/>
    </row>
    <row r="2182">
      <c r="E2182" s="78"/>
      <c r="G2182" s="78"/>
      <c r="I2182" s="80"/>
      <c r="K2182" s="71"/>
      <c r="N2182" s="109"/>
      <c r="Q2182" s="78"/>
      <c r="R2182" s="78"/>
      <c r="S2182" s="80"/>
      <c r="T2182" s="80"/>
      <c r="V2182" s="78"/>
      <c r="W2182" s="62"/>
      <c r="X2182" s="80"/>
      <c r="Y2182" s="109"/>
    </row>
    <row r="2183">
      <c r="E2183" s="78"/>
      <c r="G2183" s="78"/>
      <c r="I2183" s="80"/>
      <c r="K2183" s="71"/>
      <c r="N2183" s="109"/>
      <c r="Q2183" s="78"/>
      <c r="R2183" s="78"/>
      <c r="S2183" s="80"/>
      <c r="T2183" s="80"/>
      <c r="V2183" s="78"/>
      <c r="W2183" s="62"/>
      <c r="X2183" s="80"/>
      <c r="Y2183" s="109"/>
    </row>
    <row r="2184">
      <c r="E2184" s="78"/>
      <c r="G2184" s="78"/>
      <c r="I2184" s="80"/>
      <c r="K2184" s="71"/>
      <c r="N2184" s="109"/>
      <c r="Q2184" s="78"/>
      <c r="R2184" s="78"/>
      <c r="S2184" s="80"/>
      <c r="T2184" s="80"/>
      <c r="V2184" s="78"/>
      <c r="W2184" s="62"/>
      <c r="X2184" s="80"/>
      <c r="Y2184" s="109"/>
    </row>
    <row r="2185">
      <c r="E2185" s="78"/>
      <c r="G2185" s="78"/>
      <c r="I2185" s="80"/>
      <c r="K2185" s="71"/>
      <c r="N2185" s="109"/>
      <c r="Q2185" s="78"/>
      <c r="R2185" s="78"/>
      <c r="S2185" s="80"/>
      <c r="T2185" s="80"/>
      <c r="V2185" s="78"/>
      <c r="W2185" s="62"/>
      <c r="X2185" s="80"/>
      <c r="Y2185" s="109"/>
    </row>
    <row r="2186">
      <c r="E2186" s="78"/>
      <c r="G2186" s="78"/>
      <c r="I2186" s="80"/>
      <c r="K2186" s="71"/>
      <c r="N2186" s="109"/>
      <c r="Q2186" s="78"/>
      <c r="R2186" s="78"/>
      <c r="S2186" s="80"/>
      <c r="T2186" s="80"/>
      <c r="V2186" s="78"/>
      <c r="W2186" s="62"/>
      <c r="X2186" s="80"/>
      <c r="Y2186" s="109"/>
    </row>
    <row r="2187">
      <c r="E2187" s="78"/>
      <c r="G2187" s="78"/>
      <c r="I2187" s="80"/>
      <c r="K2187" s="71"/>
      <c r="N2187" s="109"/>
      <c r="Q2187" s="78"/>
      <c r="R2187" s="78"/>
      <c r="S2187" s="80"/>
      <c r="T2187" s="80"/>
      <c r="V2187" s="78"/>
      <c r="W2187" s="62"/>
      <c r="X2187" s="80"/>
      <c r="Y2187" s="109"/>
    </row>
    <row r="2188">
      <c r="E2188" s="78"/>
      <c r="G2188" s="78"/>
      <c r="I2188" s="80"/>
      <c r="K2188" s="71"/>
      <c r="N2188" s="109"/>
      <c r="Q2188" s="78"/>
      <c r="R2188" s="78"/>
      <c r="S2188" s="80"/>
      <c r="T2188" s="80"/>
      <c r="V2188" s="78"/>
      <c r="W2188" s="62"/>
      <c r="X2188" s="80"/>
      <c r="Y2188" s="109"/>
    </row>
    <row r="2189">
      <c r="E2189" s="78"/>
      <c r="G2189" s="78"/>
      <c r="I2189" s="80"/>
      <c r="K2189" s="71"/>
      <c r="N2189" s="109"/>
      <c r="Q2189" s="78"/>
      <c r="R2189" s="78"/>
      <c r="S2189" s="80"/>
      <c r="T2189" s="80"/>
      <c r="V2189" s="78"/>
      <c r="W2189" s="62"/>
      <c r="X2189" s="80"/>
      <c r="Y2189" s="109"/>
    </row>
    <row r="2190">
      <c r="E2190" s="78"/>
      <c r="G2190" s="78"/>
      <c r="I2190" s="80"/>
      <c r="K2190" s="71"/>
      <c r="N2190" s="109"/>
      <c r="Q2190" s="78"/>
      <c r="R2190" s="78"/>
      <c r="S2190" s="80"/>
      <c r="T2190" s="80"/>
      <c r="V2190" s="78"/>
      <c r="W2190" s="62"/>
      <c r="X2190" s="80"/>
      <c r="Y2190" s="109"/>
    </row>
    <row r="2191">
      <c r="E2191" s="78"/>
      <c r="G2191" s="78"/>
      <c r="I2191" s="80"/>
      <c r="K2191" s="71"/>
      <c r="N2191" s="109"/>
      <c r="Q2191" s="78"/>
      <c r="R2191" s="78"/>
      <c r="S2191" s="80"/>
      <c r="T2191" s="80"/>
      <c r="V2191" s="78"/>
      <c r="W2191" s="62"/>
      <c r="X2191" s="80"/>
      <c r="Y2191" s="109"/>
    </row>
    <row r="2192">
      <c r="E2192" s="78"/>
      <c r="G2192" s="78"/>
      <c r="I2192" s="80"/>
      <c r="K2192" s="71"/>
      <c r="N2192" s="109"/>
      <c r="Q2192" s="78"/>
      <c r="R2192" s="78"/>
      <c r="S2192" s="80"/>
      <c r="T2192" s="80"/>
      <c r="V2192" s="78"/>
      <c r="W2192" s="62"/>
      <c r="X2192" s="80"/>
      <c r="Y2192" s="109"/>
    </row>
    <row r="2193">
      <c r="E2193" s="78"/>
      <c r="G2193" s="78"/>
      <c r="I2193" s="80"/>
      <c r="K2193" s="71"/>
      <c r="N2193" s="109"/>
      <c r="Q2193" s="78"/>
      <c r="R2193" s="78"/>
      <c r="S2193" s="80"/>
      <c r="T2193" s="80"/>
      <c r="V2193" s="78"/>
      <c r="W2193" s="62"/>
      <c r="X2193" s="80"/>
      <c r="Y2193" s="109"/>
    </row>
    <row r="2194">
      <c r="E2194" s="78"/>
      <c r="G2194" s="78"/>
      <c r="I2194" s="80"/>
      <c r="K2194" s="71"/>
      <c r="N2194" s="109"/>
      <c r="Q2194" s="78"/>
      <c r="R2194" s="78"/>
      <c r="S2194" s="80"/>
      <c r="T2194" s="80"/>
      <c r="V2194" s="78"/>
      <c r="W2194" s="62"/>
      <c r="X2194" s="80"/>
      <c r="Y2194" s="109"/>
    </row>
    <row r="2195">
      <c r="E2195" s="78"/>
      <c r="G2195" s="78"/>
      <c r="I2195" s="80"/>
      <c r="K2195" s="71"/>
      <c r="N2195" s="109"/>
      <c r="Q2195" s="78"/>
      <c r="R2195" s="78"/>
      <c r="S2195" s="80"/>
      <c r="T2195" s="80"/>
      <c r="V2195" s="78"/>
      <c r="W2195" s="62"/>
      <c r="X2195" s="80"/>
      <c r="Y2195" s="109"/>
    </row>
    <row r="2196">
      <c r="E2196" s="78"/>
      <c r="G2196" s="78"/>
      <c r="I2196" s="80"/>
      <c r="K2196" s="71"/>
      <c r="N2196" s="109"/>
      <c r="Q2196" s="78"/>
      <c r="R2196" s="78"/>
      <c r="S2196" s="80"/>
      <c r="T2196" s="80"/>
      <c r="V2196" s="78"/>
      <c r="W2196" s="62"/>
      <c r="X2196" s="80"/>
      <c r="Y2196" s="109"/>
    </row>
    <row r="2197">
      <c r="E2197" s="78"/>
      <c r="G2197" s="78"/>
      <c r="I2197" s="80"/>
      <c r="K2197" s="71"/>
      <c r="N2197" s="109"/>
      <c r="Q2197" s="78"/>
      <c r="R2197" s="78"/>
      <c r="S2197" s="80"/>
      <c r="T2197" s="80"/>
      <c r="V2197" s="78"/>
      <c r="W2197" s="62"/>
      <c r="X2197" s="80"/>
      <c r="Y2197" s="109"/>
    </row>
    <row r="2198">
      <c r="E2198" s="78"/>
      <c r="G2198" s="78"/>
      <c r="I2198" s="80"/>
      <c r="K2198" s="71"/>
      <c r="N2198" s="109"/>
      <c r="Q2198" s="78"/>
      <c r="R2198" s="78"/>
      <c r="S2198" s="80"/>
      <c r="T2198" s="80"/>
      <c r="V2198" s="78"/>
      <c r="W2198" s="62"/>
      <c r="X2198" s="80"/>
      <c r="Y2198" s="109"/>
    </row>
    <row r="2199">
      <c r="E2199" s="78"/>
      <c r="G2199" s="78"/>
      <c r="I2199" s="80"/>
      <c r="K2199" s="71"/>
      <c r="N2199" s="109"/>
      <c r="Q2199" s="78"/>
      <c r="R2199" s="78"/>
      <c r="S2199" s="80"/>
      <c r="T2199" s="80"/>
      <c r="V2199" s="78"/>
      <c r="W2199" s="62"/>
      <c r="X2199" s="80"/>
      <c r="Y2199" s="109"/>
    </row>
    <row r="2200">
      <c r="E2200" s="78"/>
      <c r="G2200" s="78"/>
      <c r="I2200" s="80"/>
      <c r="K2200" s="71"/>
      <c r="N2200" s="109"/>
      <c r="Q2200" s="78"/>
      <c r="R2200" s="78"/>
      <c r="S2200" s="80"/>
      <c r="T2200" s="80"/>
      <c r="V2200" s="78"/>
      <c r="W2200" s="62"/>
      <c r="X2200" s="80"/>
      <c r="Y2200" s="109"/>
    </row>
    <row r="2201">
      <c r="E2201" s="78"/>
      <c r="G2201" s="78"/>
      <c r="I2201" s="80"/>
      <c r="K2201" s="71"/>
      <c r="N2201" s="109"/>
      <c r="Q2201" s="78"/>
      <c r="R2201" s="78"/>
      <c r="S2201" s="80"/>
      <c r="T2201" s="80"/>
      <c r="V2201" s="78"/>
      <c r="W2201" s="62"/>
      <c r="X2201" s="80"/>
      <c r="Y2201" s="109"/>
    </row>
    <row r="2202">
      <c r="E2202" s="78"/>
      <c r="G2202" s="78"/>
      <c r="I2202" s="80"/>
      <c r="K2202" s="71"/>
      <c r="N2202" s="109"/>
      <c r="Q2202" s="78"/>
      <c r="R2202" s="78"/>
      <c r="S2202" s="80"/>
      <c r="T2202" s="80"/>
      <c r="V2202" s="78"/>
      <c r="W2202" s="62"/>
      <c r="X2202" s="80"/>
      <c r="Y2202" s="109"/>
    </row>
    <row r="2203">
      <c r="E2203" s="78"/>
      <c r="G2203" s="78"/>
      <c r="I2203" s="80"/>
      <c r="K2203" s="71"/>
      <c r="N2203" s="109"/>
      <c r="Q2203" s="78"/>
      <c r="R2203" s="78"/>
      <c r="S2203" s="80"/>
      <c r="T2203" s="80"/>
      <c r="V2203" s="78"/>
      <c r="W2203" s="62"/>
      <c r="X2203" s="80"/>
      <c r="Y2203" s="109"/>
    </row>
    <row r="2204">
      <c r="E2204" s="78"/>
      <c r="G2204" s="78"/>
      <c r="I2204" s="80"/>
      <c r="K2204" s="71"/>
      <c r="N2204" s="109"/>
      <c r="Q2204" s="78"/>
      <c r="R2204" s="78"/>
      <c r="S2204" s="80"/>
      <c r="T2204" s="80"/>
      <c r="V2204" s="78"/>
      <c r="W2204" s="62"/>
      <c r="X2204" s="80"/>
      <c r="Y2204" s="109"/>
    </row>
    <row r="2205">
      <c r="E2205" s="78"/>
      <c r="G2205" s="78"/>
      <c r="I2205" s="80"/>
      <c r="K2205" s="71"/>
      <c r="N2205" s="109"/>
      <c r="Q2205" s="78"/>
      <c r="R2205" s="78"/>
      <c r="S2205" s="80"/>
      <c r="T2205" s="80"/>
      <c r="V2205" s="78"/>
      <c r="W2205" s="62"/>
      <c r="X2205" s="80"/>
      <c r="Y2205" s="109"/>
    </row>
    <row r="2206">
      <c r="E2206" s="78"/>
      <c r="G2206" s="78"/>
      <c r="I2206" s="80"/>
      <c r="K2206" s="71"/>
      <c r="N2206" s="109"/>
      <c r="Q2206" s="78"/>
      <c r="R2206" s="78"/>
      <c r="S2206" s="80"/>
      <c r="T2206" s="80"/>
      <c r="V2206" s="78"/>
      <c r="W2206" s="62"/>
      <c r="X2206" s="80"/>
      <c r="Y2206" s="109"/>
    </row>
    <row r="2207">
      <c r="E2207" s="78"/>
      <c r="G2207" s="78"/>
      <c r="I2207" s="80"/>
      <c r="K2207" s="71"/>
      <c r="N2207" s="109"/>
      <c r="Q2207" s="78"/>
      <c r="R2207" s="78"/>
      <c r="S2207" s="80"/>
      <c r="T2207" s="80"/>
      <c r="V2207" s="78"/>
      <c r="W2207" s="62"/>
      <c r="X2207" s="80"/>
      <c r="Y2207" s="109"/>
    </row>
    <row r="2208">
      <c r="E2208" s="78"/>
      <c r="G2208" s="78"/>
      <c r="I2208" s="80"/>
      <c r="K2208" s="71"/>
      <c r="N2208" s="109"/>
      <c r="Q2208" s="78"/>
      <c r="R2208" s="78"/>
      <c r="S2208" s="80"/>
      <c r="T2208" s="80"/>
      <c r="V2208" s="78"/>
      <c r="W2208" s="62"/>
      <c r="X2208" s="80"/>
      <c r="Y2208" s="109"/>
    </row>
    <row r="2209">
      <c r="E2209" s="78"/>
      <c r="G2209" s="78"/>
      <c r="I2209" s="80"/>
      <c r="K2209" s="71"/>
      <c r="N2209" s="109"/>
      <c r="Q2209" s="78"/>
      <c r="R2209" s="78"/>
      <c r="S2209" s="80"/>
      <c r="T2209" s="80"/>
      <c r="V2209" s="78"/>
      <c r="W2209" s="62"/>
      <c r="X2209" s="80"/>
      <c r="Y2209" s="109"/>
    </row>
    <row r="2210">
      <c r="E2210" s="78"/>
      <c r="G2210" s="78"/>
      <c r="I2210" s="80"/>
      <c r="K2210" s="71"/>
      <c r="N2210" s="109"/>
      <c r="Q2210" s="78"/>
      <c r="R2210" s="78"/>
      <c r="S2210" s="80"/>
      <c r="T2210" s="80"/>
      <c r="V2210" s="78"/>
      <c r="W2210" s="62"/>
      <c r="X2210" s="80"/>
      <c r="Y2210" s="109"/>
    </row>
    <row r="2211">
      <c r="E2211" s="78"/>
      <c r="G2211" s="78"/>
      <c r="I2211" s="80"/>
      <c r="K2211" s="71"/>
      <c r="N2211" s="109"/>
      <c r="Q2211" s="78"/>
      <c r="R2211" s="78"/>
      <c r="S2211" s="80"/>
      <c r="T2211" s="80"/>
      <c r="V2211" s="78"/>
      <c r="W2211" s="62"/>
      <c r="X2211" s="80"/>
      <c r="Y2211" s="109"/>
    </row>
    <row r="2212">
      <c r="E2212" s="78"/>
      <c r="G2212" s="78"/>
      <c r="I2212" s="80"/>
      <c r="K2212" s="71"/>
      <c r="N2212" s="109"/>
      <c r="Q2212" s="78"/>
      <c r="R2212" s="78"/>
      <c r="S2212" s="80"/>
      <c r="T2212" s="80"/>
      <c r="V2212" s="78"/>
      <c r="W2212" s="62"/>
      <c r="X2212" s="80"/>
      <c r="Y2212" s="109"/>
    </row>
    <row r="2213">
      <c r="E2213" s="78"/>
      <c r="G2213" s="78"/>
      <c r="I2213" s="80"/>
      <c r="K2213" s="71"/>
      <c r="N2213" s="109"/>
      <c r="Q2213" s="78"/>
      <c r="R2213" s="78"/>
      <c r="S2213" s="80"/>
      <c r="T2213" s="80"/>
      <c r="V2213" s="78"/>
      <c r="W2213" s="62"/>
      <c r="X2213" s="80"/>
      <c r="Y2213" s="109"/>
    </row>
    <row r="2214">
      <c r="E2214" s="78"/>
      <c r="G2214" s="78"/>
      <c r="I2214" s="80"/>
      <c r="K2214" s="71"/>
      <c r="N2214" s="109"/>
      <c r="Q2214" s="78"/>
      <c r="R2214" s="78"/>
      <c r="S2214" s="80"/>
      <c r="T2214" s="80"/>
      <c r="V2214" s="78"/>
      <c r="W2214" s="62"/>
      <c r="X2214" s="80"/>
      <c r="Y2214" s="109"/>
    </row>
    <row r="2215">
      <c r="E2215" s="78"/>
      <c r="G2215" s="78"/>
      <c r="I2215" s="80"/>
      <c r="K2215" s="71"/>
      <c r="N2215" s="109"/>
      <c r="Q2215" s="78"/>
      <c r="R2215" s="78"/>
      <c r="S2215" s="80"/>
      <c r="T2215" s="80"/>
      <c r="V2215" s="78"/>
      <c r="W2215" s="62"/>
      <c r="X2215" s="80"/>
      <c r="Y2215" s="109"/>
    </row>
    <row r="2216">
      <c r="E2216" s="78"/>
      <c r="G2216" s="78"/>
      <c r="I2216" s="80"/>
      <c r="K2216" s="71"/>
      <c r="N2216" s="109"/>
      <c r="Q2216" s="78"/>
      <c r="R2216" s="78"/>
      <c r="S2216" s="80"/>
      <c r="T2216" s="80"/>
      <c r="V2216" s="78"/>
      <c r="W2216" s="62"/>
      <c r="X2216" s="80"/>
      <c r="Y2216" s="109"/>
    </row>
    <row r="2217">
      <c r="E2217" s="78"/>
      <c r="G2217" s="78"/>
      <c r="I2217" s="80"/>
      <c r="K2217" s="71"/>
      <c r="N2217" s="109"/>
      <c r="Q2217" s="78"/>
      <c r="R2217" s="78"/>
      <c r="S2217" s="80"/>
      <c r="T2217" s="80"/>
      <c r="V2217" s="78"/>
      <c r="W2217" s="62"/>
      <c r="X2217" s="80"/>
      <c r="Y2217" s="109"/>
    </row>
    <row r="2218">
      <c r="E2218" s="78"/>
      <c r="G2218" s="78"/>
      <c r="I2218" s="80"/>
      <c r="K2218" s="71"/>
      <c r="N2218" s="109"/>
      <c r="Q2218" s="78"/>
      <c r="R2218" s="78"/>
      <c r="S2218" s="80"/>
      <c r="T2218" s="80"/>
      <c r="V2218" s="78"/>
      <c r="W2218" s="62"/>
      <c r="X2218" s="80"/>
      <c r="Y2218" s="109"/>
    </row>
    <row r="2219">
      <c r="E2219" s="78"/>
      <c r="G2219" s="78"/>
      <c r="I2219" s="80"/>
      <c r="K2219" s="71"/>
      <c r="N2219" s="109"/>
      <c r="Q2219" s="78"/>
      <c r="R2219" s="78"/>
      <c r="S2219" s="80"/>
      <c r="T2219" s="80"/>
      <c r="V2219" s="78"/>
      <c r="W2219" s="62"/>
      <c r="X2219" s="80"/>
      <c r="Y2219" s="109"/>
    </row>
    <row r="2220">
      <c r="E2220" s="78"/>
      <c r="G2220" s="78"/>
      <c r="I2220" s="80"/>
      <c r="K2220" s="71"/>
      <c r="N2220" s="109"/>
      <c r="Q2220" s="78"/>
      <c r="R2220" s="78"/>
      <c r="S2220" s="80"/>
      <c r="T2220" s="80"/>
      <c r="V2220" s="78"/>
      <c r="W2220" s="62"/>
      <c r="X2220" s="80"/>
      <c r="Y2220" s="109"/>
    </row>
    <row r="2221">
      <c r="E2221" s="78"/>
      <c r="G2221" s="78"/>
      <c r="I2221" s="80"/>
      <c r="K2221" s="71"/>
      <c r="N2221" s="109"/>
      <c r="Q2221" s="78"/>
      <c r="R2221" s="78"/>
      <c r="S2221" s="80"/>
      <c r="T2221" s="80"/>
      <c r="V2221" s="78"/>
      <c r="W2221" s="62"/>
      <c r="X2221" s="80"/>
      <c r="Y2221" s="109"/>
    </row>
    <row r="2222">
      <c r="E2222" s="78"/>
      <c r="G2222" s="78"/>
      <c r="I2222" s="80"/>
      <c r="K2222" s="71"/>
      <c r="N2222" s="109"/>
      <c r="Q2222" s="78"/>
      <c r="R2222" s="78"/>
      <c r="S2222" s="80"/>
      <c r="T2222" s="80"/>
      <c r="V2222" s="78"/>
      <c r="W2222" s="62"/>
      <c r="X2222" s="80"/>
      <c r="Y2222" s="109"/>
    </row>
    <row r="2223">
      <c r="E2223" s="78"/>
      <c r="G2223" s="78"/>
      <c r="I2223" s="80"/>
      <c r="K2223" s="71"/>
      <c r="N2223" s="109"/>
      <c r="Q2223" s="78"/>
      <c r="R2223" s="78"/>
      <c r="S2223" s="80"/>
      <c r="T2223" s="80"/>
      <c r="V2223" s="78"/>
      <c r="W2223" s="62"/>
      <c r="X2223" s="80"/>
      <c r="Y2223" s="109"/>
    </row>
    <row r="2224">
      <c r="E2224" s="78"/>
      <c r="G2224" s="78"/>
      <c r="I2224" s="80"/>
      <c r="K2224" s="71"/>
      <c r="N2224" s="109"/>
      <c r="Q2224" s="78"/>
      <c r="R2224" s="78"/>
      <c r="S2224" s="80"/>
      <c r="T2224" s="80"/>
      <c r="V2224" s="78"/>
      <c r="W2224" s="62"/>
      <c r="X2224" s="80"/>
      <c r="Y2224" s="109"/>
    </row>
    <row r="2225">
      <c r="E2225" s="78"/>
      <c r="G2225" s="78"/>
      <c r="I2225" s="80"/>
      <c r="K2225" s="71"/>
      <c r="N2225" s="109"/>
      <c r="Q2225" s="78"/>
      <c r="R2225" s="78"/>
      <c r="S2225" s="80"/>
      <c r="T2225" s="80"/>
      <c r="V2225" s="78"/>
      <c r="W2225" s="62"/>
      <c r="X2225" s="80"/>
      <c r="Y2225" s="109"/>
    </row>
    <row r="2226">
      <c r="E2226" s="78"/>
      <c r="G2226" s="78"/>
      <c r="I2226" s="80"/>
      <c r="K2226" s="71"/>
      <c r="N2226" s="109"/>
      <c r="Q2226" s="78"/>
      <c r="R2226" s="78"/>
      <c r="S2226" s="80"/>
      <c r="T2226" s="80"/>
      <c r="V2226" s="78"/>
      <c r="W2226" s="62"/>
      <c r="X2226" s="80"/>
      <c r="Y2226" s="109"/>
    </row>
    <row r="2227">
      <c r="E2227" s="78"/>
      <c r="G2227" s="78"/>
      <c r="I2227" s="80"/>
      <c r="K2227" s="71"/>
      <c r="N2227" s="109"/>
      <c r="Q2227" s="78"/>
      <c r="R2227" s="78"/>
      <c r="S2227" s="80"/>
      <c r="T2227" s="80"/>
      <c r="V2227" s="78"/>
      <c r="W2227" s="62"/>
      <c r="X2227" s="80"/>
      <c r="Y2227" s="109"/>
    </row>
    <row r="2228">
      <c r="E2228" s="78"/>
      <c r="G2228" s="78"/>
      <c r="I2228" s="80"/>
      <c r="K2228" s="71"/>
      <c r="N2228" s="109"/>
      <c r="Q2228" s="78"/>
      <c r="R2228" s="78"/>
      <c r="S2228" s="80"/>
      <c r="T2228" s="80"/>
      <c r="V2228" s="78"/>
      <c r="W2228" s="62"/>
      <c r="X2228" s="80"/>
      <c r="Y2228" s="109"/>
    </row>
    <row r="2229">
      <c r="E2229" s="78"/>
      <c r="G2229" s="78"/>
      <c r="I2229" s="80"/>
      <c r="K2229" s="71"/>
      <c r="N2229" s="109"/>
      <c r="Q2229" s="78"/>
      <c r="R2229" s="78"/>
      <c r="S2229" s="80"/>
      <c r="T2229" s="80"/>
      <c r="V2229" s="78"/>
      <c r="W2229" s="62"/>
      <c r="X2229" s="80"/>
      <c r="Y2229" s="109"/>
    </row>
    <row r="2230">
      <c r="E2230" s="78"/>
      <c r="G2230" s="78"/>
      <c r="I2230" s="80"/>
      <c r="K2230" s="71"/>
      <c r="N2230" s="109"/>
      <c r="Q2230" s="78"/>
      <c r="R2230" s="78"/>
      <c r="S2230" s="80"/>
      <c r="T2230" s="80"/>
      <c r="V2230" s="78"/>
      <c r="W2230" s="62"/>
      <c r="X2230" s="80"/>
      <c r="Y2230" s="109"/>
    </row>
    <row r="2231">
      <c r="E2231" s="78"/>
      <c r="G2231" s="78"/>
      <c r="I2231" s="80"/>
      <c r="K2231" s="71"/>
      <c r="N2231" s="109"/>
      <c r="Q2231" s="78"/>
      <c r="R2231" s="78"/>
      <c r="S2231" s="80"/>
      <c r="T2231" s="80"/>
      <c r="V2231" s="78"/>
      <c r="W2231" s="62"/>
      <c r="X2231" s="80"/>
      <c r="Y2231" s="109"/>
    </row>
    <row r="2232">
      <c r="E2232" s="78"/>
      <c r="G2232" s="78"/>
      <c r="I2232" s="80"/>
      <c r="K2232" s="71"/>
      <c r="N2232" s="109"/>
      <c r="Q2232" s="78"/>
      <c r="R2232" s="78"/>
      <c r="S2232" s="80"/>
      <c r="T2232" s="80"/>
      <c r="V2232" s="78"/>
      <c r="W2232" s="62"/>
      <c r="X2232" s="80"/>
      <c r="Y2232" s="109"/>
    </row>
    <row r="2233">
      <c r="E2233" s="78"/>
      <c r="G2233" s="78"/>
      <c r="I2233" s="80"/>
      <c r="K2233" s="71"/>
      <c r="N2233" s="109"/>
      <c r="Q2233" s="78"/>
      <c r="R2233" s="78"/>
      <c r="S2233" s="80"/>
      <c r="T2233" s="80"/>
      <c r="V2233" s="78"/>
      <c r="W2233" s="62"/>
      <c r="X2233" s="80"/>
      <c r="Y2233" s="109"/>
    </row>
    <row r="2234">
      <c r="E2234" s="78"/>
      <c r="G2234" s="78"/>
      <c r="I2234" s="80"/>
      <c r="K2234" s="71"/>
      <c r="N2234" s="109"/>
      <c r="Q2234" s="78"/>
      <c r="R2234" s="78"/>
      <c r="S2234" s="80"/>
      <c r="T2234" s="80"/>
      <c r="V2234" s="78"/>
      <c r="W2234" s="62"/>
      <c r="X2234" s="80"/>
      <c r="Y2234" s="109"/>
    </row>
    <row r="2235">
      <c r="E2235" s="78"/>
      <c r="G2235" s="78"/>
      <c r="I2235" s="80"/>
      <c r="K2235" s="71"/>
      <c r="N2235" s="109"/>
      <c r="Q2235" s="78"/>
      <c r="R2235" s="78"/>
      <c r="S2235" s="80"/>
      <c r="T2235" s="80"/>
      <c r="V2235" s="78"/>
      <c r="W2235" s="62"/>
      <c r="X2235" s="80"/>
      <c r="Y2235" s="109"/>
    </row>
    <row r="2236">
      <c r="E2236" s="78"/>
      <c r="G2236" s="78"/>
      <c r="I2236" s="80"/>
      <c r="K2236" s="71"/>
      <c r="N2236" s="109"/>
      <c r="Q2236" s="78"/>
      <c r="R2236" s="78"/>
      <c r="S2236" s="80"/>
      <c r="T2236" s="80"/>
      <c r="V2236" s="78"/>
      <c r="W2236" s="62"/>
      <c r="X2236" s="80"/>
      <c r="Y2236" s="109"/>
    </row>
    <row r="2237">
      <c r="E2237" s="78"/>
      <c r="G2237" s="78"/>
      <c r="I2237" s="80"/>
      <c r="K2237" s="71"/>
      <c r="N2237" s="109"/>
      <c r="Q2237" s="78"/>
      <c r="R2237" s="78"/>
      <c r="S2237" s="80"/>
      <c r="T2237" s="80"/>
      <c r="V2237" s="78"/>
      <c r="W2237" s="62"/>
      <c r="X2237" s="80"/>
      <c r="Y2237" s="109"/>
    </row>
    <row r="2238">
      <c r="E2238" s="78"/>
      <c r="G2238" s="78"/>
      <c r="I2238" s="80"/>
      <c r="K2238" s="71"/>
      <c r="N2238" s="109"/>
      <c r="Q2238" s="78"/>
      <c r="R2238" s="78"/>
      <c r="S2238" s="80"/>
      <c r="T2238" s="80"/>
      <c r="V2238" s="78"/>
      <c r="W2238" s="62"/>
      <c r="X2238" s="80"/>
      <c r="Y2238" s="109"/>
    </row>
    <row r="2239">
      <c r="E2239" s="78"/>
      <c r="G2239" s="78"/>
      <c r="I2239" s="80"/>
      <c r="K2239" s="71"/>
      <c r="N2239" s="109"/>
      <c r="Q2239" s="78"/>
      <c r="R2239" s="78"/>
      <c r="S2239" s="80"/>
      <c r="T2239" s="80"/>
      <c r="V2239" s="78"/>
      <c r="W2239" s="62"/>
      <c r="X2239" s="80"/>
      <c r="Y2239" s="109"/>
    </row>
    <row r="2240">
      <c r="E2240" s="78"/>
      <c r="G2240" s="78"/>
      <c r="I2240" s="80"/>
      <c r="K2240" s="71"/>
      <c r="N2240" s="109"/>
      <c r="Q2240" s="78"/>
      <c r="R2240" s="78"/>
      <c r="S2240" s="80"/>
      <c r="T2240" s="80"/>
      <c r="V2240" s="78"/>
      <c r="W2240" s="62"/>
      <c r="X2240" s="80"/>
      <c r="Y2240" s="109"/>
    </row>
    <row r="2241">
      <c r="E2241" s="78"/>
      <c r="G2241" s="78"/>
      <c r="I2241" s="80"/>
      <c r="K2241" s="71"/>
      <c r="N2241" s="109"/>
      <c r="Q2241" s="78"/>
      <c r="R2241" s="78"/>
      <c r="S2241" s="80"/>
      <c r="T2241" s="80"/>
      <c r="V2241" s="78"/>
      <c r="W2241" s="62"/>
      <c r="X2241" s="80"/>
      <c r="Y2241" s="109"/>
    </row>
    <row r="2242">
      <c r="E2242" s="78"/>
      <c r="G2242" s="78"/>
      <c r="I2242" s="80"/>
      <c r="K2242" s="71"/>
      <c r="N2242" s="109"/>
      <c r="Q2242" s="78"/>
      <c r="R2242" s="78"/>
      <c r="S2242" s="80"/>
      <c r="T2242" s="80"/>
      <c r="V2242" s="78"/>
      <c r="W2242" s="62"/>
      <c r="X2242" s="80"/>
      <c r="Y2242" s="109"/>
    </row>
    <row r="2243">
      <c r="E2243" s="78"/>
      <c r="G2243" s="78"/>
      <c r="I2243" s="80"/>
      <c r="K2243" s="71"/>
      <c r="N2243" s="109"/>
      <c r="Q2243" s="78"/>
      <c r="R2243" s="78"/>
      <c r="S2243" s="80"/>
      <c r="T2243" s="80"/>
      <c r="V2243" s="78"/>
      <c r="W2243" s="62"/>
      <c r="X2243" s="80"/>
      <c r="Y2243" s="109"/>
    </row>
    <row r="2244">
      <c r="E2244" s="78"/>
      <c r="G2244" s="78"/>
      <c r="I2244" s="80"/>
      <c r="K2244" s="71"/>
      <c r="N2244" s="109"/>
      <c r="Q2244" s="78"/>
      <c r="R2244" s="78"/>
      <c r="S2244" s="80"/>
      <c r="T2244" s="80"/>
      <c r="V2244" s="78"/>
      <c r="W2244" s="62"/>
      <c r="X2244" s="80"/>
      <c r="Y2244" s="109"/>
    </row>
    <row r="2245">
      <c r="E2245" s="78"/>
      <c r="G2245" s="78"/>
      <c r="I2245" s="80"/>
      <c r="K2245" s="71"/>
      <c r="N2245" s="109"/>
      <c r="Q2245" s="78"/>
      <c r="R2245" s="78"/>
      <c r="S2245" s="80"/>
      <c r="T2245" s="80"/>
      <c r="V2245" s="78"/>
      <c r="W2245" s="62"/>
      <c r="X2245" s="80"/>
      <c r="Y2245" s="109"/>
    </row>
    <row r="2246">
      <c r="E2246" s="78"/>
      <c r="G2246" s="78"/>
      <c r="I2246" s="80"/>
      <c r="K2246" s="71"/>
      <c r="N2246" s="109"/>
      <c r="Q2246" s="78"/>
      <c r="R2246" s="78"/>
      <c r="S2246" s="80"/>
      <c r="T2246" s="80"/>
      <c r="V2246" s="78"/>
      <c r="W2246" s="62"/>
      <c r="X2246" s="80"/>
      <c r="Y2246" s="109"/>
    </row>
    <row r="2247">
      <c r="E2247" s="78"/>
      <c r="G2247" s="78"/>
      <c r="I2247" s="80"/>
      <c r="K2247" s="71"/>
      <c r="N2247" s="109"/>
      <c r="Q2247" s="78"/>
      <c r="R2247" s="78"/>
      <c r="S2247" s="80"/>
      <c r="T2247" s="80"/>
      <c r="V2247" s="78"/>
      <c r="W2247" s="62"/>
      <c r="X2247" s="80"/>
      <c r="Y2247" s="109"/>
    </row>
    <row r="2248">
      <c r="E2248" s="78"/>
      <c r="G2248" s="78"/>
      <c r="I2248" s="80"/>
      <c r="K2248" s="71"/>
      <c r="N2248" s="109"/>
      <c r="Q2248" s="78"/>
      <c r="R2248" s="78"/>
      <c r="S2248" s="80"/>
      <c r="T2248" s="80"/>
      <c r="V2248" s="78"/>
      <c r="W2248" s="62"/>
      <c r="X2248" s="80"/>
      <c r="Y2248" s="109"/>
    </row>
    <row r="2249">
      <c r="E2249" s="78"/>
      <c r="G2249" s="78"/>
      <c r="I2249" s="80"/>
      <c r="K2249" s="71"/>
      <c r="N2249" s="109"/>
      <c r="Q2249" s="78"/>
      <c r="R2249" s="78"/>
      <c r="S2249" s="80"/>
      <c r="T2249" s="80"/>
      <c r="V2249" s="78"/>
      <c r="W2249" s="62"/>
      <c r="X2249" s="80"/>
      <c r="Y2249" s="109"/>
    </row>
    <row r="2250">
      <c r="E2250" s="78"/>
      <c r="G2250" s="78"/>
      <c r="I2250" s="80"/>
      <c r="K2250" s="71"/>
      <c r="N2250" s="109"/>
      <c r="Q2250" s="78"/>
      <c r="R2250" s="78"/>
      <c r="S2250" s="80"/>
      <c r="T2250" s="80"/>
      <c r="V2250" s="78"/>
      <c r="W2250" s="62"/>
      <c r="X2250" s="80"/>
      <c r="Y2250" s="109"/>
    </row>
    <row r="2251">
      <c r="E2251" s="78"/>
      <c r="G2251" s="78"/>
      <c r="I2251" s="80"/>
      <c r="K2251" s="71"/>
      <c r="N2251" s="109"/>
      <c r="Q2251" s="78"/>
      <c r="R2251" s="78"/>
      <c r="S2251" s="80"/>
      <c r="T2251" s="80"/>
      <c r="V2251" s="78"/>
      <c r="W2251" s="62"/>
      <c r="X2251" s="80"/>
      <c r="Y2251" s="109"/>
    </row>
    <row r="2252">
      <c r="E2252" s="78"/>
      <c r="G2252" s="78"/>
      <c r="I2252" s="80"/>
      <c r="K2252" s="71"/>
      <c r="N2252" s="109"/>
      <c r="Q2252" s="78"/>
      <c r="R2252" s="78"/>
      <c r="S2252" s="80"/>
      <c r="T2252" s="80"/>
      <c r="V2252" s="78"/>
      <c r="W2252" s="62"/>
      <c r="X2252" s="80"/>
      <c r="Y2252" s="109"/>
    </row>
    <row r="2253">
      <c r="E2253" s="78"/>
      <c r="G2253" s="78"/>
      <c r="I2253" s="80"/>
      <c r="K2253" s="71"/>
      <c r="N2253" s="109"/>
      <c r="Q2253" s="78"/>
      <c r="R2253" s="78"/>
      <c r="S2253" s="80"/>
      <c r="T2253" s="80"/>
      <c r="V2253" s="78"/>
      <c r="W2253" s="62"/>
      <c r="X2253" s="80"/>
      <c r="Y2253" s="109"/>
    </row>
    <row r="2254">
      <c r="E2254" s="78"/>
      <c r="G2254" s="78"/>
      <c r="I2254" s="80"/>
      <c r="K2254" s="71"/>
      <c r="N2254" s="109"/>
      <c r="Q2254" s="78"/>
      <c r="R2254" s="78"/>
      <c r="S2254" s="80"/>
      <c r="T2254" s="80"/>
      <c r="V2254" s="78"/>
      <c r="W2254" s="62"/>
      <c r="X2254" s="80"/>
      <c r="Y2254" s="109"/>
    </row>
    <row r="2255">
      <c r="E2255" s="78"/>
      <c r="G2255" s="78"/>
      <c r="I2255" s="80"/>
      <c r="K2255" s="71"/>
      <c r="N2255" s="109"/>
      <c r="Q2255" s="78"/>
      <c r="R2255" s="78"/>
      <c r="S2255" s="80"/>
      <c r="T2255" s="80"/>
      <c r="V2255" s="78"/>
      <c r="W2255" s="62"/>
      <c r="X2255" s="80"/>
      <c r="Y2255" s="109"/>
    </row>
    <row r="2256">
      <c r="E2256" s="78"/>
      <c r="G2256" s="78"/>
      <c r="I2256" s="80"/>
      <c r="K2256" s="71"/>
      <c r="N2256" s="109"/>
      <c r="Q2256" s="78"/>
      <c r="R2256" s="78"/>
      <c r="S2256" s="80"/>
      <c r="T2256" s="80"/>
      <c r="V2256" s="78"/>
      <c r="W2256" s="62"/>
      <c r="X2256" s="80"/>
      <c r="Y2256" s="109"/>
    </row>
    <row r="2257">
      <c r="E2257" s="78"/>
      <c r="G2257" s="78"/>
      <c r="I2257" s="80"/>
      <c r="K2257" s="71"/>
      <c r="N2257" s="109"/>
      <c r="Q2257" s="78"/>
      <c r="R2257" s="78"/>
      <c r="S2257" s="80"/>
      <c r="T2257" s="80"/>
      <c r="V2257" s="78"/>
      <c r="W2257" s="62"/>
      <c r="X2257" s="80"/>
      <c r="Y2257" s="109"/>
    </row>
    <row r="2258">
      <c r="E2258" s="78"/>
      <c r="G2258" s="78"/>
      <c r="I2258" s="80"/>
      <c r="K2258" s="71"/>
      <c r="N2258" s="109"/>
      <c r="Q2258" s="78"/>
      <c r="R2258" s="78"/>
      <c r="S2258" s="80"/>
      <c r="T2258" s="80"/>
      <c r="V2258" s="78"/>
      <c r="W2258" s="62"/>
      <c r="X2258" s="80"/>
      <c r="Y2258" s="109"/>
    </row>
    <row r="2259">
      <c r="E2259" s="78"/>
      <c r="G2259" s="78"/>
      <c r="I2259" s="80"/>
      <c r="K2259" s="71"/>
      <c r="N2259" s="109"/>
      <c r="Q2259" s="78"/>
      <c r="R2259" s="78"/>
      <c r="S2259" s="80"/>
      <c r="T2259" s="80"/>
      <c r="V2259" s="78"/>
      <c r="W2259" s="62"/>
      <c r="X2259" s="80"/>
      <c r="Y2259" s="109"/>
    </row>
    <row r="2260">
      <c r="E2260" s="78"/>
      <c r="G2260" s="78"/>
      <c r="I2260" s="80"/>
      <c r="K2260" s="71"/>
      <c r="N2260" s="109"/>
      <c r="Q2260" s="78"/>
      <c r="R2260" s="78"/>
      <c r="S2260" s="80"/>
      <c r="T2260" s="80"/>
      <c r="V2260" s="78"/>
      <c r="W2260" s="62"/>
      <c r="X2260" s="80"/>
      <c r="Y2260" s="109"/>
    </row>
    <row r="2261">
      <c r="E2261" s="78"/>
      <c r="G2261" s="78"/>
      <c r="I2261" s="80"/>
      <c r="K2261" s="71"/>
      <c r="N2261" s="109"/>
      <c r="Q2261" s="78"/>
      <c r="R2261" s="78"/>
      <c r="S2261" s="80"/>
      <c r="T2261" s="80"/>
      <c r="V2261" s="78"/>
      <c r="W2261" s="62"/>
      <c r="X2261" s="80"/>
      <c r="Y2261" s="109"/>
    </row>
    <row r="2262">
      <c r="E2262" s="78"/>
      <c r="G2262" s="78"/>
      <c r="I2262" s="80"/>
      <c r="K2262" s="71"/>
      <c r="N2262" s="109"/>
      <c r="Q2262" s="78"/>
      <c r="R2262" s="78"/>
      <c r="S2262" s="80"/>
      <c r="T2262" s="80"/>
      <c r="V2262" s="78"/>
      <c r="W2262" s="62"/>
      <c r="X2262" s="80"/>
      <c r="Y2262" s="109"/>
    </row>
    <row r="2263">
      <c r="E2263" s="78"/>
      <c r="G2263" s="78"/>
      <c r="I2263" s="80"/>
      <c r="K2263" s="71"/>
      <c r="N2263" s="109"/>
      <c r="Q2263" s="78"/>
      <c r="R2263" s="78"/>
      <c r="S2263" s="80"/>
      <c r="T2263" s="80"/>
      <c r="V2263" s="78"/>
      <c r="W2263" s="62"/>
      <c r="X2263" s="80"/>
      <c r="Y2263" s="109"/>
    </row>
    <row r="2264">
      <c r="E2264" s="78"/>
      <c r="G2264" s="78"/>
      <c r="I2264" s="80"/>
      <c r="K2264" s="71"/>
      <c r="N2264" s="109"/>
      <c r="Q2264" s="78"/>
      <c r="R2264" s="78"/>
      <c r="S2264" s="80"/>
      <c r="T2264" s="80"/>
      <c r="V2264" s="78"/>
      <c r="W2264" s="62"/>
      <c r="X2264" s="80"/>
      <c r="Y2264" s="109"/>
    </row>
    <row r="2265">
      <c r="E2265" s="78"/>
      <c r="G2265" s="78"/>
      <c r="I2265" s="80"/>
      <c r="K2265" s="71"/>
      <c r="N2265" s="109"/>
      <c r="Q2265" s="78"/>
      <c r="R2265" s="78"/>
      <c r="S2265" s="80"/>
      <c r="T2265" s="80"/>
      <c r="V2265" s="78"/>
      <c r="W2265" s="62"/>
      <c r="X2265" s="80"/>
      <c r="Y2265" s="109"/>
    </row>
    <row r="2266">
      <c r="E2266" s="78"/>
      <c r="G2266" s="78"/>
      <c r="I2266" s="80"/>
      <c r="K2266" s="71"/>
      <c r="N2266" s="109"/>
      <c r="Q2266" s="78"/>
      <c r="R2266" s="78"/>
      <c r="S2266" s="80"/>
      <c r="T2266" s="80"/>
      <c r="V2266" s="78"/>
      <c r="W2266" s="62"/>
      <c r="X2266" s="80"/>
      <c r="Y2266" s="109"/>
    </row>
    <row r="2267">
      <c r="E2267" s="78"/>
      <c r="G2267" s="78"/>
      <c r="I2267" s="80"/>
      <c r="K2267" s="71"/>
      <c r="N2267" s="109"/>
      <c r="Q2267" s="78"/>
      <c r="R2267" s="78"/>
      <c r="S2267" s="80"/>
      <c r="T2267" s="80"/>
      <c r="V2267" s="78"/>
      <c r="W2267" s="62"/>
      <c r="X2267" s="80"/>
      <c r="Y2267" s="109"/>
    </row>
    <row r="2268">
      <c r="E2268" s="78"/>
      <c r="G2268" s="78"/>
      <c r="I2268" s="80"/>
      <c r="K2268" s="71"/>
      <c r="N2268" s="109"/>
      <c r="Q2268" s="78"/>
      <c r="R2268" s="78"/>
      <c r="S2268" s="80"/>
      <c r="T2268" s="80"/>
      <c r="V2268" s="78"/>
      <c r="W2268" s="62"/>
      <c r="X2268" s="80"/>
      <c r="Y2268" s="109"/>
    </row>
    <row r="2269">
      <c r="E2269" s="78"/>
      <c r="G2269" s="78"/>
      <c r="I2269" s="80"/>
      <c r="K2269" s="71"/>
      <c r="N2269" s="109"/>
      <c r="Q2269" s="78"/>
      <c r="R2269" s="78"/>
      <c r="S2269" s="80"/>
      <c r="T2269" s="80"/>
      <c r="V2269" s="78"/>
      <c r="W2269" s="62"/>
      <c r="X2269" s="80"/>
      <c r="Y2269" s="109"/>
    </row>
    <row r="2270">
      <c r="E2270" s="78"/>
      <c r="G2270" s="78"/>
      <c r="I2270" s="80"/>
      <c r="K2270" s="71"/>
      <c r="N2270" s="109"/>
      <c r="Q2270" s="78"/>
      <c r="R2270" s="78"/>
      <c r="S2270" s="80"/>
      <c r="T2270" s="80"/>
      <c r="V2270" s="78"/>
      <c r="W2270" s="62"/>
      <c r="X2270" s="80"/>
      <c r="Y2270" s="109"/>
    </row>
    <row r="2271">
      <c r="E2271" s="78"/>
      <c r="G2271" s="78"/>
      <c r="I2271" s="80"/>
      <c r="K2271" s="71"/>
      <c r="N2271" s="109"/>
      <c r="Q2271" s="78"/>
      <c r="R2271" s="78"/>
      <c r="S2271" s="80"/>
      <c r="T2271" s="80"/>
      <c r="V2271" s="78"/>
      <c r="W2271" s="62"/>
      <c r="X2271" s="80"/>
      <c r="Y2271" s="109"/>
    </row>
    <row r="2272">
      <c r="E2272" s="78"/>
      <c r="G2272" s="78"/>
      <c r="I2272" s="80"/>
      <c r="K2272" s="71"/>
      <c r="N2272" s="109"/>
      <c r="Q2272" s="78"/>
      <c r="R2272" s="78"/>
      <c r="S2272" s="80"/>
      <c r="T2272" s="80"/>
      <c r="V2272" s="78"/>
      <c r="W2272" s="62"/>
      <c r="X2272" s="80"/>
      <c r="Y2272" s="109"/>
    </row>
    <row r="2273">
      <c r="E2273" s="78"/>
      <c r="G2273" s="78"/>
      <c r="I2273" s="80"/>
      <c r="K2273" s="71"/>
      <c r="N2273" s="109"/>
      <c r="Q2273" s="78"/>
      <c r="R2273" s="78"/>
      <c r="S2273" s="80"/>
      <c r="T2273" s="80"/>
      <c r="V2273" s="78"/>
      <c r="W2273" s="62"/>
      <c r="X2273" s="80"/>
      <c r="Y2273" s="109"/>
    </row>
    <row r="2274">
      <c r="E2274" s="78"/>
      <c r="G2274" s="78"/>
      <c r="I2274" s="80"/>
      <c r="K2274" s="71"/>
      <c r="N2274" s="109"/>
      <c r="Q2274" s="78"/>
      <c r="R2274" s="78"/>
      <c r="S2274" s="80"/>
      <c r="T2274" s="80"/>
      <c r="V2274" s="78"/>
      <c r="W2274" s="62"/>
      <c r="X2274" s="80"/>
      <c r="Y2274" s="109"/>
    </row>
    <row r="2275">
      <c r="E2275" s="78"/>
      <c r="G2275" s="78"/>
      <c r="I2275" s="80"/>
      <c r="K2275" s="71"/>
      <c r="N2275" s="109"/>
      <c r="Q2275" s="78"/>
      <c r="R2275" s="78"/>
      <c r="S2275" s="80"/>
      <c r="T2275" s="80"/>
      <c r="V2275" s="78"/>
      <c r="W2275" s="62"/>
      <c r="X2275" s="80"/>
      <c r="Y2275" s="109"/>
    </row>
    <row r="2276">
      <c r="E2276" s="78"/>
      <c r="G2276" s="78"/>
      <c r="I2276" s="80"/>
      <c r="K2276" s="71"/>
      <c r="N2276" s="109"/>
      <c r="Q2276" s="78"/>
      <c r="R2276" s="78"/>
      <c r="S2276" s="80"/>
      <c r="T2276" s="80"/>
      <c r="V2276" s="78"/>
      <c r="W2276" s="62"/>
      <c r="X2276" s="80"/>
      <c r="Y2276" s="109"/>
    </row>
    <row r="2277">
      <c r="E2277" s="78"/>
      <c r="G2277" s="78"/>
      <c r="I2277" s="80"/>
      <c r="K2277" s="71"/>
      <c r="N2277" s="109"/>
      <c r="Q2277" s="78"/>
      <c r="R2277" s="78"/>
      <c r="S2277" s="80"/>
      <c r="T2277" s="80"/>
      <c r="V2277" s="78"/>
      <c r="W2277" s="62"/>
      <c r="X2277" s="80"/>
      <c r="Y2277" s="109"/>
    </row>
    <row r="2278">
      <c r="E2278" s="78"/>
      <c r="G2278" s="78"/>
      <c r="I2278" s="80"/>
      <c r="K2278" s="71"/>
      <c r="N2278" s="109"/>
      <c r="Q2278" s="78"/>
      <c r="R2278" s="78"/>
      <c r="S2278" s="80"/>
      <c r="T2278" s="80"/>
      <c r="V2278" s="78"/>
      <c r="W2278" s="62"/>
      <c r="X2278" s="80"/>
      <c r="Y2278" s="109"/>
    </row>
    <row r="2279">
      <c r="E2279" s="78"/>
      <c r="G2279" s="78"/>
      <c r="I2279" s="80"/>
      <c r="K2279" s="71"/>
      <c r="N2279" s="109"/>
      <c r="Q2279" s="78"/>
      <c r="R2279" s="78"/>
      <c r="S2279" s="80"/>
      <c r="T2279" s="80"/>
      <c r="V2279" s="78"/>
      <c r="W2279" s="62"/>
      <c r="X2279" s="80"/>
      <c r="Y2279" s="109"/>
    </row>
    <row r="2280">
      <c r="E2280" s="78"/>
      <c r="G2280" s="78"/>
      <c r="I2280" s="80"/>
      <c r="K2280" s="71"/>
      <c r="N2280" s="109"/>
      <c r="Q2280" s="78"/>
      <c r="R2280" s="78"/>
      <c r="S2280" s="80"/>
      <c r="T2280" s="80"/>
      <c r="V2280" s="78"/>
      <c r="W2280" s="62"/>
      <c r="X2280" s="80"/>
      <c r="Y2280" s="109"/>
    </row>
    <row r="2281">
      <c r="E2281" s="78"/>
      <c r="G2281" s="78"/>
      <c r="I2281" s="80"/>
      <c r="K2281" s="71"/>
      <c r="N2281" s="109"/>
      <c r="Q2281" s="78"/>
      <c r="R2281" s="78"/>
      <c r="S2281" s="80"/>
      <c r="T2281" s="80"/>
      <c r="V2281" s="78"/>
      <c r="W2281" s="62"/>
      <c r="X2281" s="80"/>
      <c r="Y2281" s="109"/>
    </row>
    <row r="2282">
      <c r="E2282" s="78"/>
      <c r="G2282" s="78"/>
      <c r="I2282" s="80"/>
      <c r="K2282" s="71"/>
      <c r="N2282" s="109"/>
      <c r="Q2282" s="78"/>
      <c r="R2282" s="78"/>
      <c r="S2282" s="80"/>
      <c r="T2282" s="80"/>
      <c r="V2282" s="78"/>
      <c r="W2282" s="62"/>
      <c r="X2282" s="80"/>
      <c r="Y2282" s="109"/>
    </row>
    <row r="2283">
      <c r="E2283" s="78"/>
      <c r="G2283" s="78"/>
      <c r="I2283" s="80"/>
      <c r="K2283" s="71"/>
      <c r="N2283" s="109"/>
      <c r="Q2283" s="78"/>
      <c r="R2283" s="78"/>
      <c r="S2283" s="80"/>
      <c r="T2283" s="80"/>
      <c r="V2283" s="78"/>
      <c r="W2283" s="62"/>
      <c r="X2283" s="80"/>
      <c r="Y2283" s="109"/>
    </row>
    <row r="2284">
      <c r="E2284" s="78"/>
      <c r="G2284" s="78"/>
      <c r="I2284" s="80"/>
      <c r="K2284" s="71"/>
      <c r="N2284" s="109"/>
      <c r="Q2284" s="78"/>
      <c r="R2284" s="78"/>
      <c r="S2284" s="80"/>
      <c r="T2284" s="80"/>
      <c r="V2284" s="78"/>
      <c r="W2284" s="62"/>
      <c r="X2284" s="80"/>
      <c r="Y2284" s="109"/>
    </row>
    <row r="2285">
      <c r="E2285" s="78"/>
      <c r="G2285" s="78"/>
      <c r="I2285" s="80"/>
      <c r="K2285" s="71"/>
      <c r="N2285" s="109"/>
      <c r="Q2285" s="78"/>
      <c r="R2285" s="78"/>
      <c r="S2285" s="80"/>
      <c r="T2285" s="80"/>
      <c r="V2285" s="78"/>
      <c r="W2285" s="62"/>
      <c r="X2285" s="80"/>
      <c r="Y2285" s="109"/>
    </row>
    <row r="2286">
      <c r="E2286" s="78"/>
      <c r="G2286" s="78"/>
      <c r="I2286" s="80"/>
      <c r="K2286" s="71"/>
      <c r="N2286" s="109"/>
      <c r="Q2286" s="78"/>
      <c r="R2286" s="78"/>
      <c r="S2286" s="80"/>
      <c r="T2286" s="80"/>
      <c r="V2286" s="78"/>
      <c r="W2286" s="62"/>
      <c r="X2286" s="80"/>
      <c r="Y2286" s="109"/>
    </row>
    <row r="2287">
      <c r="E2287" s="78"/>
      <c r="G2287" s="78"/>
      <c r="I2287" s="80"/>
      <c r="K2287" s="71"/>
      <c r="N2287" s="109"/>
      <c r="Q2287" s="78"/>
      <c r="R2287" s="78"/>
      <c r="S2287" s="80"/>
      <c r="T2287" s="80"/>
      <c r="V2287" s="78"/>
      <c r="W2287" s="62"/>
      <c r="X2287" s="80"/>
      <c r="Y2287" s="109"/>
    </row>
    <row r="2288">
      <c r="E2288" s="78"/>
      <c r="G2288" s="78"/>
      <c r="I2288" s="80"/>
      <c r="K2288" s="71"/>
      <c r="N2288" s="109"/>
      <c r="Q2288" s="78"/>
      <c r="R2288" s="78"/>
      <c r="S2288" s="80"/>
      <c r="T2288" s="80"/>
      <c r="V2288" s="78"/>
      <c r="W2288" s="62"/>
      <c r="X2288" s="80"/>
      <c r="Y2288" s="109"/>
    </row>
    <row r="2289">
      <c r="E2289" s="78"/>
      <c r="G2289" s="78"/>
      <c r="I2289" s="80"/>
      <c r="K2289" s="71"/>
      <c r="N2289" s="109"/>
      <c r="Q2289" s="78"/>
      <c r="R2289" s="78"/>
      <c r="S2289" s="80"/>
      <c r="T2289" s="80"/>
      <c r="V2289" s="78"/>
      <c r="W2289" s="62"/>
      <c r="X2289" s="80"/>
      <c r="Y2289" s="109"/>
    </row>
    <row r="2290">
      <c r="E2290" s="78"/>
      <c r="G2290" s="78"/>
      <c r="I2290" s="80"/>
      <c r="K2290" s="71"/>
      <c r="N2290" s="109"/>
      <c r="Q2290" s="78"/>
      <c r="R2290" s="78"/>
      <c r="S2290" s="80"/>
      <c r="T2290" s="80"/>
      <c r="V2290" s="78"/>
      <c r="W2290" s="62"/>
      <c r="X2290" s="80"/>
      <c r="Y2290" s="109"/>
    </row>
    <row r="2291">
      <c r="E2291" s="78"/>
      <c r="G2291" s="78"/>
      <c r="I2291" s="80"/>
      <c r="K2291" s="71"/>
      <c r="N2291" s="109"/>
      <c r="Q2291" s="78"/>
      <c r="R2291" s="78"/>
      <c r="S2291" s="80"/>
      <c r="T2291" s="80"/>
      <c r="V2291" s="78"/>
      <c r="W2291" s="62"/>
      <c r="X2291" s="80"/>
      <c r="Y2291" s="109"/>
    </row>
    <row r="2292">
      <c r="E2292" s="78"/>
      <c r="G2292" s="78"/>
      <c r="I2292" s="80"/>
      <c r="K2292" s="71"/>
      <c r="N2292" s="109"/>
      <c r="Q2292" s="78"/>
      <c r="R2292" s="78"/>
      <c r="S2292" s="80"/>
      <c r="T2292" s="80"/>
      <c r="V2292" s="78"/>
      <c r="W2292" s="62"/>
      <c r="X2292" s="80"/>
      <c r="Y2292" s="109"/>
    </row>
    <row r="2293">
      <c r="E2293" s="78"/>
      <c r="G2293" s="78"/>
      <c r="I2293" s="80"/>
      <c r="K2293" s="71"/>
      <c r="N2293" s="109"/>
      <c r="Q2293" s="78"/>
      <c r="R2293" s="78"/>
      <c r="S2293" s="80"/>
      <c r="T2293" s="80"/>
      <c r="V2293" s="78"/>
      <c r="W2293" s="62"/>
      <c r="X2293" s="80"/>
      <c r="Y2293" s="109"/>
    </row>
    <row r="2294">
      <c r="E2294" s="78"/>
      <c r="G2294" s="78"/>
      <c r="I2294" s="80"/>
      <c r="K2294" s="71"/>
      <c r="N2294" s="109"/>
      <c r="Q2294" s="78"/>
      <c r="R2294" s="78"/>
      <c r="S2294" s="80"/>
      <c r="T2294" s="80"/>
      <c r="V2294" s="78"/>
      <c r="W2294" s="62"/>
      <c r="X2294" s="80"/>
      <c r="Y2294" s="109"/>
    </row>
    <row r="2295">
      <c r="E2295" s="78"/>
      <c r="G2295" s="78"/>
      <c r="I2295" s="80"/>
      <c r="K2295" s="71"/>
      <c r="N2295" s="109"/>
      <c r="Q2295" s="78"/>
      <c r="R2295" s="78"/>
      <c r="S2295" s="80"/>
      <c r="T2295" s="80"/>
      <c r="V2295" s="78"/>
      <c r="W2295" s="62"/>
      <c r="X2295" s="80"/>
      <c r="Y2295" s="109"/>
    </row>
    <row r="2296">
      <c r="E2296" s="78"/>
      <c r="G2296" s="78"/>
      <c r="I2296" s="80"/>
      <c r="K2296" s="71"/>
      <c r="N2296" s="109"/>
      <c r="Q2296" s="78"/>
      <c r="R2296" s="78"/>
      <c r="S2296" s="80"/>
      <c r="T2296" s="80"/>
      <c r="V2296" s="78"/>
      <c r="W2296" s="62"/>
      <c r="X2296" s="80"/>
      <c r="Y2296" s="109"/>
    </row>
    <row r="2297">
      <c r="E2297" s="78"/>
      <c r="G2297" s="78"/>
      <c r="I2297" s="80"/>
      <c r="K2297" s="71"/>
      <c r="N2297" s="109"/>
      <c r="Q2297" s="78"/>
      <c r="R2297" s="78"/>
      <c r="S2297" s="80"/>
      <c r="T2297" s="80"/>
      <c r="V2297" s="78"/>
      <c r="W2297" s="62"/>
      <c r="X2297" s="80"/>
      <c r="Y2297" s="109"/>
    </row>
    <row r="2298">
      <c r="E2298" s="78"/>
      <c r="G2298" s="78"/>
      <c r="I2298" s="80"/>
      <c r="K2298" s="71"/>
      <c r="N2298" s="109"/>
      <c r="Q2298" s="78"/>
      <c r="R2298" s="78"/>
      <c r="S2298" s="80"/>
      <c r="T2298" s="80"/>
      <c r="V2298" s="78"/>
      <c r="W2298" s="62"/>
      <c r="X2298" s="80"/>
      <c r="Y2298" s="109"/>
    </row>
    <row r="2299">
      <c r="E2299" s="78"/>
      <c r="G2299" s="78"/>
      <c r="I2299" s="80"/>
      <c r="K2299" s="71"/>
      <c r="N2299" s="109"/>
      <c r="Q2299" s="78"/>
      <c r="R2299" s="78"/>
      <c r="S2299" s="80"/>
      <c r="T2299" s="80"/>
      <c r="V2299" s="78"/>
      <c r="W2299" s="62"/>
      <c r="X2299" s="80"/>
      <c r="Y2299" s="109"/>
    </row>
    <row r="2300">
      <c r="E2300" s="78"/>
      <c r="G2300" s="78"/>
      <c r="I2300" s="80"/>
      <c r="K2300" s="71"/>
      <c r="N2300" s="109"/>
      <c r="Q2300" s="78"/>
      <c r="R2300" s="78"/>
      <c r="S2300" s="80"/>
      <c r="T2300" s="80"/>
      <c r="V2300" s="78"/>
      <c r="W2300" s="62"/>
      <c r="X2300" s="80"/>
      <c r="Y2300" s="109"/>
    </row>
    <row r="2301">
      <c r="E2301" s="78"/>
      <c r="G2301" s="78"/>
      <c r="I2301" s="80"/>
      <c r="K2301" s="71"/>
      <c r="N2301" s="109"/>
      <c r="Q2301" s="78"/>
      <c r="R2301" s="78"/>
      <c r="S2301" s="80"/>
      <c r="T2301" s="80"/>
      <c r="V2301" s="78"/>
      <c r="W2301" s="62"/>
      <c r="X2301" s="80"/>
      <c r="Y2301" s="109"/>
    </row>
    <row r="2302">
      <c r="E2302" s="78"/>
      <c r="G2302" s="78"/>
      <c r="I2302" s="80"/>
      <c r="K2302" s="71"/>
      <c r="N2302" s="109"/>
      <c r="Q2302" s="78"/>
      <c r="R2302" s="78"/>
      <c r="S2302" s="80"/>
      <c r="T2302" s="80"/>
      <c r="V2302" s="78"/>
      <c r="W2302" s="62"/>
      <c r="X2302" s="80"/>
      <c r="Y2302" s="109"/>
    </row>
    <row r="2303">
      <c r="E2303" s="78"/>
      <c r="G2303" s="78"/>
      <c r="I2303" s="80"/>
      <c r="K2303" s="71"/>
      <c r="N2303" s="109"/>
      <c r="Q2303" s="78"/>
      <c r="R2303" s="78"/>
      <c r="S2303" s="80"/>
      <c r="T2303" s="80"/>
      <c r="V2303" s="78"/>
      <c r="W2303" s="62"/>
      <c r="X2303" s="80"/>
      <c r="Y2303" s="109"/>
    </row>
    <row r="2304">
      <c r="E2304" s="78"/>
      <c r="G2304" s="78"/>
      <c r="I2304" s="80"/>
      <c r="K2304" s="71"/>
      <c r="N2304" s="109"/>
      <c r="Q2304" s="78"/>
      <c r="R2304" s="78"/>
      <c r="S2304" s="80"/>
      <c r="T2304" s="80"/>
      <c r="V2304" s="78"/>
      <c r="W2304" s="62"/>
      <c r="X2304" s="80"/>
      <c r="Y2304" s="109"/>
    </row>
    <row r="2305">
      <c r="E2305" s="78"/>
      <c r="G2305" s="78"/>
      <c r="I2305" s="80"/>
      <c r="K2305" s="71"/>
      <c r="N2305" s="109"/>
      <c r="Q2305" s="78"/>
      <c r="R2305" s="78"/>
      <c r="S2305" s="80"/>
      <c r="T2305" s="80"/>
      <c r="V2305" s="78"/>
      <c r="W2305" s="62"/>
      <c r="X2305" s="80"/>
      <c r="Y2305" s="109"/>
    </row>
    <row r="2306">
      <c r="E2306" s="78"/>
      <c r="G2306" s="78"/>
      <c r="I2306" s="80"/>
      <c r="K2306" s="71"/>
      <c r="N2306" s="109"/>
      <c r="Q2306" s="78"/>
      <c r="R2306" s="78"/>
      <c r="S2306" s="80"/>
      <c r="T2306" s="80"/>
      <c r="V2306" s="78"/>
      <c r="W2306" s="62"/>
      <c r="X2306" s="80"/>
      <c r="Y2306" s="109"/>
    </row>
    <row r="2307">
      <c r="E2307" s="78"/>
      <c r="G2307" s="78"/>
      <c r="I2307" s="80"/>
      <c r="K2307" s="71"/>
      <c r="N2307" s="109"/>
      <c r="Q2307" s="78"/>
      <c r="R2307" s="78"/>
      <c r="S2307" s="80"/>
      <c r="T2307" s="80"/>
      <c r="V2307" s="78"/>
      <c r="W2307" s="62"/>
      <c r="X2307" s="80"/>
      <c r="Y2307" s="109"/>
    </row>
    <row r="2308">
      <c r="E2308" s="78"/>
      <c r="G2308" s="78"/>
      <c r="I2308" s="80"/>
      <c r="K2308" s="71"/>
      <c r="N2308" s="109"/>
      <c r="Q2308" s="78"/>
      <c r="R2308" s="78"/>
      <c r="S2308" s="80"/>
      <c r="T2308" s="80"/>
      <c r="V2308" s="78"/>
      <c r="W2308" s="62"/>
      <c r="X2308" s="80"/>
      <c r="Y2308" s="109"/>
    </row>
    <row r="2309">
      <c r="E2309" s="78"/>
      <c r="G2309" s="78"/>
      <c r="I2309" s="80"/>
      <c r="K2309" s="71"/>
      <c r="N2309" s="109"/>
      <c r="Q2309" s="78"/>
      <c r="R2309" s="78"/>
      <c r="S2309" s="80"/>
      <c r="T2309" s="80"/>
      <c r="V2309" s="78"/>
      <c r="W2309" s="62"/>
      <c r="X2309" s="80"/>
      <c r="Y2309" s="109"/>
    </row>
    <row r="2310">
      <c r="E2310" s="78"/>
      <c r="G2310" s="78"/>
      <c r="I2310" s="80"/>
      <c r="K2310" s="71"/>
      <c r="N2310" s="109"/>
      <c r="Q2310" s="78"/>
      <c r="R2310" s="78"/>
      <c r="S2310" s="80"/>
      <c r="T2310" s="80"/>
      <c r="V2310" s="78"/>
      <c r="W2310" s="62"/>
      <c r="X2310" s="80"/>
      <c r="Y2310" s="109"/>
    </row>
    <row r="2311">
      <c r="E2311" s="78"/>
      <c r="G2311" s="78"/>
      <c r="I2311" s="80"/>
      <c r="K2311" s="71"/>
      <c r="N2311" s="109"/>
      <c r="Q2311" s="78"/>
      <c r="R2311" s="78"/>
      <c r="S2311" s="80"/>
      <c r="T2311" s="80"/>
      <c r="V2311" s="78"/>
      <c r="W2311" s="62"/>
      <c r="X2311" s="80"/>
      <c r="Y2311" s="109"/>
    </row>
    <row r="2312">
      <c r="E2312" s="78"/>
      <c r="G2312" s="78"/>
      <c r="I2312" s="80"/>
      <c r="K2312" s="71"/>
      <c r="N2312" s="109"/>
      <c r="Q2312" s="78"/>
      <c r="R2312" s="78"/>
      <c r="S2312" s="80"/>
      <c r="T2312" s="80"/>
      <c r="V2312" s="78"/>
      <c r="W2312" s="62"/>
      <c r="X2312" s="80"/>
      <c r="Y2312" s="109"/>
    </row>
    <row r="2313">
      <c r="E2313" s="78"/>
      <c r="G2313" s="78"/>
      <c r="I2313" s="80"/>
      <c r="K2313" s="71"/>
      <c r="N2313" s="109"/>
      <c r="Q2313" s="78"/>
      <c r="R2313" s="78"/>
      <c r="S2313" s="80"/>
      <c r="T2313" s="80"/>
      <c r="V2313" s="78"/>
      <c r="W2313" s="62"/>
      <c r="X2313" s="80"/>
      <c r="Y2313" s="109"/>
    </row>
    <row r="2314">
      <c r="E2314" s="78"/>
      <c r="G2314" s="78"/>
      <c r="I2314" s="80"/>
      <c r="K2314" s="71"/>
      <c r="N2314" s="109"/>
      <c r="Q2314" s="78"/>
      <c r="R2314" s="78"/>
      <c r="S2314" s="80"/>
      <c r="T2314" s="80"/>
      <c r="V2314" s="78"/>
      <c r="W2314" s="62"/>
      <c r="X2314" s="80"/>
      <c r="Y2314" s="109"/>
    </row>
    <row r="2315">
      <c r="E2315" s="78"/>
      <c r="G2315" s="78"/>
      <c r="I2315" s="80"/>
      <c r="K2315" s="71"/>
      <c r="N2315" s="109"/>
      <c r="Q2315" s="78"/>
      <c r="R2315" s="78"/>
      <c r="S2315" s="80"/>
      <c r="T2315" s="80"/>
      <c r="V2315" s="78"/>
      <c r="W2315" s="62"/>
      <c r="X2315" s="80"/>
      <c r="Y2315" s="109"/>
    </row>
    <row r="2316">
      <c r="E2316" s="78"/>
      <c r="G2316" s="78"/>
      <c r="I2316" s="80"/>
      <c r="K2316" s="71"/>
      <c r="N2316" s="109"/>
      <c r="Q2316" s="78"/>
      <c r="R2316" s="78"/>
      <c r="S2316" s="80"/>
      <c r="T2316" s="80"/>
      <c r="V2316" s="78"/>
      <c r="W2316" s="62"/>
      <c r="X2316" s="80"/>
      <c r="Y2316" s="109"/>
    </row>
    <row r="2317">
      <c r="E2317" s="78"/>
      <c r="G2317" s="78"/>
      <c r="I2317" s="80"/>
      <c r="K2317" s="71"/>
      <c r="N2317" s="109"/>
      <c r="Q2317" s="78"/>
      <c r="R2317" s="78"/>
      <c r="S2317" s="80"/>
      <c r="T2317" s="80"/>
      <c r="V2317" s="78"/>
      <c r="W2317" s="62"/>
      <c r="X2317" s="80"/>
      <c r="Y2317" s="109"/>
    </row>
    <row r="2318">
      <c r="E2318" s="78"/>
      <c r="G2318" s="78"/>
      <c r="I2318" s="80"/>
      <c r="K2318" s="71"/>
      <c r="N2318" s="109"/>
      <c r="Q2318" s="78"/>
      <c r="R2318" s="78"/>
      <c r="S2318" s="80"/>
      <c r="T2318" s="80"/>
      <c r="V2318" s="78"/>
      <c r="W2318" s="62"/>
      <c r="X2318" s="80"/>
      <c r="Y2318" s="109"/>
    </row>
    <row r="2319">
      <c r="E2319" s="78"/>
      <c r="G2319" s="78"/>
      <c r="I2319" s="80"/>
      <c r="K2319" s="71"/>
      <c r="N2319" s="109"/>
      <c r="Q2319" s="78"/>
      <c r="R2319" s="78"/>
      <c r="S2319" s="80"/>
      <c r="T2319" s="80"/>
      <c r="V2319" s="78"/>
      <c r="W2319" s="62"/>
      <c r="X2319" s="80"/>
      <c r="Y2319" s="109"/>
    </row>
    <row r="2320">
      <c r="E2320" s="78"/>
      <c r="G2320" s="78"/>
      <c r="I2320" s="80"/>
      <c r="K2320" s="71"/>
      <c r="N2320" s="109"/>
      <c r="Q2320" s="78"/>
      <c r="R2320" s="78"/>
      <c r="S2320" s="80"/>
      <c r="T2320" s="80"/>
      <c r="V2320" s="78"/>
      <c r="W2320" s="62"/>
      <c r="X2320" s="80"/>
      <c r="Y2320" s="109"/>
    </row>
    <row r="2321">
      <c r="E2321" s="78"/>
      <c r="G2321" s="78"/>
      <c r="I2321" s="80"/>
      <c r="K2321" s="71"/>
      <c r="N2321" s="109"/>
      <c r="Q2321" s="78"/>
      <c r="R2321" s="78"/>
      <c r="S2321" s="80"/>
      <c r="T2321" s="80"/>
      <c r="V2321" s="78"/>
      <c r="W2321" s="62"/>
      <c r="X2321" s="80"/>
      <c r="Y2321" s="109"/>
    </row>
    <row r="2322">
      <c r="E2322" s="78"/>
      <c r="G2322" s="78"/>
      <c r="I2322" s="80"/>
      <c r="K2322" s="71"/>
      <c r="N2322" s="109"/>
      <c r="Q2322" s="78"/>
      <c r="R2322" s="78"/>
      <c r="S2322" s="80"/>
      <c r="T2322" s="80"/>
      <c r="V2322" s="78"/>
      <c r="W2322" s="62"/>
      <c r="X2322" s="80"/>
      <c r="Y2322" s="109"/>
    </row>
    <row r="2323">
      <c r="E2323" s="78"/>
      <c r="G2323" s="78"/>
      <c r="I2323" s="80"/>
      <c r="K2323" s="71"/>
      <c r="N2323" s="109"/>
      <c r="Q2323" s="78"/>
      <c r="R2323" s="78"/>
      <c r="S2323" s="80"/>
      <c r="T2323" s="80"/>
      <c r="V2323" s="78"/>
      <c r="W2323" s="62"/>
      <c r="X2323" s="80"/>
      <c r="Y2323" s="109"/>
    </row>
    <row r="2324">
      <c r="E2324" s="78"/>
      <c r="G2324" s="78"/>
      <c r="I2324" s="80"/>
      <c r="K2324" s="71"/>
      <c r="N2324" s="109"/>
      <c r="Q2324" s="78"/>
      <c r="R2324" s="78"/>
      <c r="S2324" s="80"/>
      <c r="T2324" s="80"/>
      <c r="V2324" s="78"/>
      <c r="W2324" s="62"/>
      <c r="X2324" s="80"/>
      <c r="Y2324" s="109"/>
    </row>
    <row r="2325">
      <c r="E2325" s="78"/>
      <c r="G2325" s="78"/>
      <c r="I2325" s="80"/>
      <c r="K2325" s="71"/>
      <c r="N2325" s="109"/>
      <c r="Q2325" s="78"/>
      <c r="R2325" s="78"/>
      <c r="S2325" s="80"/>
      <c r="T2325" s="80"/>
      <c r="V2325" s="78"/>
      <c r="W2325" s="62"/>
      <c r="X2325" s="80"/>
      <c r="Y2325" s="109"/>
    </row>
    <row r="2326">
      <c r="E2326" s="78"/>
      <c r="G2326" s="78"/>
      <c r="I2326" s="80"/>
      <c r="K2326" s="71"/>
      <c r="N2326" s="109"/>
      <c r="Q2326" s="78"/>
      <c r="R2326" s="78"/>
      <c r="S2326" s="80"/>
      <c r="T2326" s="80"/>
      <c r="V2326" s="78"/>
      <c r="W2326" s="62"/>
      <c r="X2326" s="80"/>
      <c r="Y2326" s="109"/>
    </row>
    <row r="2327">
      <c r="E2327" s="78"/>
      <c r="G2327" s="78"/>
      <c r="I2327" s="80"/>
      <c r="K2327" s="71"/>
      <c r="N2327" s="109"/>
      <c r="Q2327" s="78"/>
      <c r="R2327" s="78"/>
      <c r="S2327" s="80"/>
      <c r="T2327" s="80"/>
      <c r="V2327" s="78"/>
      <c r="W2327" s="62"/>
      <c r="X2327" s="80"/>
      <c r="Y2327" s="109"/>
    </row>
    <row r="2328">
      <c r="E2328" s="78"/>
      <c r="G2328" s="78"/>
      <c r="I2328" s="80"/>
      <c r="K2328" s="71"/>
      <c r="N2328" s="109"/>
      <c r="Q2328" s="78"/>
      <c r="R2328" s="78"/>
      <c r="S2328" s="80"/>
      <c r="T2328" s="80"/>
      <c r="V2328" s="78"/>
      <c r="W2328" s="62"/>
      <c r="X2328" s="80"/>
      <c r="Y2328" s="109"/>
    </row>
    <row r="2329">
      <c r="E2329" s="78"/>
      <c r="G2329" s="78"/>
      <c r="I2329" s="80"/>
      <c r="K2329" s="71"/>
      <c r="N2329" s="109"/>
      <c r="Q2329" s="78"/>
      <c r="R2329" s="78"/>
      <c r="S2329" s="80"/>
      <c r="T2329" s="80"/>
      <c r="V2329" s="78"/>
      <c r="W2329" s="62"/>
      <c r="X2329" s="80"/>
      <c r="Y2329" s="109"/>
    </row>
    <row r="2330">
      <c r="E2330" s="78"/>
      <c r="G2330" s="78"/>
      <c r="I2330" s="80"/>
      <c r="K2330" s="71"/>
      <c r="N2330" s="109"/>
      <c r="Q2330" s="78"/>
      <c r="R2330" s="78"/>
      <c r="S2330" s="80"/>
      <c r="T2330" s="80"/>
      <c r="V2330" s="78"/>
      <c r="W2330" s="62"/>
      <c r="X2330" s="80"/>
      <c r="Y2330" s="109"/>
    </row>
    <row r="2331">
      <c r="E2331" s="78"/>
      <c r="G2331" s="78"/>
      <c r="I2331" s="80"/>
      <c r="K2331" s="71"/>
      <c r="N2331" s="109"/>
      <c r="Q2331" s="78"/>
      <c r="R2331" s="78"/>
      <c r="S2331" s="80"/>
      <c r="T2331" s="80"/>
      <c r="V2331" s="78"/>
      <c r="W2331" s="62"/>
      <c r="X2331" s="80"/>
      <c r="Y2331" s="109"/>
    </row>
    <row r="2332">
      <c r="E2332" s="78"/>
      <c r="G2332" s="78"/>
      <c r="I2332" s="80"/>
      <c r="K2332" s="71"/>
      <c r="N2332" s="109"/>
      <c r="Q2332" s="78"/>
      <c r="R2332" s="78"/>
      <c r="S2332" s="80"/>
      <c r="T2332" s="80"/>
      <c r="V2332" s="78"/>
      <c r="W2332" s="62"/>
      <c r="X2332" s="80"/>
      <c r="Y2332" s="109"/>
    </row>
    <row r="2333">
      <c r="E2333" s="78"/>
      <c r="G2333" s="78"/>
      <c r="I2333" s="80"/>
      <c r="K2333" s="71"/>
      <c r="N2333" s="109"/>
      <c r="Q2333" s="78"/>
      <c r="R2333" s="78"/>
      <c r="S2333" s="80"/>
      <c r="T2333" s="80"/>
      <c r="V2333" s="78"/>
      <c r="W2333" s="62"/>
      <c r="X2333" s="80"/>
      <c r="Y2333" s="109"/>
    </row>
    <row r="2334">
      <c r="E2334" s="78"/>
      <c r="G2334" s="78"/>
      <c r="I2334" s="80"/>
      <c r="K2334" s="71"/>
      <c r="N2334" s="109"/>
      <c r="Q2334" s="78"/>
      <c r="R2334" s="78"/>
      <c r="S2334" s="80"/>
      <c r="T2334" s="80"/>
      <c r="V2334" s="78"/>
      <c r="W2334" s="62"/>
      <c r="X2334" s="80"/>
      <c r="Y2334" s="109"/>
    </row>
    <row r="2335">
      <c r="E2335" s="78"/>
      <c r="G2335" s="78"/>
      <c r="I2335" s="80"/>
      <c r="K2335" s="71"/>
      <c r="N2335" s="109"/>
      <c r="Q2335" s="78"/>
      <c r="R2335" s="78"/>
      <c r="S2335" s="80"/>
      <c r="T2335" s="80"/>
      <c r="V2335" s="78"/>
      <c r="W2335" s="62"/>
      <c r="X2335" s="80"/>
      <c r="Y2335" s="109"/>
    </row>
    <row r="2336">
      <c r="E2336" s="78"/>
      <c r="G2336" s="78"/>
      <c r="I2336" s="80"/>
      <c r="K2336" s="71"/>
      <c r="N2336" s="109"/>
      <c r="Q2336" s="78"/>
      <c r="R2336" s="78"/>
      <c r="S2336" s="80"/>
      <c r="T2336" s="80"/>
      <c r="V2336" s="78"/>
      <c r="W2336" s="62"/>
      <c r="X2336" s="80"/>
      <c r="Y2336" s="109"/>
    </row>
    <row r="2337">
      <c r="E2337" s="78"/>
      <c r="G2337" s="78"/>
      <c r="I2337" s="80"/>
      <c r="K2337" s="71"/>
      <c r="N2337" s="109"/>
      <c r="Q2337" s="78"/>
      <c r="R2337" s="78"/>
      <c r="S2337" s="80"/>
      <c r="T2337" s="80"/>
      <c r="V2337" s="78"/>
      <c r="W2337" s="62"/>
      <c r="X2337" s="80"/>
      <c r="Y2337" s="109"/>
    </row>
    <row r="2338">
      <c r="E2338" s="78"/>
      <c r="G2338" s="78"/>
      <c r="I2338" s="80"/>
      <c r="K2338" s="71"/>
      <c r="N2338" s="109"/>
      <c r="Q2338" s="78"/>
      <c r="R2338" s="78"/>
      <c r="S2338" s="80"/>
      <c r="T2338" s="80"/>
      <c r="V2338" s="78"/>
      <c r="W2338" s="62"/>
      <c r="X2338" s="80"/>
      <c r="Y2338" s="109"/>
    </row>
    <row r="2339">
      <c r="E2339" s="78"/>
      <c r="G2339" s="78"/>
      <c r="I2339" s="80"/>
      <c r="K2339" s="71"/>
      <c r="N2339" s="109"/>
      <c r="Q2339" s="78"/>
      <c r="R2339" s="78"/>
      <c r="S2339" s="80"/>
      <c r="T2339" s="80"/>
      <c r="V2339" s="78"/>
      <c r="W2339" s="62"/>
      <c r="X2339" s="80"/>
      <c r="Y2339" s="109"/>
    </row>
    <row r="2340">
      <c r="E2340" s="78"/>
      <c r="G2340" s="78"/>
      <c r="I2340" s="80"/>
      <c r="K2340" s="71"/>
      <c r="N2340" s="109"/>
      <c r="Q2340" s="78"/>
      <c r="R2340" s="78"/>
      <c r="S2340" s="80"/>
      <c r="T2340" s="80"/>
      <c r="V2340" s="78"/>
      <c r="W2340" s="62"/>
      <c r="X2340" s="80"/>
      <c r="Y2340" s="109"/>
    </row>
    <row r="2341">
      <c r="E2341" s="78"/>
      <c r="G2341" s="78"/>
      <c r="I2341" s="80"/>
      <c r="K2341" s="71"/>
      <c r="N2341" s="109"/>
      <c r="Q2341" s="78"/>
      <c r="R2341" s="78"/>
      <c r="S2341" s="80"/>
      <c r="T2341" s="80"/>
      <c r="V2341" s="78"/>
      <c r="W2341" s="62"/>
      <c r="X2341" s="80"/>
      <c r="Y2341" s="109"/>
    </row>
    <row r="2342">
      <c r="E2342" s="78"/>
      <c r="G2342" s="78"/>
      <c r="I2342" s="80"/>
      <c r="K2342" s="71"/>
      <c r="N2342" s="109"/>
      <c r="Q2342" s="78"/>
      <c r="R2342" s="78"/>
      <c r="S2342" s="80"/>
      <c r="T2342" s="80"/>
      <c r="V2342" s="78"/>
      <c r="W2342" s="62"/>
      <c r="X2342" s="80"/>
      <c r="Y2342" s="109"/>
    </row>
    <row r="2343">
      <c r="E2343" s="78"/>
      <c r="G2343" s="78"/>
      <c r="I2343" s="80"/>
      <c r="K2343" s="71"/>
      <c r="N2343" s="109"/>
      <c r="Q2343" s="78"/>
      <c r="R2343" s="78"/>
      <c r="S2343" s="80"/>
      <c r="T2343" s="80"/>
      <c r="V2343" s="78"/>
      <c r="W2343" s="62"/>
      <c r="X2343" s="80"/>
      <c r="Y2343" s="109"/>
    </row>
    <row r="2344">
      <c r="E2344" s="78"/>
      <c r="G2344" s="78"/>
      <c r="I2344" s="80"/>
      <c r="K2344" s="71"/>
      <c r="N2344" s="109"/>
      <c r="Q2344" s="78"/>
      <c r="R2344" s="78"/>
      <c r="S2344" s="80"/>
      <c r="T2344" s="80"/>
      <c r="V2344" s="78"/>
      <c r="W2344" s="62"/>
      <c r="X2344" s="80"/>
      <c r="Y2344" s="109"/>
    </row>
    <row r="2345">
      <c r="E2345" s="78"/>
      <c r="G2345" s="78"/>
      <c r="I2345" s="80"/>
      <c r="K2345" s="71"/>
      <c r="N2345" s="109"/>
      <c r="Q2345" s="78"/>
      <c r="R2345" s="78"/>
      <c r="S2345" s="80"/>
      <c r="T2345" s="80"/>
      <c r="V2345" s="78"/>
      <c r="W2345" s="62"/>
      <c r="X2345" s="80"/>
      <c r="Y2345" s="109"/>
    </row>
    <row r="2346">
      <c r="E2346" s="78"/>
      <c r="G2346" s="78"/>
      <c r="I2346" s="80"/>
      <c r="K2346" s="71"/>
      <c r="N2346" s="109"/>
      <c r="Q2346" s="78"/>
      <c r="R2346" s="78"/>
      <c r="S2346" s="80"/>
      <c r="T2346" s="80"/>
      <c r="V2346" s="78"/>
      <c r="W2346" s="62"/>
      <c r="X2346" s="80"/>
      <c r="Y2346" s="109"/>
    </row>
    <row r="2347">
      <c r="E2347" s="78"/>
      <c r="G2347" s="78"/>
      <c r="I2347" s="80"/>
      <c r="K2347" s="71"/>
      <c r="N2347" s="109"/>
      <c r="Q2347" s="78"/>
      <c r="R2347" s="78"/>
      <c r="S2347" s="80"/>
      <c r="T2347" s="80"/>
      <c r="V2347" s="78"/>
      <c r="W2347" s="62"/>
      <c r="X2347" s="80"/>
      <c r="Y2347" s="109"/>
    </row>
    <row r="2348">
      <c r="E2348" s="78"/>
      <c r="G2348" s="78"/>
      <c r="I2348" s="80"/>
      <c r="K2348" s="71"/>
      <c r="N2348" s="109"/>
      <c r="Q2348" s="78"/>
      <c r="R2348" s="78"/>
      <c r="S2348" s="80"/>
      <c r="T2348" s="80"/>
      <c r="V2348" s="78"/>
      <c r="W2348" s="62"/>
      <c r="X2348" s="80"/>
      <c r="Y2348" s="109"/>
    </row>
    <row r="2349">
      <c r="E2349" s="78"/>
      <c r="G2349" s="78"/>
      <c r="I2349" s="80"/>
      <c r="K2349" s="71"/>
      <c r="N2349" s="109"/>
      <c r="Q2349" s="78"/>
      <c r="R2349" s="78"/>
      <c r="S2349" s="80"/>
      <c r="T2349" s="80"/>
      <c r="V2349" s="78"/>
      <c r="W2349" s="62"/>
      <c r="X2349" s="80"/>
      <c r="Y2349" s="109"/>
    </row>
    <row r="2350">
      <c r="E2350" s="78"/>
      <c r="G2350" s="78"/>
      <c r="I2350" s="80"/>
      <c r="K2350" s="71"/>
      <c r="N2350" s="109"/>
      <c r="Q2350" s="78"/>
      <c r="R2350" s="78"/>
      <c r="S2350" s="80"/>
      <c r="T2350" s="80"/>
      <c r="V2350" s="78"/>
      <c r="W2350" s="62"/>
      <c r="X2350" s="80"/>
      <c r="Y2350" s="109"/>
    </row>
    <row r="2351">
      <c r="E2351" s="78"/>
      <c r="G2351" s="78"/>
      <c r="I2351" s="80"/>
      <c r="K2351" s="71"/>
      <c r="N2351" s="109"/>
      <c r="Q2351" s="78"/>
      <c r="R2351" s="78"/>
      <c r="S2351" s="80"/>
      <c r="T2351" s="80"/>
      <c r="V2351" s="78"/>
      <c r="W2351" s="62"/>
      <c r="X2351" s="80"/>
      <c r="Y2351" s="109"/>
    </row>
    <row r="2352">
      <c r="E2352" s="78"/>
      <c r="G2352" s="78"/>
      <c r="I2352" s="80"/>
      <c r="K2352" s="71"/>
      <c r="N2352" s="109"/>
      <c r="Q2352" s="78"/>
      <c r="R2352" s="78"/>
      <c r="S2352" s="80"/>
      <c r="T2352" s="80"/>
      <c r="V2352" s="78"/>
      <c r="W2352" s="62"/>
      <c r="X2352" s="80"/>
      <c r="Y2352" s="109"/>
    </row>
    <row r="2353">
      <c r="E2353" s="78"/>
      <c r="G2353" s="78"/>
      <c r="I2353" s="80"/>
      <c r="K2353" s="71"/>
      <c r="N2353" s="109"/>
      <c r="Q2353" s="78"/>
      <c r="R2353" s="78"/>
      <c r="S2353" s="80"/>
      <c r="T2353" s="80"/>
      <c r="V2353" s="78"/>
      <c r="W2353" s="62"/>
      <c r="X2353" s="80"/>
      <c r="Y2353" s="109"/>
    </row>
    <row r="2354">
      <c r="E2354" s="78"/>
      <c r="G2354" s="78"/>
      <c r="I2354" s="80"/>
      <c r="K2354" s="71"/>
      <c r="N2354" s="109"/>
      <c r="Q2354" s="78"/>
      <c r="R2354" s="78"/>
      <c r="S2354" s="80"/>
      <c r="T2354" s="80"/>
      <c r="V2354" s="78"/>
      <c r="W2354" s="62"/>
      <c r="X2354" s="80"/>
      <c r="Y2354" s="109"/>
    </row>
    <row r="2355">
      <c r="E2355" s="78"/>
      <c r="G2355" s="78"/>
      <c r="I2355" s="80"/>
      <c r="K2355" s="71"/>
      <c r="N2355" s="109"/>
      <c r="Q2355" s="78"/>
      <c r="R2355" s="78"/>
      <c r="S2355" s="80"/>
      <c r="T2355" s="80"/>
      <c r="V2355" s="78"/>
      <c r="W2355" s="62"/>
      <c r="X2355" s="80"/>
      <c r="Y2355" s="109"/>
    </row>
    <row r="2356">
      <c r="E2356" s="78"/>
      <c r="G2356" s="78"/>
      <c r="I2356" s="80"/>
      <c r="K2356" s="71"/>
      <c r="N2356" s="109"/>
      <c r="Q2356" s="78"/>
      <c r="R2356" s="78"/>
      <c r="S2356" s="80"/>
      <c r="T2356" s="80"/>
      <c r="V2356" s="78"/>
      <c r="W2356" s="62"/>
      <c r="X2356" s="80"/>
      <c r="Y2356" s="109"/>
    </row>
    <row r="2357">
      <c r="E2357" s="78"/>
      <c r="G2357" s="78"/>
      <c r="I2357" s="80"/>
      <c r="K2357" s="71"/>
      <c r="N2357" s="109"/>
      <c r="Q2357" s="78"/>
      <c r="R2357" s="78"/>
      <c r="S2357" s="80"/>
      <c r="T2357" s="80"/>
      <c r="V2357" s="78"/>
      <c r="W2357" s="62"/>
      <c r="X2357" s="80"/>
      <c r="Y2357" s="109"/>
    </row>
    <row r="2358">
      <c r="E2358" s="78"/>
      <c r="G2358" s="78"/>
      <c r="I2358" s="80"/>
      <c r="K2358" s="71"/>
      <c r="N2358" s="109"/>
      <c r="Q2358" s="78"/>
      <c r="R2358" s="78"/>
      <c r="S2358" s="80"/>
      <c r="T2358" s="80"/>
      <c r="V2358" s="78"/>
      <c r="W2358" s="62"/>
      <c r="X2358" s="80"/>
      <c r="Y2358" s="109"/>
    </row>
    <row r="2359">
      <c r="E2359" s="78"/>
      <c r="G2359" s="78"/>
      <c r="I2359" s="80"/>
      <c r="K2359" s="71"/>
      <c r="N2359" s="109"/>
      <c r="Q2359" s="78"/>
      <c r="R2359" s="78"/>
      <c r="S2359" s="80"/>
      <c r="T2359" s="80"/>
      <c r="V2359" s="78"/>
      <c r="W2359" s="62"/>
      <c r="X2359" s="80"/>
      <c r="Y2359" s="109"/>
    </row>
    <row r="2360">
      <c r="E2360" s="78"/>
      <c r="G2360" s="78"/>
      <c r="I2360" s="80"/>
      <c r="K2360" s="71"/>
      <c r="N2360" s="109"/>
      <c r="Q2360" s="78"/>
      <c r="R2360" s="78"/>
      <c r="S2360" s="80"/>
      <c r="T2360" s="80"/>
      <c r="V2360" s="78"/>
      <c r="W2360" s="62"/>
      <c r="X2360" s="80"/>
      <c r="Y2360" s="109"/>
    </row>
    <row r="2361">
      <c r="E2361" s="78"/>
      <c r="G2361" s="78"/>
      <c r="I2361" s="80"/>
      <c r="K2361" s="71"/>
      <c r="N2361" s="109"/>
      <c r="Q2361" s="78"/>
      <c r="R2361" s="78"/>
      <c r="S2361" s="80"/>
      <c r="T2361" s="80"/>
      <c r="V2361" s="78"/>
      <c r="W2361" s="62"/>
      <c r="X2361" s="80"/>
      <c r="Y2361" s="109"/>
    </row>
    <row r="2362">
      <c r="E2362" s="78"/>
      <c r="G2362" s="78"/>
      <c r="I2362" s="80"/>
      <c r="K2362" s="71"/>
      <c r="N2362" s="109"/>
      <c r="Q2362" s="78"/>
      <c r="R2362" s="78"/>
      <c r="S2362" s="80"/>
      <c r="T2362" s="80"/>
      <c r="V2362" s="78"/>
      <c r="W2362" s="62"/>
      <c r="X2362" s="80"/>
      <c r="Y2362" s="109"/>
    </row>
    <row r="2363">
      <c r="E2363" s="78"/>
      <c r="G2363" s="78"/>
      <c r="I2363" s="80"/>
      <c r="K2363" s="71"/>
      <c r="N2363" s="109"/>
      <c r="Q2363" s="78"/>
      <c r="R2363" s="78"/>
      <c r="S2363" s="80"/>
      <c r="T2363" s="80"/>
      <c r="V2363" s="78"/>
      <c r="W2363" s="62"/>
      <c r="X2363" s="80"/>
      <c r="Y2363" s="109"/>
    </row>
    <row r="2364">
      <c r="E2364" s="78"/>
      <c r="G2364" s="78"/>
      <c r="I2364" s="80"/>
      <c r="K2364" s="71"/>
      <c r="N2364" s="109"/>
      <c r="Q2364" s="78"/>
      <c r="R2364" s="78"/>
      <c r="S2364" s="80"/>
      <c r="T2364" s="80"/>
      <c r="V2364" s="78"/>
      <c r="W2364" s="62"/>
      <c r="X2364" s="80"/>
      <c r="Y2364" s="109"/>
    </row>
    <row r="2365">
      <c r="E2365" s="78"/>
      <c r="G2365" s="78"/>
      <c r="I2365" s="80"/>
      <c r="K2365" s="71"/>
      <c r="N2365" s="109"/>
      <c r="Q2365" s="78"/>
      <c r="R2365" s="78"/>
      <c r="S2365" s="80"/>
      <c r="T2365" s="80"/>
      <c r="V2365" s="78"/>
      <c r="W2365" s="62"/>
      <c r="X2365" s="80"/>
      <c r="Y2365" s="109"/>
    </row>
    <row r="2366">
      <c r="E2366" s="78"/>
      <c r="G2366" s="78"/>
      <c r="I2366" s="80"/>
      <c r="K2366" s="71"/>
      <c r="N2366" s="109"/>
      <c r="Q2366" s="78"/>
      <c r="R2366" s="78"/>
      <c r="S2366" s="80"/>
      <c r="T2366" s="80"/>
      <c r="V2366" s="78"/>
      <c r="W2366" s="62"/>
      <c r="X2366" s="80"/>
      <c r="Y2366" s="109"/>
    </row>
    <row r="2367">
      <c r="E2367" s="78"/>
      <c r="G2367" s="78"/>
      <c r="I2367" s="80"/>
      <c r="K2367" s="71"/>
      <c r="N2367" s="109"/>
      <c r="Q2367" s="78"/>
      <c r="R2367" s="78"/>
      <c r="S2367" s="80"/>
      <c r="T2367" s="80"/>
      <c r="V2367" s="78"/>
      <c r="W2367" s="62"/>
      <c r="X2367" s="80"/>
      <c r="Y2367" s="109"/>
    </row>
    <row r="2368">
      <c r="E2368" s="78"/>
      <c r="G2368" s="78"/>
      <c r="I2368" s="80"/>
      <c r="K2368" s="71"/>
      <c r="N2368" s="109"/>
      <c r="Q2368" s="78"/>
      <c r="R2368" s="78"/>
      <c r="S2368" s="80"/>
      <c r="T2368" s="80"/>
      <c r="V2368" s="78"/>
      <c r="W2368" s="62"/>
      <c r="X2368" s="80"/>
      <c r="Y2368" s="109"/>
    </row>
    <row r="2369">
      <c r="E2369" s="78"/>
      <c r="G2369" s="78"/>
      <c r="I2369" s="80"/>
      <c r="K2369" s="71"/>
      <c r="N2369" s="109"/>
      <c r="Q2369" s="78"/>
      <c r="R2369" s="78"/>
      <c r="S2369" s="80"/>
      <c r="T2369" s="80"/>
      <c r="V2369" s="78"/>
      <c r="W2369" s="62"/>
      <c r="X2369" s="80"/>
      <c r="Y2369" s="109"/>
    </row>
    <row r="2370">
      <c r="E2370" s="78"/>
      <c r="G2370" s="78"/>
      <c r="I2370" s="80"/>
      <c r="K2370" s="71"/>
      <c r="N2370" s="109"/>
      <c r="Q2370" s="78"/>
      <c r="R2370" s="78"/>
      <c r="S2370" s="80"/>
      <c r="T2370" s="80"/>
      <c r="V2370" s="78"/>
      <c r="W2370" s="62"/>
      <c r="X2370" s="80"/>
      <c r="Y2370" s="109"/>
    </row>
    <row r="2371">
      <c r="E2371" s="78"/>
      <c r="G2371" s="78"/>
      <c r="I2371" s="80"/>
      <c r="K2371" s="71"/>
      <c r="N2371" s="109"/>
      <c r="Q2371" s="78"/>
      <c r="R2371" s="78"/>
      <c r="S2371" s="80"/>
      <c r="T2371" s="80"/>
      <c r="V2371" s="78"/>
      <c r="W2371" s="62"/>
      <c r="X2371" s="80"/>
      <c r="Y2371" s="109"/>
    </row>
    <row r="2372">
      <c r="E2372" s="78"/>
      <c r="G2372" s="78"/>
      <c r="I2372" s="80"/>
      <c r="K2372" s="71"/>
      <c r="N2372" s="109"/>
      <c r="Q2372" s="78"/>
      <c r="R2372" s="78"/>
      <c r="S2372" s="80"/>
      <c r="T2372" s="80"/>
      <c r="V2372" s="78"/>
      <c r="W2372" s="62"/>
      <c r="X2372" s="80"/>
      <c r="Y2372" s="109"/>
    </row>
    <row r="2373">
      <c r="E2373" s="78"/>
      <c r="G2373" s="78"/>
      <c r="I2373" s="80"/>
      <c r="K2373" s="71"/>
      <c r="N2373" s="109"/>
      <c r="Q2373" s="78"/>
      <c r="R2373" s="78"/>
      <c r="S2373" s="80"/>
      <c r="T2373" s="80"/>
      <c r="V2373" s="78"/>
      <c r="W2373" s="62"/>
      <c r="X2373" s="80"/>
      <c r="Y2373" s="109"/>
    </row>
    <row r="2374">
      <c r="E2374" s="78"/>
      <c r="G2374" s="78"/>
      <c r="I2374" s="80"/>
      <c r="K2374" s="71"/>
      <c r="N2374" s="109"/>
      <c r="Q2374" s="78"/>
      <c r="R2374" s="78"/>
      <c r="S2374" s="80"/>
      <c r="T2374" s="80"/>
      <c r="V2374" s="78"/>
      <c r="W2374" s="62"/>
      <c r="X2374" s="80"/>
      <c r="Y2374" s="109"/>
    </row>
    <row r="2375">
      <c r="E2375" s="78"/>
      <c r="G2375" s="78"/>
      <c r="I2375" s="80"/>
      <c r="K2375" s="71"/>
      <c r="N2375" s="109"/>
      <c r="Q2375" s="78"/>
      <c r="R2375" s="78"/>
      <c r="S2375" s="80"/>
      <c r="T2375" s="80"/>
      <c r="V2375" s="78"/>
      <c r="W2375" s="62"/>
      <c r="X2375" s="80"/>
      <c r="Y2375" s="109"/>
    </row>
    <row r="2376">
      <c r="E2376" s="78"/>
      <c r="G2376" s="78"/>
      <c r="I2376" s="80"/>
      <c r="K2376" s="71"/>
      <c r="N2376" s="109"/>
      <c r="Q2376" s="78"/>
      <c r="R2376" s="78"/>
      <c r="S2376" s="80"/>
      <c r="T2376" s="80"/>
      <c r="V2376" s="78"/>
      <c r="W2376" s="62"/>
      <c r="X2376" s="80"/>
      <c r="Y2376" s="109"/>
    </row>
    <row r="2377">
      <c r="E2377" s="78"/>
      <c r="G2377" s="78"/>
      <c r="I2377" s="80"/>
      <c r="K2377" s="71"/>
      <c r="N2377" s="109"/>
      <c r="Q2377" s="78"/>
      <c r="R2377" s="78"/>
      <c r="S2377" s="80"/>
      <c r="T2377" s="80"/>
      <c r="V2377" s="78"/>
      <c r="W2377" s="62"/>
      <c r="X2377" s="80"/>
      <c r="Y2377" s="109"/>
    </row>
    <row r="2378">
      <c r="E2378" s="78"/>
      <c r="G2378" s="78"/>
      <c r="I2378" s="80"/>
      <c r="K2378" s="71"/>
      <c r="N2378" s="109"/>
      <c r="Q2378" s="78"/>
      <c r="R2378" s="78"/>
      <c r="S2378" s="80"/>
      <c r="T2378" s="80"/>
      <c r="V2378" s="78"/>
      <c r="W2378" s="62"/>
      <c r="X2378" s="80"/>
      <c r="Y2378" s="109"/>
    </row>
    <row r="2379">
      <c r="E2379" s="78"/>
      <c r="G2379" s="78"/>
      <c r="I2379" s="80"/>
      <c r="K2379" s="71"/>
      <c r="N2379" s="109"/>
      <c r="Q2379" s="78"/>
      <c r="R2379" s="78"/>
      <c r="S2379" s="80"/>
      <c r="T2379" s="80"/>
      <c r="V2379" s="78"/>
      <c r="W2379" s="62"/>
      <c r="X2379" s="80"/>
      <c r="Y2379" s="109"/>
    </row>
    <row r="2380">
      <c r="E2380" s="78"/>
      <c r="G2380" s="78"/>
      <c r="I2380" s="80"/>
      <c r="K2380" s="71"/>
      <c r="N2380" s="109"/>
      <c r="Q2380" s="78"/>
      <c r="R2380" s="78"/>
      <c r="S2380" s="80"/>
      <c r="T2380" s="80"/>
      <c r="V2380" s="78"/>
      <c r="W2380" s="62"/>
      <c r="X2380" s="80"/>
      <c r="Y2380" s="109"/>
    </row>
    <row r="2381">
      <c r="E2381" s="78"/>
      <c r="G2381" s="78"/>
      <c r="I2381" s="80"/>
      <c r="K2381" s="71"/>
      <c r="N2381" s="109"/>
      <c r="Q2381" s="78"/>
      <c r="R2381" s="78"/>
      <c r="S2381" s="80"/>
      <c r="T2381" s="80"/>
      <c r="V2381" s="78"/>
      <c r="W2381" s="62"/>
      <c r="X2381" s="80"/>
      <c r="Y2381" s="109"/>
    </row>
    <row r="2382">
      <c r="E2382" s="78"/>
      <c r="G2382" s="78"/>
      <c r="I2382" s="80"/>
      <c r="K2382" s="71"/>
      <c r="N2382" s="109"/>
      <c r="Q2382" s="78"/>
      <c r="R2382" s="78"/>
      <c r="S2382" s="80"/>
      <c r="T2382" s="80"/>
      <c r="V2382" s="78"/>
      <c r="W2382" s="62"/>
      <c r="X2382" s="80"/>
      <c r="Y2382" s="109"/>
    </row>
    <row r="2383">
      <c r="E2383" s="78"/>
      <c r="G2383" s="78"/>
      <c r="I2383" s="80"/>
      <c r="K2383" s="71"/>
      <c r="N2383" s="109"/>
      <c r="Q2383" s="78"/>
      <c r="R2383" s="78"/>
      <c r="S2383" s="80"/>
      <c r="T2383" s="80"/>
      <c r="V2383" s="78"/>
      <c r="W2383" s="62"/>
      <c r="X2383" s="80"/>
      <c r="Y2383" s="109"/>
    </row>
    <row r="2384">
      <c r="E2384" s="78"/>
      <c r="G2384" s="78"/>
      <c r="I2384" s="80"/>
      <c r="K2384" s="71"/>
      <c r="N2384" s="109"/>
      <c r="Q2384" s="78"/>
      <c r="R2384" s="78"/>
      <c r="S2384" s="80"/>
      <c r="T2384" s="80"/>
      <c r="V2384" s="78"/>
      <c r="W2384" s="62"/>
      <c r="X2384" s="80"/>
      <c r="Y2384" s="109"/>
    </row>
    <row r="2385">
      <c r="E2385" s="78"/>
      <c r="G2385" s="78"/>
      <c r="I2385" s="80"/>
      <c r="K2385" s="71"/>
      <c r="N2385" s="109"/>
      <c r="Q2385" s="78"/>
      <c r="R2385" s="78"/>
      <c r="S2385" s="80"/>
      <c r="T2385" s="80"/>
      <c r="V2385" s="78"/>
      <c r="W2385" s="62"/>
      <c r="X2385" s="80"/>
      <c r="Y2385" s="109"/>
    </row>
    <row r="2386">
      <c r="E2386" s="78"/>
      <c r="G2386" s="78"/>
      <c r="I2386" s="80"/>
      <c r="K2386" s="71"/>
      <c r="N2386" s="109"/>
      <c r="Q2386" s="78"/>
      <c r="R2386" s="78"/>
      <c r="S2386" s="80"/>
      <c r="T2386" s="80"/>
      <c r="V2386" s="78"/>
      <c r="W2386" s="62"/>
      <c r="X2386" s="80"/>
      <c r="Y2386" s="109"/>
    </row>
    <row r="2387">
      <c r="E2387" s="78"/>
      <c r="G2387" s="78"/>
      <c r="I2387" s="80"/>
      <c r="K2387" s="71"/>
      <c r="N2387" s="109"/>
      <c r="Q2387" s="78"/>
      <c r="R2387" s="78"/>
      <c r="S2387" s="80"/>
      <c r="T2387" s="80"/>
      <c r="V2387" s="78"/>
      <c r="W2387" s="62"/>
      <c r="X2387" s="80"/>
      <c r="Y2387" s="109"/>
    </row>
    <row r="2388">
      <c r="E2388" s="78"/>
      <c r="G2388" s="78"/>
      <c r="I2388" s="80"/>
      <c r="K2388" s="71"/>
      <c r="N2388" s="109"/>
      <c r="Q2388" s="78"/>
      <c r="R2388" s="78"/>
      <c r="S2388" s="80"/>
      <c r="T2388" s="80"/>
      <c r="V2388" s="78"/>
      <c r="W2388" s="62"/>
      <c r="X2388" s="80"/>
      <c r="Y2388" s="109"/>
    </row>
    <row r="2389">
      <c r="E2389" s="78"/>
      <c r="G2389" s="78"/>
      <c r="I2389" s="80"/>
      <c r="K2389" s="71"/>
      <c r="N2389" s="109"/>
      <c r="Q2389" s="78"/>
      <c r="R2389" s="78"/>
      <c r="S2389" s="80"/>
      <c r="T2389" s="80"/>
      <c r="V2389" s="78"/>
      <c r="W2389" s="62"/>
      <c r="X2389" s="80"/>
      <c r="Y2389" s="109"/>
    </row>
    <row r="2390">
      <c r="E2390" s="78"/>
      <c r="G2390" s="78"/>
      <c r="I2390" s="80"/>
      <c r="K2390" s="71"/>
      <c r="N2390" s="109"/>
      <c r="Q2390" s="78"/>
      <c r="R2390" s="78"/>
      <c r="S2390" s="80"/>
      <c r="T2390" s="80"/>
      <c r="V2390" s="78"/>
      <c r="W2390" s="62"/>
      <c r="X2390" s="80"/>
      <c r="Y2390" s="109"/>
    </row>
    <row r="2391">
      <c r="E2391" s="78"/>
      <c r="G2391" s="78"/>
      <c r="I2391" s="80"/>
      <c r="K2391" s="71"/>
      <c r="N2391" s="109"/>
      <c r="Q2391" s="78"/>
      <c r="R2391" s="78"/>
      <c r="S2391" s="80"/>
      <c r="T2391" s="80"/>
      <c r="V2391" s="78"/>
      <c r="W2391" s="62"/>
      <c r="X2391" s="80"/>
      <c r="Y2391" s="109"/>
    </row>
    <row r="2392">
      <c r="E2392" s="78"/>
      <c r="G2392" s="78"/>
      <c r="I2392" s="80"/>
      <c r="K2392" s="71"/>
      <c r="N2392" s="109"/>
      <c r="Q2392" s="78"/>
      <c r="R2392" s="78"/>
      <c r="S2392" s="80"/>
      <c r="T2392" s="80"/>
      <c r="V2392" s="78"/>
      <c r="W2392" s="62"/>
      <c r="X2392" s="80"/>
      <c r="Y2392" s="109"/>
    </row>
    <row r="2393">
      <c r="E2393" s="78"/>
      <c r="G2393" s="78"/>
      <c r="I2393" s="80"/>
      <c r="K2393" s="71"/>
      <c r="N2393" s="109"/>
      <c r="Q2393" s="78"/>
      <c r="R2393" s="78"/>
      <c r="S2393" s="80"/>
      <c r="T2393" s="80"/>
      <c r="V2393" s="78"/>
      <c r="W2393" s="62"/>
      <c r="X2393" s="80"/>
      <c r="Y2393" s="109"/>
    </row>
    <row r="2394">
      <c r="E2394" s="78"/>
      <c r="G2394" s="78"/>
      <c r="I2394" s="80"/>
      <c r="K2394" s="71"/>
      <c r="N2394" s="109"/>
      <c r="Q2394" s="78"/>
      <c r="R2394" s="78"/>
      <c r="S2394" s="80"/>
      <c r="T2394" s="80"/>
      <c r="V2394" s="78"/>
      <c r="W2394" s="62"/>
      <c r="X2394" s="80"/>
      <c r="Y2394" s="109"/>
    </row>
    <row r="2395">
      <c r="E2395" s="78"/>
      <c r="G2395" s="78"/>
      <c r="I2395" s="80"/>
      <c r="K2395" s="71"/>
      <c r="N2395" s="109"/>
      <c r="Q2395" s="78"/>
      <c r="R2395" s="78"/>
      <c r="S2395" s="80"/>
      <c r="T2395" s="80"/>
      <c r="V2395" s="78"/>
      <c r="W2395" s="62"/>
      <c r="X2395" s="80"/>
      <c r="Y2395" s="109"/>
    </row>
    <row r="2396">
      <c r="E2396" s="78"/>
      <c r="G2396" s="78"/>
      <c r="I2396" s="80"/>
      <c r="K2396" s="71"/>
      <c r="N2396" s="109"/>
      <c r="Q2396" s="78"/>
      <c r="R2396" s="78"/>
      <c r="S2396" s="80"/>
      <c r="T2396" s="80"/>
      <c r="V2396" s="78"/>
      <c r="W2396" s="62"/>
      <c r="X2396" s="80"/>
      <c r="Y2396" s="109"/>
    </row>
    <row r="2397">
      <c r="E2397" s="78"/>
      <c r="G2397" s="78"/>
      <c r="I2397" s="80"/>
      <c r="K2397" s="71"/>
      <c r="N2397" s="109"/>
      <c r="Q2397" s="78"/>
      <c r="R2397" s="78"/>
      <c r="S2397" s="80"/>
      <c r="T2397" s="80"/>
      <c r="V2397" s="78"/>
      <c r="W2397" s="62"/>
      <c r="X2397" s="80"/>
      <c r="Y2397" s="109"/>
    </row>
    <row r="2398">
      <c r="E2398" s="78"/>
      <c r="G2398" s="78"/>
      <c r="I2398" s="80"/>
      <c r="K2398" s="71"/>
      <c r="N2398" s="109"/>
      <c r="Q2398" s="78"/>
      <c r="R2398" s="78"/>
      <c r="S2398" s="80"/>
      <c r="T2398" s="80"/>
      <c r="V2398" s="78"/>
      <c r="W2398" s="62"/>
      <c r="X2398" s="80"/>
      <c r="Y2398" s="109"/>
    </row>
    <row r="2399">
      <c r="E2399" s="78"/>
      <c r="G2399" s="78"/>
      <c r="I2399" s="80"/>
      <c r="K2399" s="71"/>
      <c r="N2399" s="109"/>
      <c r="Q2399" s="78"/>
      <c r="R2399" s="78"/>
      <c r="S2399" s="80"/>
      <c r="T2399" s="80"/>
      <c r="V2399" s="78"/>
      <c r="W2399" s="62"/>
      <c r="X2399" s="80"/>
      <c r="Y2399" s="109"/>
    </row>
    <row r="2400">
      <c r="E2400" s="78"/>
      <c r="G2400" s="78"/>
      <c r="I2400" s="80"/>
      <c r="K2400" s="71"/>
      <c r="N2400" s="109"/>
      <c r="Q2400" s="78"/>
      <c r="R2400" s="78"/>
      <c r="S2400" s="80"/>
      <c r="T2400" s="80"/>
      <c r="V2400" s="78"/>
      <c r="W2400" s="62"/>
      <c r="X2400" s="80"/>
      <c r="Y2400" s="109"/>
    </row>
    <row r="2401">
      <c r="E2401" s="78"/>
      <c r="G2401" s="78"/>
      <c r="I2401" s="80"/>
      <c r="K2401" s="71"/>
      <c r="N2401" s="109"/>
      <c r="Q2401" s="78"/>
      <c r="R2401" s="78"/>
      <c r="S2401" s="80"/>
      <c r="T2401" s="80"/>
      <c r="V2401" s="78"/>
      <c r="W2401" s="62"/>
      <c r="X2401" s="80"/>
      <c r="Y2401" s="109"/>
    </row>
    <row r="2402">
      <c r="E2402" s="78"/>
      <c r="G2402" s="78"/>
      <c r="I2402" s="80"/>
      <c r="K2402" s="71"/>
      <c r="N2402" s="109"/>
      <c r="Q2402" s="78"/>
      <c r="R2402" s="78"/>
      <c r="S2402" s="80"/>
      <c r="T2402" s="80"/>
      <c r="V2402" s="78"/>
      <c r="W2402" s="62"/>
      <c r="X2402" s="80"/>
      <c r="Y2402" s="109"/>
    </row>
    <row r="2403">
      <c r="E2403" s="78"/>
      <c r="G2403" s="78"/>
      <c r="I2403" s="80"/>
      <c r="K2403" s="71"/>
      <c r="N2403" s="109"/>
      <c r="Q2403" s="78"/>
      <c r="R2403" s="78"/>
      <c r="S2403" s="80"/>
      <c r="T2403" s="80"/>
      <c r="V2403" s="78"/>
      <c r="W2403" s="62"/>
      <c r="X2403" s="80"/>
      <c r="Y2403" s="109"/>
    </row>
    <row r="2404">
      <c r="E2404" s="78"/>
      <c r="G2404" s="78"/>
      <c r="I2404" s="80"/>
      <c r="K2404" s="71"/>
      <c r="N2404" s="109"/>
      <c r="Q2404" s="78"/>
      <c r="R2404" s="78"/>
      <c r="S2404" s="80"/>
      <c r="T2404" s="80"/>
      <c r="V2404" s="78"/>
      <c r="W2404" s="62"/>
      <c r="X2404" s="80"/>
      <c r="Y2404" s="109"/>
    </row>
    <row r="2405">
      <c r="E2405" s="78"/>
      <c r="G2405" s="78"/>
      <c r="I2405" s="80"/>
      <c r="K2405" s="71"/>
      <c r="N2405" s="109"/>
      <c r="Q2405" s="78"/>
      <c r="R2405" s="78"/>
      <c r="S2405" s="80"/>
      <c r="T2405" s="80"/>
      <c r="V2405" s="78"/>
      <c r="W2405" s="62"/>
      <c r="X2405" s="80"/>
      <c r="Y2405" s="109"/>
    </row>
    <row r="2406">
      <c r="E2406" s="78"/>
      <c r="G2406" s="78"/>
      <c r="I2406" s="80"/>
      <c r="K2406" s="71"/>
      <c r="N2406" s="109"/>
      <c r="Q2406" s="78"/>
      <c r="R2406" s="78"/>
      <c r="S2406" s="80"/>
      <c r="T2406" s="80"/>
      <c r="V2406" s="78"/>
      <c r="W2406" s="62"/>
      <c r="X2406" s="80"/>
      <c r="Y2406" s="109"/>
    </row>
    <row r="2407">
      <c r="E2407" s="78"/>
      <c r="G2407" s="78"/>
      <c r="I2407" s="80"/>
      <c r="K2407" s="71"/>
      <c r="N2407" s="109"/>
      <c r="Q2407" s="78"/>
      <c r="R2407" s="78"/>
      <c r="S2407" s="80"/>
      <c r="T2407" s="80"/>
      <c r="V2407" s="78"/>
      <c r="W2407" s="62"/>
      <c r="X2407" s="80"/>
      <c r="Y2407" s="109"/>
    </row>
    <row r="2408">
      <c r="E2408" s="78"/>
      <c r="G2408" s="78"/>
      <c r="I2408" s="80"/>
      <c r="K2408" s="71"/>
      <c r="N2408" s="109"/>
      <c r="Q2408" s="78"/>
      <c r="R2408" s="78"/>
      <c r="S2408" s="80"/>
      <c r="T2408" s="80"/>
      <c r="V2408" s="78"/>
      <c r="W2408" s="62"/>
      <c r="X2408" s="80"/>
      <c r="Y2408" s="109"/>
    </row>
    <row r="2409">
      <c r="E2409" s="78"/>
      <c r="G2409" s="78"/>
      <c r="I2409" s="80"/>
      <c r="K2409" s="71"/>
      <c r="N2409" s="109"/>
      <c r="Q2409" s="78"/>
      <c r="R2409" s="78"/>
      <c r="S2409" s="80"/>
      <c r="T2409" s="80"/>
      <c r="V2409" s="78"/>
      <c r="W2409" s="62"/>
      <c r="X2409" s="80"/>
      <c r="Y2409" s="109"/>
    </row>
    <row r="2410">
      <c r="E2410" s="78"/>
      <c r="G2410" s="78"/>
      <c r="I2410" s="80"/>
      <c r="K2410" s="71"/>
      <c r="N2410" s="109"/>
      <c r="Q2410" s="78"/>
      <c r="R2410" s="78"/>
      <c r="S2410" s="80"/>
      <c r="T2410" s="80"/>
      <c r="V2410" s="78"/>
      <c r="W2410" s="62"/>
      <c r="X2410" s="80"/>
      <c r="Y2410" s="109"/>
    </row>
    <row r="2411">
      <c r="E2411" s="78"/>
      <c r="G2411" s="78"/>
      <c r="I2411" s="80"/>
      <c r="K2411" s="71"/>
      <c r="N2411" s="109"/>
      <c r="Q2411" s="78"/>
      <c r="R2411" s="78"/>
      <c r="S2411" s="80"/>
      <c r="T2411" s="80"/>
      <c r="V2411" s="78"/>
      <c r="W2411" s="62"/>
      <c r="X2411" s="80"/>
      <c r="Y2411" s="109"/>
    </row>
    <row r="2412">
      <c r="E2412" s="78"/>
      <c r="G2412" s="78"/>
      <c r="I2412" s="80"/>
      <c r="K2412" s="71"/>
      <c r="N2412" s="109"/>
      <c r="Q2412" s="78"/>
      <c r="R2412" s="78"/>
      <c r="S2412" s="80"/>
      <c r="T2412" s="80"/>
      <c r="V2412" s="78"/>
      <c r="W2412" s="62"/>
      <c r="X2412" s="80"/>
      <c r="Y2412" s="109"/>
    </row>
    <row r="2413">
      <c r="E2413" s="78"/>
      <c r="G2413" s="78"/>
      <c r="I2413" s="80"/>
      <c r="K2413" s="71"/>
      <c r="N2413" s="109"/>
      <c r="Q2413" s="78"/>
      <c r="R2413" s="78"/>
      <c r="S2413" s="80"/>
      <c r="T2413" s="80"/>
      <c r="V2413" s="78"/>
      <c r="W2413" s="62"/>
      <c r="X2413" s="80"/>
      <c r="Y2413" s="109"/>
    </row>
    <row r="2414">
      <c r="E2414" s="78"/>
      <c r="G2414" s="78"/>
      <c r="I2414" s="80"/>
      <c r="K2414" s="71"/>
      <c r="N2414" s="109"/>
      <c r="Q2414" s="78"/>
      <c r="R2414" s="78"/>
      <c r="S2414" s="80"/>
      <c r="T2414" s="80"/>
      <c r="V2414" s="78"/>
      <c r="W2414" s="62"/>
      <c r="X2414" s="80"/>
      <c r="Y2414" s="109"/>
    </row>
    <row r="2415">
      <c r="E2415" s="78"/>
      <c r="G2415" s="78"/>
      <c r="I2415" s="80"/>
      <c r="K2415" s="71"/>
      <c r="N2415" s="109"/>
      <c r="Q2415" s="78"/>
      <c r="R2415" s="78"/>
      <c r="S2415" s="80"/>
      <c r="T2415" s="80"/>
      <c r="V2415" s="78"/>
      <c r="W2415" s="62"/>
      <c r="X2415" s="80"/>
      <c r="Y2415" s="109"/>
    </row>
    <row r="2416">
      <c r="E2416" s="78"/>
      <c r="G2416" s="78"/>
      <c r="I2416" s="80"/>
      <c r="K2416" s="71"/>
      <c r="N2416" s="109"/>
      <c r="Q2416" s="78"/>
      <c r="R2416" s="78"/>
      <c r="S2416" s="80"/>
      <c r="T2416" s="80"/>
      <c r="V2416" s="78"/>
      <c r="W2416" s="62"/>
      <c r="X2416" s="80"/>
      <c r="Y2416" s="109"/>
    </row>
    <row r="2417">
      <c r="E2417" s="78"/>
      <c r="G2417" s="78"/>
      <c r="I2417" s="80"/>
      <c r="K2417" s="71"/>
      <c r="N2417" s="109"/>
      <c r="Q2417" s="78"/>
      <c r="R2417" s="78"/>
      <c r="S2417" s="80"/>
      <c r="T2417" s="80"/>
      <c r="V2417" s="78"/>
      <c r="W2417" s="62"/>
      <c r="X2417" s="80"/>
      <c r="Y2417" s="109"/>
    </row>
    <row r="2418">
      <c r="E2418" s="78"/>
      <c r="G2418" s="78"/>
      <c r="I2418" s="80"/>
      <c r="K2418" s="71"/>
      <c r="N2418" s="109"/>
      <c r="Q2418" s="78"/>
      <c r="R2418" s="78"/>
      <c r="S2418" s="80"/>
      <c r="T2418" s="80"/>
      <c r="V2418" s="78"/>
      <c r="W2418" s="62"/>
      <c r="X2418" s="80"/>
      <c r="Y2418" s="109"/>
    </row>
    <row r="2419">
      <c r="E2419" s="78"/>
      <c r="G2419" s="78"/>
      <c r="I2419" s="80"/>
      <c r="K2419" s="71"/>
      <c r="N2419" s="109"/>
      <c r="Q2419" s="78"/>
      <c r="R2419" s="78"/>
      <c r="S2419" s="80"/>
      <c r="T2419" s="80"/>
      <c r="V2419" s="78"/>
      <c r="W2419" s="62"/>
      <c r="X2419" s="80"/>
      <c r="Y2419" s="109"/>
    </row>
    <row r="2420">
      <c r="E2420" s="78"/>
      <c r="G2420" s="78"/>
      <c r="I2420" s="80"/>
      <c r="K2420" s="71"/>
      <c r="N2420" s="109"/>
      <c r="Q2420" s="78"/>
      <c r="R2420" s="78"/>
      <c r="S2420" s="80"/>
      <c r="T2420" s="80"/>
      <c r="V2420" s="78"/>
      <c r="W2420" s="62"/>
      <c r="X2420" s="80"/>
      <c r="Y2420" s="109"/>
    </row>
    <row r="2421">
      <c r="E2421" s="78"/>
      <c r="G2421" s="78"/>
      <c r="I2421" s="80"/>
      <c r="K2421" s="71"/>
      <c r="N2421" s="109"/>
      <c r="Q2421" s="78"/>
      <c r="R2421" s="78"/>
      <c r="S2421" s="80"/>
      <c r="T2421" s="80"/>
      <c r="V2421" s="78"/>
      <c r="W2421" s="62"/>
      <c r="X2421" s="80"/>
      <c r="Y2421" s="109"/>
    </row>
    <row r="2422">
      <c r="E2422" s="78"/>
      <c r="G2422" s="78"/>
      <c r="I2422" s="80"/>
      <c r="K2422" s="71"/>
      <c r="N2422" s="109"/>
      <c r="Q2422" s="78"/>
      <c r="R2422" s="78"/>
      <c r="S2422" s="80"/>
      <c r="T2422" s="80"/>
      <c r="V2422" s="78"/>
      <c r="W2422" s="62"/>
      <c r="X2422" s="80"/>
      <c r="Y2422" s="109"/>
    </row>
    <row r="2423">
      <c r="E2423" s="78"/>
      <c r="G2423" s="78"/>
      <c r="I2423" s="80"/>
      <c r="K2423" s="71"/>
      <c r="N2423" s="109"/>
      <c r="Q2423" s="78"/>
      <c r="R2423" s="78"/>
      <c r="S2423" s="80"/>
      <c r="T2423" s="80"/>
      <c r="V2423" s="78"/>
      <c r="W2423" s="62"/>
      <c r="X2423" s="80"/>
      <c r="Y2423" s="109"/>
    </row>
    <row r="2424">
      <c r="E2424" s="78"/>
      <c r="G2424" s="78"/>
      <c r="I2424" s="80"/>
      <c r="K2424" s="71"/>
      <c r="N2424" s="109"/>
      <c r="Q2424" s="78"/>
      <c r="R2424" s="78"/>
      <c r="S2424" s="80"/>
      <c r="T2424" s="80"/>
      <c r="V2424" s="78"/>
      <c r="W2424" s="62"/>
      <c r="X2424" s="80"/>
      <c r="Y2424" s="109"/>
    </row>
    <row r="2425">
      <c r="E2425" s="78"/>
      <c r="G2425" s="78"/>
      <c r="I2425" s="80"/>
      <c r="K2425" s="71"/>
      <c r="N2425" s="109"/>
      <c r="Q2425" s="78"/>
      <c r="R2425" s="78"/>
      <c r="S2425" s="80"/>
      <c r="T2425" s="80"/>
      <c r="V2425" s="78"/>
      <c r="W2425" s="62"/>
      <c r="X2425" s="80"/>
      <c r="Y2425" s="109"/>
    </row>
    <row r="2426">
      <c r="E2426" s="78"/>
      <c r="G2426" s="78"/>
      <c r="I2426" s="80"/>
      <c r="K2426" s="71"/>
      <c r="N2426" s="109"/>
      <c r="Q2426" s="78"/>
      <c r="R2426" s="78"/>
      <c r="S2426" s="80"/>
      <c r="T2426" s="80"/>
      <c r="V2426" s="78"/>
      <c r="W2426" s="62"/>
      <c r="X2426" s="80"/>
      <c r="Y2426" s="109"/>
    </row>
    <row r="2427">
      <c r="E2427" s="78"/>
      <c r="G2427" s="78"/>
      <c r="I2427" s="80"/>
      <c r="K2427" s="71"/>
      <c r="N2427" s="109"/>
      <c r="Q2427" s="78"/>
      <c r="R2427" s="78"/>
      <c r="S2427" s="80"/>
      <c r="T2427" s="80"/>
      <c r="V2427" s="78"/>
      <c r="W2427" s="62"/>
      <c r="X2427" s="80"/>
      <c r="Y2427" s="109"/>
    </row>
    <row r="2428">
      <c r="E2428" s="78"/>
      <c r="G2428" s="78"/>
      <c r="I2428" s="80"/>
      <c r="K2428" s="71"/>
      <c r="N2428" s="109"/>
      <c r="Q2428" s="78"/>
      <c r="R2428" s="78"/>
      <c r="S2428" s="80"/>
      <c r="T2428" s="80"/>
      <c r="V2428" s="78"/>
      <c r="W2428" s="62"/>
      <c r="X2428" s="80"/>
      <c r="Y2428" s="109"/>
    </row>
    <row r="2429">
      <c r="E2429" s="78"/>
      <c r="G2429" s="78"/>
      <c r="I2429" s="80"/>
      <c r="K2429" s="71"/>
      <c r="N2429" s="109"/>
      <c r="Q2429" s="78"/>
      <c r="R2429" s="78"/>
      <c r="S2429" s="80"/>
      <c r="T2429" s="80"/>
      <c r="V2429" s="78"/>
      <c r="W2429" s="62"/>
      <c r="X2429" s="80"/>
      <c r="Y2429" s="109"/>
    </row>
    <row r="2430">
      <c r="E2430" s="78"/>
      <c r="G2430" s="78"/>
      <c r="I2430" s="80"/>
      <c r="K2430" s="71"/>
      <c r="N2430" s="109"/>
      <c r="Q2430" s="78"/>
      <c r="R2430" s="78"/>
      <c r="S2430" s="80"/>
      <c r="T2430" s="80"/>
      <c r="V2430" s="78"/>
      <c r="W2430" s="62"/>
      <c r="X2430" s="80"/>
      <c r="Y2430" s="109"/>
    </row>
    <row r="2431">
      <c r="E2431" s="78"/>
      <c r="G2431" s="78"/>
      <c r="I2431" s="80"/>
      <c r="K2431" s="71"/>
      <c r="N2431" s="109"/>
      <c r="Q2431" s="78"/>
      <c r="R2431" s="78"/>
      <c r="S2431" s="80"/>
      <c r="T2431" s="80"/>
      <c r="V2431" s="78"/>
      <c r="W2431" s="62"/>
      <c r="X2431" s="80"/>
      <c r="Y2431" s="109"/>
    </row>
    <row r="2432">
      <c r="E2432" s="78"/>
      <c r="G2432" s="78"/>
      <c r="I2432" s="80"/>
      <c r="K2432" s="71"/>
      <c r="N2432" s="109"/>
      <c r="Q2432" s="78"/>
      <c r="R2432" s="78"/>
      <c r="S2432" s="80"/>
      <c r="T2432" s="80"/>
      <c r="V2432" s="78"/>
      <c r="W2432" s="62"/>
      <c r="X2432" s="80"/>
      <c r="Y2432" s="109"/>
    </row>
    <row r="2433">
      <c r="E2433" s="78"/>
      <c r="G2433" s="78"/>
      <c r="I2433" s="80"/>
      <c r="K2433" s="71"/>
      <c r="N2433" s="109"/>
      <c r="Q2433" s="78"/>
      <c r="R2433" s="78"/>
      <c r="S2433" s="80"/>
      <c r="T2433" s="80"/>
      <c r="V2433" s="78"/>
      <c r="W2433" s="62"/>
      <c r="X2433" s="80"/>
      <c r="Y2433" s="109"/>
    </row>
    <row r="2434">
      <c r="E2434" s="78"/>
      <c r="G2434" s="78"/>
      <c r="I2434" s="80"/>
      <c r="K2434" s="71"/>
      <c r="N2434" s="109"/>
      <c r="Q2434" s="78"/>
      <c r="R2434" s="78"/>
      <c r="S2434" s="80"/>
      <c r="T2434" s="80"/>
      <c r="V2434" s="78"/>
      <c r="W2434" s="62"/>
      <c r="X2434" s="80"/>
      <c r="Y2434" s="109"/>
    </row>
    <row r="2435">
      <c r="E2435" s="78"/>
      <c r="G2435" s="78"/>
      <c r="I2435" s="80"/>
      <c r="K2435" s="71"/>
      <c r="N2435" s="109"/>
      <c r="Q2435" s="78"/>
      <c r="R2435" s="78"/>
      <c r="S2435" s="80"/>
      <c r="T2435" s="80"/>
      <c r="V2435" s="78"/>
      <c r="W2435" s="62"/>
      <c r="X2435" s="80"/>
      <c r="Y2435" s="109"/>
    </row>
    <row r="2436">
      <c r="E2436" s="78"/>
      <c r="G2436" s="78"/>
      <c r="I2436" s="80"/>
      <c r="K2436" s="71"/>
      <c r="N2436" s="109"/>
      <c r="Q2436" s="78"/>
      <c r="R2436" s="78"/>
      <c r="S2436" s="80"/>
      <c r="T2436" s="80"/>
      <c r="V2436" s="78"/>
      <c r="W2436" s="62"/>
      <c r="X2436" s="80"/>
      <c r="Y2436" s="109"/>
    </row>
    <row r="2437">
      <c r="E2437" s="78"/>
      <c r="G2437" s="78"/>
      <c r="I2437" s="80"/>
      <c r="K2437" s="71"/>
      <c r="N2437" s="109"/>
      <c r="Q2437" s="78"/>
      <c r="R2437" s="78"/>
      <c r="S2437" s="80"/>
      <c r="T2437" s="80"/>
      <c r="V2437" s="78"/>
      <c r="W2437" s="62"/>
      <c r="X2437" s="80"/>
      <c r="Y2437" s="109"/>
    </row>
    <row r="2438">
      <c r="E2438" s="78"/>
      <c r="G2438" s="78"/>
      <c r="I2438" s="80"/>
      <c r="K2438" s="71"/>
      <c r="N2438" s="109"/>
      <c r="Q2438" s="78"/>
      <c r="R2438" s="78"/>
      <c r="S2438" s="80"/>
      <c r="T2438" s="80"/>
      <c r="V2438" s="78"/>
      <c r="W2438" s="62"/>
      <c r="X2438" s="80"/>
      <c r="Y2438" s="109"/>
    </row>
    <row r="2439">
      <c r="E2439" s="78"/>
      <c r="G2439" s="78"/>
      <c r="I2439" s="80"/>
      <c r="K2439" s="71"/>
      <c r="N2439" s="109"/>
      <c r="Q2439" s="78"/>
      <c r="R2439" s="78"/>
      <c r="S2439" s="80"/>
      <c r="T2439" s="80"/>
      <c r="V2439" s="78"/>
      <c r="W2439" s="62"/>
      <c r="X2439" s="80"/>
      <c r="Y2439" s="109"/>
    </row>
    <row r="2440">
      <c r="E2440" s="78"/>
      <c r="G2440" s="78"/>
      <c r="I2440" s="80"/>
      <c r="K2440" s="71"/>
      <c r="N2440" s="109"/>
      <c r="Q2440" s="78"/>
      <c r="R2440" s="78"/>
      <c r="S2440" s="80"/>
      <c r="T2440" s="80"/>
      <c r="V2440" s="78"/>
      <c r="W2440" s="62"/>
      <c r="X2440" s="80"/>
      <c r="Y2440" s="109"/>
    </row>
    <row r="2441">
      <c r="E2441" s="78"/>
      <c r="G2441" s="78"/>
      <c r="I2441" s="80"/>
      <c r="K2441" s="71"/>
      <c r="N2441" s="109"/>
      <c r="Q2441" s="78"/>
      <c r="R2441" s="78"/>
      <c r="S2441" s="80"/>
      <c r="T2441" s="80"/>
      <c r="V2441" s="78"/>
      <c r="W2441" s="62"/>
      <c r="X2441" s="80"/>
      <c r="Y2441" s="109"/>
    </row>
    <row r="2442">
      <c r="E2442" s="78"/>
      <c r="G2442" s="78"/>
      <c r="I2442" s="80"/>
      <c r="K2442" s="71"/>
      <c r="N2442" s="109"/>
      <c r="Q2442" s="78"/>
      <c r="R2442" s="78"/>
      <c r="S2442" s="80"/>
      <c r="T2442" s="80"/>
      <c r="V2442" s="78"/>
      <c r="W2442" s="62"/>
      <c r="X2442" s="80"/>
      <c r="Y2442" s="109"/>
    </row>
    <row r="2443">
      <c r="E2443" s="78"/>
      <c r="G2443" s="78"/>
      <c r="I2443" s="80"/>
      <c r="K2443" s="71"/>
      <c r="N2443" s="109"/>
      <c r="Q2443" s="78"/>
      <c r="R2443" s="78"/>
      <c r="S2443" s="80"/>
      <c r="T2443" s="80"/>
      <c r="V2443" s="78"/>
      <c r="W2443" s="62"/>
      <c r="X2443" s="80"/>
      <c r="Y2443" s="109"/>
    </row>
    <row r="2444">
      <c r="E2444" s="78"/>
      <c r="G2444" s="78"/>
      <c r="I2444" s="80"/>
      <c r="K2444" s="71"/>
      <c r="N2444" s="109"/>
      <c r="Q2444" s="78"/>
      <c r="R2444" s="78"/>
      <c r="S2444" s="80"/>
      <c r="T2444" s="80"/>
      <c r="V2444" s="78"/>
      <c r="W2444" s="62"/>
      <c r="X2444" s="80"/>
      <c r="Y2444" s="109"/>
    </row>
    <row r="2445">
      <c r="E2445" s="78"/>
      <c r="G2445" s="78"/>
      <c r="I2445" s="80"/>
      <c r="K2445" s="71"/>
      <c r="N2445" s="109"/>
      <c r="Q2445" s="78"/>
      <c r="R2445" s="78"/>
      <c r="S2445" s="80"/>
      <c r="T2445" s="80"/>
      <c r="V2445" s="78"/>
      <c r="W2445" s="62"/>
      <c r="X2445" s="80"/>
      <c r="Y2445" s="109"/>
    </row>
    <row r="2446">
      <c r="E2446" s="78"/>
      <c r="G2446" s="78"/>
      <c r="I2446" s="80"/>
      <c r="K2446" s="71"/>
      <c r="N2446" s="109"/>
      <c r="Q2446" s="78"/>
      <c r="R2446" s="78"/>
      <c r="S2446" s="80"/>
      <c r="T2446" s="80"/>
      <c r="V2446" s="78"/>
      <c r="W2446" s="62"/>
      <c r="X2446" s="80"/>
      <c r="Y2446" s="109"/>
    </row>
    <row r="2447">
      <c r="E2447" s="78"/>
      <c r="G2447" s="78"/>
      <c r="I2447" s="80"/>
      <c r="K2447" s="71"/>
      <c r="N2447" s="109"/>
      <c r="Q2447" s="78"/>
      <c r="R2447" s="78"/>
      <c r="S2447" s="80"/>
      <c r="T2447" s="80"/>
      <c r="V2447" s="78"/>
      <c r="W2447" s="62"/>
      <c r="X2447" s="80"/>
      <c r="Y2447" s="109"/>
    </row>
    <row r="2448">
      <c r="E2448" s="78"/>
      <c r="G2448" s="78"/>
      <c r="I2448" s="80"/>
      <c r="K2448" s="71"/>
      <c r="N2448" s="109"/>
      <c r="Q2448" s="78"/>
      <c r="R2448" s="78"/>
      <c r="S2448" s="80"/>
      <c r="T2448" s="80"/>
      <c r="V2448" s="78"/>
      <c r="W2448" s="62"/>
      <c r="X2448" s="80"/>
      <c r="Y2448" s="109"/>
    </row>
    <row r="2449">
      <c r="E2449" s="78"/>
      <c r="G2449" s="78"/>
      <c r="I2449" s="80"/>
      <c r="K2449" s="71"/>
      <c r="N2449" s="109"/>
      <c r="Q2449" s="78"/>
      <c r="R2449" s="78"/>
      <c r="S2449" s="80"/>
      <c r="T2449" s="80"/>
      <c r="V2449" s="78"/>
      <c r="W2449" s="62"/>
      <c r="X2449" s="80"/>
      <c r="Y2449" s="109"/>
    </row>
    <row r="2450">
      <c r="E2450" s="78"/>
      <c r="G2450" s="78"/>
      <c r="I2450" s="80"/>
      <c r="K2450" s="71"/>
      <c r="N2450" s="109"/>
      <c r="Q2450" s="78"/>
      <c r="R2450" s="78"/>
      <c r="S2450" s="80"/>
      <c r="T2450" s="80"/>
      <c r="V2450" s="78"/>
      <c r="W2450" s="62"/>
      <c r="X2450" s="80"/>
      <c r="Y2450" s="109"/>
    </row>
    <row r="2451">
      <c r="E2451" s="78"/>
      <c r="G2451" s="78"/>
      <c r="I2451" s="80"/>
      <c r="K2451" s="71"/>
      <c r="N2451" s="109"/>
      <c r="Q2451" s="78"/>
      <c r="R2451" s="78"/>
      <c r="S2451" s="80"/>
      <c r="T2451" s="80"/>
      <c r="V2451" s="78"/>
      <c r="W2451" s="62"/>
      <c r="X2451" s="80"/>
      <c r="Y2451" s="109"/>
    </row>
    <row r="2452">
      <c r="E2452" s="78"/>
      <c r="G2452" s="78"/>
      <c r="I2452" s="80"/>
      <c r="K2452" s="71"/>
      <c r="N2452" s="109"/>
      <c r="Q2452" s="78"/>
      <c r="R2452" s="78"/>
      <c r="S2452" s="80"/>
      <c r="T2452" s="80"/>
      <c r="V2452" s="78"/>
      <c r="W2452" s="62"/>
      <c r="X2452" s="80"/>
      <c r="Y2452" s="109"/>
    </row>
    <row r="2453">
      <c r="E2453" s="78"/>
      <c r="G2453" s="78"/>
      <c r="I2453" s="80"/>
      <c r="K2453" s="71"/>
      <c r="N2453" s="109"/>
      <c r="Q2453" s="78"/>
      <c r="R2453" s="78"/>
      <c r="S2453" s="80"/>
      <c r="T2453" s="80"/>
      <c r="V2453" s="78"/>
      <c r="W2453" s="62"/>
      <c r="X2453" s="80"/>
      <c r="Y2453" s="109"/>
    </row>
    <row r="2454">
      <c r="E2454" s="78"/>
      <c r="G2454" s="78"/>
      <c r="I2454" s="80"/>
      <c r="K2454" s="71"/>
      <c r="N2454" s="109"/>
      <c r="Q2454" s="78"/>
      <c r="R2454" s="78"/>
      <c r="S2454" s="80"/>
      <c r="T2454" s="80"/>
      <c r="V2454" s="78"/>
      <c r="W2454" s="62"/>
      <c r="X2454" s="80"/>
      <c r="Y2454" s="109"/>
    </row>
    <row r="2455">
      <c r="E2455" s="78"/>
      <c r="G2455" s="78"/>
      <c r="I2455" s="80"/>
      <c r="K2455" s="71"/>
      <c r="N2455" s="109"/>
      <c r="Q2455" s="78"/>
      <c r="R2455" s="78"/>
      <c r="S2455" s="80"/>
      <c r="T2455" s="80"/>
      <c r="V2455" s="78"/>
      <c r="W2455" s="62"/>
      <c r="X2455" s="80"/>
      <c r="Y2455" s="109"/>
    </row>
    <row r="2456">
      <c r="E2456" s="78"/>
      <c r="G2456" s="78"/>
      <c r="I2456" s="80"/>
      <c r="K2456" s="71"/>
      <c r="N2456" s="109"/>
      <c r="Q2456" s="78"/>
      <c r="R2456" s="78"/>
      <c r="S2456" s="80"/>
      <c r="T2456" s="80"/>
      <c r="V2456" s="78"/>
      <c r="W2456" s="62"/>
      <c r="X2456" s="80"/>
      <c r="Y2456" s="109"/>
    </row>
    <row r="2457">
      <c r="E2457" s="78"/>
      <c r="G2457" s="78"/>
      <c r="I2457" s="80"/>
      <c r="K2457" s="71"/>
      <c r="N2457" s="109"/>
      <c r="Q2457" s="78"/>
      <c r="R2457" s="78"/>
      <c r="S2457" s="80"/>
      <c r="T2457" s="80"/>
      <c r="V2457" s="78"/>
      <c r="W2457" s="62"/>
      <c r="X2457" s="80"/>
      <c r="Y2457" s="109"/>
    </row>
    <row r="2458">
      <c r="E2458" s="78"/>
      <c r="G2458" s="78"/>
      <c r="I2458" s="80"/>
      <c r="K2458" s="71"/>
      <c r="N2458" s="109"/>
      <c r="Q2458" s="78"/>
      <c r="R2458" s="78"/>
      <c r="S2458" s="80"/>
      <c r="T2458" s="80"/>
      <c r="V2458" s="78"/>
      <c r="W2458" s="62"/>
      <c r="X2458" s="80"/>
      <c r="Y2458" s="109"/>
    </row>
    <row r="2459">
      <c r="E2459" s="78"/>
      <c r="G2459" s="78"/>
      <c r="I2459" s="80"/>
      <c r="K2459" s="71"/>
      <c r="N2459" s="109"/>
      <c r="Q2459" s="78"/>
      <c r="R2459" s="78"/>
      <c r="S2459" s="80"/>
      <c r="T2459" s="80"/>
      <c r="V2459" s="78"/>
      <c r="W2459" s="62"/>
      <c r="X2459" s="80"/>
      <c r="Y2459" s="109"/>
    </row>
    <row r="2460">
      <c r="E2460" s="78"/>
      <c r="G2460" s="78"/>
      <c r="I2460" s="80"/>
      <c r="K2460" s="71"/>
      <c r="N2460" s="109"/>
      <c r="Q2460" s="78"/>
      <c r="R2460" s="78"/>
      <c r="S2460" s="80"/>
      <c r="T2460" s="80"/>
      <c r="V2460" s="78"/>
      <c r="W2460" s="62"/>
      <c r="X2460" s="80"/>
      <c r="Y2460" s="109"/>
    </row>
    <row r="2461">
      <c r="E2461" s="78"/>
      <c r="G2461" s="78"/>
      <c r="I2461" s="80"/>
      <c r="K2461" s="71"/>
      <c r="N2461" s="109"/>
      <c r="Q2461" s="78"/>
      <c r="R2461" s="78"/>
      <c r="S2461" s="80"/>
      <c r="T2461" s="80"/>
      <c r="V2461" s="78"/>
      <c r="W2461" s="62"/>
      <c r="X2461" s="80"/>
      <c r="Y2461" s="109"/>
    </row>
    <row r="2462">
      <c r="E2462" s="78"/>
      <c r="G2462" s="78"/>
      <c r="I2462" s="80"/>
      <c r="K2462" s="71"/>
      <c r="N2462" s="109"/>
      <c r="Q2462" s="78"/>
      <c r="R2462" s="78"/>
      <c r="S2462" s="80"/>
      <c r="T2462" s="80"/>
      <c r="V2462" s="78"/>
      <c r="W2462" s="62"/>
      <c r="X2462" s="80"/>
      <c r="Y2462" s="109"/>
    </row>
    <row r="2463">
      <c r="E2463" s="78"/>
      <c r="G2463" s="78"/>
      <c r="I2463" s="80"/>
      <c r="K2463" s="71"/>
      <c r="N2463" s="109"/>
      <c r="Q2463" s="78"/>
      <c r="R2463" s="78"/>
      <c r="S2463" s="80"/>
      <c r="T2463" s="80"/>
      <c r="V2463" s="78"/>
      <c r="W2463" s="62"/>
      <c r="X2463" s="80"/>
      <c r="Y2463" s="109"/>
    </row>
    <row r="2464">
      <c r="E2464" s="78"/>
      <c r="G2464" s="78"/>
      <c r="I2464" s="80"/>
      <c r="K2464" s="71"/>
      <c r="N2464" s="109"/>
      <c r="Q2464" s="78"/>
      <c r="R2464" s="78"/>
      <c r="S2464" s="80"/>
      <c r="T2464" s="80"/>
      <c r="V2464" s="78"/>
      <c r="W2464" s="62"/>
      <c r="X2464" s="80"/>
      <c r="Y2464" s="109"/>
    </row>
    <row r="2465">
      <c r="E2465" s="78"/>
      <c r="G2465" s="78"/>
      <c r="I2465" s="80"/>
      <c r="K2465" s="71"/>
      <c r="N2465" s="109"/>
      <c r="Q2465" s="78"/>
      <c r="R2465" s="78"/>
      <c r="S2465" s="80"/>
      <c r="T2465" s="80"/>
      <c r="V2465" s="78"/>
      <c r="W2465" s="62"/>
      <c r="X2465" s="80"/>
      <c r="Y2465" s="109"/>
    </row>
    <row r="2466">
      <c r="E2466" s="78"/>
      <c r="G2466" s="78"/>
      <c r="I2466" s="80"/>
      <c r="K2466" s="71"/>
      <c r="N2466" s="109"/>
      <c r="Q2466" s="78"/>
      <c r="R2466" s="78"/>
      <c r="S2466" s="80"/>
      <c r="T2466" s="80"/>
      <c r="V2466" s="78"/>
      <c r="W2466" s="62"/>
      <c r="X2466" s="80"/>
      <c r="Y2466" s="109"/>
    </row>
    <row r="2467">
      <c r="E2467" s="78"/>
      <c r="G2467" s="78"/>
      <c r="I2467" s="80"/>
      <c r="K2467" s="71"/>
      <c r="N2467" s="109"/>
      <c r="Q2467" s="78"/>
      <c r="R2467" s="78"/>
      <c r="S2467" s="80"/>
      <c r="T2467" s="80"/>
      <c r="V2467" s="78"/>
      <c r="W2467" s="62"/>
      <c r="X2467" s="80"/>
      <c r="Y2467" s="109"/>
    </row>
    <row r="2468">
      <c r="E2468" s="78"/>
      <c r="G2468" s="78"/>
      <c r="I2468" s="80"/>
      <c r="K2468" s="71"/>
      <c r="N2468" s="109"/>
      <c r="Q2468" s="78"/>
      <c r="R2468" s="78"/>
      <c r="S2468" s="80"/>
      <c r="T2468" s="80"/>
      <c r="V2468" s="78"/>
      <c r="W2468" s="62"/>
      <c r="X2468" s="80"/>
      <c r="Y2468" s="109"/>
    </row>
    <row r="2469">
      <c r="E2469" s="78"/>
      <c r="G2469" s="78"/>
      <c r="I2469" s="80"/>
      <c r="K2469" s="71"/>
      <c r="N2469" s="109"/>
      <c r="Q2469" s="78"/>
      <c r="R2469" s="78"/>
      <c r="S2469" s="80"/>
      <c r="T2469" s="80"/>
      <c r="V2469" s="78"/>
      <c r="W2469" s="62"/>
      <c r="X2469" s="80"/>
      <c r="Y2469" s="109"/>
    </row>
    <row r="2470">
      <c r="E2470" s="78"/>
      <c r="G2470" s="78"/>
      <c r="I2470" s="80"/>
      <c r="K2470" s="71"/>
      <c r="N2470" s="109"/>
      <c r="Q2470" s="78"/>
      <c r="R2470" s="78"/>
      <c r="S2470" s="80"/>
      <c r="T2470" s="80"/>
      <c r="V2470" s="78"/>
      <c r="W2470" s="62"/>
      <c r="X2470" s="80"/>
      <c r="Y2470" s="109"/>
    </row>
    <row r="2471">
      <c r="E2471" s="78"/>
      <c r="G2471" s="78"/>
      <c r="I2471" s="80"/>
      <c r="K2471" s="71"/>
      <c r="N2471" s="109"/>
      <c r="Q2471" s="78"/>
      <c r="R2471" s="78"/>
      <c r="S2471" s="80"/>
      <c r="T2471" s="80"/>
      <c r="V2471" s="78"/>
      <c r="W2471" s="62"/>
      <c r="X2471" s="80"/>
      <c r="Y2471" s="109"/>
    </row>
    <row r="2472">
      <c r="E2472" s="78"/>
      <c r="G2472" s="78"/>
      <c r="I2472" s="80"/>
      <c r="K2472" s="71"/>
      <c r="N2472" s="109"/>
      <c r="Q2472" s="78"/>
      <c r="R2472" s="78"/>
      <c r="S2472" s="80"/>
      <c r="T2472" s="80"/>
      <c r="V2472" s="78"/>
      <c r="W2472" s="62"/>
      <c r="X2472" s="80"/>
      <c r="Y2472" s="109"/>
    </row>
    <row r="2473">
      <c r="E2473" s="78"/>
      <c r="G2473" s="78"/>
      <c r="I2473" s="80"/>
      <c r="K2473" s="71"/>
      <c r="N2473" s="109"/>
      <c r="Q2473" s="78"/>
      <c r="R2473" s="78"/>
      <c r="S2473" s="80"/>
      <c r="T2473" s="80"/>
      <c r="V2473" s="78"/>
      <c r="W2473" s="62"/>
      <c r="X2473" s="80"/>
      <c r="Y2473" s="109"/>
    </row>
    <row r="2474">
      <c r="E2474" s="78"/>
      <c r="G2474" s="78"/>
      <c r="I2474" s="80"/>
      <c r="K2474" s="71"/>
      <c r="N2474" s="109"/>
      <c r="Q2474" s="78"/>
      <c r="R2474" s="78"/>
      <c r="S2474" s="80"/>
      <c r="T2474" s="80"/>
      <c r="V2474" s="78"/>
      <c r="W2474" s="62"/>
      <c r="X2474" s="80"/>
      <c r="Y2474" s="109"/>
    </row>
    <row r="2475">
      <c r="E2475" s="78"/>
      <c r="G2475" s="78"/>
      <c r="I2475" s="80"/>
      <c r="K2475" s="71"/>
      <c r="N2475" s="109"/>
      <c r="Q2475" s="78"/>
      <c r="R2475" s="78"/>
      <c r="S2475" s="80"/>
      <c r="T2475" s="80"/>
      <c r="V2475" s="78"/>
      <c r="W2475" s="62"/>
      <c r="X2475" s="80"/>
      <c r="Y2475" s="109"/>
    </row>
    <row r="2476">
      <c r="E2476" s="78"/>
      <c r="G2476" s="78"/>
      <c r="I2476" s="80"/>
      <c r="K2476" s="71"/>
      <c r="N2476" s="109"/>
      <c r="Q2476" s="78"/>
      <c r="R2476" s="78"/>
      <c r="S2476" s="80"/>
      <c r="T2476" s="80"/>
      <c r="V2476" s="78"/>
      <c r="W2476" s="62"/>
      <c r="X2476" s="80"/>
      <c r="Y2476" s="109"/>
    </row>
    <row r="2477">
      <c r="E2477" s="78"/>
      <c r="G2477" s="78"/>
      <c r="I2477" s="80"/>
      <c r="K2477" s="71"/>
      <c r="N2477" s="109"/>
      <c r="Q2477" s="78"/>
      <c r="R2477" s="78"/>
      <c r="S2477" s="80"/>
      <c r="T2477" s="80"/>
      <c r="V2477" s="78"/>
      <c r="W2477" s="62"/>
      <c r="X2477" s="80"/>
      <c r="Y2477" s="109"/>
    </row>
    <row r="2478">
      <c r="E2478" s="78"/>
      <c r="G2478" s="78"/>
      <c r="I2478" s="80"/>
      <c r="K2478" s="71"/>
      <c r="N2478" s="109"/>
      <c r="Q2478" s="78"/>
      <c r="R2478" s="78"/>
      <c r="S2478" s="80"/>
      <c r="T2478" s="80"/>
      <c r="V2478" s="78"/>
      <c r="W2478" s="62"/>
      <c r="X2478" s="80"/>
      <c r="Y2478" s="109"/>
    </row>
    <row r="2479">
      <c r="E2479" s="78"/>
      <c r="G2479" s="78"/>
      <c r="I2479" s="80"/>
      <c r="K2479" s="71"/>
      <c r="N2479" s="109"/>
      <c r="Q2479" s="78"/>
      <c r="R2479" s="78"/>
      <c r="S2479" s="80"/>
      <c r="T2479" s="80"/>
      <c r="V2479" s="78"/>
      <c r="W2479" s="62"/>
      <c r="X2479" s="80"/>
      <c r="Y2479" s="109"/>
    </row>
    <row r="2480">
      <c r="E2480" s="78"/>
      <c r="G2480" s="78"/>
      <c r="I2480" s="80"/>
      <c r="K2480" s="71"/>
      <c r="N2480" s="109"/>
      <c r="Q2480" s="78"/>
      <c r="R2480" s="78"/>
      <c r="S2480" s="80"/>
      <c r="T2480" s="80"/>
      <c r="V2480" s="78"/>
      <c r="W2480" s="62"/>
      <c r="X2480" s="80"/>
      <c r="Y2480" s="109"/>
    </row>
    <row r="2481">
      <c r="E2481" s="78"/>
      <c r="G2481" s="78"/>
      <c r="I2481" s="80"/>
      <c r="K2481" s="71"/>
      <c r="N2481" s="109"/>
      <c r="Q2481" s="78"/>
      <c r="R2481" s="78"/>
      <c r="S2481" s="80"/>
      <c r="T2481" s="80"/>
      <c r="V2481" s="78"/>
      <c r="W2481" s="62"/>
      <c r="X2481" s="80"/>
      <c r="Y2481" s="109"/>
    </row>
    <row r="2482">
      <c r="E2482" s="78"/>
      <c r="G2482" s="78"/>
      <c r="I2482" s="80"/>
      <c r="K2482" s="71"/>
      <c r="N2482" s="109"/>
      <c r="Q2482" s="78"/>
      <c r="R2482" s="78"/>
      <c r="S2482" s="80"/>
      <c r="T2482" s="80"/>
      <c r="V2482" s="78"/>
      <c r="W2482" s="62"/>
      <c r="X2482" s="80"/>
      <c r="Y2482" s="109"/>
    </row>
    <row r="2483">
      <c r="E2483" s="78"/>
      <c r="G2483" s="78"/>
      <c r="I2483" s="80"/>
      <c r="K2483" s="71"/>
      <c r="N2483" s="109"/>
      <c r="Q2483" s="78"/>
      <c r="R2483" s="78"/>
      <c r="S2483" s="80"/>
      <c r="T2483" s="80"/>
      <c r="V2483" s="78"/>
      <c r="W2483" s="62"/>
      <c r="X2483" s="80"/>
      <c r="Y2483" s="109"/>
    </row>
    <row r="2484">
      <c r="E2484" s="78"/>
      <c r="G2484" s="78"/>
      <c r="I2484" s="80"/>
      <c r="K2484" s="71"/>
      <c r="N2484" s="109"/>
      <c r="Q2484" s="78"/>
      <c r="R2484" s="78"/>
      <c r="S2484" s="80"/>
      <c r="T2484" s="80"/>
      <c r="V2484" s="78"/>
      <c r="W2484" s="62"/>
      <c r="X2484" s="80"/>
      <c r="Y2484" s="109"/>
    </row>
    <row r="2485">
      <c r="E2485" s="78"/>
      <c r="G2485" s="78"/>
      <c r="I2485" s="80"/>
      <c r="K2485" s="71"/>
      <c r="N2485" s="109"/>
      <c r="Q2485" s="78"/>
      <c r="R2485" s="78"/>
      <c r="S2485" s="80"/>
      <c r="T2485" s="80"/>
      <c r="V2485" s="78"/>
      <c r="W2485" s="62"/>
      <c r="X2485" s="80"/>
      <c r="Y2485" s="109"/>
    </row>
    <row r="2486">
      <c r="E2486" s="78"/>
      <c r="G2486" s="78"/>
      <c r="I2486" s="80"/>
      <c r="K2486" s="71"/>
      <c r="N2486" s="109"/>
      <c r="Q2486" s="78"/>
      <c r="R2486" s="78"/>
      <c r="S2486" s="80"/>
      <c r="T2486" s="80"/>
      <c r="V2486" s="78"/>
      <c r="W2486" s="62"/>
      <c r="X2486" s="80"/>
      <c r="Y2486" s="109"/>
    </row>
    <row r="2487">
      <c r="E2487" s="78"/>
      <c r="G2487" s="78"/>
      <c r="I2487" s="80"/>
      <c r="K2487" s="71"/>
      <c r="N2487" s="109"/>
      <c r="Q2487" s="78"/>
      <c r="R2487" s="78"/>
      <c r="S2487" s="80"/>
      <c r="T2487" s="80"/>
      <c r="V2487" s="78"/>
      <c r="W2487" s="62"/>
      <c r="X2487" s="80"/>
      <c r="Y2487" s="109"/>
    </row>
    <row r="2488">
      <c r="E2488" s="78"/>
      <c r="G2488" s="78"/>
      <c r="I2488" s="80"/>
      <c r="K2488" s="71"/>
      <c r="N2488" s="109"/>
      <c r="Q2488" s="78"/>
      <c r="R2488" s="78"/>
      <c r="S2488" s="80"/>
      <c r="T2488" s="80"/>
      <c r="V2488" s="78"/>
      <c r="W2488" s="62"/>
      <c r="X2488" s="80"/>
      <c r="Y2488" s="109"/>
    </row>
    <row r="2489">
      <c r="E2489" s="78"/>
      <c r="G2489" s="78"/>
      <c r="I2489" s="80"/>
      <c r="K2489" s="71"/>
      <c r="N2489" s="109"/>
      <c r="Q2489" s="78"/>
      <c r="R2489" s="78"/>
      <c r="S2489" s="80"/>
      <c r="T2489" s="80"/>
      <c r="V2489" s="78"/>
      <c r="W2489" s="62"/>
      <c r="X2489" s="80"/>
      <c r="Y2489" s="109"/>
    </row>
    <row r="2490">
      <c r="E2490" s="78"/>
      <c r="G2490" s="78"/>
      <c r="I2490" s="80"/>
      <c r="K2490" s="71"/>
      <c r="N2490" s="109"/>
      <c r="Q2490" s="78"/>
      <c r="R2490" s="78"/>
      <c r="S2490" s="80"/>
      <c r="T2490" s="80"/>
      <c r="V2490" s="78"/>
      <c r="W2490" s="62"/>
      <c r="X2490" s="80"/>
      <c r="Y2490" s="109"/>
    </row>
    <row r="2491">
      <c r="E2491" s="78"/>
      <c r="G2491" s="78"/>
      <c r="I2491" s="80"/>
      <c r="K2491" s="71"/>
      <c r="N2491" s="109"/>
      <c r="Q2491" s="78"/>
      <c r="R2491" s="78"/>
      <c r="S2491" s="80"/>
      <c r="T2491" s="80"/>
      <c r="V2491" s="78"/>
      <c r="W2491" s="62"/>
      <c r="X2491" s="80"/>
      <c r="Y2491" s="109"/>
    </row>
    <row r="2492">
      <c r="E2492" s="78"/>
      <c r="G2492" s="78"/>
      <c r="I2492" s="80"/>
      <c r="K2492" s="71"/>
      <c r="N2492" s="109"/>
      <c r="Q2492" s="78"/>
      <c r="R2492" s="78"/>
      <c r="S2492" s="80"/>
      <c r="T2492" s="80"/>
      <c r="V2492" s="78"/>
      <c r="W2492" s="62"/>
      <c r="X2492" s="80"/>
      <c r="Y2492" s="109"/>
    </row>
    <row r="2493">
      <c r="E2493" s="78"/>
      <c r="G2493" s="78"/>
      <c r="I2493" s="80"/>
      <c r="K2493" s="71"/>
      <c r="N2493" s="109"/>
      <c r="Q2493" s="78"/>
      <c r="R2493" s="78"/>
      <c r="S2493" s="80"/>
      <c r="T2493" s="80"/>
      <c r="V2493" s="78"/>
      <c r="W2493" s="62"/>
      <c r="X2493" s="80"/>
      <c r="Y2493" s="109"/>
    </row>
    <row r="2494">
      <c r="E2494" s="78"/>
      <c r="G2494" s="78"/>
      <c r="I2494" s="80"/>
      <c r="K2494" s="71"/>
      <c r="N2494" s="109"/>
      <c r="Q2494" s="78"/>
      <c r="R2494" s="78"/>
      <c r="S2494" s="80"/>
      <c r="T2494" s="80"/>
      <c r="V2494" s="78"/>
      <c r="W2494" s="62"/>
      <c r="X2494" s="80"/>
      <c r="Y2494" s="109"/>
    </row>
    <row r="2495">
      <c r="E2495" s="78"/>
      <c r="G2495" s="78"/>
      <c r="I2495" s="80"/>
      <c r="K2495" s="71"/>
      <c r="N2495" s="109"/>
      <c r="Q2495" s="78"/>
      <c r="R2495" s="78"/>
      <c r="S2495" s="80"/>
      <c r="T2495" s="80"/>
      <c r="V2495" s="78"/>
      <c r="W2495" s="62"/>
      <c r="X2495" s="80"/>
      <c r="Y2495" s="109"/>
    </row>
    <row r="2496">
      <c r="E2496" s="78"/>
      <c r="G2496" s="78"/>
      <c r="I2496" s="80"/>
      <c r="K2496" s="71"/>
      <c r="N2496" s="109"/>
      <c r="Q2496" s="78"/>
      <c r="R2496" s="78"/>
      <c r="S2496" s="80"/>
      <c r="T2496" s="80"/>
      <c r="V2496" s="78"/>
      <c r="W2496" s="62"/>
      <c r="X2496" s="80"/>
      <c r="Y2496" s="109"/>
    </row>
    <row r="2497">
      <c r="E2497" s="78"/>
      <c r="G2497" s="78"/>
      <c r="I2497" s="80"/>
      <c r="K2497" s="71"/>
      <c r="N2497" s="109"/>
      <c r="Q2497" s="78"/>
      <c r="R2497" s="78"/>
      <c r="S2497" s="80"/>
      <c r="T2497" s="80"/>
      <c r="V2497" s="78"/>
      <c r="W2497" s="62"/>
      <c r="X2497" s="80"/>
      <c r="Y2497" s="109"/>
    </row>
    <row r="2498">
      <c r="E2498" s="78"/>
      <c r="G2498" s="78"/>
      <c r="I2498" s="80"/>
      <c r="K2498" s="71"/>
      <c r="N2498" s="109"/>
      <c r="Q2498" s="78"/>
      <c r="R2498" s="78"/>
      <c r="S2498" s="80"/>
      <c r="T2498" s="80"/>
      <c r="V2498" s="78"/>
      <c r="W2498" s="62"/>
      <c r="X2498" s="80"/>
      <c r="Y2498" s="109"/>
    </row>
    <row r="2499">
      <c r="E2499" s="78"/>
      <c r="G2499" s="78"/>
      <c r="I2499" s="80"/>
      <c r="K2499" s="71"/>
      <c r="N2499" s="109"/>
      <c r="Q2499" s="78"/>
      <c r="R2499" s="78"/>
      <c r="S2499" s="80"/>
      <c r="T2499" s="80"/>
      <c r="V2499" s="78"/>
      <c r="W2499" s="62"/>
      <c r="X2499" s="80"/>
      <c r="Y2499" s="109"/>
    </row>
    <row r="2500">
      <c r="E2500" s="78"/>
      <c r="G2500" s="78"/>
      <c r="I2500" s="80"/>
      <c r="K2500" s="71"/>
      <c r="N2500" s="109"/>
      <c r="Q2500" s="78"/>
      <c r="R2500" s="78"/>
      <c r="S2500" s="80"/>
      <c r="T2500" s="80"/>
      <c r="V2500" s="78"/>
      <c r="W2500" s="62"/>
      <c r="X2500" s="80"/>
      <c r="Y2500" s="109"/>
    </row>
    <row r="2501">
      <c r="E2501" s="78"/>
      <c r="G2501" s="78"/>
      <c r="I2501" s="80"/>
      <c r="K2501" s="71"/>
      <c r="N2501" s="109"/>
      <c r="Q2501" s="78"/>
      <c r="R2501" s="78"/>
      <c r="S2501" s="80"/>
      <c r="T2501" s="80"/>
      <c r="V2501" s="78"/>
      <c r="W2501" s="62"/>
      <c r="X2501" s="80"/>
      <c r="Y2501" s="109"/>
    </row>
    <row r="2502">
      <c r="E2502" s="78"/>
      <c r="G2502" s="78"/>
      <c r="I2502" s="80"/>
      <c r="K2502" s="71"/>
      <c r="N2502" s="109"/>
      <c r="Q2502" s="78"/>
      <c r="R2502" s="78"/>
      <c r="S2502" s="80"/>
      <c r="T2502" s="80"/>
      <c r="V2502" s="78"/>
      <c r="W2502" s="62"/>
      <c r="X2502" s="80"/>
      <c r="Y2502" s="109"/>
    </row>
    <row r="2503">
      <c r="E2503" s="78"/>
      <c r="G2503" s="78"/>
      <c r="I2503" s="80"/>
      <c r="K2503" s="71"/>
      <c r="N2503" s="109"/>
      <c r="Q2503" s="78"/>
      <c r="R2503" s="78"/>
      <c r="S2503" s="80"/>
      <c r="T2503" s="80"/>
      <c r="V2503" s="78"/>
      <c r="W2503" s="62"/>
      <c r="X2503" s="80"/>
      <c r="Y2503" s="109"/>
    </row>
    <row r="2504">
      <c r="E2504" s="78"/>
      <c r="G2504" s="78"/>
      <c r="I2504" s="80"/>
      <c r="K2504" s="71"/>
      <c r="N2504" s="109"/>
      <c r="Q2504" s="78"/>
      <c r="R2504" s="78"/>
      <c r="S2504" s="80"/>
      <c r="T2504" s="80"/>
      <c r="V2504" s="78"/>
      <c r="W2504" s="62"/>
      <c r="X2504" s="80"/>
      <c r="Y2504" s="109"/>
    </row>
    <row r="2505">
      <c r="E2505" s="78"/>
      <c r="G2505" s="78"/>
      <c r="I2505" s="80"/>
      <c r="K2505" s="71"/>
      <c r="N2505" s="109"/>
      <c r="Q2505" s="78"/>
      <c r="R2505" s="78"/>
      <c r="S2505" s="80"/>
      <c r="T2505" s="80"/>
      <c r="V2505" s="78"/>
      <c r="W2505" s="62"/>
      <c r="X2505" s="80"/>
      <c r="Y2505" s="109"/>
    </row>
    <row r="2506">
      <c r="E2506" s="78"/>
      <c r="G2506" s="78"/>
      <c r="I2506" s="80"/>
      <c r="K2506" s="71"/>
      <c r="N2506" s="109"/>
      <c r="Q2506" s="78"/>
      <c r="R2506" s="78"/>
      <c r="S2506" s="80"/>
      <c r="T2506" s="80"/>
      <c r="V2506" s="78"/>
      <c r="W2506" s="62"/>
      <c r="X2506" s="80"/>
      <c r="Y2506" s="109"/>
    </row>
    <row r="2507">
      <c r="E2507" s="78"/>
      <c r="G2507" s="78"/>
      <c r="I2507" s="80"/>
      <c r="K2507" s="71"/>
      <c r="N2507" s="109"/>
      <c r="Q2507" s="78"/>
      <c r="R2507" s="78"/>
      <c r="S2507" s="80"/>
      <c r="T2507" s="80"/>
      <c r="V2507" s="78"/>
      <c r="W2507" s="62"/>
      <c r="X2507" s="80"/>
      <c r="Y2507" s="109"/>
    </row>
    <row r="2508">
      <c r="E2508" s="78"/>
      <c r="G2508" s="78"/>
      <c r="I2508" s="80"/>
      <c r="K2508" s="71"/>
      <c r="N2508" s="109"/>
      <c r="Q2508" s="78"/>
      <c r="R2508" s="78"/>
      <c r="S2508" s="80"/>
      <c r="T2508" s="80"/>
      <c r="V2508" s="78"/>
      <c r="W2508" s="62"/>
      <c r="X2508" s="80"/>
      <c r="Y2508" s="109"/>
    </row>
    <row r="2509">
      <c r="E2509" s="78"/>
      <c r="G2509" s="78"/>
      <c r="I2509" s="80"/>
      <c r="K2509" s="71"/>
      <c r="N2509" s="109"/>
      <c r="Q2509" s="78"/>
      <c r="R2509" s="78"/>
      <c r="S2509" s="80"/>
      <c r="T2509" s="80"/>
      <c r="V2509" s="78"/>
      <c r="W2509" s="62"/>
      <c r="X2509" s="80"/>
      <c r="Y2509" s="109"/>
    </row>
    <row r="2510">
      <c r="E2510" s="78"/>
      <c r="G2510" s="78"/>
      <c r="I2510" s="80"/>
      <c r="K2510" s="71"/>
      <c r="N2510" s="109"/>
      <c r="Q2510" s="78"/>
      <c r="R2510" s="78"/>
      <c r="S2510" s="80"/>
      <c r="T2510" s="80"/>
      <c r="V2510" s="78"/>
      <c r="W2510" s="62"/>
      <c r="X2510" s="80"/>
      <c r="Y2510" s="109"/>
    </row>
    <row r="2511">
      <c r="E2511" s="78"/>
      <c r="G2511" s="78"/>
      <c r="I2511" s="80"/>
      <c r="K2511" s="71"/>
      <c r="N2511" s="109"/>
      <c r="Q2511" s="78"/>
      <c r="R2511" s="78"/>
      <c r="S2511" s="80"/>
      <c r="T2511" s="80"/>
      <c r="V2511" s="78"/>
      <c r="W2511" s="62"/>
      <c r="X2511" s="80"/>
      <c r="Y2511" s="109"/>
    </row>
    <row r="2512">
      <c r="E2512" s="78"/>
      <c r="G2512" s="78"/>
      <c r="I2512" s="80"/>
      <c r="K2512" s="71"/>
      <c r="N2512" s="109"/>
      <c r="Q2512" s="78"/>
      <c r="R2512" s="78"/>
      <c r="S2512" s="80"/>
      <c r="T2512" s="80"/>
      <c r="V2512" s="78"/>
      <c r="W2512" s="62"/>
      <c r="X2512" s="80"/>
      <c r="Y2512" s="109"/>
    </row>
    <row r="2513">
      <c r="E2513" s="78"/>
      <c r="G2513" s="78"/>
      <c r="I2513" s="80"/>
      <c r="K2513" s="71"/>
      <c r="N2513" s="109"/>
      <c r="Q2513" s="78"/>
      <c r="R2513" s="78"/>
      <c r="S2513" s="80"/>
      <c r="T2513" s="80"/>
      <c r="V2513" s="78"/>
      <c r="W2513" s="62"/>
      <c r="X2513" s="80"/>
      <c r="Y2513" s="109"/>
    </row>
    <row r="2514">
      <c r="E2514" s="78"/>
      <c r="G2514" s="78"/>
      <c r="I2514" s="80"/>
      <c r="K2514" s="71"/>
      <c r="N2514" s="109"/>
      <c r="Q2514" s="78"/>
      <c r="R2514" s="78"/>
      <c r="S2514" s="80"/>
      <c r="T2514" s="80"/>
      <c r="V2514" s="78"/>
      <c r="W2514" s="62"/>
      <c r="X2514" s="80"/>
      <c r="Y2514" s="109"/>
    </row>
    <row r="2515">
      <c r="E2515" s="78"/>
      <c r="G2515" s="78"/>
      <c r="I2515" s="80"/>
      <c r="K2515" s="71"/>
      <c r="N2515" s="109"/>
      <c r="Q2515" s="78"/>
      <c r="R2515" s="78"/>
      <c r="S2515" s="80"/>
      <c r="T2515" s="80"/>
      <c r="V2515" s="78"/>
      <c r="W2515" s="62"/>
      <c r="X2515" s="80"/>
      <c r="Y2515" s="109"/>
    </row>
    <row r="2516">
      <c r="E2516" s="78"/>
      <c r="G2516" s="78"/>
      <c r="I2516" s="80"/>
      <c r="K2516" s="71"/>
      <c r="N2516" s="109"/>
      <c r="Q2516" s="78"/>
      <c r="R2516" s="78"/>
      <c r="S2516" s="80"/>
      <c r="T2516" s="80"/>
      <c r="V2516" s="78"/>
      <c r="W2516" s="62"/>
      <c r="X2516" s="80"/>
      <c r="Y2516" s="109"/>
    </row>
    <row r="2517">
      <c r="E2517" s="78"/>
      <c r="G2517" s="78"/>
      <c r="I2517" s="80"/>
      <c r="K2517" s="71"/>
      <c r="N2517" s="109"/>
      <c r="Q2517" s="78"/>
      <c r="R2517" s="78"/>
      <c r="S2517" s="80"/>
      <c r="T2517" s="80"/>
      <c r="V2517" s="78"/>
      <c r="W2517" s="62"/>
      <c r="X2517" s="80"/>
      <c r="Y2517" s="109"/>
    </row>
    <row r="2518">
      <c r="E2518" s="78"/>
      <c r="G2518" s="78"/>
      <c r="I2518" s="80"/>
      <c r="K2518" s="71"/>
      <c r="N2518" s="109"/>
      <c r="Q2518" s="78"/>
      <c r="R2518" s="78"/>
      <c r="S2518" s="80"/>
      <c r="T2518" s="80"/>
      <c r="V2518" s="78"/>
      <c r="W2518" s="62"/>
      <c r="X2518" s="80"/>
      <c r="Y2518" s="109"/>
    </row>
    <row r="2519">
      <c r="E2519" s="78"/>
      <c r="G2519" s="78"/>
      <c r="I2519" s="80"/>
      <c r="K2519" s="71"/>
      <c r="N2519" s="109"/>
      <c r="Q2519" s="78"/>
      <c r="R2519" s="78"/>
      <c r="S2519" s="80"/>
      <c r="T2519" s="80"/>
      <c r="V2519" s="78"/>
      <c r="W2519" s="62"/>
      <c r="X2519" s="80"/>
      <c r="Y2519" s="109"/>
    </row>
    <row r="2520">
      <c r="E2520" s="78"/>
      <c r="G2520" s="78"/>
      <c r="I2520" s="80"/>
      <c r="K2520" s="71"/>
      <c r="N2520" s="109"/>
      <c r="Q2520" s="78"/>
      <c r="R2520" s="78"/>
      <c r="S2520" s="80"/>
      <c r="T2520" s="80"/>
      <c r="V2520" s="78"/>
      <c r="W2520" s="62"/>
      <c r="X2520" s="80"/>
      <c r="Y2520" s="109"/>
    </row>
    <row r="2521">
      <c r="E2521" s="78"/>
      <c r="G2521" s="78"/>
      <c r="I2521" s="80"/>
      <c r="K2521" s="71"/>
      <c r="N2521" s="109"/>
      <c r="Q2521" s="78"/>
      <c r="R2521" s="78"/>
      <c r="S2521" s="80"/>
      <c r="T2521" s="80"/>
      <c r="V2521" s="78"/>
      <c r="W2521" s="62"/>
      <c r="X2521" s="80"/>
      <c r="Y2521" s="109"/>
    </row>
    <row r="2522">
      <c r="E2522" s="78"/>
      <c r="G2522" s="78"/>
      <c r="I2522" s="80"/>
      <c r="K2522" s="71"/>
      <c r="N2522" s="109"/>
      <c r="Q2522" s="78"/>
      <c r="R2522" s="78"/>
      <c r="S2522" s="80"/>
      <c r="T2522" s="80"/>
      <c r="V2522" s="78"/>
      <c r="W2522" s="62"/>
      <c r="X2522" s="80"/>
      <c r="Y2522" s="109"/>
    </row>
    <row r="2523">
      <c r="E2523" s="78"/>
      <c r="G2523" s="78"/>
      <c r="I2523" s="80"/>
      <c r="K2523" s="71"/>
      <c r="N2523" s="109"/>
      <c r="Q2523" s="78"/>
      <c r="R2523" s="78"/>
      <c r="S2523" s="80"/>
      <c r="T2523" s="80"/>
      <c r="V2523" s="78"/>
      <c r="W2523" s="62"/>
      <c r="X2523" s="80"/>
      <c r="Y2523" s="109"/>
    </row>
    <row r="2524">
      <c r="E2524" s="78"/>
      <c r="G2524" s="78"/>
      <c r="I2524" s="80"/>
      <c r="K2524" s="71"/>
      <c r="N2524" s="109"/>
      <c r="Q2524" s="78"/>
      <c r="R2524" s="78"/>
      <c r="S2524" s="80"/>
      <c r="T2524" s="80"/>
      <c r="V2524" s="78"/>
      <c r="W2524" s="62"/>
      <c r="X2524" s="80"/>
      <c r="Y2524" s="109"/>
    </row>
    <row r="2525">
      <c r="E2525" s="78"/>
      <c r="G2525" s="78"/>
      <c r="I2525" s="80"/>
      <c r="K2525" s="71"/>
      <c r="N2525" s="109"/>
      <c r="Q2525" s="78"/>
      <c r="R2525" s="78"/>
      <c r="S2525" s="80"/>
      <c r="T2525" s="80"/>
      <c r="V2525" s="78"/>
      <c r="W2525" s="62"/>
      <c r="X2525" s="80"/>
      <c r="Y2525" s="109"/>
    </row>
    <row r="2526">
      <c r="E2526" s="78"/>
      <c r="G2526" s="78"/>
      <c r="I2526" s="80"/>
      <c r="K2526" s="71"/>
      <c r="N2526" s="109"/>
      <c r="Q2526" s="78"/>
      <c r="R2526" s="78"/>
      <c r="S2526" s="80"/>
      <c r="T2526" s="80"/>
      <c r="V2526" s="78"/>
      <c r="W2526" s="62"/>
      <c r="X2526" s="80"/>
      <c r="Y2526" s="109"/>
    </row>
    <row r="2527">
      <c r="E2527" s="78"/>
      <c r="G2527" s="78"/>
      <c r="I2527" s="80"/>
      <c r="K2527" s="71"/>
      <c r="N2527" s="109"/>
      <c r="Q2527" s="78"/>
      <c r="R2527" s="78"/>
      <c r="S2527" s="80"/>
      <c r="T2527" s="80"/>
      <c r="V2527" s="78"/>
      <c r="W2527" s="62"/>
      <c r="X2527" s="80"/>
      <c r="Y2527" s="109"/>
    </row>
    <row r="2528">
      <c r="E2528" s="78"/>
      <c r="G2528" s="78"/>
      <c r="I2528" s="80"/>
      <c r="K2528" s="71"/>
      <c r="N2528" s="109"/>
      <c r="Q2528" s="78"/>
      <c r="R2528" s="78"/>
      <c r="S2528" s="80"/>
      <c r="T2528" s="80"/>
      <c r="V2528" s="78"/>
      <c r="W2528" s="62"/>
      <c r="X2528" s="80"/>
      <c r="Y2528" s="109"/>
    </row>
    <row r="2529">
      <c r="E2529" s="78"/>
      <c r="G2529" s="78"/>
      <c r="I2529" s="80"/>
      <c r="K2529" s="71"/>
      <c r="N2529" s="109"/>
      <c r="Q2529" s="78"/>
      <c r="R2529" s="78"/>
      <c r="S2529" s="80"/>
      <c r="T2529" s="80"/>
      <c r="V2529" s="78"/>
      <c r="W2529" s="62"/>
      <c r="X2529" s="80"/>
      <c r="Y2529" s="109"/>
    </row>
    <row r="2530">
      <c r="E2530" s="78"/>
      <c r="G2530" s="78"/>
      <c r="I2530" s="80"/>
      <c r="K2530" s="71"/>
      <c r="N2530" s="109"/>
      <c r="Q2530" s="78"/>
      <c r="R2530" s="78"/>
      <c r="S2530" s="80"/>
      <c r="T2530" s="80"/>
      <c r="V2530" s="78"/>
      <c r="W2530" s="62"/>
      <c r="X2530" s="80"/>
      <c r="Y2530" s="109"/>
    </row>
    <row r="2531">
      <c r="E2531" s="78"/>
      <c r="G2531" s="78"/>
      <c r="I2531" s="80"/>
      <c r="K2531" s="71"/>
      <c r="N2531" s="109"/>
      <c r="Q2531" s="78"/>
      <c r="R2531" s="78"/>
      <c r="S2531" s="80"/>
      <c r="T2531" s="80"/>
      <c r="V2531" s="78"/>
      <c r="W2531" s="62"/>
      <c r="X2531" s="80"/>
      <c r="Y2531" s="109"/>
    </row>
    <row r="2532">
      <c r="E2532" s="78"/>
      <c r="G2532" s="78"/>
      <c r="I2532" s="80"/>
      <c r="K2532" s="71"/>
      <c r="N2532" s="109"/>
      <c r="Q2532" s="78"/>
      <c r="R2532" s="78"/>
      <c r="S2532" s="80"/>
      <c r="T2532" s="80"/>
      <c r="V2532" s="78"/>
      <c r="W2532" s="62"/>
      <c r="X2532" s="80"/>
      <c r="Y2532" s="109"/>
    </row>
    <row r="2533">
      <c r="E2533" s="78"/>
      <c r="G2533" s="78"/>
      <c r="I2533" s="80"/>
      <c r="K2533" s="71"/>
      <c r="N2533" s="109"/>
      <c r="Q2533" s="78"/>
      <c r="R2533" s="78"/>
      <c r="S2533" s="80"/>
      <c r="T2533" s="80"/>
      <c r="V2533" s="78"/>
      <c r="W2533" s="62"/>
      <c r="X2533" s="80"/>
      <c r="Y2533" s="109"/>
    </row>
    <row r="2534">
      <c r="E2534" s="78"/>
      <c r="G2534" s="78"/>
      <c r="I2534" s="80"/>
      <c r="K2534" s="71"/>
      <c r="N2534" s="109"/>
      <c r="Q2534" s="78"/>
      <c r="R2534" s="78"/>
      <c r="S2534" s="80"/>
      <c r="T2534" s="80"/>
      <c r="V2534" s="78"/>
      <c r="W2534" s="62"/>
      <c r="X2534" s="80"/>
      <c r="Y2534" s="109"/>
    </row>
    <row r="2535">
      <c r="E2535" s="78"/>
      <c r="G2535" s="78"/>
      <c r="I2535" s="80"/>
      <c r="K2535" s="71"/>
      <c r="N2535" s="109"/>
      <c r="Q2535" s="78"/>
      <c r="R2535" s="78"/>
      <c r="S2535" s="80"/>
      <c r="T2535" s="80"/>
      <c r="V2535" s="78"/>
      <c r="W2535" s="62"/>
      <c r="X2535" s="80"/>
      <c r="Y2535" s="109"/>
    </row>
    <row r="2536">
      <c r="E2536" s="78"/>
      <c r="G2536" s="78"/>
      <c r="I2536" s="80"/>
      <c r="K2536" s="71"/>
      <c r="N2536" s="109"/>
      <c r="Q2536" s="78"/>
      <c r="R2536" s="78"/>
      <c r="S2536" s="80"/>
      <c r="T2536" s="80"/>
      <c r="V2536" s="78"/>
      <c r="W2536" s="62"/>
      <c r="X2536" s="80"/>
      <c r="Y2536" s="109"/>
    </row>
    <row r="2537">
      <c r="E2537" s="78"/>
      <c r="G2537" s="78"/>
      <c r="I2537" s="80"/>
      <c r="K2537" s="71"/>
      <c r="N2537" s="109"/>
      <c r="Q2537" s="78"/>
      <c r="R2537" s="78"/>
      <c r="S2537" s="80"/>
      <c r="T2537" s="80"/>
      <c r="V2537" s="78"/>
      <c r="W2537" s="62"/>
      <c r="X2537" s="80"/>
      <c r="Y2537" s="109"/>
    </row>
    <row r="2538">
      <c r="E2538" s="78"/>
      <c r="G2538" s="78"/>
      <c r="I2538" s="80"/>
      <c r="K2538" s="71"/>
      <c r="N2538" s="109"/>
      <c r="Q2538" s="78"/>
      <c r="R2538" s="78"/>
      <c r="S2538" s="80"/>
      <c r="T2538" s="80"/>
      <c r="V2538" s="78"/>
      <c r="W2538" s="62"/>
      <c r="X2538" s="80"/>
      <c r="Y2538" s="109"/>
    </row>
    <row r="2539">
      <c r="E2539" s="78"/>
      <c r="G2539" s="78"/>
      <c r="I2539" s="80"/>
      <c r="K2539" s="71"/>
      <c r="N2539" s="109"/>
      <c r="Q2539" s="78"/>
      <c r="R2539" s="78"/>
      <c r="S2539" s="80"/>
      <c r="T2539" s="80"/>
      <c r="V2539" s="78"/>
      <c r="W2539" s="62"/>
      <c r="X2539" s="80"/>
      <c r="Y2539" s="109"/>
    </row>
    <row r="2540">
      <c r="E2540" s="78"/>
      <c r="G2540" s="78"/>
      <c r="I2540" s="80"/>
      <c r="K2540" s="71"/>
      <c r="N2540" s="109"/>
      <c r="Q2540" s="78"/>
      <c r="R2540" s="78"/>
      <c r="S2540" s="80"/>
      <c r="T2540" s="80"/>
      <c r="V2540" s="78"/>
      <c r="W2540" s="62"/>
      <c r="X2540" s="80"/>
      <c r="Y2540" s="109"/>
    </row>
    <row r="2541">
      <c r="E2541" s="78"/>
      <c r="G2541" s="78"/>
      <c r="I2541" s="80"/>
      <c r="K2541" s="71"/>
      <c r="N2541" s="109"/>
      <c r="Q2541" s="78"/>
      <c r="R2541" s="78"/>
      <c r="S2541" s="80"/>
      <c r="T2541" s="80"/>
      <c r="V2541" s="78"/>
      <c r="W2541" s="62"/>
      <c r="X2541" s="80"/>
      <c r="Y2541" s="109"/>
    </row>
    <row r="2542">
      <c r="E2542" s="78"/>
      <c r="G2542" s="78"/>
      <c r="I2542" s="80"/>
      <c r="K2542" s="71"/>
      <c r="N2542" s="109"/>
      <c r="Q2542" s="78"/>
      <c r="R2542" s="78"/>
      <c r="S2542" s="80"/>
      <c r="T2542" s="80"/>
      <c r="V2542" s="78"/>
      <c r="W2542" s="62"/>
      <c r="X2542" s="80"/>
      <c r="Y2542" s="109"/>
    </row>
    <row r="2543">
      <c r="E2543" s="78"/>
      <c r="G2543" s="78"/>
      <c r="I2543" s="80"/>
      <c r="K2543" s="71"/>
      <c r="N2543" s="109"/>
      <c r="Q2543" s="78"/>
      <c r="R2543" s="78"/>
      <c r="S2543" s="80"/>
      <c r="T2543" s="80"/>
      <c r="V2543" s="78"/>
      <c r="W2543" s="62"/>
      <c r="X2543" s="80"/>
      <c r="Y2543" s="109"/>
    </row>
    <row r="2544">
      <c r="E2544" s="78"/>
      <c r="G2544" s="78"/>
      <c r="I2544" s="80"/>
      <c r="K2544" s="71"/>
      <c r="N2544" s="109"/>
      <c r="Q2544" s="78"/>
      <c r="R2544" s="78"/>
      <c r="S2544" s="80"/>
      <c r="T2544" s="80"/>
      <c r="V2544" s="78"/>
      <c r="W2544" s="62"/>
      <c r="X2544" s="80"/>
      <c r="Y2544" s="109"/>
    </row>
    <row r="2545">
      <c r="E2545" s="78"/>
      <c r="G2545" s="78"/>
      <c r="I2545" s="80"/>
      <c r="K2545" s="71"/>
      <c r="N2545" s="109"/>
      <c r="Q2545" s="78"/>
      <c r="R2545" s="78"/>
      <c r="S2545" s="80"/>
      <c r="T2545" s="80"/>
      <c r="V2545" s="78"/>
      <c r="W2545" s="62"/>
      <c r="X2545" s="80"/>
      <c r="Y2545" s="109"/>
    </row>
    <row r="2546">
      <c r="E2546" s="78"/>
      <c r="G2546" s="78"/>
      <c r="I2546" s="80"/>
      <c r="K2546" s="71"/>
      <c r="N2546" s="109"/>
      <c r="Q2546" s="78"/>
      <c r="R2546" s="78"/>
      <c r="S2546" s="80"/>
      <c r="T2546" s="80"/>
      <c r="V2546" s="78"/>
      <c r="W2546" s="62"/>
      <c r="X2546" s="80"/>
      <c r="Y2546" s="109"/>
    </row>
    <row r="2547">
      <c r="E2547" s="78"/>
      <c r="G2547" s="78"/>
      <c r="I2547" s="80"/>
      <c r="K2547" s="71"/>
      <c r="N2547" s="109"/>
      <c r="Q2547" s="78"/>
      <c r="R2547" s="78"/>
      <c r="S2547" s="80"/>
      <c r="T2547" s="80"/>
      <c r="V2547" s="78"/>
      <c r="W2547" s="62"/>
      <c r="X2547" s="80"/>
      <c r="Y2547" s="109"/>
    </row>
    <row r="2548">
      <c r="E2548" s="78"/>
      <c r="G2548" s="78"/>
      <c r="I2548" s="80"/>
      <c r="K2548" s="71"/>
      <c r="N2548" s="109"/>
      <c r="Q2548" s="78"/>
      <c r="R2548" s="78"/>
      <c r="S2548" s="80"/>
      <c r="T2548" s="80"/>
      <c r="V2548" s="78"/>
      <c r="W2548" s="62"/>
      <c r="X2548" s="80"/>
      <c r="Y2548" s="109"/>
    </row>
    <row r="2549">
      <c r="E2549" s="78"/>
      <c r="G2549" s="78"/>
      <c r="I2549" s="80"/>
      <c r="K2549" s="71"/>
      <c r="N2549" s="109"/>
      <c r="Q2549" s="78"/>
      <c r="R2549" s="78"/>
      <c r="S2549" s="80"/>
      <c r="T2549" s="80"/>
      <c r="V2549" s="78"/>
      <c r="W2549" s="62"/>
      <c r="X2549" s="80"/>
      <c r="Y2549" s="109"/>
    </row>
    <row r="2550">
      <c r="E2550" s="78"/>
      <c r="G2550" s="78"/>
      <c r="I2550" s="80"/>
      <c r="K2550" s="71"/>
      <c r="N2550" s="109"/>
      <c r="Q2550" s="78"/>
      <c r="R2550" s="78"/>
      <c r="S2550" s="80"/>
      <c r="T2550" s="80"/>
      <c r="V2550" s="78"/>
      <c r="W2550" s="62"/>
      <c r="X2550" s="80"/>
      <c r="Y2550" s="109"/>
    </row>
    <row r="2551">
      <c r="E2551" s="78"/>
      <c r="G2551" s="78"/>
      <c r="I2551" s="80"/>
      <c r="K2551" s="71"/>
      <c r="N2551" s="109"/>
      <c r="Q2551" s="78"/>
      <c r="R2551" s="78"/>
      <c r="S2551" s="80"/>
      <c r="T2551" s="80"/>
      <c r="V2551" s="78"/>
      <c r="W2551" s="62"/>
      <c r="X2551" s="80"/>
      <c r="Y2551" s="109"/>
    </row>
    <row r="2552">
      <c r="E2552" s="78"/>
      <c r="G2552" s="78"/>
      <c r="I2552" s="80"/>
      <c r="K2552" s="71"/>
      <c r="N2552" s="109"/>
      <c r="Q2552" s="78"/>
      <c r="R2552" s="78"/>
      <c r="S2552" s="80"/>
      <c r="T2552" s="80"/>
      <c r="V2552" s="78"/>
      <c r="W2552" s="62"/>
      <c r="X2552" s="80"/>
      <c r="Y2552" s="109"/>
    </row>
    <row r="2553">
      <c r="E2553" s="78"/>
      <c r="G2553" s="78"/>
      <c r="I2553" s="80"/>
      <c r="K2553" s="71"/>
      <c r="N2553" s="109"/>
      <c r="Q2553" s="78"/>
      <c r="R2553" s="78"/>
      <c r="S2553" s="80"/>
      <c r="T2553" s="80"/>
      <c r="V2553" s="78"/>
      <c r="W2553" s="62"/>
      <c r="X2553" s="80"/>
      <c r="Y2553" s="109"/>
    </row>
    <row r="2554">
      <c r="E2554" s="78"/>
      <c r="G2554" s="78"/>
      <c r="I2554" s="80"/>
      <c r="K2554" s="71"/>
      <c r="N2554" s="109"/>
      <c r="Q2554" s="78"/>
      <c r="R2554" s="78"/>
      <c r="S2554" s="80"/>
      <c r="T2554" s="80"/>
      <c r="V2554" s="78"/>
      <c r="W2554" s="62"/>
      <c r="X2554" s="80"/>
      <c r="Y2554" s="109"/>
    </row>
    <row r="2555">
      <c r="E2555" s="78"/>
      <c r="G2555" s="78"/>
      <c r="I2555" s="80"/>
      <c r="K2555" s="71"/>
      <c r="N2555" s="109"/>
      <c r="Q2555" s="78"/>
      <c r="R2555" s="78"/>
      <c r="S2555" s="80"/>
      <c r="T2555" s="80"/>
      <c r="V2555" s="78"/>
      <c r="W2555" s="62"/>
      <c r="X2555" s="80"/>
      <c r="Y2555" s="109"/>
    </row>
    <row r="2556">
      <c r="E2556" s="78"/>
      <c r="G2556" s="78"/>
      <c r="I2556" s="80"/>
      <c r="K2556" s="71"/>
      <c r="N2556" s="109"/>
      <c r="Q2556" s="78"/>
      <c r="R2556" s="78"/>
      <c r="S2556" s="80"/>
      <c r="T2556" s="80"/>
      <c r="V2556" s="78"/>
      <c r="W2556" s="62"/>
      <c r="X2556" s="80"/>
      <c r="Y2556" s="109"/>
    </row>
    <row r="2557">
      <c r="E2557" s="78"/>
      <c r="G2557" s="78"/>
      <c r="I2557" s="80"/>
      <c r="K2557" s="71"/>
      <c r="N2557" s="109"/>
      <c r="Q2557" s="78"/>
      <c r="R2557" s="78"/>
      <c r="S2557" s="80"/>
      <c r="T2557" s="80"/>
      <c r="V2557" s="78"/>
      <c r="W2557" s="62"/>
      <c r="X2557" s="80"/>
      <c r="Y2557" s="109"/>
    </row>
    <row r="2558">
      <c r="E2558" s="78"/>
      <c r="G2558" s="78"/>
      <c r="I2558" s="80"/>
      <c r="K2558" s="71"/>
      <c r="N2558" s="109"/>
      <c r="Q2558" s="78"/>
      <c r="R2558" s="78"/>
      <c r="S2558" s="80"/>
      <c r="T2558" s="80"/>
      <c r="V2558" s="78"/>
      <c r="W2558" s="62"/>
      <c r="X2558" s="80"/>
      <c r="Y2558" s="109"/>
    </row>
    <row r="2559">
      <c r="E2559" s="78"/>
      <c r="G2559" s="78"/>
      <c r="I2559" s="80"/>
      <c r="K2559" s="71"/>
      <c r="N2559" s="109"/>
      <c r="Q2559" s="78"/>
      <c r="R2559" s="78"/>
      <c r="S2559" s="80"/>
      <c r="T2559" s="80"/>
      <c r="V2559" s="78"/>
      <c r="W2559" s="62"/>
      <c r="X2559" s="80"/>
      <c r="Y2559" s="109"/>
    </row>
    <row r="2560">
      <c r="E2560" s="78"/>
      <c r="G2560" s="78"/>
      <c r="I2560" s="80"/>
      <c r="K2560" s="71"/>
      <c r="N2560" s="109"/>
      <c r="Q2560" s="78"/>
      <c r="R2560" s="78"/>
      <c r="S2560" s="80"/>
      <c r="T2560" s="80"/>
      <c r="V2560" s="78"/>
      <c r="W2560" s="62"/>
      <c r="X2560" s="80"/>
      <c r="Y2560" s="109"/>
    </row>
    <row r="2561">
      <c r="E2561" s="78"/>
      <c r="G2561" s="78"/>
      <c r="I2561" s="80"/>
      <c r="K2561" s="71"/>
      <c r="N2561" s="109"/>
      <c r="Q2561" s="78"/>
      <c r="R2561" s="78"/>
      <c r="S2561" s="80"/>
      <c r="T2561" s="80"/>
      <c r="V2561" s="78"/>
      <c r="W2561" s="62"/>
      <c r="X2561" s="80"/>
      <c r="Y2561" s="109"/>
    </row>
    <row r="2562">
      <c r="E2562" s="78"/>
      <c r="G2562" s="78"/>
      <c r="I2562" s="80"/>
      <c r="K2562" s="71"/>
      <c r="N2562" s="109"/>
      <c r="Q2562" s="78"/>
      <c r="R2562" s="78"/>
      <c r="S2562" s="80"/>
      <c r="T2562" s="80"/>
      <c r="V2562" s="78"/>
      <c r="W2562" s="62"/>
      <c r="X2562" s="80"/>
      <c r="Y2562" s="109"/>
    </row>
    <row r="2563">
      <c r="E2563" s="78"/>
      <c r="G2563" s="78"/>
      <c r="I2563" s="80"/>
      <c r="K2563" s="71"/>
      <c r="N2563" s="109"/>
      <c r="Q2563" s="78"/>
      <c r="R2563" s="78"/>
      <c r="S2563" s="80"/>
      <c r="T2563" s="80"/>
      <c r="V2563" s="78"/>
      <c r="W2563" s="62"/>
      <c r="X2563" s="80"/>
      <c r="Y2563" s="109"/>
    </row>
    <row r="2564">
      <c r="E2564" s="78"/>
      <c r="G2564" s="78"/>
      <c r="I2564" s="80"/>
      <c r="K2564" s="71"/>
      <c r="N2564" s="109"/>
      <c r="Q2564" s="78"/>
      <c r="R2564" s="78"/>
      <c r="S2564" s="80"/>
      <c r="T2564" s="80"/>
      <c r="V2564" s="78"/>
      <c r="W2564" s="62"/>
      <c r="X2564" s="80"/>
      <c r="Y2564" s="109"/>
    </row>
    <row r="2565">
      <c r="E2565" s="78"/>
      <c r="G2565" s="78"/>
      <c r="I2565" s="80"/>
      <c r="K2565" s="71"/>
      <c r="N2565" s="109"/>
      <c r="Q2565" s="78"/>
      <c r="R2565" s="78"/>
      <c r="S2565" s="80"/>
      <c r="T2565" s="80"/>
      <c r="V2565" s="78"/>
      <c r="W2565" s="62"/>
      <c r="X2565" s="80"/>
      <c r="Y2565" s="109"/>
    </row>
    <row r="2566">
      <c r="E2566" s="78"/>
      <c r="G2566" s="78"/>
      <c r="I2566" s="80"/>
      <c r="K2566" s="71"/>
      <c r="N2566" s="109"/>
      <c r="Q2566" s="78"/>
      <c r="R2566" s="78"/>
      <c r="S2566" s="80"/>
      <c r="T2566" s="80"/>
      <c r="V2566" s="78"/>
      <c r="W2566" s="62"/>
      <c r="X2566" s="80"/>
      <c r="Y2566" s="109"/>
    </row>
    <row r="2567">
      <c r="E2567" s="78"/>
      <c r="G2567" s="78"/>
      <c r="I2567" s="80"/>
      <c r="K2567" s="71"/>
      <c r="N2567" s="109"/>
      <c r="Q2567" s="78"/>
      <c r="R2567" s="78"/>
      <c r="S2567" s="80"/>
      <c r="T2567" s="80"/>
      <c r="V2567" s="78"/>
      <c r="W2567" s="62"/>
      <c r="X2567" s="80"/>
      <c r="Y2567" s="109"/>
    </row>
    <row r="2568">
      <c r="E2568" s="78"/>
      <c r="G2568" s="78"/>
      <c r="I2568" s="80"/>
      <c r="K2568" s="71"/>
      <c r="N2568" s="109"/>
      <c r="Q2568" s="78"/>
      <c r="R2568" s="78"/>
      <c r="S2568" s="80"/>
      <c r="T2568" s="80"/>
      <c r="V2568" s="78"/>
      <c r="W2568" s="62"/>
      <c r="X2568" s="80"/>
      <c r="Y2568" s="109"/>
    </row>
    <row r="2569">
      <c r="E2569" s="78"/>
      <c r="G2569" s="78"/>
      <c r="I2569" s="80"/>
      <c r="K2569" s="71"/>
      <c r="N2569" s="109"/>
      <c r="Q2569" s="78"/>
      <c r="R2569" s="78"/>
      <c r="S2569" s="80"/>
      <c r="T2569" s="80"/>
      <c r="V2569" s="78"/>
      <c r="W2569" s="62"/>
      <c r="X2569" s="80"/>
      <c r="Y2569" s="109"/>
    </row>
    <row r="2570">
      <c r="E2570" s="78"/>
      <c r="G2570" s="78"/>
      <c r="I2570" s="80"/>
      <c r="K2570" s="71"/>
      <c r="N2570" s="109"/>
      <c r="Q2570" s="78"/>
      <c r="R2570" s="78"/>
      <c r="S2570" s="80"/>
      <c r="T2570" s="80"/>
      <c r="V2570" s="78"/>
      <c r="W2570" s="62"/>
      <c r="X2570" s="80"/>
      <c r="Y2570" s="109"/>
    </row>
    <row r="2571">
      <c r="E2571" s="78"/>
      <c r="G2571" s="78"/>
      <c r="I2571" s="80"/>
      <c r="K2571" s="71"/>
      <c r="N2571" s="109"/>
      <c r="Q2571" s="78"/>
      <c r="R2571" s="78"/>
      <c r="S2571" s="80"/>
      <c r="T2571" s="80"/>
      <c r="V2571" s="78"/>
      <c r="W2571" s="62"/>
      <c r="X2571" s="80"/>
      <c r="Y2571" s="109"/>
    </row>
    <row r="2572">
      <c r="E2572" s="78"/>
      <c r="G2572" s="78"/>
      <c r="I2572" s="80"/>
      <c r="K2572" s="71"/>
      <c r="N2572" s="109"/>
      <c r="Q2572" s="78"/>
      <c r="R2572" s="78"/>
      <c r="S2572" s="80"/>
      <c r="T2572" s="80"/>
      <c r="V2572" s="78"/>
      <c r="W2572" s="62"/>
      <c r="X2572" s="80"/>
      <c r="Y2572" s="109"/>
    </row>
    <row r="2573">
      <c r="E2573" s="78"/>
      <c r="G2573" s="78"/>
      <c r="I2573" s="80"/>
      <c r="K2573" s="71"/>
      <c r="N2573" s="109"/>
      <c r="Q2573" s="78"/>
      <c r="R2573" s="78"/>
      <c r="S2573" s="80"/>
      <c r="T2573" s="80"/>
      <c r="V2573" s="78"/>
      <c r="W2573" s="62"/>
      <c r="X2573" s="80"/>
      <c r="Y2573" s="109"/>
    </row>
    <row r="2574">
      <c r="E2574" s="78"/>
      <c r="G2574" s="78"/>
      <c r="I2574" s="80"/>
      <c r="K2574" s="71"/>
      <c r="N2574" s="109"/>
      <c r="Q2574" s="78"/>
      <c r="R2574" s="78"/>
      <c r="S2574" s="80"/>
      <c r="T2574" s="80"/>
      <c r="V2574" s="78"/>
      <c r="W2574" s="62"/>
      <c r="X2574" s="80"/>
      <c r="Y2574" s="109"/>
    </row>
    <row r="2575">
      <c r="E2575" s="78"/>
      <c r="G2575" s="78"/>
      <c r="I2575" s="80"/>
      <c r="K2575" s="71"/>
      <c r="N2575" s="109"/>
      <c r="Q2575" s="78"/>
      <c r="R2575" s="78"/>
      <c r="S2575" s="80"/>
      <c r="T2575" s="80"/>
      <c r="V2575" s="78"/>
      <c r="W2575" s="62"/>
      <c r="X2575" s="80"/>
      <c r="Y2575" s="109"/>
    </row>
    <row r="2576">
      <c r="E2576" s="78"/>
      <c r="G2576" s="78"/>
      <c r="I2576" s="80"/>
      <c r="K2576" s="71"/>
      <c r="N2576" s="109"/>
      <c r="Q2576" s="78"/>
      <c r="R2576" s="78"/>
      <c r="S2576" s="80"/>
      <c r="T2576" s="80"/>
      <c r="V2576" s="78"/>
      <c r="W2576" s="62"/>
      <c r="X2576" s="80"/>
      <c r="Y2576" s="109"/>
    </row>
    <row r="2577">
      <c r="E2577" s="78"/>
      <c r="G2577" s="78"/>
      <c r="I2577" s="80"/>
      <c r="K2577" s="71"/>
      <c r="N2577" s="109"/>
      <c r="Q2577" s="78"/>
      <c r="R2577" s="78"/>
      <c r="S2577" s="80"/>
      <c r="T2577" s="80"/>
      <c r="V2577" s="78"/>
      <c r="W2577" s="62"/>
      <c r="X2577" s="80"/>
      <c r="Y2577" s="109"/>
    </row>
    <row r="2578">
      <c r="E2578" s="78"/>
      <c r="G2578" s="78"/>
      <c r="I2578" s="80"/>
      <c r="K2578" s="71"/>
      <c r="N2578" s="109"/>
      <c r="Q2578" s="78"/>
      <c r="R2578" s="78"/>
      <c r="S2578" s="80"/>
      <c r="T2578" s="80"/>
      <c r="V2578" s="78"/>
      <c r="W2578" s="62"/>
      <c r="X2578" s="80"/>
      <c r="Y2578" s="109"/>
    </row>
    <row r="2579">
      <c r="E2579" s="78"/>
      <c r="G2579" s="78"/>
      <c r="I2579" s="80"/>
      <c r="K2579" s="71"/>
      <c r="N2579" s="109"/>
      <c r="Q2579" s="78"/>
      <c r="R2579" s="78"/>
      <c r="S2579" s="80"/>
      <c r="T2579" s="80"/>
      <c r="V2579" s="78"/>
      <c r="W2579" s="62"/>
      <c r="X2579" s="80"/>
      <c r="Y2579" s="109"/>
    </row>
    <row r="2580">
      <c r="E2580" s="78"/>
      <c r="G2580" s="78"/>
      <c r="I2580" s="80"/>
      <c r="K2580" s="71"/>
      <c r="N2580" s="109"/>
      <c r="Q2580" s="78"/>
      <c r="R2580" s="78"/>
      <c r="S2580" s="80"/>
      <c r="T2580" s="80"/>
      <c r="V2580" s="78"/>
      <c r="W2580" s="62"/>
      <c r="X2580" s="80"/>
      <c r="Y2580" s="109"/>
    </row>
    <row r="2581">
      <c r="E2581" s="78"/>
      <c r="G2581" s="78"/>
      <c r="I2581" s="80"/>
      <c r="K2581" s="71"/>
      <c r="N2581" s="109"/>
      <c r="Q2581" s="78"/>
      <c r="R2581" s="78"/>
      <c r="S2581" s="80"/>
      <c r="T2581" s="80"/>
      <c r="V2581" s="78"/>
      <c r="W2581" s="62"/>
      <c r="X2581" s="80"/>
      <c r="Y2581" s="109"/>
    </row>
    <row r="2582">
      <c r="E2582" s="78"/>
      <c r="G2582" s="78"/>
      <c r="I2582" s="80"/>
      <c r="K2582" s="71"/>
      <c r="N2582" s="109"/>
      <c r="Q2582" s="78"/>
      <c r="R2582" s="78"/>
      <c r="S2582" s="80"/>
      <c r="T2582" s="80"/>
      <c r="V2582" s="78"/>
      <c r="W2582" s="62"/>
      <c r="X2582" s="80"/>
      <c r="Y2582" s="109"/>
    </row>
    <row r="2583">
      <c r="E2583" s="78"/>
      <c r="G2583" s="78"/>
      <c r="I2583" s="80"/>
      <c r="K2583" s="71"/>
      <c r="N2583" s="109"/>
      <c r="Q2583" s="78"/>
      <c r="R2583" s="78"/>
      <c r="S2583" s="80"/>
      <c r="T2583" s="80"/>
      <c r="V2583" s="78"/>
      <c r="W2583" s="62"/>
      <c r="X2583" s="80"/>
      <c r="Y2583" s="109"/>
    </row>
    <row r="2584">
      <c r="E2584" s="78"/>
      <c r="G2584" s="78"/>
      <c r="I2584" s="80"/>
      <c r="K2584" s="71"/>
      <c r="N2584" s="109"/>
      <c r="Q2584" s="78"/>
      <c r="R2584" s="78"/>
      <c r="S2584" s="80"/>
      <c r="T2584" s="80"/>
      <c r="V2584" s="78"/>
      <c r="W2584" s="62"/>
      <c r="X2584" s="80"/>
      <c r="Y2584" s="109"/>
    </row>
    <row r="2585">
      <c r="E2585" s="78"/>
      <c r="G2585" s="78"/>
      <c r="I2585" s="80"/>
      <c r="K2585" s="71"/>
      <c r="N2585" s="109"/>
      <c r="Q2585" s="78"/>
      <c r="R2585" s="78"/>
      <c r="S2585" s="80"/>
      <c r="T2585" s="80"/>
      <c r="V2585" s="78"/>
      <c r="W2585" s="62"/>
      <c r="X2585" s="80"/>
      <c r="Y2585" s="109"/>
    </row>
    <row r="2586">
      <c r="E2586" s="78"/>
      <c r="G2586" s="78"/>
      <c r="I2586" s="80"/>
      <c r="K2586" s="71"/>
      <c r="N2586" s="109"/>
      <c r="Q2586" s="78"/>
      <c r="R2586" s="78"/>
      <c r="S2586" s="80"/>
      <c r="T2586" s="80"/>
      <c r="V2586" s="78"/>
      <c r="W2586" s="62"/>
      <c r="X2586" s="80"/>
      <c r="Y2586" s="109"/>
    </row>
    <row r="2587">
      <c r="E2587" s="78"/>
      <c r="G2587" s="78"/>
      <c r="I2587" s="80"/>
      <c r="K2587" s="71"/>
      <c r="N2587" s="109"/>
      <c r="Q2587" s="78"/>
      <c r="R2587" s="78"/>
      <c r="S2587" s="80"/>
      <c r="T2587" s="80"/>
      <c r="V2587" s="78"/>
      <c r="W2587" s="62"/>
      <c r="X2587" s="80"/>
      <c r="Y2587" s="109"/>
    </row>
    <row r="2588">
      <c r="E2588" s="78"/>
      <c r="G2588" s="78"/>
      <c r="I2588" s="80"/>
      <c r="K2588" s="71"/>
      <c r="N2588" s="109"/>
      <c r="Q2588" s="78"/>
      <c r="R2588" s="78"/>
      <c r="S2588" s="80"/>
      <c r="T2588" s="80"/>
      <c r="V2588" s="78"/>
      <c r="W2588" s="62"/>
      <c r="X2588" s="80"/>
      <c r="Y2588" s="109"/>
    </row>
    <row r="2589">
      <c r="E2589" s="78"/>
      <c r="G2589" s="78"/>
      <c r="I2589" s="80"/>
      <c r="K2589" s="71"/>
      <c r="N2589" s="109"/>
      <c r="Q2589" s="78"/>
      <c r="R2589" s="78"/>
      <c r="S2589" s="80"/>
      <c r="T2589" s="80"/>
      <c r="V2589" s="78"/>
      <c r="W2589" s="62"/>
      <c r="X2589" s="80"/>
      <c r="Y2589" s="109"/>
    </row>
    <row r="2590">
      <c r="E2590" s="78"/>
      <c r="G2590" s="78"/>
      <c r="I2590" s="80"/>
      <c r="K2590" s="71"/>
      <c r="N2590" s="109"/>
      <c r="Q2590" s="78"/>
      <c r="R2590" s="78"/>
      <c r="S2590" s="80"/>
      <c r="T2590" s="80"/>
      <c r="V2590" s="78"/>
      <c r="W2590" s="62"/>
      <c r="X2590" s="80"/>
      <c r="Y2590" s="109"/>
    </row>
    <row r="2591">
      <c r="E2591" s="78"/>
      <c r="G2591" s="78"/>
      <c r="I2591" s="80"/>
      <c r="K2591" s="71"/>
      <c r="N2591" s="109"/>
      <c r="Q2591" s="78"/>
      <c r="R2591" s="78"/>
      <c r="S2591" s="80"/>
      <c r="T2591" s="80"/>
      <c r="V2591" s="78"/>
      <c r="W2591" s="62"/>
      <c r="X2591" s="80"/>
      <c r="Y2591" s="109"/>
    </row>
    <row r="2592">
      <c r="E2592" s="78"/>
      <c r="G2592" s="78"/>
      <c r="I2592" s="80"/>
      <c r="K2592" s="71"/>
      <c r="N2592" s="109"/>
      <c r="Q2592" s="78"/>
      <c r="R2592" s="78"/>
      <c r="S2592" s="80"/>
      <c r="T2592" s="80"/>
      <c r="V2592" s="78"/>
      <c r="W2592" s="62"/>
      <c r="X2592" s="80"/>
      <c r="Y2592" s="109"/>
    </row>
    <row r="2593">
      <c r="E2593" s="78"/>
      <c r="G2593" s="78"/>
      <c r="I2593" s="80"/>
      <c r="K2593" s="71"/>
      <c r="N2593" s="109"/>
      <c r="Q2593" s="78"/>
      <c r="R2593" s="78"/>
      <c r="S2593" s="80"/>
      <c r="T2593" s="80"/>
      <c r="V2593" s="78"/>
      <c r="W2593" s="62"/>
      <c r="X2593" s="80"/>
      <c r="Y2593" s="109"/>
    </row>
    <row r="2594">
      <c r="E2594" s="78"/>
      <c r="G2594" s="78"/>
      <c r="I2594" s="80"/>
      <c r="K2594" s="71"/>
      <c r="N2594" s="109"/>
      <c r="Q2594" s="78"/>
      <c r="R2594" s="78"/>
      <c r="S2594" s="80"/>
      <c r="T2594" s="80"/>
      <c r="V2594" s="78"/>
      <c r="W2594" s="62"/>
      <c r="X2594" s="80"/>
      <c r="Y2594" s="109"/>
    </row>
    <row r="2595">
      <c r="E2595" s="78"/>
      <c r="G2595" s="78"/>
      <c r="I2595" s="80"/>
      <c r="K2595" s="71"/>
      <c r="N2595" s="109"/>
      <c r="Q2595" s="78"/>
      <c r="R2595" s="78"/>
      <c r="S2595" s="80"/>
      <c r="T2595" s="80"/>
      <c r="V2595" s="78"/>
      <c r="W2595" s="62"/>
      <c r="X2595" s="80"/>
      <c r="Y2595" s="109"/>
    </row>
    <row r="2596">
      <c r="E2596" s="78"/>
      <c r="G2596" s="78"/>
      <c r="I2596" s="80"/>
      <c r="K2596" s="71"/>
      <c r="N2596" s="109"/>
      <c r="Q2596" s="78"/>
      <c r="R2596" s="78"/>
      <c r="S2596" s="80"/>
      <c r="T2596" s="80"/>
      <c r="V2596" s="78"/>
      <c r="W2596" s="62"/>
      <c r="X2596" s="80"/>
      <c r="Y2596" s="109"/>
    </row>
    <row r="2597">
      <c r="E2597" s="78"/>
      <c r="G2597" s="78"/>
      <c r="I2597" s="80"/>
      <c r="K2597" s="71"/>
      <c r="N2597" s="109"/>
      <c r="Q2597" s="78"/>
      <c r="R2597" s="78"/>
      <c r="S2597" s="80"/>
      <c r="T2597" s="80"/>
      <c r="V2597" s="78"/>
      <c r="W2597" s="62"/>
      <c r="X2597" s="80"/>
      <c r="Y2597" s="109"/>
    </row>
    <row r="2598">
      <c r="E2598" s="78"/>
      <c r="G2598" s="78"/>
      <c r="I2598" s="80"/>
      <c r="K2598" s="71"/>
      <c r="N2598" s="109"/>
      <c r="Q2598" s="78"/>
      <c r="R2598" s="78"/>
      <c r="S2598" s="80"/>
      <c r="T2598" s="80"/>
      <c r="V2598" s="78"/>
      <c r="W2598" s="62"/>
      <c r="X2598" s="80"/>
      <c r="Y2598" s="109"/>
    </row>
    <row r="2599">
      <c r="E2599" s="78"/>
      <c r="G2599" s="78"/>
      <c r="I2599" s="80"/>
      <c r="K2599" s="71"/>
      <c r="N2599" s="109"/>
      <c r="Q2599" s="78"/>
      <c r="R2599" s="78"/>
      <c r="S2599" s="80"/>
      <c r="T2599" s="80"/>
      <c r="V2599" s="78"/>
      <c r="W2599" s="62"/>
      <c r="X2599" s="80"/>
      <c r="Y2599" s="109"/>
    </row>
    <row r="2600">
      <c r="E2600" s="78"/>
      <c r="G2600" s="78"/>
      <c r="I2600" s="80"/>
      <c r="K2600" s="71"/>
      <c r="N2600" s="109"/>
      <c r="Q2600" s="78"/>
      <c r="R2600" s="78"/>
      <c r="S2600" s="80"/>
      <c r="T2600" s="80"/>
      <c r="V2600" s="78"/>
      <c r="W2600" s="62"/>
      <c r="X2600" s="80"/>
      <c r="Y2600" s="109"/>
    </row>
  </sheetData>
  <conditionalFormatting sqref="B1 C1:C2600">
    <cfRule type="cellIs" dxfId="0" priority="1" operator="equal">
      <formula>"True"</formula>
    </cfRule>
  </conditionalFormatting>
  <conditionalFormatting sqref="J1:J2600">
    <cfRule type="cellIs" dxfId="6" priority="2" operator="equal">
      <formula>"Breakfast"</formula>
    </cfRule>
  </conditionalFormatting>
  <conditionalFormatting sqref="J1:J2600">
    <cfRule type="cellIs" dxfId="7" priority="3" operator="equal">
      <formula>"Breakfast/Lunch"</formula>
    </cfRule>
  </conditionalFormatting>
  <conditionalFormatting sqref="J1:J2600">
    <cfRule type="cellIs" dxfId="8" priority="4" operator="equal">
      <formula>"Lunch"</formula>
    </cfRule>
  </conditionalFormatting>
  <conditionalFormatting sqref="J1:J2600">
    <cfRule type="cellIs" dxfId="19" priority="5" operator="equal">
      <formula>"Lunch/Dinner"</formula>
    </cfRule>
  </conditionalFormatting>
  <conditionalFormatting sqref="J1:J2600">
    <cfRule type="cellIs" dxfId="20" priority="6" operator="equal">
      <formula>"Dinner"</formula>
    </cfRule>
  </conditionalFormatting>
  <conditionalFormatting sqref="L1:L2600">
    <cfRule type="cellIs" dxfId="11" priority="7" operator="equal">
      <formula>"Monday"</formula>
    </cfRule>
  </conditionalFormatting>
  <conditionalFormatting sqref="L1:L2600">
    <cfRule type="cellIs" dxfId="12" priority="8" operator="equal">
      <formula>"Tuesday"</formula>
    </cfRule>
  </conditionalFormatting>
  <conditionalFormatting sqref="L1:L2600">
    <cfRule type="cellIs" dxfId="13" priority="9" operator="equal">
      <formula>"Wednesday"</formula>
    </cfRule>
  </conditionalFormatting>
  <conditionalFormatting sqref="L1:L2600">
    <cfRule type="cellIs" dxfId="14" priority="10" operator="equal">
      <formula>"Thursday"</formula>
    </cfRule>
  </conditionalFormatting>
  <conditionalFormatting sqref="L1:L2600">
    <cfRule type="cellIs" dxfId="21" priority="11" operator="equal">
      <formula>"Friday"</formula>
    </cfRule>
  </conditionalFormatting>
  <conditionalFormatting sqref="M1:M2600">
    <cfRule type="cellIs" dxfId="17" priority="12" operator="equal">
      <formula>"MF"</formula>
    </cfRule>
  </conditionalFormatting>
  <conditionalFormatting sqref="M1:M2600">
    <cfRule type="cellIs" dxfId="18" priority="13" operator="equal">
      <formula>"BF"</formula>
    </cfRule>
  </conditionalFormatting>
  <conditionalFormatting sqref="O2:O2600 Q2:Q2600 S2:S2600">
    <cfRule type="notContainsBlanks" dxfId="17" priority="14">
      <formula>LEN(TRIM(O2))&gt;0</formula>
    </cfRule>
  </conditionalFormatting>
  <conditionalFormatting sqref="P2:P2600 R2:R2600 T2:T2600">
    <cfRule type="notContainsBlanks" dxfId="18" priority="15">
      <formula>LEN(TRIM(P2))&gt;0</formula>
    </cfRule>
  </conditionalFormatting>
  <conditionalFormatting sqref="U2:W2600">
    <cfRule type="notContainsBlanks" dxfId="23" priority="16">
      <formula>LEN(TRIM(U2))&gt;0</formula>
    </cfRule>
  </conditionalFormatting>
  <conditionalFormatting sqref="X3:X2600">
    <cfRule type="notContainsBlanks" dxfId="6" priority="17">
      <formula>LEN(TRIM(X3))&gt;0</formula>
    </cfRule>
  </conditionalFormatting>
  <conditionalFormatting sqref="I1:I2600">
    <cfRule type="cellIs" dxfId="1" priority="18" operator="greaterThanOrEqual">
      <formula>100</formula>
    </cfRule>
  </conditionalFormatting>
  <conditionalFormatting sqref="I1:I2600">
    <cfRule type="cellIs" dxfId="2" priority="19" operator="greaterThanOrEqual">
      <formula>70</formula>
    </cfRule>
  </conditionalFormatting>
  <conditionalFormatting sqref="I1:I2600">
    <cfRule type="cellIs" dxfId="3" priority="20" operator="lessThanOrEqual">
      <formula>25</formula>
    </cfRule>
  </conditionalFormatting>
  <conditionalFormatting sqref="I1:I2600">
    <cfRule type="cellIs" dxfId="4" priority="21" operator="lessThanOrEqual">
      <formula>30</formula>
    </cfRule>
  </conditionalFormatting>
  <conditionalFormatting sqref="I1:I2600">
    <cfRule type="cellIs" dxfId="5" priority="22" operator="lessThanOrEqual">
      <formula>40</formula>
    </cfRule>
  </conditionalFormatting>
  <conditionalFormatting sqref="K3:K2600">
    <cfRule type="expression" dxfId="16" priority="23">
      <formula>AND(K3&lt;&gt;"", ISEVEN(SUMPRODUCT((K$3:K3&lt;&gt;OFFSET(K$3:K3,-1,0))*(K$3:K3&lt;&gt;""))))</formula>
    </cfRule>
  </conditionalFormatting>
  <conditionalFormatting sqref="N3:N2600">
    <cfRule type="colorScale" priority="24">
      <colorScale>
        <cfvo type="formula" val="0"/>
        <cfvo type="percent" val="1"/>
        <cfvo type="max"/>
        <color rgb="FFFF0000"/>
        <color rgb="FFF3F3F3"/>
        <color rgb="FF57BB8A"/>
      </colorScale>
    </cfRule>
  </conditionalFormatting>
  <conditionalFormatting sqref="Y3:Y2600">
    <cfRule type="colorScale" priority="25">
      <colorScale>
        <cfvo type="formula" val="0"/>
        <cfvo type="percent" val="1"/>
        <cfvo type="max"/>
        <color rgb="FFFF0000"/>
        <color rgb="FFF3F3F3"/>
        <color rgb="FF57BB8A"/>
      </colorScale>
    </cfRule>
  </conditionalFormatting>
  <conditionalFormatting sqref="G3:G2600">
    <cfRule type="cellIs" dxfId="22" priority="26" operator="lessThan">
      <formula>0</formula>
    </cfRule>
  </conditionalFormatting>
  <conditionalFormatting sqref="G3:G2600">
    <cfRule type="cellIs" dxfId="22" priority="27" operator="greaterThan">
      <formula>0.25</formula>
    </cfRule>
  </conditionalFormatting>
  <drawing r:id="rId2"/>
  <legacyDrawing r:id="rId3"/>
</worksheet>
</file>