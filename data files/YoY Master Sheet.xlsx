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mpact Calculations" sheetId="1" r:id="rId5"/>
    <sheet state="visible" name="Master of Masters" sheetId="2" r:id="rId6"/>
    <sheet state="visible" name="Master Graphs" sheetId="3" r:id="rId7"/>
    <sheet state="visible" name="YoY Data Sheet Tables" sheetId="4" r:id="rId8"/>
    <sheet state="hidden" name="YoY Chart Data" sheetId="5" r:id="rId9"/>
    <sheet state="visible" name="Master Tables" sheetId="6" r:id="rId10"/>
    <sheet state="visible" name="Master Spring 2024" sheetId="7" r:id="rId11"/>
    <sheet state="visible" name="Master Fall 2024" sheetId="8" r:id="rId12"/>
    <sheet state="visible" name="Master Spring 2025" sheetId="9" r:id="rId13"/>
    <sheet state="visible" name="Master Fall 2025" sheetId="10" r:id="rId14"/>
    <sheet state="visible" name="Master Spring 2026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after hrs collected</t>
      </text>
    </comment>
    <comment authorId="0" ref="E6">
      <text>
        <t xml:space="preserve">after hrs collected</t>
      </text>
    </comment>
    <comment authorId="0" ref="H6">
      <text>
        <t xml:space="preserve">after hrs collected</t>
      </text>
    </comment>
    <comment authorId="0" ref="B7">
      <text>
        <t xml:space="preserve">given avg hour days in a workday</t>
      </text>
    </comment>
    <comment authorId="0" ref="E7">
      <text>
        <t xml:space="preserve">given avg hour days in a workday</t>
      </text>
    </comment>
    <comment authorId="0" ref="H7">
      <text>
        <t xml:space="preserve">given avg hour days in a workday</t>
      </text>
    </comment>
    <comment authorId="0" ref="B10">
      <text>
        <t xml:space="preserve">not including S24, F24, S25</t>
      </text>
    </comment>
    <comment authorId="0" ref="E10">
      <text>
        <t xml:space="preserve">not including S24, F24, S25</t>
      </text>
    </comment>
    <comment authorId="0" ref="H10">
      <text>
        <t xml:space="preserve">not including S24, F24, S25</t>
      </text>
    </comment>
    <comment authorId="0" ref="B11">
      <text>
        <t xml:space="preserve">not including S24, F24, S25</t>
      </text>
    </comment>
    <comment authorId="0" ref="E11">
      <text>
        <t xml:space="preserve">not including S24, F24, S25</t>
      </text>
    </comment>
    <comment authorId="0" ref="H11">
      <text>
        <t xml:space="preserve">not including S24, F24, S25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given true data totals</t>
      </text>
    </comment>
    <comment authorId="0" ref="E7">
      <text>
        <t xml:space="preserve">given true data totals</t>
      </text>
    </comment>
    <comment authorId="0" ref="H7">
      <text>
        <t xml:space="preserve">given true data totals</t>
      </text>
    </comment>
    <comment authorId="0" ref="C39">
      <text>
        <t xml:space="preserve">since 9/29/25</t>
      </text>
    </comment>
    <comment authorId="0" ref="G39">
      <text>
        <t xml:space="preserve">since 9/29/25</t>
      </text>
    </comment>
    <comment authorId="0" ref="H39">
      <text>
        <t xml:space="preserve">since 9/29/25</t>
      </text>
    </comment>
    <comment authorId="0" ref="I39">
      <text>
        <t xml:space="preserve">since 9/29/25</t>
      </text>
    </comment>
    <comment authorId="0" ref="J39">
      <text>
        <t xml:space="preserve">since 9/29/25</t>
      </text>
    </comment>
    <comment authorId="0" ref="K39">
      <text>
        <t xml:space="preserve">since 9/29/25</t>
      </text>
    </comment>
    <comment authorId="0" ref="L39">
      <text>
        <t xml:space="preserve">since 9/29/25</t>
      </text>
    </comment>
    <comment authorId="0" ref="M39">
      <text>
        <t xml:space="preserve">since 9/29/25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after hrs collected</t>
      </text>
    </comment>
    <comment authorId="0" ref="E6">
      <text>
        <t xml:space="preserve">after hrs collected</t>
      </text>
    </comment>
    <comment authorId="0" ref="H6">
      <text>
        <t xml:space="preserve">after hrs collected</t>
      </text>
    </comment>
    <comment authorId="0" ref="B7">
      <text>
        <t xml:space="preserve">given avg hour days in a workday</t>
      </text>
    </comment>
    <comment authorId="0" ref="E7">
      <text>
        <t xml:space="preserve">given avg hour days in a workday</t>
      </text>
    </comment>
    <comment authorId="0" ref="H7">
      <text>
        <t xml:space="preserve">given avg hour days in a workday</t>
      </text>
    </comment>
    <comment authorId="0" ref="C39">
      <text>
        <t xml:space="preserve">since 9/29/25</t>
      </text>
    </comment>
    <comment authorId="0" ref="G39">
      <text>
        <t xml:space="preserve">since 9/29/25</t>
      </text>
    </comment>
    <comment authorId="0" ref="H39">
      <text>
        <t xml:space="preserve">since 9/29/25</t>
      </text>
    </comment>
    <comment authorId="0" ref="I39">
      <text>
        <t xml:space="preserve">since 9/29/25</t>
      </text>
    </comment>
    <comment authorId="0" ref="J39">
      <text>
        <t xml:space="preserve">since 9/29/25</t>
      </text>
    </comment>
    <comment authorId="0" ref="K39">
      <text>
        <t xml:space="preserve">since 9/29/25</t>
      </text>
    </comment>
    <comment authorId="0" ref="L39">
      <text>
        <t xml:space="preserve">since 9/29/25</t>
      </text>
    </comment>
  </commentList>
</comments>
</file>

<file path=xl/sharedStrings.xml><?xml version="1.0" encoding="utf-8"?>
<sst xmlns="http://schemas.openxmlformats.org/spreadsheetml/2006/main" count="653" uniqueCount="212">
  <si>
    <t>Methods:</t>
  </si>
  <si>
    <r>
      <rPr>
        <rFont val="Arial"/>
        <b/>
        <color theme="1"/>
      </rPr>
      <t>Functional unit</t>
    </r>
    <r>
      <rPr>
        <rFont val="Arial"/>
        <color theme="1"/>
      </rPr>
      <t xml:space="preserve">: 1 short ton of mixed food waste
</t>
    </r>
    <r>
      <rPr>
        <rFont val="Arial"/>
        <b/>
        <color theme="1"/>
      </rPr>
      <t>Sector</t>
    </r>
    <r>
      <rPr>
        <rFont val="Arial"/>
        <color theme="1"/>
      </rPr>
      <t xml:space="preserve">: Foodservice
</t>
    </r>
    <r>
      <rPr>
        <rFont val="Arial"/>
        <b/>
        <color theme="1"/>
      </rPr>
      <t>Food mix</t>
    </r>
    <r>
      <rPr>
        <rFont val="Arial"/>
        <color theme="1"/>
      </rPr>
      <t xml:space="preserve">: ReFED standard mix
</t>
    </r>
    <r>
      <rPr>
        <rFont val="Arial"/>
        <b/>
        <color theme="1"/>
      </rPr>
      <t>Boundary</t>
    </r>
    <r>
      <rPr>
        <rFont val="Arial"/>
        <color theme="1"/>
      </rPr>
      <t xml:space="preserve">: End-of-life only (no prevention)
</t>
    </r>
    <r>
      <rPr>
        <rFont val="Arial"/>
        <b/>
        <color theme="1"/>
      </rPr>
      <t>Time horizon</t>
    </r>
    <r>
      <rPr>
        <rFont val="Arial"/>
        <color theme="1"/>
      </rPr>
      <t xml:space="preserve">: 100-year GWP (AR6)
</t>
    </r>
    <r>
      <rPr>
        <rFont val="Arial"/>
        <b/>
        <color theme="1"/>
      </rPr>
      <t>Destinations modeled</t>
    </r>
    <r>
      <rPr>
        <rFont val="Arial"/>
        <color theme="1"/>
      </rPr>
      <t>:
 - Composting
 - Anaerobic digestion
 - Landfill (baseline only)</t>
    </r>
  </si>
  <si>
    <t>Magic numbers</t>
  </si>
  <si>
    <t>the magic #</t>
  </si>
  <si>
    <t>metric tons of emissions impact</t>
  </si>
  <si>
    <t>Compost EF</t>
  </si>
  <si>
    <t>CO₂e / metric ton</t>
  </si>
  <si>
    <t>AD EF</t>
  </si>
  <si>
    <t>metric tons of CO₂e</t>
  </si>
  <si>
    <t>Landfill EF</t>
  </si>
  <si>
    <t>compost fraction</t>
  </si>
  <si>
    <t>/1</t>
  </si>
  <si>
    <t>AD fraction</t>
  </si>
  <si>
    <r>
      <rPr>
        <color rgb="FF1155CC"/>
        <u/>
      </rPr>
      <t>ReFED - Impact Calculator</t>
    </r>
  </si>
  <si>
    <t>YoY Composting Data</t>
  </si>
  <si>
    <t>Tab List:</t>
  </si>
  <si>
    <t>Master Spring 2024</t>
  </si>
  <si>
    <t>Master Fall 2024</t>
  </si>
  <si>
    <t>descriptions</t>
  </si>
  <si>
    <t>Mainfare Total Data</t>
  </si>
  <si>
    <t>Butterfield Total Data</t>
  </si>
  <si>
    <t>Total Data</t>
  </si>
  <si>
    <t>Master Spring 2025</t>
  </si>
  <si>
    <t>The total lbs collected</t>
  </si>
  <si>
    <t>Total lbs</t>
  </si>
  <si>
    <t>Master Fall 2025</t>
  </si>
  <si>
    <t>The average of the total lbs collected each day</t>
  </si>
  <si>
    <t>avg lb p/wrkday</t>
  </si>
  <si>
    <t>Master Spring 2026</t>
  </si>
  <si>
    <t>The total lbs collected over the total hours worked</t>
  </si>
  <si>
    <t>Total lbs/hr</t>
  </si>
  <si>
    <t>The average of the hourly rate of each ambassador</t>
  </si>
  <si>
    <t>avg ambassador lb p/hr</t>
  </si>
  <si>
    <t>The total hours worked</t>
  </si>
  <si>
    <t>Total hours</t>
  </si>
  <si>
    <t>The average of all of the hours worked each day</t>
  </si>
  <si>
    <t>avg hrs/day</t>
  </si>
  <si>
    <t>The number of lbs of CO2 not emitted due to diversion</t>
  </si>
  <si>
    <t>Impact [lbs of Co2e]</t>
  </si>
  <si>
    <t># of shifts worked</t>
  </si>
  <si>
    <t>avg lb/shift</t>
  </si>
  <si>
    <t>Color Key</t>
  </si>
  <si>
    <t>Text</t>
  </si>
  <si>
    <t>Eco</t>
  </si>
  <si>
    <t>Mainfare &amp; Butterfield</t>
  </si>
  <si>
    <t>Mainfare</t>
  </si>
  <si>
    <t>Butterfield</t>
  </si>
  <si>
    <t>Background</t>
  </si>
  <si>
    <t>Aggregate/General</t>
  </si>
  <si>
    <t>Period</t>
  </si>
  <si>
    <t>NOTE:</t>
  </si>
  <si>
    <t>interactive chart</t>
  </si>
  <si>
    <t>[under development]</t>
  </si>
  <si>
    <t>Bar Color</t>
  </si>
  <si>
    <t>S24</t>
  </si>
  <si>
    <t>F24</t>
  </si>
  <si>
    <t>S25</t>
  </si>
  <si>
    <t>F25</t>
  </si>
  <si>
    <t>S26</t>
  </si>
  <si>
    <t>Trend</t>
  </si>
  <si>
    <t>T1 · Semester Totals + Cumulative lbs  →  bar + line chart</t>
  </si>
  <si>
    <t>T2 · Mainfare vs. Butterfield lbs  →  grouped bar chart</t>
  </si>
  <si>
    <t>T3 · CO₂e Avoided  →  bar / area chart</t>
  </si>
  <si>
    <t>T4 · Team Size vs. Output  →  dual-axis  |  Per-Ambassador table</t>
  </si>
  <si>
    <t>Semester</t>
  </si>
  <si>
    <t>Cumulative lbs</t>
  </si>
  <si>
    <t>Mainfare lbs</t>
  </si>
  <si>
    <t>Butterfield lbs</t>
  </si>
  <si>
    <t>CO₂e (lbs)</t>
  </si>
  <si>
    <t>CO₂e (tons)</t>
  </si>
  <si>
    <t>Miles Not Driven ‡</t>
  </si>
  <si>
    <t># Ambassadors</t>
  </si>
  <si>
    <t>lbs / Ambassador</t>
  </si>
  <si>
    <t>S26*</t>
  </si>
  <si>
    <t>† S24 per-hall split unavailable — program-total only that semester</t>
  </si>
  <si>
    <t>‡ EPA avg passenger vehicle: 404 g CO₂/mile  (0.891 lb CO₂e/mile)</t>
  </si>
  <si>
    <t>T5 · Semester-over-Semester % Growth  →  standalone table</t>
  </si>
  <si>
    <t>T6 · lbs/hr Efficiency  →  bar chart  (clock-in data req. — F25 onward)</t>
  </si>
  <si>
    <t>Transition</t>
  </si>
  <si>
    <t>Mainfare %</t>
  </si>
  <si>
    <t>Butterfield %</t>
  </si>
  <si>
    <t>Total %</t>
  </si>
  <si>
    <t>MF lbs/hr</t>
  </si>
  <si>
    <t>BF lbs/hr</t>
  </si>
  <si>
    <t>Clock-in/out tracking added in F25 — earlier semesters show N/A</t>
  </si>
  <si>
    <t>T7 · Avg lbs by Day of Week  →  conditional-format heatmap  (gradient applied to data range)</t>
  </si>
  <si>
    <t>Day</t>
  </si>
  <si>
    <t>Monday</t>
  </si>
  <si>
    <t>Tuesday</t>
  </si>
  <si>
    <t>Wednesday</t>
  </si>
  <si>
    <t>Thursday</t>
  </si>
  <si>
    <t>Friday</t>
  </si>
  <si>
    <t>† S24 MF/BF per-hall split unavailable — program-total (col I) is consistent across all semesters</t>
  </si>
  <si>
    <t>⚙  To add a new semester: append the new sheet tab name to column K in "Master of Masters". All tables in this sheet update automatically — no re-running needed.</t>
  </si>
  <si>
    <t>Script last run: March 12, 2026</t>
  </si>
  <si>
    <t>Mainfare Total lbs / semester</t>
  </si>
  <si>
    <t>Butterfield Total lbs / semester</t>
  </si>
  <si>
    <t>Total lbs / semester</t>
  </si>
  <si>
    <t>Pounds</t>
  </si>
  <si>
    <t>Difference</t>
  </si>
  <si>
    <t>% Difference</t>
  </si>
  <si>
    <t>S 24</t>
  </si>
  <si>
    <t>F 24</t>
  </si>
  <si>
    <t>S 25</t>
  </si>
  <si>
    <t>F 25</t>
  </si>
  <si>
    <t>S 26</t>
  </si>
  <si>
    <t/>
  </si>
  <si>
    <t>Mainfare vs. Butterfield lbs</t>
  </si>
  <si>
    <t>lb/hr by dining hall by semester</t>
  </si>
  <si>
    <t>Semester Totals + Cumulative lbs</t>
  </si>
  <si>
    <t>lb/day by dining hall by semester</t>
  </si>
  <si>
    <t>MF lbs/day</t>
  </si>
  <si>
    <t>BF lbs/day</t>
  </si>
  <si>
    <t>Total lbs/day</t>
  </si>
  <si>
    <t>CO₂e Avoided</t>
  </si>
  <si>
    <t>*Miles Not Driven</t>
  </si>
  <si>
    <t>* EPA avg passenger vehicle: 404 g CO₂/mile  (0.891 lb CO₂e/mile)</t>
  </si>
  <si>
    <t>Spring 2024 Composting Data</t>
  </si>
  <si>
    <t># of ambassadors</t>
  </si>
  <si>
    <t xml:space="preserve"> </t>
  </si>
  <si>
    <t>S24 Mainfare Total Data</t>
  </si>
  <si>
    <t>S24 Butterfield Total Data</t>
  </si>
  <si>
    <t>S24 Total Data</t>
  </si>
  <si>
    <t>NA</t>
  </si>
  <si>
    <t>avg lb p/day</t>
  </si>
  <si>
    <t>S24 Mainfare Weekday Data</t>
  </si>
  <si>
    <t>S24 Butterfield Weekday Data</t>
  </si>
  <si>
    <t>S24 Total Weekday Data</t>
  </si>
  <si>
    <t>avg MF wkdy</t>
  </si>
  <si>
    <t>Avg lb's/WD</t>
  </si>
  <si>
    <t>avg BF wkdy</t>
  </si>
  <si>
    <t>avg wkdy</t>
  </si>
  <si>
    <t>Mon</t>
  </si>
  <si>
    <t>Tues</t>
  </si>
  <si>
    <t>Wed</t>
  </si>
  <si>
    <t>Thur</t>
  </si>
  <si>
    <t>Fri</t>
  </si>
  <si>
    <t>[all time] shifts worked:</t>
  </si>
  <si>
    <t>Ambassador Data</t>
  </si>
  <si>
    <t>Ambassador</t>
  </si>
  <si>
    <t>total lbs</t>
  </si>
  <si>
    <t>shifts worked</t>
  </si>
  <si>
    <t>lb/shift</t>
  </si>
  <si>
    <t>Westin Palumbo</t>
  </si>
  <si>
    <t>Bitanya Hailu</t>
  </si>
  <si>
    <t>Skyler Bobinski</t>
  </si>
  <si>
    <t>Kayleigh Omealia</t>
  </si>
  <si>
    <t>Rushil Nepal</t>
  </si>
  <si>
    <t>Katie Field</t>
  </si>
  <si>
    <t>Lizzie Welch</t>
  </si>
  <si>
    <t>Fall 2024 Composting Data</t>
  </si>
  <si>
    <t>F24 Mainfare Total Data</t>
  </si>
  <si>
    <t>F24 Butterfield Total Data</t>
  </si>
  <si>
    <t>F24 Total Data</t>
  </si>
  <si>
    <t>F24 Mainfare Weekday Data</t>
  </si>
  <si>
    <t>F24 Butterfield Weekday Data</t>
  </si>
  <si>
    <t>F24 Total Weekday Data</t>
  </si>
  <si>
    <t>astou dieng</t>
  </si>
  <si>
    <t>Lucas Meier</t>
  </si>
  <si>
    <t>Tyson Enes</t>
  </si>
  <si>
    <t>Cassidy Haskell</t>
  </si>
  <si>
    <t>Kaya Pernini</t>
  </si>
  <si>
    <t>Kayleigh O’mealia</t>
  </si>
  <si>
    <t>Spring 2025 Composting Data</t>
  </si>
  <si>
    <t>S25 Mainfare Total Data</t>
  </si>
  <si>
    <t>S25 Butterfield Total Data</t>
  </si>
  <si>
    <t>S25 Total Data</t>
  </si>
  <si>
    <t>S25 Mainfare Weekday Data</t>
  </si>
  <si>
    <t>S25 Butterfield Weekday Data</t>
  </si>
  <si>
    <t>S25 Total Weekday Data</t>
  </si>
  <si>
    <t>Kaitlyn Deierlein</t>
  </si>
  <si>
    <t>Lizzle Welch</t>
  </si>
  <si>
    <t>Maureen Surgot</t>
  </si>
  <si>
    <t>Kate Stanwood</t>
  </si>
  <si>
    <t>Anna Cunha</t>
  </si>
  <si>
    <t>Marley Ahlijanian</t>
  </si>
  <si>
    <t>Leisly Aceituno</t>
  </si>
  <si>
    <t>Sarah Wilme</t>
  </si>
  <si>
    <t>Brynn Hornig</t>
  </si>
  <si>
    <t>Fall 2025 Composting Data</t>
  </si>
  <si>
    <t>F25 Mainfare Total Data</t>
  </si>
  <si>
    <t>F25 Butterfield Total Data</t>
  </si>
  <si>
    <t>F25 Total Data</t>
  </si>
  <si>
    <t>F25 Mainfare Weekday Data</t>
  </si>
  <si>
    <t>F25 Butterfield Weekday Data</t>
  </si>
  <si>
    <t>F25 Total Weekday Data</t>
  </si>
  <si>
    <t>Avg lb's/hr/WD</t>
  </si>
  <si>
    <t>Avg hr/WD</t>
  </si>
  <si>
    <t>[all time] shifts missed</t>
  </si>
  <si>
    <t>True total lbs</t>
  </si>
  <si>
    <t>score</t>
  </si>
  <si>
    <t>avg period</t>
  </si>
  <si>
    <t>expected shifts as of 12/12/2025</t>
  </si>
  <si>
    <t>called out shifts</t>
  </si>
  <si>
    <t>skipped shifts</t>
  </si>
  <si>
    <t>total hrs</t>
  </si>
  <si>
    <t>lb/hr</t>
  </si>
  <si>
    <t>Orpheus Wilson</t>
  </si>
  <si>
    <t>Lunch</t>
  </si>
  <si>
    <t>Greta Traynor</t>
  </si>
  <si>
    <t>Emma Korsu</t>
  </si>
  <si>
    <t>Emmett Khan</t>
  </si>
  <si>
    <t>Dinner</t>
  </si>
  <si>
    <t>Kaylie Forgue</t>
  </si>
  <si>
    <t>Evan Morgan</t>
  </si>
  <si>
    <t>Breakfast</t>
  </si>
  <si>
    <t>Elliott Haber</t>
  </si>
  <si>
    <t>Oluwatimilehin Shodipe</t>
  </si>
  <si>
    <t>Breakfast/Lunch</t>
  </si>
  <si>
    <t>Laila Maisuria</t>
  </si>
  <si>
    <t>Kyra Turner</t>
  </si>
  <si>
    <t>Spring 2026 Composting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</si>
</sst>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#"/>
    <numFmt numFmtId="165" formatCode="yyyy-mm-dd"/>
    <numFmt numFmtId="166" formatCode="mmm d, yyyy"/>
    <numFmt numFmtId="167" formatCode="#,##0.0"/>
    <numFmt numFmtId="168" formatCode="0,000"/>
    <numFmt numFmtId="169" formatCode="#,#0#.00"/>
  </numFmts>
  <fonts count="36">
    <font>
      <sz val="10.0"/>
      <color rgb="FF000000"/>
      <name val="Arial"/>
      <scheme val="minor"/>
    </font>
    <font>
      <sz val="13.0"/>
      <color rgb="FFFFFFFF"/>
      <name val="Crete Round"/>
    </font>
    <font>
      <color theme="1"/>
      <name val="Arial"/>
      <scheme val="minor"/>
    </font>
    <font>
      <u/>
      <color rgb="FF0000FF"/>
    </font>
    <font>
      <sz val="24.0"/>
      <color rgb="FFFFFFFF"/>
      <name val="Crete Round"/>
    </font>
    <font>
      <color rgb="FF999999"/>
      <name val="Arial"/>
      <scheme val="minor"/>
    </font>
    <font>
      <color rgb="FFFFFFFF"/>
      <name val="Arial"/>
    </font>
    <font/>
    <font>
      <color theme="1"/>
      <name val="Arial"/>
    </font>
    <font>
      <color rgb="FFB7B7B7"/>
      <name val="Arial"/>
    </font>
    <font>
      <color rgb="FFA4C2F4"/>
      <name val="Arial"/>
    </font>
    <font>
      <color rgb="FFEA9999"/>
      <name val="Arial"/>
    </font>
    <font>
      <color rgb="FFB4A7D6"/>
      <name val="Arial"/>
    </font>
    <font>
      <color rgb="FFFFFFFF"/>
      <name val="Arial"/>
      <scheme val="minor"/>
    </font>
    <font>
      <b/>
      <color rgb="FF38761D"/>
      <name val="Arial"/>
      <scheme val="minor"/>
    </font>
    <font>
      <b/>
      <color rgb="FF674EA7"/>
      <name val="Arial"/>
      <scheme val="minor"/>
    </font>
    <font>
      <b/>
      <color rgb="FF1155CC"/>
      <name val="Arial"/>
      <scheme val="minor"/>
    </font>
    <font>
      <b/>
      <color rgb="FFCC0000"/>
      <name val="Arial"/>
      <scheme val="minor"/>
    </font>
    <font>
      <u/>
      <color rgb="FF0000FF"/>
    </font>
    <font>
      <b/>
      <color rgb="FFFFFFFF"/>
      <name val="Arial"/>
      <scheme val="minor"/>
    </font>
    <font>
      <b/>
      <sz val="8.0"/>
      <color rgb="FF495057"/>
      <name val="Arial"/>
    </font>
    <font>
      <sz val="8.0"/>
      <color rgb="FF495057"/>
      <name val="Arial"/>
    </font>
    <font>
      <b/>
      <sz val="9.0"/>
      <color rgb="FF1B4332"/>
      <name val="Arial"/>
    </font>
    <font>
      <b/>
      <sz val="9.0"/>
      <color rgb="FFFFFFFF"/>
      <name val="Arial"/>
    </font>
    <font>
      <b/>
      <color theme="1"/>
      <name val="Arial"/>
    </font>
    <font>
      <i/>
      <sz val="8.0"/>
      <color rgb="FF868E96"/>
      <name val="Arial"/>
    </font>
    <font>
      <b/>
      <sz val="9.0"/>
      <color rgb="FF1A5276"/>
      <name val="Arial"/>
    </font>
    <font>
      <i/>
      <sz val="9.0"/>
      <color rgb="FF868E96"/>
      <name val="Arial"/>
    </font>
    <font>
      <b/>
      <sz val="8.0"/>
      <color rgb="FF1B4332"/>
      <name val="Arial"/>
    </font>
    <font>
      <b/>
      <sz val="9.0"/>
      <color rgb="FF1B4332"/>
      <name val="Arial"/>
      <scheme val="minor"/>
    </font>
    <font>
      <b/>
      <sz val="9.0"/>
      <color rgb="FFFFFFFF"/>
      <name val="Arial"/>
      <scheme val="minor"/>
    </font>
    <font>
      <i/>
      <sz val="8.0"/>
      <color rgb="FF868E96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666666"/>
      <name val="Arial"/>
    </font>
    <font>
      <color rgb="FF999999"/>
      <name val="Arial"/>
    </font>
  </fonts>
  <fills count="8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D8EAD0"/>
        <bgColor rgb="FFD8EAD0"/>
      </patternFill>
    </fill>
    <fill>
      <patternFill patternType="solid">
        <fgColor rgb="FFECE2FF"/>
        <bgColor rgb="FFECE2FF"/>
      </patternFill>
    </fill>
    <fill>
      <patternFill patternType="solid">
        <fgColor rgb="FFF9CB9C"/>
        <bgColor rgb="FFF9CB9C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674EA7"/>
        <bgColor rgb="FF674EA7"/>
      </patternFill>
    </fill>
    <fill>
      <patternFill patternType="solid">
        <fgColor rgb="FF1155CC"/>
        <bgColor rgb="FF1155CC"/>
      </patternFill>
    </fill>
    <fill>
      <patternFill patternType="solid">
        <fgColor rgb="FFCC0000"/>
        <bgColor rgb="FFCC0000"/>
      </patternFill>
    </fill>
    <fill>
      <patternFill patternType="solid">
        <fgColor rgb="FFF8F9FA"/>
        <bgColor rgb="FFF8F9FA"/>
      </patternFill>
    </fill>
    <fill>
      <patternFill patternType="solid">
        <fgColor rgb="FFD8F3DC"/>
        <bgColor rgb="FFD8F3DC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rgb="FFF0F7F4"/>
        <bgColor rgb="FFF0F7F4"/>
      </patternFill>
    </fill>
    <fill>
      <patternFill patternType="solid">
        <fgColor rgb="FFE9ECEF"/>
        <bgColor rgb="FFE9ECEF"/>
      </patternFill>
    </fill>
    <fill>
      <patternFill patternType="solid">
        <fgColor rgb="FFDEE2E6"/>
        <bgColor rgb="FFDEE2E6"/>
      </patternFill>
    </fill>
    <fill>
      <patternFill patternType="solid">
        <fgColor rgb="FFEAF4FB"/>
        <bgColor rgb="FFEAF4FB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57BB8A"/>
        <bgColor rgb="FF57BB8A"/>
      </patternFill>
    </fill>
    <fill>
      <patternFill patternType="solid">
        <fgColor rgb="FFF7B1AB"/>
        <bgColor rgb="FFF7B1AB"/>
      </patternFill>
    </fill>
    <fill>
      <patternFill patternType="solid">
        <fgColor rgb="FFF7FBF6"/>
        <bgColor rgb="FFF7FBF6"/>
      </patternFill>
    </fill>
    <fill>
      <patternFill patternType="solid">
        <fgColor rgb="FFE5F5ED"/>
        <bgColor rgb="FFE5F5ED"/>
      </patternFill>
    </fill>
    <fill>
      <patternFill patternType="solid">
        <fgColor rgb="FFFAD0CD"/>
        <bgColor rgb="FFFAD0CD"/>
      </patternFill>
    </fill>
    <fill>
      <patternFill patternType="solid">
        <fgColor rgb="FFFBFDFB"/>
        <bgColor rgb="FFFBFDFB"/>
      </patternFill>
    </fill>
    <fill>
      <patternFill patternType="solid">
        <fgColor rgb="FFF5CFCF"/>
        <bgColor rgb="FFF5CFCF"/>
      </patternFill>
    </fill>
    <fill>
      <patternFill patternType="solid">
        <fgColor rgb="FFAADDC4"/>
        <bgColor rgb="FFAADDC4"/>
      </patternFill>
    </fill>
    <fill>
      <patternFill patternType="solid">
        <fgColor rgb="FFABDDC4"/>
        <bgColor rgb="FFABDDC4"/>
      </patternFill>
    </fill>
    <fill>
      <patternFill patternType="solid">
        <fgColor rgb="FFE8F3E4"/>
        <bgColor rgb="FFE8F3E4"/>
      </patternFill>
    </fill>
    <fill>
      <patternFill patternType="solid">
        <fgColor rgb="FFBBDAAE"/>
        <bgColor rgb="FFBBDAAE"/>
      </patternFill>
    </fill>
    <fill>
      <patternFill patternType="solid">
        <fgColor rgb="FFA6DBC1"/>
        <bgColor rgb="FFA6DBC1"/>
      </patternFill>
    </fill>
    <fill>
      <patternFill patternType="solid">
        <fgColor rgb="FFF9C1BC"/>
        <bgColor rgb="FFF9C1BC"/>
      </patternFill>
    </fill>
    <fill>
      <patternFill patternType="solid">
        <fgColor rgb="FFDBECD4"/>
        <bgColor rgb="FFDBECD4"/>
      </patternFill>
    </fill>
    <fill>
      <patternFill patternType="solid">
        <fgColor rgb="FFE0EED9"/>
        <bgColor rgb="FFE0EED9"/>
      </patternFill>
    </fill>
    <fill>
      <patternFill patternType="solid">
        <fgColor rgb="FFFEFFFF"/>
        <bgColor rgb="FFFEFFFF"/>
      </patternFill>
    </fill>
    <fill>
      <patternFill patternType="solid">
        <fgColor rgb="FFEA4335"/>
        <bgColor rgb="FFEA4335"/>
      </patternFill>
    </fill>
    <fill>
      <patternFill patternType="solid">
        <fgColor rgb="FFECA2A2"/>
        <bgColor rgb="FFECA2A2"/>
      </patternFill>
    </fill>
    <fill>
      <patternFill patternType="solid">
        <fgColor rgb="FFFEFCFC"/>
        <bgColor rgb="FFFEFCFC"/>
      </patternFill>
    </fill>
    <fill>
      <patternFill patternType="solid">
        <fgColor rgb="FFF7D8D8"/>
        <bgColor rgb="FFF7D8D8"/>
      </patternFill>
    </fill>
    <fill>
      <patternFill patternType="solid">
        <fgColor rgb="FFFCE0DE"/>
        <bgColor rgb="FFFCE0DE"/>
      </patternFill>
    </fill>
    <fill>
      <patternFill patternType="solid">
        <fgColor rgb="FFFEFBFB"/>
        <bgColor rgb="FFFEFBFB"/>
      </patternFill>
    </fill>
    <fill>
      <patternFill patternType="solid">
        <fgColor rgb="FFFEFAFA"/>
        <bgColor rgb="FFFEFAFA"/>
      </patternFill>
    </fill>
    <fill>
      <patternFill patternType="solid">
        <fgColor rgb="FFF8E0E0"/>
        <bgColor rgb="FFF8E0E0"/>
      </patternFill>
    </fill>
    <fill>
      <patternFill patternType="solid">
        <fgColor rgb="FFF2C0C0"/>
        <bgColor rgb="FFF2C0C0"/>
      </patternFill>
    </fill>
    <fill>
      <patternFill patternType="solid">
        <fgColor rgb="FFF07268"/>
        <bgColor rgb="FFF07268"/>
      </patternFill>
    </fill>
    <fill>
      <patternFill patternType="solid">
        <fgColor rgb="FFF3C4C4"/>
        <bgColor rgb="FFF3C4C4"/>
      </patternFill>
    </fill>
    <fill>
      <patternFill patternType="solid">
        <fgColor rgb="FFF8FDFA"/>
        <bgColor rgb="FFF8FDFA"/>
      </patternFill>
    </fill>
    <fill>
      <patternFill patternType="solid">
        <fgColor rgb="FFF0F7ED"/>
        <bgColor rgb="FFF0F7ED"/>
      </patternFill>
    </fill>
    <fill>
      <patternFill patternType="solid">
        <fgColor rgb="FFDEF2E8"/>
        <bgColor rgb="FFDEF2E8"/>
      </patternFill>
    </fill>
    <fill>
      <patternFill patternType="solid">
        <fgColor rgb="FFF3928A"/>
        <bgColor rgb="FFF3928A"/>
      </patternFill>
    </fill>
    <fill>
      <patternFill patternType="solid">
        <fgColor rgb="FFFAE6E6"/>
        <bgColor rgb="FFFAE6E6"/>
      </patternFill>
    </fill>
    <fill>
      <patternFill patternType="solid">
        <fgColor rgb="FFEBF4E7"/>
        <bgColor rgb="FFEBF4E7"/>
      </patternFill>
    </fill>
    <fill>
      <patternFill patternType="solid">
        <fgColor rgb="FFB8E2CD"/>
        <bgColor rgb="FFB8E2CD"/>
      </patternFill>
    </fill>
    <fill>
      <patternFill patternType="solid">
        <fgColor rgb="FFDAEBD3"/>
        <bgColor rgb="FFDAEBD3"/>
      </patternFill>
    </fill>
    <fill>
      <patternFill patternType="solid">
        <fgColor rgb="FFFCF0F0"/>
        <bgColor rgb="FFFCF0F0"/>
      </patternFill>
    </fill>
    <fill>
      <patternFill patternType="solid">
        <fgColor rgb="FFE88E8E"/>
        <bgColor rgb="FFE88E8E"/>
      </patternFill>
    </fill>
    <fill>
      <patternFill patternType="solid">
        <fgColor rgb="FFF4CDCD"/>
        <bgColor rgb="FFF4CDCD"/>
      </patternFill>
    </fill>
    <fill>
      <patternFill patternType="solid">
        <fgColor rgb="FFDDF1E7"/>
        <bgColor rgb="FFDDF1E7"/>
      </patternFill>
    </fill>
    <fill>
      <patternFill patternType="solid">
        <fgColor rgb="FFFAFDF9"/>
        <bgColor rgb="FFFAFDF9"/>
      </patternFill>
    </fill>
    <fill>
      <patternFill patternType="solid">
        <fgColor rgb="FFFDF9F9"/>
        <bgColor rgb="FFFDF9F9"/>
      </patternFill>
    </fill>
  </fills>
  <borders count="2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CED4DA"/>
      </left>
      <top style="thin">
        <color rgb="FFCED4DA"/>
      </top>
    </border>
    <border>
      <top style="thin">
        <color rgb="FFCED4DA"/>
      </top>
    </border>
    <border>
      <right style="thin">
        <color rgb="FFCED4DA"/>
      </right>
      <top style="thin">
        <color rgb="FFCED4DA"/>
      </top>
    </border>
    <border>
      <left style="thin">
        <color rgb="FFCED4DA"/>
      </left>
    </border>
    <border>
      <right style="thin">
        <color rgb="FFCED4DA"/>
      </right>
    </border>
    <border>
      <left style="thin">
        <color rgb="FFCED4DA"/>
      </left>
      <bottom style="thin">
        <color rgb="FFCED4DA"/>
      </bottom>
    </border>
    <border>
      <bottom style="thin">
        <color rgb="FFCED4DA"/>
      </bottom>
    </border>
    <border>
      <right style="thin">
        <color rgb="FFCED4DA"/>
      </right>
      <bottom style="thin">
        <color rgb="FFCED4DA"/>
      </bottom>
    </border>
    <border>
      <left style="dotted">
        <color rgb="FF000000"/>
      </lef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 vertical="center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5" fontId="4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6" fontId="5" numFmtId="0" xfId="0" applyAlignment="1" applyFont="1">
      <alignment readingOrder="0"/>
    </xf>
    <xf borderId="1" fillId="7" fontId="6" numFmtId="2" xfId="0" applyAlignment="1" applyBorder="1" applyFill="1" applyFont="1" applyNumberFormat="1">
      <alignment horizontal="center" readingOrder="0" vertical="bottom"/>
    </xf>
    <xf borderId="2" fillId="0" fontId="7" numFmtId="0" xfId="0" applyBorder="1" applyFont="1"/>
    <xf borderId="0" fillId="0" fontId="8" numFmtId="0" xfId="0" applyAlignment="1" applyFont="1">
      <alignment vertical="bottom"/>
    </xf>
    <xf borderId="0" fillId="8" fontId="9" numFmtId="0" xfId="0" applyAlignment="1" applyFill="1" applyFont="1">
      <alignment readingOrder="0" vertical="bottom"/>
    </xf>
    <xf borderId="3" fillId="2" fontId="10" numFmtId="4" xfId="0" applyAlignment="1" applyBorder="1" applyFont="1" applyNumberFormat="1">
      <alignment readingOrder="0" vertical="bottom"/>
    </xf>
    <xf borderId="4" fillId="9" fontId="8" numFmtId="164" xfId="0" applyAlignment="1" applyBorder="1" applyFill="1" applyFont="1" applyNumberFormat="1">
      <alignment horizontal="right" readingOrder="0" vertical="bottom"/>
    </xf>
    <xf borderId="0" fillId="0" fontId="8" numFmtId="2" xfId="0" applyAlignment="1" applyFont="1" applyNumberFormat="1">
      <alignment vertical="bottom"/>
    </xf>
    <xf borderId="3" fillId="2" fontId="11" numFmtId="2" xfId="0" applyAlignment="1" applyBorder="1" applyFont="1" applyNumberFormat="1">
      <alignment readingOrder="0" vertical="bottom"/>
    </xf>
    <xf borderId="4" fillId="10" fontId="8" numFmtId="164" xfId="0" applyAlignment="1" applyBorder="1" applyFill="1" applyFont="1" applyNumberFormat="1">
      <alignment horizontal="right" readingOrder="0" vertical="bottom"/>
    </xf>
    <xf borderId="3" fillId="2" fontId="12" numFmtId="2" xfId="0" applyAlignment="1" applyBorder="1" applyFont="1" applyNumberFormat="1">
      <alignment readingOrder="0" vertical="bottom"/>
    </xf>
    <xf borderId="4" fillId="11" fontId="8" numFmtId="164" xfId="0" applyAlignment="1" applyBorder="1" applyFill="1" applyFont="1" applyNumberFormat="1">
      <alignment horizontal="right" readingOrder="0" vertical="bottom"/>
    </xf>
    <xf borderId="4" fillId="9" fontId="8" numFmtId="4" xfId="0" applyAlignment="1" applyBorder="1" applyFont="1" applyNumberFormat="1">
      <alignment horizontal="right" readingOrder="0" vertical="bottom"/>
    </xf>
    <xf borderId="3" fillId="2" fontId="11" numFmtId="4" xfId="0" applyAlignment="1" applyBorder="1" applyFont="1" applyNumberFormat="1">
      <alignment readingOrder="0" vertical="bottom"/>
    </xf>
    <xf borderId="4" fillId="10" fontId="8" numFmtId="4" xfId="0" applyAlignment="1" applyBorder="1" applyFont="1" applyNumberFormat="1">
      <alignment horizontal="right" readingOrder="0" vertical="bottom"/>
    </xf>
    <xf borderId="3" fillId="2" fontId="12" numFmtId="4" xfId="0" applyAlignment="1" applyBorder="1" applyFont="1" applyNumberFormat="1">
      <alignment readingOrder="0" vertical="bottom"/>
    </xf>
    <xf borderId="4" fillId="11" fontId="8" numFmtId="4" xfId="0" applyAlignment="1" applyBorder="1" applyFont="1" applyNumberFormat="1">
      <alignment horizontal="right" readingOrder="0" vertical="bottom"/>
    </xf>
    <xf borderId="4" fillId="12" fontId="8" numFmtId="4" xfId="0" applyAlignment="1" applyBorder="1" applyFill="1" applyFont="1" applyNumberFormat="1">
      <alignment horizontal="right" readingOrder="0" vertical="bottom"/>
    </xf>
    <xf borderId="0" fillId="0" fontId="8" numFmtId="4" xfId="0" applyAlignment="1" applyFont="1" applyNumberFormat="1">
      <alignment vertical="bottom"/>
    </xf>
    <xf borderId="4" fillId="13" fontId="8" numFmtId="4" xfId="0" applyAlignment="1" applyBorder="1" applyFill="1" applyFont="1" applyNumberFormat="1">
      <alignment horizontal="right" readingOrder="0" vertical="bottom"/>
    </xf>
    <xf borderId="4" fillId="14" fontId="8" numFmtId="4" xfId="0" applyAlignment="1" applyBorder="1" applyFill="1" applyFont="1" applyNumberFormat="1">
      <alignment horizontal="right" readingOrder="0" vertical="bottom"/>
    </xf>
    <xf borderId="4" fillId="12" fontId="8" numFmtId="4" xfId="0" applyAlignment="1" applyBorder="1" applyFont="1" applyNumberFormat="1">
      <alignment horizontal="right" readingOrder="0" vertical="bottom"/>
    </xf>
    <xf borderId="4" fillId="13" fontId="8" numFmtId="4" xfId="0" applyAlignment="1" applyBorder="1" applyFont="1" applyNumberFormat="1">
      <alignment horizontal="right" readingOrder="0" vertical="bottom"/>
    </xf>
    <xf borderId="4" fillId="14" fontId="8" numFmtId="4" xfId="0" applyAlignment="1" applyBorder="1" applyFont="1" applyNumberFormat="1">
      <alignment horizontal="right" readingOrder="0" vertical="bottom"/>
    </xf>
    <xf borderId="4" fillId="12" fontId="8" numFmtId="46" xfId="0" applyAlignment="1" applyBorder="1" applyFont="1" applyNumberFormat="1">
      <alignment horizontal="right" readingOrder="0" vertical="bottom"/>
    </xf>
    <xf borderId="4" fillId="13" fontId="8" numFmtId="46" xfId="0" applyAlignment="1" applyBorder="1" applyFont="1" applyNumberFormat="1">
      <alignment horizontal="right" readingOrder="0" vertical="bottom"/>
    </xf>
    <xf borderId="4" fillId="14" fontId="8" numFmtId="46" xfId="0" applyAlignment="1" applyBorder="1" applyFont="1" applyNumberFormat="1">
      <alignment horizontal="right" readingOrder="0" vertical="bottom"/>
    </xf>
    <xf borderId="5" fillId="2" fontId="10" numFmtId="4" xfId="0" applyAlignment="1" applyBorder="1" applyFont="1" applyNumberFormat="1">
      <alignment readingOrder="0" vertical="bottom"/>
    </xf>
    <xf borderId="6" fillId="12" fontId="8" numFmtId="4" xfId="0" applyAlignment="1" applyBorder="1" applyFont="1" applyNumberFormat="1">
      <alignment horizontal="right" readingOrder="0" vertical="bottom"/>
    </xf>
    <xf borderId="5" fillId="2" fontId="11" numFmtId="4" xfId="0" applyAlignment="1" applyBorder="1" applyFont="1" applyNumberFormat="1">
      <alignment readingOrder="0" vertical="bottom"/>
    </xf>
    <xf borderId="6" fillId="13" fontId="8" numFmtId="4" xfId="0" applyAlignment="1" applyBorder="1" applyFont="1" applyNumberFormat="1">
      <alignment horizontal="right" readingOrder="0" vertical="bottom"/>
    </xf>
    <xf borderId="5" fillId="2" fontId="12" numFmtId="4" xfId="0" applyAlignment="1" applyBorder="1" applyFont="1" applyNumberFormat="1">
      <alignment readingOrder="0" vertical="bottom"/>
    </xf>
    <xf borderId="6" fillId="14" fontId="8" numFmtId="4" xfId="0" applyAlignment="1" applyBorder="1" applyFont="1" applyNumberFormat="1">
      <alignment horizontal="right" readingOrder="0" vertical="bottom"/>
    </xf>
    <xf borderId="1" fillId="2" fontId="12" numFmtId="4" xfId="0" applyAlignment="1" applyBorder="1" applyFont="1" applyNumberFormat="1">
      <alignment readingOrder="0" vertical="bottom"/>
    </xf>
    <xf borderId="2" fillId="14" fontId="8" numFmtId="164" xfId="0" applyAlignment="1" applyBorder="1" applyFont="1" applyNumberFormat="1">
      <alignment horizontal="right" readingOrder="0" vertical="bottom"/>
    </xf>
    <xf borderId="6" fillId="14" fontId="8" numFmtId="164" xfId="0" applyAlignment="1" applyBorder="1" applyFont="1" applyNumberFormat="1">
      <alignment horizontal="right" readingOrder="0" vertical="bottom"/>
    </xf>
    <xf borderId="1" fillId="7" fontId="13" numFmtId="0" xfId="0" applyAlignment="1" applyBorder="1" applyFont="1">
      <alignment horizontal="center" readingOrder="0"/>
    </xf>
    <xf borderId="7" fillId="0" fontId="7" numFmtId="0" xfId="0" applyBorder="1" applyFont="1"/>
    <xf borderId="3" fillId="15" fontId="13" numFmtId="0" xfId="0" applyAlignment="1" applyBorder="1" applyFill="1" applyFont="1">
      <alignment readingOrder="0"/>
    </xf>
    <xf borderId="0" fillId="3" fontId="14" numFmtId="0" xfId="0" applyAlignment="1" applyFont="1">
      <alignment horizontal="center" readingOrder="0"/>
    </xf>
    <xf borderId="0" fillId="3" fontId="15" numFmtId="0" xfId="0" applyAlignment="1" applyFont="1">
      <alignment horizontal="left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4" fillId="6" fontId="2" numFmtId="0" xfId="0" applyAlignment="1" applyBorder="1" applyFont="1">
      <alignment horizontal="center"/>
    </xf>
    <xf borderId="0" fillId="16" fontId="2" numFmtId="0" xfId="0" applyAlignment="1" applyFill="1" applyFont="1">
      <alignment horizontal="center" readingOrder="0"/>
    </xf>
    <xf borderId="0" fillId="17" fontId="2" numFmtId="0" xfId="0" applyAlignment="1" applyFill="1" applyFont="1">
      <alignment horizontal="left" readingOrder="0"/>
    </xf>
    <xf borderId="0" fillId="9" fontId="2" numFmtId="0" xfId="0" applyAlignment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0" fillId="18" fontId="2" numFmtId="0" xfId="0" applyAlignment="1" applyFill="1" applyFont="1">
      <alignment horizontal="center" readingOrder="0"/>
    </xf>
    <xf borderId="0" fillId="15" fontId="17" numFmtId="0" xfId="0" applyAlignment="1" applyFont="1">
      <alignment horizontal="right" readingOrder="0"/>
    </xf>
    <xf borderId="0" fillId="6" fontId="18" numFmtId="0" xfId="0" applyAlignment="1" applyFont="1">
      <alignment readingOrder="0"/>
    </xf>
    <xf borderId="5" fillId="15" fontId="13" numFmtId="0" xfId="0" applyAlignment="1" applyBorder="1" applyFont="1">
      <alignment readingOrder="0"/>
    </xf>
    <xf borderId="8" fillId="19" fontId="19" numFmtId="0" xfId="0" applyAlignment="1" applyBorder="1" applyFill="1" applyFont="1">
      <alignment horizontal="center" readingOrder="0"/>
    </xf>
    <xf borderId="8" fillId="20" fontId="19" numFmtId="0" xfId="0" applyAlignment="1" applyBorder="1" applyFill="1" applyFont="1">
      <alignment horizontal="center" readingOrder="0"/>
    </xf>
    <xf borderId="8" fillId="21" fontId="19" numFmtId="0" xfId="0" applyAlignment="1" applyBorder="1" applyFill="1" applyFont="1">
      <alignment horizontal="center" readingOrder="0"/>
    </xf>
    <xf borderId="8" fillId="22" fontId="19" numFmtId="0" xfId="0" applyAlignment="1" applyBorder="1" applyFill="1" applyFont="1">
      <alignment horizontal="center" readingOrder="0"/>
    </xf>
    <xf borderId="8" fillId="23" fontId="19" numFmtId="0" xfId="0" applyAlignment="1" applyBorder="1" applyFill="1" applyFont="1">
      <alignment horizontal="center" readingOrder="0"/>
    </xf>
    <xf borderId="8" fillId="24" fontId="19" numFmtId="0" xfId="0" applyAlignment="1" applyBorder="1" applyFill="1" applyFont="1">
      <alignment horizontal="left" readingOrder="0"/>
    </xf>
    <xf borderId="8" fillId="25" fontId="19" numFmtId="0" xfId="0" applyAlignment="1" applyBorder="1" applyFill="1" applyFont="1">
      <alignment horizontal="center" readingOrder="0"/>
    </xf>
    <xf borderId="8" fillId="26" fontId="19" numFmtId="0" xfId="0" applyAlignment="1" applyBorder="1" applyFill="1" applyFont="1">
      <alignment horizontal="center" readingOrder="0"/>
    </xf>
    <xf borderId="6" fillId="7" fontId="19" numFmtId="0" xfId="0" applyAlignment="1" applyBorder="1" applyFont="1">
      <alignment horizontal="center" readingOrder="0"/>
    </xf>
    <xf borderId="0" fillId="27" fontId="20" numFmtId="0" xfId="0" applyAlignment="1" applyFill="1" applyFont="1">
      <alignment vertical="bottom"/>
    </xf>
    <xf borderId="0" fillId="27" fontId="20" numFmtId="0" xfId="0" applyAlignment="1" applyFont="1">
      <alignment horizontal="center" vertical="bottom"/>
    </xf>
    <xf borderId="0" fillId="27" fontId="21" numFmtId="165" xfId="0" applyAlignment="1" applyFont="1" applyNumberFormat="1">
      <alignment horizontal="center" vertical="bottom"/>
    </xf>
    <xf borderId="0" fillId="27" fontId="8" numFmtId="0" xfId="0" applyAlignment="1" applyFont="1">
      <alignment vertical="bottom"/>
    </xf>
    <xf borderId="0" fillId="28" fontId="22" numFmtId="0" xfId="0" applyAlignment="1" applyFill="1" applyFont="1">
      <alignment vertical="bottom"/>
    </xf>
    <xf borderId="0" fillId="28" fontId="8" numFmtId="0" xfId="0" applyAlignment="1" applyFont="1">
      <alignment vertical="bottom"/>
    </xf>
    <xf borderId="9" fillId="29" fontId="23" numFmtId="0" xfId="0" applyAlignment="1" applyBorder="1" applyFill="1" applyFont="1">
      <alignment horizontal="center"/>
    </xf>
    <xf borderId="10" fillId="29" fontId="23" numFmtId="0" xfId="0" applyAlignment="1" applyBorder="1" applyFont="1">
      <alignment horizontal="center"/>
    </xf>
    <xf borderId="11" fillId="29" fontId="23" numFmtId="0" xfId="0" applyAlignment="1" applyBorder="1" applyFont="1">
      <alignment horizontal="center"/>
    </xf>
    <xf borderId="12" fillId="30" fontId="8" numFmtId="0" xfId="0" applyAlignment="1" applyBorder="1" applyFill="1" applyFont="1">
      <alignment vertical="bottom"/>
    </xf>
    <xf borderId="0" fillId="30" fontId="8" numFmtId="3" xfId="0" applyAlignment="1" applyFont="1" applyNumberFormat="1">
      <alignment horizontal="right" vertical="bottom"/>
    </xf>
    <xf borderId="13" fillId="30" fontId="8" numFmtId="3" xfId="0" applyAlignment="1" applyBorder="1" applyFont="1" applyNumberFormat="1">
      <alignment horizontal="right" vertical="bottom"/>
    </xf>
    <xf borderId="12" fillId="31" fontId="8" numFmtId="0" xfId="0" applyAlignment="1" applyBorder="1" applyFill="1" applyFont="1">
      <alignment vertical="bottom"/>
    </xf>
    <xf borderId="0" fillId="31" fontId="8" numFmtId="3" xfId="0" applyAlignment="1" applyFont="1" applyNumberFormat="1">
      <alignment horizontal="right" vertical="bottom"/>
    </xf>
    <xf borderId="13" fillId="31" fontId="8" numFmtId="3" xfId="0" applyAlignment="1" applyBorder="1" applyFont="1" applyNumberFormat="1">
      <alignment horizontal="right" vertical="bottom"/>
    </xf>
    <xf borderId="14" fillId="32" fontId="24" numFmtId="0" xfId="0" applyAlignment="1" applyBorder="1" applyFill="1" applyFont="1">
      <alignment vertical="bottom"/>
    </xf>
    <xf borderId="15" fillId="32" fontId="24" numFmtId="3" xfId="0" applyAlignment="1" applyBorder="1" applyFont="1" applyNumberFormat="1">
      <alignment horizontal="right" vertical="bottom"/>
    </xf>
    <xf borderId="16" fillId="32" fontId="24" numFmtId="3" xfId="0" applyAlignment="1" applyBorder="1" applyFont="1" applyNumberFormat="1">
      <alignment horizontal="right" vertical="bottom"/>
    </xf>
    <xf borderId="0" fillId="0" fontId="25" numFmtId="0" xfId="0" applyAlignment="1" applyFont="1">
      <alignment vertical="bottom"/>
    </xf>
    <xf borderId="0" fillId="33" fontId="8" numFmtId="0" xfId="0" applyAlignment="1" applyFill="1" applyFont="1">
      <alignment vertical="bottom"/>
    </xf>
    <xf borderId="0" fillId="30" fontId="8" numFmtId="0" xfId="0" applyAlignment="1" applyFont="1">
      <alignment vertical="bottom"/>
    </xf>
    <xf borderId="0" fillId="31" fontId="8" numFmtId="0" xfId="0" applyAlignment="1" applyFont="1">
      <alignment vertical="bottom"/>
    </xf>
    <xf borderId="14" fillId="31" fontId="8" numFmtId="0" xfId="0" applyAlignment="1" applyBorder="1" applyFont="1">
      <alignment vertical="bottom"/>
    </xf>
    <xf borderId="15" fillId="31" fontId="8" numFmtId="0" xfId="0" applyAlignment="1" applyBorder="1" applyFont="1">
      <alignment vertical="bottom"/>
    </xf>
    <xf borderId="15" fillId="31" fontId="8" numFmtId="3" xfId="0" applyAlignment="1" applyBorder="1" applyFont="1" applyNumberFormat="1">
      <alignment horizontal="right" vertical="bottom"/>
    </xf>
    <xf borderId="16" fillId="31" fontId="8" numFmtId="3" xfId="0" applyAlignment="1" applyBorder="1" applyFont="1" applyNumberFormat="1">
      <alignment horizontal="right" vertical="bottom"/>
    </xf>
    <xf borderId="10" fillId="34" fontId="26" numFmtId="0" xfId="0" applyAlignment="1" applyBorder="1" applyFill="1" applyFont="1">
      <alignment horizontal="center"/>
    </xf>
    <xf borderId="10" fillId="29" fontId="27" numFmtId="0" xfId="0" applyAlignment="1" applyBorder="1" applyFont="1">
      <alignment horizontal="center"/>
    </xf>
    <xf borderId="11" fillId="29" fontId="27" numFmtId="0" xfId="0" applyAlignment="1" applyBorder="1" applyFont="1">
      <alignment horizontal="center"/>
    </xf>
    <xf borderId="12" fillId="30" fontId="8" numFmtId="0" xfId="0" applyAlignment="1" applyBorder="1" applyFont="1">
      <alignment horizontal="right" vertical="bottom"/>
    </xf>
    <xf borderId="0" fillId="34" fontId="8" numFmtId="3" xfId="0" applyAlignment="1" applyFont="1" applyNumberFormat="1">
      <alignment vertical="bottom"/>
    </xf>
    <xf borderId="0" fillId="30" fontId="8" numFmtId="3" xfId="0" applyAlignment="1" applyFont="1" applyNumberFormat="1">
      <alignment vertical="bottom"/>
    </xf>
    <xf borderId="0" fillId="30" fontId="25" numFmtId="3" xfId="0" applyAlignment="1" applyFont="1" applyNumberFormat="1">
      <alignment vertical="bottom"/>
    </xf>
    <xf borderId="0" fillId="30" fontId="25" numFmtId="0" xfId="0" applyAlignment="1" applyFont="1">
      <alignment vertical="bottom"/>
    </xf>
    <xf borderId="13" fillId="30" fontId="25" numFmtId="3" xfId="0" applyAlignment="1" applyBorder="1" applyFont="1" applyNumberFormat="1">
      <alignment vertical="bottom"/>
    </xf>
    <xf borderId="0" fillId="0" fontId="8" numFmtId="3" xfId="0" applyAlignment="1" applyFont="1" applyNumberFormat="1">
      <alignment vertical="bottom"/>
    </xf>
    <xf borderId="12" fillId="31" fontId="8" numFmtId="0" xfId="0" applyAlignment="1" applyBorder="1" applyFont="1">
      <alignment horizontal="right" vertical="bottom"/>
    </xf>
    <xf borderId="0" fillId="31" fontId="8" numFmtId="3" xfId="0" applyAlignment="1" applyFont="1" applyNumberFormat="1">
      <alignment vertical="bottom"/>
    </xf>
    <xf borderId="0" fillId="31" fontId="25" numFmtId="3" xfId="0" applyAlignment="1" applyFont="1" applyNumberFormat="1">
      <alignment vertical="bottom"/>
    </xf>
    <xf borderId="0" fillId="31" fontId="25" numFmtId="0" xfId="0" applyAlignment="1" applyFont="1">
      <alignment vertical="bottom"/>
    </xf>
    <xf borderId="13" fillId="31" fontId="25" numFmtId="3" xfId="0" applyAlignment="1" applyBorder="1" applyFont="1" applyNumberFormat="1">
      <alignment vertical="bottom"/>
    </xf>
    <xf borderId="14" fillId="31" fontId="8" numFmtId="0" xfId="0" applyAlignment="1" applyBorder="1" applyFont="1">
      <alignment horizontal="right" vertical="bottom"/>
    </xf>
    <xf borderId="15" fillId="34" fontId="8" numFmtId="3" xfId="0" applyAlignment="1" applyBorder="1" applyFont="1" applyNumberFormat="1">
      <alignment vertical="bottom"/>
    </xf>
    <xf borderId="15" fillId="31" fontId="25" numFmtId="3" xfId="0" applyAlignment="1" applyBorder="1" applyFont="1" applyNumberFormat="1">
      <alignment vertical="bottom"/>
    </xf>
    <xf borderId="15" fillId="31" fontId="25" numFmtId="0" xfId="0" applyAlignment="1" applyBorder="1" applyFont="1">
      <alignment vertical="bottom"/>
    </xf>
    <xf borderId="15" fillId="31" fontId="8" numFmtId="3" xfId="0" applyAlignment="1" applyBorder="1" applyFont="1" applyNumberFormat="1">
      <alignment vertical="bottom"/>
    </xf>
    <xf borderId="16" fillId="31" fontId="25" numFmtId="3" xfId="0" applyAlignment="1" applyBorder="1" applyFont="1" applyNumberFormat="1">
      <alignment vertical="bottom"/>
    </xf>
    <xf borderId="0" fillId="28" fontId="28" numFmtId="0" xfId="0" applyAlignment="1" applyFont="1">
      <alignment horizontal="center" vertical="bottom"/>
    </xf>
    <xf borderId="10" fillId="29" fontId="23" numFmtId="3" xfId="0" applyAlignment="1" applyBorder="1" applyFont="1" applyNumberFormat="1">
      <alignment horizontal="center"/>
    </xf>
    <xf borderId="12" fillId="30" fontId="8" numFmtId="166" xfId="0" applyAlignment="1" applyBorder="1" applyFont="1" applyNumberFormat="1">
      <alignment horizontal="right" vertical="bottom"/>
    </xf>
    <xf borderId="13" fillId="30" fontId="8" numFmtId="3" xfId="0" applyAlignment="1" applyBorder="1" applyFont="1" applyNumberFormat="1">
      <alignment vertical="bottom"/>
    </xf>
    <xf borderId="12" fillId="31" fontId="8" numFmtId="166" xfId="0" applyAlignment="1" applyBorder="1" applyFont="1" applyNumberFormat="1">
      <alignment horizontal="right" vertical="bottom"/>
    </xf>
    <xf borderId="13" fillId="31" fontId="8" numFmtId="3" xfId="0" applyAlignment="1" applyBorder="1" applyFont="1" applyNumberFormat="1">
      <alignment vertical="bottom"/>
    </xf>
    <xf borderId="14" fillId="31" fontId="8" numFmtId="166" xfId="0" applyAlignment="1" applyBorder="1" applyFont="1" applyNumberFormat="1">
      <alignment horizontal="right" vertical="bottom"/>
    </xf>
    <xf borderId="16" fillId="31" fontId="8" numFmtId="3" xfId="0" applyAlignment="1" applyBorder="1" applyFont="1" applyNumberFormat="1">
      <alignment vertical="bottom"/>
    </xf>
    <xf borderId="0" fillId="28" fontId="29" numFmtId="0" xfId="0" applyAlignment="1" applyFont="1">
      <alignment readingOrder="0"/>
    </xf>
    <xf borderId="0" fillId="28" fontId="2" numFmtId="0" xfId="0" applyFont="1"/>
    <xf borderId="9" fillId="29" fontId="30" numFmtId="0" xfId="0" applyAlignment="1" applyBorder="1" applyFont="1">
      <alignment horizontal="center" readingOrder="0" vertical="center"/>
    </xf>
    <xf borderId="10" fillId="29" fontId="30" numFmtId="0" xfId="0" applyAlignment="1" applyBorder="1" applyFont="1">
      <alignment horizontal="center" readingOrder="0" vertical="center"/>
    </xf>
    <xf borderId="11" fillId="29" fontId="30" numFmtId="0" xfId="0" applyAlignment="1" applyBorder="1" applyFont="1">
      <alignment horizontal="center" readingOrder="0" vertical="center"/>
    </xf>
    <xf borderId="12" fillId="30" fontId="2" numFmtId="0" xfId="0" applyBorder="1" applyFont="1"/>
    <xf borderId="0" fillId="30" fontId="2" numFmtId="3" xfId="0" applyFont="1" applyNumberFormat="1"/>
    <xf borderId="13" fillId="30" fontId="2" numFmtId="3" xfId="0" applyBorder="1" applyFont="1" applyNumberFormat="1"/>
    <xf borderId="0" fillId="30" fontId="2" numFmtId="0" xfId="0" applyFont="1"/>
    <xf borderId="12" fillId="31" fontId="2" numFmtId="0" xfId="0" applyBorder="1" applyFont="1"/>
    <xf borderId="0" fillId="31" fontId="2" numFmtId="3" xfId="0" applyFont="1" applyNumberFormat="1"/>
    <xf borderId="13" fillId="31" fontId="2" numFmtId="3" xfId="0" applyBorder="1" applyFont="1" applyNumberFormat="1"/>
    <xf borderId="0" fillId="31" fontId="2" numFmtId="0" xfId="0" applyFont="1"/>
    <xf borderId="12" fillId="30" fontId="2" numFmtId="0" xfId="0" applyAlignment="1" applyBorder="1" applyFont="1">
      <alignment readingOrder="0"/>
    </xf>
    <xf borderId="14" fillId="30" fontId="2" numFmtId="0" xfId="0" applyBorder="1" applyFont="1"/>
    <xf borderId="15" fillId="30" fontId="2" numFmtId="3" xfId="0" applyBorder="1" applyFont="1" applyNumberFormat="1"/>
    <xf borderId="16" fillId="30" fontId="2" numFmtId="3" xfId="0" applyBorder="1" applyFont="1" applyNumberFormat="1"/>
    <xf borderId="15" fillId="30" fontId="2" numFmtId="0" xfId="0" applyBorder="1" applyFont="1"/>
    <xf borderId="0" fillId="0" fontId="31" numFmtId="0" xfId="0" applyAlignment="1" applyFont="1">
      <alignment readingOrder="0"/>
    </xf>
    <xf borderId="0" fillId="33" fontId="2" numFmtId="0" xfId="0" applyFont="1"/>
    <xf borderId="0" fillId="30" fontId="8" numFmtId="10" xfId="0" applyAlignment="1" applyFont="1" applyNumberFormat="1">
      <alignment vertical="bottom"/>
    </xf>
    <xf borderId="13" fillId="30" fontId="8" numFmtId="10" xfId="0" applyAlignment="1" applyBorder="1" applyFont="1" applyNumberFormat="1">
      <alignment horizontal="right" vertical="bottom"/>
    </xf>
    <xf borderId="0" fillId="30" fontId="2" numFmtId="2" xfId="0" applyFont="1" applyNumberFormat="1"/>
    <xf borderId="13" fillId="30" fontId="2" numFmtId="2" xfId="0" applyBorder="1" applyFont="1" applyNumberFormat="1"/>
    <xf borderId="0" fillId="31" fontId="8" numFmtId="10" xfId="0" applyAlignment="1" applyFont="1" applyNumberFormat="1">
      <alignment horizontal="right" vertical="bottom"/>
    </xf>
    <xf borderId="13" fillId="31" fontId="8" numFmtId="10" xfId="0" applyAlignment="1" applyBorder="1" applyFont="1" applyNumberFormat="1">
      <alignment horizontal="right" vertical="bottom"/>
    </xf>
    <xf borderId="0" fillId="31" fontId="2" numFmtId="2" xfId="0" applyFont="1" applyNumberFormat="1"/>
    <xf borderId="13" fillId="31" fontId="2" numFmtId="2" xfId="0" applyBorder="1" applyFont="1" applyNumberFormat="1"/>
    <xf borderId="0" fillId="30" fontId="8" numFmtId="10" xfId="0" applyAlignment="1" applyFont="1" applyNumberFormat="1">
      <alignment horizontal="right" vertical="bottom"/>
    </xf>
    <xf borderId="13" fillId="30" fontId="8" numFmtId="10" xfId="0" applyAlignment="1" applyBorder="1" applyFont="1" applyNumberFormat="1">
      <alignment vertical="bottom"/>
    </xf>
    <xf borderId="0" fillId="31" fontId="8" numFmtId="10" xfId="0" applyAlignment="1" applyFont="1" applyNumberFormat="1">
      <alignment vertical="bottom"/>
    </xf>
    <xf borderId="13" fillId="31" fontId="8" numFmtId="10" xfId="0" applyAlignment="1" applyBorder="1" applyFont="1" applyNumberFormat="1">
      <alignment vertical="bottom"/>
    </xf>
    <xf borderId="15" fillId="31" fontId="8" numFmtId="10" xfId="0" applyAlignment="1" applyBorder="1" applyFont="1" applyNumberFormat="1">
      <alignment vertical="bottom"/>
    </xf>
    <xf borderId="16" fillId="31" fontId="8" numFmtId="10" xfId="0" applyAlignment="1" applyBorder="1" applyFont="1" applyNumberFormat="1">
      <alignment vertical="bottom"/>
    </xf>
    <xf borderId="15" fillId="30" fontId="2" numFmtId="2" xfId="0" applyBorder="1" applyFont="1" applyNumberFormat="1"/>
    <xf borderId="16" fillId="30" fontId="2" numFmtId="2" xfId="0" applyBorder="1" applyFont="1" applyNumberFormat="1"/>
    <xf borderId="10" fillId="29" fontId="19" numFmtId="0" xfId="0" applyAlignment="1" applyBorder="1" applyFont="1">
      <alignment horizontal="center"/>
    </xf>
    <xf borderId="11" fillId="29" fontId="19" numFmtId="0" xfId="0" applyAlignment="1" applyBorder="1" applyFont="1">
      <alignment horizontal="center"/>
    </xf>
    <xf borderId="12" fillId="30" fontId="32" numFmtId="0" xfId="0" applyAlignment="1" applyBorder="1" applyFont="1">
      <alignment horizontal="left" readingOrder="0"/>
    </xf>
    <xf borderId="0" fillId="30" fontId="2" numFmtId="167" xfId="0" applyFont="1" applyNumberFormat="1"/>
    <xf borderId="13" fillId="30" fontId="2" numFmtId="167" xfId="0" applyBorder="1" applyFont="1" applyNumberFormat="1"/>
    <xf borderId="12" fillId="31" fontId="32" numFmtId="0" xfId="0" applyAlignment="1" applyBorder="1" applyFont="1">
      <alignment horizontal="left" readingOrder="0"/>
    </xf>
    <xf borderId="0" fillId="31" fontId="2" numFmtId="167" xfId="0" applyFont="1" applyNumberFormat="1"/>
    <xf borderId="13" fillId="31" fontId="2" numFmtId="167" xfId="0" applyBorder="1" applyFont="1" applyNumberFormat="1"/>
    <xf borderId="14" fillId="30" fontId="32" numFmtId="0" xfId="0" applyAlignment="1" applyBorder="1" applyFont="1">
      <alignment horizontal="left" readingOrder="0"/>
    </xf>
    <xf borderId="15" fillId="30" fontId="2" numFmtId="167" xfId="0" applyBorder="1" applyFont="1" applyNumberFormat="1"/>
    <xf borderId="16" fillId="30" fontId="2" numFmtId="167" xfId="0" applyBorder="1" applyFont="1" applyNumberFormat="1"/>
    <xf borderId="3" fillId="35" fontId="13" numFmtId="0" xfId="0" applyAlignment="1" applyBorder="1" applyFill="1" applyFont="1">
      <alignment readingOrder="0"/>
    </xf>
    <xf borderId="17" fillId="35" fontId="13" numFmtId="0" xfId="0" applyAlignment="1" applyBorder="1" applyFont="1">
      <alignment readingOrder="0"/>
    </xf>
    <xf borderId="18" fillId="35" fontId="13" numFmtId="0" xfId="0" applyAlignment="1" applyBorder="1" applyFont="1">
      <alignment readingOrder="0"/>
    </xf>
    <xf borderId="4" fillId="35" fontId="13" numFmtId="0" xfId="0" applyAlignment="1" applyBorder="1" applyFont="1">
      <alignment readingOrder="0"/>
    </xf>
    <xf borderId="3" fillId="36" fontId="13" numFmtId="0" xfId="0" applyAlignment="1" applyBorder="1" applyFill="1" applyFont="1">
      <alignment readingOrder="0"/>
    </xf>
    <xf borderId="17" fillId="36" fontId="13" numFmtId="0" xfId="0" applyAlignment="1" applyBorder="1" applyFont="1">
      <alignment readingOrder="0"/>
    </xf>
    <xf borderId="18" fillId="36" fontId="13" numFmtId="0" xfId="0" applyAlignment="1" applyBorder="1" applyFont="1">
      <alignment readingOrder="0"/>
    </xf>
    <xf borderId="4" fillId="36" fontId="13" numFmtId="0" xfId="0" applyAlignment="1" applyBorder="1" applyFont="1">
      <alignment readingOrder="0"/>
    </xf>
    <xf borderId="3" fillId="37" fontId="13" numFmtId="0" xfId="0" applyAlignment="1" applyBorder="1" applyFill="1" applyFont="1">
      <alignment readingOrder="0"/>
    </xf>
    <xf borderId="17" fillId="37" fontId="13" numFmtId="0" xfId="0" applyAlignment="1" applyBorder="1" applyFont="1">
      <alignment readingOrder="0"/>
    </xf>
    <xf borderId="18" fillId="37" fontId="13" numFmtId="0" xfId="0" applyAlignment="1" applyBorder="1" applyFont="1">
      <alignment readingOrder="0"/>
    </xf>
    <xf borderId="4" fillId="37" fontId="13" numFmtId="0" xfId="0" applyAlignment="1" applyBorder="1" applyFont="1">
      <alignment readingOrder="0"/>
    </xf>
    <xf borderId="3" fillId="12" fontId="2" numFmtId="0" xfId="0" applyAlignment="1" applyBorder="1" applyFont="1">
      <alignment readingOrder="0"/>
    </xf>
    <xf borderId="17" fillId="9" fontId="2" numFmtId="4" xfId="0" applyBorder="1" applyFont="1" applyNumberFormat="1"/>
    <xf borderId="18" fillId="9" fontId="2" numFmtId="1" xfId="0" applyBorder="1" applyFont="1" applyNumberFormat="1"/>
    <xf borderId="4" fillId="9" fontId="2" numFmtId="1" xfId="0" applyBorder="1" applyFont="1" applyNumberFormat="1"/>
    <xf borderId="3" fillId="13" fontId="2" numFmtId="0" xfId="0" applyAlignment="1" applyBorder="1" applyFont="1">
      <alignment readingOrder="0"/>
    </xf>
    <xf borderId="17" fillId="10" fontId="2" numFmtId="4" xfId="0" applyBorder="1" applyFont="1" applyNumberFormat="1"/>
    <xf borderId="18" fillId="10" fontId="2" numFmtId="1" xfId="0" applyBorder="1" applyFont="1" applyNumberFormat="1"/>
    <xf borderId="4" fillId="10" fontId="2" numFmtId="1" xfId="0" applyBorder="1" applyFont="1" applyNumberFormat="1"/>
    <xf borderId="3" fillId="14" fontId="2" numFmtId="0" xfId="0" applyAlignment="1" applyBorder="1" applyFont="1">
      <alignment readingOrder="0"/>
    </xf>
    <xf borderId="17" fillId="11" fontId="2" numFmtId="164" xfId="0" applyBorder="1" applyFont="1" applyNumberFormat="1"/>
    <xf borderId="18" fillId="11" fontId="2" numFmtId="1" xfId="0" applyBorder="1" applyFont="1" applyNumberFormat="1"/>
    <xf borderId="4" fillId="11" fontId="2" numFmtId="1" xfId="0" applyBorder="1" applyFont="1" applyNumberFormat="1"/>
    <xf borderId="17" fillId="9" fontId="2" numFmtId="164" xfId="0" applyBorder="1" applyFont="1" applyNumberFormat="1"/>
    <xf borderId="17" fillId="10" fontId="2" numFmtId="164" xfId="0" applyBorder="1" applyFont="1" applyNumberFormat="1"/>
    <xf borderId="5" fillId="12" fontId="2" numFmtId="0" xfId="0" applyAlignment="1" applyBorder="1" applyFont="1">
      <alignment readingOrder="0"/>
    </xf>
    <xf borderId="19" fillId="9" fontId="2" numFmtId="164" xfId="0" applyBorder="1" applyFont="1" applyNumberFormat="1"/>
    <xf borderId="20" fillId="9" fontId="2" numFmtId="1" xfId="0" applyBorder="1" applyFont="1" applyNumberFormat="1"/>
    <xf borderId="6" fillId="9" fontId="2" numFmtId="1" xfId="0" applyBorder="1" applyFont="1" applyNumberFormat="1"/>
    <xf borderId="5" fillId="13" fontId="2" numFmtId="0" xfId="0" applyAlignment="1" applyBorder="1" applyFont="1">
      <alignment readingOrder="0"/>
    </xf>
    <xf borderId="19" fillId="10" fontId="2" numFmtId="164" xfId="0" applyBorder="1" applyFont="1" applyNumberFormat="1"/>
    <xf borderId="20" fillId="10" fontId="2" numFmtId="1" xfId="0" applyBorder="1" applyFont="1" applyNumberFormat="1"/>
    <xf borderId="6" fillId="10" fontId="2" numFmtId="1" xfId="0" applyBorder="1" applyFont="1" applyNumberFormat="1"/>
    <xf borderId="5" fillId="14" fontId="2" numFmtId="0" xfId="0" applyAlignment="1" applyBorder="1" applyFont="1">
      <alignment readingOrder="0"/>
    </xf>
    <xf borderId="19" fillId="11" fontId="2" numFmtId="164" xfId="0" applyBorder="1" applyFont="1" applyNumberFormat="1"/>
    <xf borderId="20" fillId="11" fontId="2" numFmtId="1" xfId="0" applyBorder="1" applyFont="1" applyNumberFormat="1"/>
    <xf borderId="6" fillId="11" fontId="2" numFmtId="1" xfId="0" applyBorder="1" applyFont="1" applyNumberFormat="1"/>
    <xf borderId="0" fillId="3" fontId="2" numFmtId="0" xfId="0" applyFont="1"/>
    <xf borderId="0" fillId="3" fontId="2" numFmtId="1" xfId="0" applyFont="1" applyNumberFormat="1"/>
    <xf borderId="0" fillId="0" fontId="2" numFmtId="1" xfId="0" applyFont="1" applyNumberFormat="1"/>
    <xf borderId="3" fillId="15" fontId="13" numFmtId="168" xfId="0" applyAlignment="1" applyBorder="1" applyFont="1" applyNumberFormat="1">
      <alignment readingOrder="0"/>
    </xf>
    <xf borderId="17" fillId="35" fontId="13" numFmtId="168" xfId="0" applyAlignment="1" applyBorder="1" applyFont="1" applyNumberFormat="1">
      <alignment readingOrder="0"/>
    </xf>
    <xf borderId="21" fillId="36" fontId="13" numFmtId="168" xfId="0" applyAlignment="1" applyBorder="1" applyFont="1" applyNumberFormat="1">
      <alignment readingOrder="0"/>
    </xf>
    <xf borderId="21" fillId="37" fontId="13" numFmtId="0" xfId="0" applyAlignment="1" applyBorder="1" applyFont="1">
      <alignment readingOrder="0"/>
    </xf>
    <xf borderId="3" fillId="4" fontId="2" numFmtId="168" xfId="0" applyBorder="1" applyFont="1" applyNumberFormat="1"/>
    <xf borderId="17" fillId="9" fontId="2" numFmtId="168" xfId="0" applyBorder="1" applyFont="1" applyNumberFormat="1"/>
    <xf borderId="21" fillId="10" fontId="2" numFmtId="168" xfId="0" applyBorder="1" applyFont="1" applyNumberFormat="1"/>
    <xf borderId="3" fillId="4" fontId="2" numFmtId="0" xfId="0" applyBorder="1" applyFont="1"/>
    <xf borderId="17" fillId="9" fontId="2" numFmtId="2" xfId="0" applyBorder="1" applyFont="1" applyNumberFormat="1"/>
    <xf borderId="18" fillId="10" fontId="2" numFmtId="0" xfId="0" applyBorder="1" applyFont="1"/>
    <xf borderId="21" fillId="11" fontId="2" numFmtId="164" xfId="0" applyBorder="1" applyFont="1" applyNumberFormat="1"/>
    <xf borderId="18" fillId="10" fontId="2" numFmtId="4" xfId="0" applyBorder="1" applyFont="1" applyNumberFormat="1"/>
    <xf borderId="18" fillId="10" fontId="2" numFmtId="4" xfId="0" applyBorder="1" applyFont="1" applyNumberFormat="1"/>
    <xf borderId="17" fillId="9" fontId="2" numFmtId="2" xfId="0" applyBorder="1" applyFont="1" applyNumberFormat="1"/>
    <xf borderId="18" fillId="10" fontId="2" numFmtId="2" xfId="0" applyBorder="1" applyFont="1" applyNumberFormat="1"/>
    <xf borderId="4" fillId="11" fontId="2" numFmtId="2" xfId="0" applyBorder="1" applyFont="1" applyNumberFormat="1"/>
    <xf borderId="5" fillId="4" fontId="2" numFmtId="168" xfId="0" applyBorder="1" applyFont="1" applyNumberFormat="1"/>
    <xf borderId="19" fillId="9" fontId="2" numFmtId="168" xfId="0" applyBorder="1" applyFont="1" applyNumberFormat="1"/>
    <xf borderId="22" fillId="10" fontId="2" numFmtId="168" xfId="0" applyBorder="1" applyFont="1" applyNumberFormat="1"/>
    <xf borderId="5" fillId="4" fontId="2" numFmtId="0" xfId="0" applyAlignment="1" applyBorder="1" applyFont="1">
      <alignment readingOrder="0"/>
    </xf>
    <xf borderId="19" fillId="9" fontId="2" numFmtId="2" xfId="0" applyBorder="1" applyFont="1" applyNumberFormat="1"/>
    <xf borderId="20" fillId="10" fontId="2" numFmtId="2" xfId="0" applyBorder="1" applyFont="1" applyNumberFormat="1"/>
    <xf borderId="6" fillId="11" fontId="2" numFmtId="2" xfId="0" applyBorder="1" applyFont="1" applyNumberFormat="1"/>
    <xf borderId="22" fillId="11" fontId="2" numFmtId="164" xfId="0" applyBorder="1" applyFont="1" applyNumberFormat="1"/>
    <xf borderId="19" fillId="9" fontId="2" numFmtId="2" xfId="0" applyBorder="1" applyFont="1" applyNumberFormat="1"/>
    <xf borderId="20" fillId="10" fontId="2" numFmtId="4" xfId="0" applyBorder="1" applyFont="1" applyNumberFormat="1"/>
    <xf borderId="0" fillId="0" fontId="13" numFmtId="0" xfId="0" applyAlignment="1" applyFont="1">
      <alignment horizontal="center" readingOrder="0"/>
    </xf>
    <xf borderId="1" fillId="3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readingOrder="0"/>
    </xf>
    <xf borderId="3" fillId="39" fontId="13" numFmtId="0" xfId="0" applyAlignment="1" applyBorder="1" applyFill="1" applyFont="1">
      <alignment readingOrder="0"/>
    </xf>
    <xf borderId="17" fillId="39" fontId="13" numFmtId="0" xfId="0" applyAlignment="1" applyBorder="1" applyFont="1">
      <alignment readingOrder="0"/>
    </xf>
    <xf borderId="21" fillId="39" fontId="13" numFmtId="0" xfId="0" applyAlignment="1" applyBorder="1" applyFont="1">
      <alignment readingOrder="0"/>
    </xf>
    <xf borderId="0" fillId="0" fontId="2" numFmtId="164" xfId="0" applyFont="1" applyNumberFormat="1"/>
    <xf borderId="3" fillId="40" fontId="2" numFmtId="0" xfId="0" applyAlignment="1" applyBorder="1" applyFill="1" applyFont="1">
      <alignment readingOrder="0"/>
    </xf>
    <xf borderId="17" fillId="41" fontId="2" numFmtId="164" xfId="0" applyBorder="1" applyFill="1" applyFont="1" applyNumberFormat="1"/>
    <xf borderId="21" fillId="41" fontId="2" numFmtId="164" xfId="0" applyBorder="1" applyFont="1" applyNumberFormat="1"/>
    <xf borderId="5" fillId="40" fontId="2" numFmtId="0" xfId="0" applyAlignment="1" applyBorder="1" applyFont="1">
      <alignment readingOrder="0"/>
    </xf>
    <xf borderId="19" fillId="41" fontId="2" numFmtId="164" xfId="0" applyBorder="1" applyFont="1" applyNumberFormat="1"/>
    <xf borderId="22" fillId="41" fontId="2" numFmtId="164" xfId="0" applyBorder="1" applyFont="1" applyNumberFormat="1"/>
    <xf borderId="0" fillId="0" fontId="6" numFmtId="2" xfId="0" applyAlignment="1" applyFont="1" applyNumberFormat="1">
      <alignment horizontal="center" readingOrder="0" vertical="bottom"/>
    </xf>
    <xf borderId="4" fillId="2" fontId="6" numFmtId="2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4" fontId="8" numFmtId="1" xfId="0" applyAlignment="1" applyFont="1" applyNumberFormat="1">
      <alignment horizontal="center" readingOrder="0" vertical="bottom"/>
    </xf>
    <xf borderId="0" fillId="0" fontId="8" numFmtId="1" xfId="0" applyAlignment="1" applyFont="1" applyNumberFormat="1">
      <alignment horizontal="right" readingOrder="0" vertical="bottom"/>
    </xf>
    <xf borderId="0" fillId="0" fontId="12" numFmtId="2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readingOrder="0" vertical="bottom"/>
    </xf>
    <xf borderId="4" fillId="11" fontId="8" numFmtId="4" xfId="0" applyAlignment="1" applyBorder="1" applyFont="1" applyNumberFormat="1">
      <alignment horizontal="right" readingOrder="0" vertical="bottom"/>
    </xf>
    <xf borderId="0" fillId="0" fontId="12" numFmtId="4" xfId="0" applyAlignment="1" applyFont="1" applyNumberFormat="1">
      <alignment readingOrder="0" vertical="bottom"/>
    </xf>
    <xf borderId="0" fillId="0" fontId="8" numFmtId="4" xfId="0" applyAlignment="1" applyFont="1" applyNumberFormat="1">
      <alignment vertical="bottom"/>
    </xf>
    <xf borderId="4" fillId="12" fontId="8" numFmtId="0" xfId="0" applyAlignment="1" applyBorder="1" applyFont="1">
      <alignment horizontal="right" readingOrder="0" vertical="bottom"/>
    </xf>
    <xf borderId="4" fillId="13" fontId="8" numFmtId="0" xfId="0" applyAlignment="1" applyBorder="1" applyFont="1">
      <alignment horizontal="right" readingOrder="0" vertical="bottom"/>
    </xf>
    <xf borderId="4" fillId="14" fontId="8" numFmtId="0" xfId="0" applyAlignment="1" applyBorder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7" fillId="0" fontId="8" numFmtId="4" xfId="0" applyAlignment="1" applyBorder="1" applyFont="1" applyNumberFormat="1">
      <alignment vertical="bottom"/>
    </xf>
    <xf borderId="7" fillId="0" fontId="8" numFmtId="4" xfId="0" applyAlignment="1" applyBorder="1" applyFont="1" applyNumberFormat="1">
      <alignment vertical="bottom"/>
    </xf>
    <xf borderId="3" fillId="7" fontId="6" numFmtId="4" xfId="0" applyAlignment="1" applyBorder="1" applyFont="1" applyNumberFormat="1">
      <alignment horizontal="center" readingOrder="0" vertical="bottom"/>
    </xf>
    <xf borderId="4" fillId="0" fontId="7" numFmtId="0" xfId="0" applyBorder="1" applyFont="1"/>
    <xf borderId="3" fillId="35" fontId="8" numFmtId="4" xfId="0" applyAlignment="1" applyBorder="1" applyFont="1" applyNumberFormat="1">
      <alignment readingOrder="0" vertical="bottom"/>
    </xf>
    <xf borderId="4" fillId="35" fontId="8" numFmtId="4" xfId="0" applyAlignment="1" applyBorder="1" applyFont="1" applyNumberFormat="1">
      <alignment readingOrder="0" vertical="bottom"/>
    </xf>
    <xf borderId="3" fillId="10" fontId="8" numFmtId="4" xfId="0" applyAlignment="1" applyBorder="1" applyFont="1" applyNumberFormat="1">
      <alignment readingOrder="0" vertical="bottom"/>
    </xf>
    <xf borderId="4" fillId="10" fontId="8" numFmtId="4" xfId="0" applyAlignment="1" applyBorder="1" applyFont="1" applyNumberFormat="1">
      <alignment readingOrder="0" vertical="bottom"/>
    </xf>
    <xf borderId="3" fillId="11" fontId="8" numFmtId="4" xfId="0" applyAlignment="1" applyBorder="1" applyFont="1" applyNumberFormat="1">
      <alignment readingOrder="0" vertical="bottom"/>
    </xf>
    <xf borderId="4" fillId="11" fontId="8" numFmtId="4" xfId="0" applyAlignment="1" applyBorder="1" applyFont="1" applyNumberFormat="1">
      <alignment readingOrder="0" vertical="bottom"/>
    </xf>
    <xf borderId="3" fillId="0" fontId="8" numFmtId="4" xfId="0" applyAlignment="1" applyBorder="1" applyFont="1" applyNumberFormat="1">
      <alignment readingOrder="0" vertical="bottom"/>
    </xf>
    <xf borderId="4" fillId="14" fontId="8" numFmtId="169" xfId="0" applyAlignment="1" applyBorder="1" applyFont="1" applyNumberFormat="1">
      <alignment horizontal="right" readingOrder="0" vertical="bottom"/>
    </xf>
    <xf borderId="7" fillId="0" fontId="8" numFmtId="4" xfId="0" applyAlignment="1" applyBorder="1" applyFont="1" applyNumberFormat="1">
      <alignment readingOrder="0" vertical="bottom"/>
    </xf>
    <xf borderId="0" fillId="0" fontId="8" numFmtId="2" xfId="0" applyAlignment="1" applyFont="1" applyNumberFormat="1">
      <alignment readingOrder="0" vertical="bottom"/>
    </xf>
    <xf borderId="0" fillId="0" fontId="8" numFmtId="4" xfId="0" applyAlignment="1" applyFont="1" applyNumberFormat="1">
      <alignment readingOrder="0" vertical="bottom"/>
    </xf>
    <xf borderId="0" fillId="0" fontId="8" numFmtId="4" xfId="0" applyAlignment="1" applyFont="1" applyNumberFormat="1">
      <alignment horizontal="right" readingOrder="0" vertical="bottom"/>
    </xf>
    <xf borderId="0" fillId="0" fontId="8" numFmtId="46" xfId="0" applyAlignment="1" applyFont="1" applyNumberFormat="1">
      <alignment horizontal="right" readingOrder="0" vertical="bottom"/>
    </xf>
    <xf borderId="0" fillId="0" fontId="8" numFmtId="10" xfId="0" applyAlignment="1" applyFont="1" applyNumberFormat="1">
      <alignment vertical="bottom"/>
    </xf>
    <xf borderId="0" fillId="2" fontId="6" numFmtId="0" xfId="0" applyAlignment="1" applyFont="1">
      <alignment horizontal="center" readingOrder="0" vertical="bottom"/>
    </xf>
    <xf borderId="0" fillId="4" fontId="8" numFmtId="0" xfId="0" applyAlignment="1" applyFont="1">
      <alignment readingOrder="0" vertical="bottom"/>
    </xf>
    <xf borderId="0" fillId="0" fontId="8" numFmtId="10" xfId="0" applyAlignment="1" applyFont="1" applyNumberFormat="1">
      <alignment horizontal="right" readingOrder="0" vertical="bottom"/>
    </xf>
    <xf borderId="3" fillId="0" fontId="6" numFmtId="2" xfId="0" applyAlignment="1" applyBorder="1" applyFont="1" applyNumberFormat="1">
      <alignment horizontal="center" readingOrder="0" vertical="bottom"/>
    </xf>
    <xf borderId="3" fillId="2" fontId="6" numFmtId="2" xfId="0" applyAlignment="1" applyBorder="1" applyFont="1" applyNumberFormat="1">
      <alignment readingOrder="0" vertical="bottom"/>
    </xf>
    <xf borderId="0" fillId="2" fontId="6" numFmtId="2" xfId="0" applyAlignment="1" applyFont="1" applyNumberFormat="1">
      <alignment readingOrder="0" vertical="bottom"/>
    </xf>
    <xf borderId="3" fillId="0" fontId="6" numFmtId="0" xfId="0" applyAlignment="1" applyBorder="1" applyFont="1">
      <alignment readingOrder="0" vertical="bottom"/>
    </xf>
    <xf borderId="0" fillId="0" fontId="6" numFmtId="2" xfId="0" applyAlignment="1" applyFont="1" applyNumberForma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23" fillId="0" fontId="8" numFmtId="0" xfId="0" applyAlignment="1" applyBorder="1" applyFont="1">
      <alignment readingOrder="0" vertical="bottom"/>
    </xf>
    <xf borderId="0" fillId="0" fontId="33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9" xfId="0" applyAlignment="1" applyFont="1" applyNumberFormat="1">
      <alignment readingOrder="0" vertical="bottom"/>
    </xf>
    <xf borderId="3" fillId="0" fontId="34" numFmtId="0" xfId="0" applyAlignment="1" applyBorder="1" applyFont="1">
      <alignment horizontal="right" readingOrder="0" vertical="bottom"/>
    </xf>
    <xf borderId="0" fillId="0" fontId="8" numFmtId="1" xfId="0" applyAlignment="1" applyFont="1" applyNumberFormat="1">
      <alignment horizontal="right" readingOrder="0" vertical="bottom"/>
    </xf>
    <xf borderId="0" fillId="0" fontId="8" numFmtId="2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center" readingOrder="0"/>
    </xf>
    <xf borderId="7" fillId="0" fontId="2" numFmtId="0" xfId="0" applyBorder="1" applyFont="1"/>
    <xf borderId="7" fillId="0" fontId="35" numFmtId="164" xfId="0" applyAlignment="1" applyBorder="1" applyFont="1" applyNumberFormat="1">
      <alignment horizontal="right" readingOrder="0" vertical="bottom"/>
    </xf>
    <xf borderId="7" fillId="0" fontId="8" numFmtId="164" xfId="0" applyAlignment="1" applyBorder="1" applyFont="1" applyNumberFormat="1">
      <alignment horizontal="right" readingOrder="0" vertical="bottom"/>
    </xf>
    <xf borderId="7" fillId="0" fontId="8" numFmtId="10" xfId="0" applyAlignment="1" applyBorder="1" applyFont="1" applyNumberFormat="1">
      <alignment horizontal="right" readingOrder="0" vertical="bottom"/>
    </xf>
    <xf borderId="0" fillId="0" fontId="34" numFmtId="0" xfId="0" applyAlignment="1" applyFont="1">
      <alignment horizontal="right" readingOrder="0" vertical="bottom"/>
    </xf>
    <xf borderId="0" fillId="0" fontId="35" numFmtId="164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readingOrder="0" vertical="bottom"/>
    </xf>
    <xf borderId="0" fillId="0" fontId="35" numFmtId="0" xfId="0" applyAlignment="1" applyFont="1">
      <alignment horizontal="right" readingOrder="0" vertical="bottom"/>
    </xf>
    <xf borderId="0" fillId="0" fontId="8" numFmtId="1" xfId="0" applyAlignment="1" applyFont="1" applyNumberFormat="1">
      <alignment vertical="bottom"/>
    </xf>
    <xf borderId="0" fillId="0" fontId="8" numFmtId="46" xfId="0" applyAlignment="1" applyFont="1" applyNumberFormat="1">
      <alignment vertical="bottom"/>
    </xf>
    <xf borderId="1" fillId="7" fontId="6" numFmtId="2" xfId="0" applyAlignment="1" applyBorder="1" applyFont="1" applyNumberFormat="1">
      <alignment horizontal="center" vertical="bottom"/>
    </xf>
    <xf borderId="4" fillId="9" fontId="8" numFmtId="4" xfId="0" applyAlignment="1" applyBorder="1" applyFont="1" applyNumberFormat="1">
      <alignment horizontal="right" readingOrder="0" vertical="bottom"/>
    </xf>
    <xf borderId="4" fillId="10" fontId="8" numFmtId="4" xfId="0" applyAlignment="1" applyBorder="1" applyFont="1" applyNumberFormat="1">
      <alignment horizontal="right" readingOrder="0" vertical="bottom"/>
    </xf>
    <xf borderId="4" fillId="12" fontId="8" numFmtId="169" xfId="0" applyAlignment="1" applyBorder="1" applyFont="1" applyNumberFormat="1">
      <alignment horizontal="right" readingOrder="0" vertical="bottom"/>
    </xf>
    <xf borderId="4" fillId="13" fontId="8" numFmtId="169" xfId="0" applyAlignment="1" applyBorder="1" applyFont="1" applyNumberFormat="1">
      <alignment horizontal="right" readingOrder="0" vertical="bottom"/>
    </xf>
    <xf borderId="0" fillId="12" fontId="8" numFmtId="169" xfId="0" applyAlignment="1" applyFont="1" applyNumberFormat="1">
      <alignment horizontal="right" readingOrder="0" vertical="bottom"/>
    </xf>
    <xf borderId="24" fillId="0" fontId="8" numFmtId="0" xfId="0" applyAlignment="1" applyBorder="1" applyFont="1">
      <alignment readingOrder="0" vertical="bottom"/>
    </xf>
    <xf borderId="0" fillId="13" fontId="8" numFmtId="169" xfId="0" applyAlignment="1" applyFont="1" applyNumberFormat="1">
      <alignment horizontal="right" readingOrder="0" vertical="bottom"/>
    </xf>
    <xf borderId="24" fillId="0" fontId="8" numFmtId="4" xfId="0" applyAlignment="1" applyBorder="1" applyFont="1" applyNumberFormat="1">
      <alignment vertical="bottom"/>
    </xf>
    <xf borderId="0" fillId="0" fontId="2" numFmtId="169" xfId="0" applyAlignment="1" applyFont="1" applyNumberFormat="1">
      <alignment readingOrder="0"/>
    </xf>
    <xf borderId="7" fillId="0" fontId="2" numFmtId="0" xfId="0" applyAlignment="1" applyBorder="1" applyFont="1">
      <alignment readingOrder="0"/>
    </xf>
    <xf borderId="4" fillId="12" fontId="8" numFmtId="3" xfId="0" applyAlignment="1" applyBorder="1" applyFont="1" applyNumberFormat="1">
      <alignment horizontal="right" readingOrder="0" vertical="bottom"/>
    </xf>
    <xf borderId="4" fillId="13" fontId="8" numFmtId="3" xfId="0" applyAlignment="1" applyBorder="1" applyFont="1" applyNumberFormat="1">
      <alignment horizontal="right" readingOrder="0" vertical="bottom"/>
    </xf>
    <xf borderId="4" fillId="14" fontId="8" numFmtId="3" xfId="0" applyAlignment="1" applyBorder="1" applyFont="1" applyNumberFormat="1">
      <alignment horizontal="right" readingOrder="0" vertical="bottom"/>
    </xf>
    <xf borderId="5" fillId="0" fontId="8" numFmtId="4" xfId="0" applyAlignment="1" applyBorder="1" applyFont="1" applyNumberFormat="1">
      <alignment readingOrder="0" vertical="bottom"/>
    </xf>
    <xf borderId="6" fillId="12" fontId="8" numFmtId="46" xfId="0" applyAlignment="1" applyBorder="1" applyFont="1" applyNumberFormat="1">
      <alignment horizontal="right" readingOrder="0" vertical="bottom"/>
    </xf>
    <xf borderId="6" fillId="13" fontId="8" numFmtId="46" xfId="0" applyAlignment="1" applyBorder="1" applyFont="1" applyNumberFormat="1">
      <alignment horizontal="right" readingOrder="0" vertical="bottom"/>
    </xf>
    <xf borderId="6" fillId="14" fontId="8" numFmtId="46" xfId="0" applyAlignment="1" applyBorder="1" applyFont="1" applyNumberFormat="1">
      <alignment horizontal="right" readingOrder="0" vertical="bottom"/>
    </xf>
    <xf borderId="0" fillId="2" fontId="6" numFmtId="0" xfId="0" applyAlignment="1" applyFont="1">
      <alignment readingOrder="0" vertical="bottom"/>
    </xf>
    <xf borderId="0" fillId="42" fontId="8" numFmtId="10" xfId="0" applyAlignment="1" applyFill="1" applyFont="1" applyNumberFormat="1">
      <alignment horizontal="right" readingOrder="0" vertical="bottom"/>
    </xf>
    <xf borderId="0" fillId="43" fontId="8" numFmtId="1" xfId="0" applyAlignment="1" applyFill="1" applyFont="1" applyNumberFormat="1">
      <alignment horizontal="right" readingOrder="0" vertical="bottom"/>
    </xf>
    <xf borderId="0" fillId="41" fontId="8" numFmtId="2" xfId="0" applyAlignment="1" applyFont="1" applyNumberFormat="1">
      <alignment horizontal="right" readingOrder="0" vertical="bottom"/>
    </xf>
    <xf borderId="4" fillId="44" fontId="8" numFmtId="4" xfId="0" applyAlignment="1" applyBorder="1" applyFill="1" applyFont="1" applyNumberFormat="1">
      <alignment horizontal="right" readingOrder="0" vertical="bottom"/>
    </xf>
    <xf borderId="0" fillId="45" fontId="8" numFmtId="10" xfId="0" applyAlignment="1" applyFill="1" applyFont="1" applyNumberFormat="1">
      <alignment horizontal="right" readingOrder="0" vertical="bottom"/>
    </xf>
    <xf borderId="0" fillId="46" fontId="8" numFmtId="1" xfId="0" applyAlignment="1" applyFill="1" applyFont="1" applyNumberFormat="1">
      <alignment horizontal="right" readingOrder="0" vertical="bottom"/>
    </xf>
    <xf borderId="0" fillId="47" fontId="8" numFmtId="2" xfId="0" applyAlignment="1" applyFill="1" applyFont="1" applyNumberFormat="1">
      <alignment horizontal="right" readingOrder="0" vertical="bottom"/>
    </xf>
    <xf borderId="4" fillId="48" fontId="8" numFmtId="4" xfId="0" applyAlignment="1" applyBorder="1" applyFill="1" applyFont="1" applyNumberFormat="1">
      <alignment horizontal="right" readingOrder="0" vertical="bottom"/>
    </xf>
    <xf borderId="0" fillId="49" fontId="8" numFmtId="10" xfId="0" applyAlignment="1" applyFill="1" applyFont="1" applyNumberFormat="1">
      <alignment horizontal="right" readingOrder="0" vertical="bottom"/>
    </xf>
    <xf borderId="0" fillId="50" fontId="8" numFmtId="1" xfId="0" applyAlignment="1" applyFill="1" applyFont="1" applyNumberFormat="1">
      <alignment horizontal="right" readingOrder="0" vertical="bottom"/>
    </xf>
    <xf borderId="0" fillId="51" fontId="8" numFmtId="2" xfId="0" applyAlignment="1" applyFill="1" applyFont="1" applyNumberFormat="1">
      <alignment horizontal="right" readingOrder="0" vertical="bottom"/>
    </xf>
    <xf borderId="4" fillId="52" fontId="8" numFmtId="4" xfId="0" applyAlignment="1" applyBorder="1" applyFill="1" applyFont="1" applyNumberFormat="1">
      <alignment horizontal="right" readingOrder="0" vertical="bottom"/>
    </xf>
    <xf borderId="0" fillId="53" fontId="8" numFmtId="10" xfId="0" applyAlignment="1" applyFill="1" applyFont="1" applyNumberFormat="1">
      <alignment horizontal="right" readingOrder="0" vertical="bottom"/>
    </xf>
    <xf borderId="0" fillId="54" fontId="8" numFmtId="1" xfId="0" applyAlignment="1" applyFill="1" applyFont="1" applyNumberFormat="1">
      <alignment horizontal="right" readingOrder="0" vertical="bottom"/>
    </xf>
    <xf borderId="0" fillId="55" fontId="8" numFmtId="2" xfId="0" applyAlignment="1" applyFill="1" applyFont="1" applyNumberFormat="1">
      <alignment horizontal="right" readingOrder="0" vertical="bottom"/>
    </xf>
    <xf borderId="4" fillId="56" fontId="8" numFmtId="4" xfId="0" applyAlignment="1" applyBorder="1" applyFill="1" applyFont="1" applyNumberFormat="1">
      <alignment horizontal="right" readingOrder="0" vertical="bottom"/>
    </xf>
    <xf borderId="0" fillId="57" fontId="8" numFmtId="10" xfId="0" applyAlignment="1" applyFill="1" applyFont="1" applyNumberFormat="1">
      <alignment horizontal="right" readingOrder="0" vertical="bottom"/>
    </xf>
    <xf borderId="0" fillId="58" fontId="8" numFmtId="1" xfId="0" applyAlignment="1" applyFill="1" applyFont="1" applyNumberFormat="1">
      <alignment horizontal="right" readingOrder="0" vertical="bottom"/>
    </xf>
    <xf borderId="0" fillId="59" fontId="8" numFmtId="2" xfId="0" applyAlignment="1" applyFill="1" applyFont="1" applyNumberFormat="1">
      <alignment horizontal="right" readingOrder="0" vertical="bottom"/>
    </xf>
    <xf borderId="4" fillId="60" fontId="8" numFmtId="4" xfId="0" applyAlignment="1" applyBorder="1" applyFill="1" applyFont="1" applyNumberFormat="1">
      <alignment horizontal="right" readingOrder="0" vertical="bottom"/>
    </xf>
    <xf borderId="0" fillId="61" fontId="8" numFmtId="10" xfId="0" applyAlignment="1" applyFill="1" applyFont="1" applyNumberFormat="1">
      <alignment horizontal="right" readingOrder="0" vertical="bottom"/>
    </xf>
    <xf borderId="0" fillId="62" fontId="8" numFmtId="1" xfId="0" applyAlignment="1" applyFill="1" applyFont="1" applyNumberFormat="1">
      <alignment horizontal="right" readingOrder="0" vertical="bottom"/>
    </xf>
    <xf borderId="0" fillId="63" fontId="8" numFmtId="2" xfId="0" applyAlignment="1" applyFill="1" applyFont="1" applyNumberFormat="1">
      <alignment horizontal="right" readingOrder="0" vertical="bottom"/>
    </xf>
    <xf borderId="4" fillId="64" fontId="8" numFmtId="4" xfId="0" applyAlignment="1" applyBorder="1" applyFill="1" applyFont="1" applyNumberFormat="1">
      <alignment horizontal="right" readingOrder="0" vertical="bottom"/>
    </xf>
    <xf borderId="0" fillId="64" fontId="8" numFmtId="10" xfId="0" applyAlignment="1" applyFont="1" applyNumberFormat="1">
      <alignment horizontal="right" readingOrder="0" vertical="bottom"/>
    </xf>
    <xf borderId="0" fillId="42" fontId="8" numFmtId="1" xfId="0" applyAlignment="1" applyFont="1" applyNumberFormat="1">
      <alignment horizontal="right" readingOrder="0" vertical="bottom"/>
    </xf>
    <xf borderId="0" fillId="65" fontId="8" numFmtId="2" xfId="0" applyAlignment="1" applyFill="1" applyFont="1" applyNumberFormat="1">
      <alignment horizontal="right" readingOrder="0" vertical="bottom"/>
    </xf>
    <xf borderId="4" fillId="65" fontId="8" numFmtId="4" xfId="0" applyAlignment="1" applyBorder="1" applyFont="1" applyNumberFormat="1">
      <alignment horizontal="right" readingOrder="0" vertical="bottom"/>
    </xf>
    <xf borderId="0" fillId="66" fontId="8" numFmtId="10" xfId="0" applyAlignment="1" applyFill="1" applyFont="1" applyNumberFormat="1">
      <alignment horizontal="right" readingOrder="0" vertical="bottom"/>
    </xf>
    <xf borderId="0" fillId="67" fontId="8" numFmtId="1" xfId="0" applyAlignment="1" applyFill="1" applyFont="1" applyNumberFormat="1">
      <alignment horizontal="right" readingOrder="0" vertical="bottom"/>
    </xf>
    <xf borderId="0" fillId="68" fontId="8" numFmtId="2" xfId="0" applyAlignment="1" applyFill="1" applyFont="1" applyNumberFormat="1">
      <alignment horizontal="right" readingOrder="0" vertical="bottom"/>
    </xf>
    <xf borderId="4" fillId="66" fontId="8" numFmtId="4" xfId="0" applyAlignment="1" applyBorder="1" applyFont="1" applyNumberFormat="1">
      <alignment horizontal="right" readingOrder="0" vertical="bottom"/>
    </xf>
    <xf borderId="0" fillId="69" fontId="8" numFmtId="10" xfId="0" applyAlignment="1" applyFill="1" applyFont="1" applyNumberFormat="1">
      <alignment horizontal="right" readingOrder="0" vertical="bottom"/>
    </xf>
    <xf borderId="0" fillId="30" fontId="8" numFmtId="1" xfId="0" applyAlignment="1" applyFont="1" applyNumberFormat="1">
      <alignment horizontal="right" readingOrder="0" vertical="bottom"/>
    </xf>
    <xf borderId="0" fillId="70" fontId="8" numFmtId="2" xfId="0" applyAlignment="1" applyFill="1" applyFont="1" applyNumberFormat="1">
      <alignment horizontal="right" readingOrder="0" vertical="bottom"/>
    </xf>
    <xf borderId="4" fillId="41" fontId="8" numFmtId="4" xfId="0" applyAlignment="1" applyBorder="1" applyFont="1" applyNumberFormat="1">
      <alignment horizontal="right" readingOrder="0" vertical="bottom"/>
    </xf>
    <xf borderId="0" fillId="71" fontId="8" numFmtId="10" xfId="0" applyAlignment="1" applyFill="1" applyFont="1" applyNumberFormat="1">
      <alignment horizontal="right" readingOrder="0" vertical="bottom"/>
    </xf>
    <xf borderId="0" fillId="72" fontId="8" numFmtId="1" xfId="0" applyAlignment="1" applyFill="1" applyFont="1" applyNumberFormat="1">
      <alignment horizontal="right" readingOrder="0" vertical="bottom"/>
    </xf>
    <xf borderId="0" fillId="36" fontId="8" numFmtId="2" xfId="0" applyAlignment="1" applyFont="1" applyNumberFormat="1">
      <alignment horizontal="right" readingOrder="0" vertical="bottom"/>
    </xf>
    <xf borderId="4" fillId="61" fontId="8" numFmtId="4" xfId="0" applyAlignment="1" applyBorder="1" applyFont="1" applyNumberFormat="1">
      <alignment horizontal="right" readingOrder="0" vertical="bottom"/>
    </xf>
    <xf borderId="0" fillId="73" fontId="8" numFmtId="10" xfId="0" applyAlignment="1" applyFill="1" applyFont="1" applyNumberFormat="1">
      <alignment horizontal="right" readingOrder="0" vertical="bottom"/>
    </xf>
    <xf borderId="0" fillId="74" fontId="8" numFmtId="2" xfId="0" applyAlignment="1" applyFill="1" applyFont="1" applyNumberFormat="1">
      <alignment horizontal="right" readingOrder="0" vertical="bottom"/>
    </xf>
    <xf borderId="4" fillId="16" fontId="8" numFmtId="4" xfId="0" applyAlignment="1" applyBorder="1" applyFont="1" applyNumberFormat="1">
      <alignment horizontal="right" readingOrder="0" vertical="bottom"/>
    </xf>
    <xf borderId="0" fillId="75" fontId="8" numFmtId="10" xfId="0" applyAlignment="1" applyFill="1" applyFont="1" applyNumberFormat="1">
      <alignment horizontal="right" readingOrder="0" vertical="bottom"/>
    </xf>
    <xf borderId="0" fillId="76" fontId="8" numFmtId="2" xfId="0" applyAlignment="1" applyFill="1" applyFont="1" applyNumberFormat="1">
      <alignment horizontal="right" readingOrder="0" vertical="bottom"/>
    </xf>
    <xf borderId="4" fillId="77" fontId="8" numFmtId="4" xfId="0" applyAlignment="1" applyBorder="1" applyFill="1" applyFont="1" applyNumberFormat="1">
      <alignment horizontal="right" readingOrder="0" vertical="bottom"/>
    </xf>
    <xf borderId="0" fillId="36" fontId="8" numFmtId="10" xfId="0" applyAlignment="1" applyFont="1" applyNumberFormat="1">
      <alignment horizontal="right" readingOrder="0" vertical="bottom"/>
    </xf>
    <xf borderId="0" fillId="78" fontId="8" numFmtId="2" xfId="0" applyAlignment="1" applyFill="1" applyFont="1" applyNumberFormat="1">
      <alignment horizontal="right" readingOrder="0" vertical="bottom"/>
    </xf>
    <xf borderId="4" fillId="79" fontId="8" numFmtId="4" xfId="0" applyAlignment="1" applyBorder="1" applyFill="1" applyFont="1" applyNumberFormat="1">
      <alignment horizontal="right" readingOrder="0" vertical="bottom"/>
    </xf>
    <xf borderId="25" fillId="0" fontId="8" numFmtId="0" xfId="0" applyAlignment="1" applyBorder="1" applyFont="1">
      <alignment readingOrder="0" vertical="bottom"/>
    </xf>
    <xf borderId="8" fillId="0" fontId="35" numFmtId="0" xfId="0" applyAlignment="1" applyBorder="1" applyFont="1">
      <alignment horizontal="right" readingOrder="0" vertical="bottom"/>
    </xf>
    <xf borderId="8" fillId="0" fontId="8" numFmtId="0" xfId="0" applyAlignment="1" applyBorder="1" applyFont="1">
      <alignment horizontal="right" readingOrder="0" vertical="bottom"/>
    </xf>
    <xf borderId="8" fillId="80" fontId="8" numFmtId="10" xfId="0" applyAlignment="1" applyBorder="1" applyFill="1" applyFont="1" applyNumberFormat="1">
      <alignment horizontal="right" readingOrder="0" vertical="bottom"/>
    </xf>
    <xf borderId="8" fillId="0" fontId="8" numFmtId="0" xfId="0" applyAlignment="1" applyBorder="1" applyFont="1">
      <alignment readingOrder="0" vertical="bottom"/>
    </xf>
    <xf borderId="8" fillId="30" fontId="8" numFmtId="1" xfId="0" applyAlignment="1" applyBorder="1" applyFont="1" applyNumberFormat="1">
      <alignment horizontal="right" readingOrder="0" vertical="bottom"/>
    </xf>
    <xf borderId="8" fillId="0" fontId="8" numFmtId="46" xfId="0" applyAlignment="1" applyBorder="1" applyFont="1" applyNumberFormat="1">
      <alignment horizontal="right" readingOrder="0" vertical="bottom"/>
    </xf>
    <xf borderId="8" fillId="81" fontId="8" numFmtId="2" xfId="0" applyAlignment="1" applyBorder="1" applyFill="1" applyFont="1" applyNumberFormat="1">
      <alignment horizontal="right" readingOrder="0" vertical="bottom"/>
    </xf>
    <xf borderId="6" fillId="82" fontId="8" numFmtId="4" xfId="0" applyAlignment="1" applyBorder="1" applyFill="1" applyFont="1" applyNumberFormat="1">
      <alignment horizontal="right" readingOrder="0" vertical="bottom"/>
    </xf>
    <xf borderId="0" fillId="0" fontId="2" numFmtId="2" xfId="0" applyFont="1" applyNumberFormat="1"/>
    <xf borderId="0" fillId="4" fontId="8" numFmtId="1" xfId="0" applyAlignment="1" applyFont="1" applyNumberFormat="1">
      <alignment horizontal="center" vertical="bottom"/>
    </xf>
    <xf borderId="0" fillId="0" fontId="8" numFmtId="1" xfId="0" applyAlignment="1" applyFont="1" applyNumberFormat="1">
      <alignment vertical="bottom"/>
    </xf>
    <xf borderId="3" fillId="2" fontId="10" numFmtId="4" xfId="0" applyAlignment="1" applyBorder="1" applyFont="1" applyNumberFormat="1">
      <alignment vertical="bottom"/>
    </xf>
    <xf borderId="4" fillId="9" fontId="8" numFmtId="164" xfId="0" applyAlignment="1" applyBorder="1" applyFont="1" applyNumberFormat="1">
      <alignment horizontal="right" vertical="bottom"/>
    </xf>
    <xf borderId="3" fillId="2" fontId="11" numFmtId="2" xfId="0" applyAlignment="1" applyBorder="1" applyFont="1" applyNumberFormat="1">
      <alignment vertical="bottom"/>
    </xf>
    <xf borderId="4" fillId="10" fontId="8" numFmtId="164" xfId="0" applyAlignment="1" applyBorder="1" applyFont="1" applyNumberFormat="1">
      <alignment horizontal="right" vertical="bottom"/>
    </xf>
    <xf borderId="3" fillId="2" fontId="12" numFmtId="2" xfId="0" applyAlignment="1" applyBorder="1" applyFont="1" applyNumberFormat="1">
      <alignment vertical="bottom"/>
    </xf>
    <xf borderId="4" fillId="11" fontId="8" numFmtId="164" xfId="0" applyAlignment="1" applyBorder="1" applyFont="1" applyNumberFormat="1">
      <alignment horizontal="right" vertical="bottom"/>
    </xf>
    <xf borderId="4" fillId="9" fontId="8" numFmtId="4" xfId="0" applyAlignment="1" applyBorder="1" applyFont="1" applyNumberFormat="1">
      <alignment horizontal="right" vertical="bottom"/>
    </xf>
    <xf borderId="3" fillId="2" fontId="11" numFmtId="4" xfId="0" applyAlignment="1" applyBorder="1" applyFont="1" applyNumberFormat="1">
      <alignment vertical="bottom"/>
    </xf>
    <xf borderId="4" fillId="10" fontId="8" numFmtId="4" xfId="0" applyAlignment="1" applyBorder="1" applyFont="1" applyNumberFormat="1">
      <alignment horizontal="right" vertical="bottom"/>
    </xf>
    <xf borderId="3" fillId="2" fontId="12" numFmtId="4" xfId="0" applyAlignment="1" applyBorder="1" applyFont="1" applyNumberFormat="1">
      <alignment vertical="bottom"/>
    </xf>
    <xf borderId="4" fillId="11" fontId="8" numFmtId="4" xfId="0" applyAlignment="1" applyBorder="1" applyFont="1" applyNumberFormat="1">
      <alignment horizontal="right" vertical="bottom"/>
    </xf>
    <xf borderId="4" fillId="12" fontId="8" numFmtId="4" xfId="0" applyAlignment="1" applyBorder="1" applyFont="1" applyNumberFormat="1">
      <alignment horizontal="right" vertical="bottom"/>
    </xf>
    <xf borderId="4" fillId="13" fontId="8" numFmtId="4" xfId="0" applyAlignment="1" applyBorder="1" applyFont="1" applyNumberFormat="1">
      <alignment horizontal="right" vertical="bottom"/>
    </xf>
    <xf borderId="4" fillId="14" fontId="8" numFmtId="4" xfId="0" applyAlignment="1" applyBorder="1" applyFont="1" applyNumberFormat="1">
      <alignment horizontal="right" vertical="bottom"/>
    </xf>
    <xf borderId="4" fillId="12" fontId="8" numFmtId="4" xfId="0" applyAlignment="1" applyBorder="1" applyFont="1" applyNumberFormat="1">
      <alignment horizontal="right" vertical="bottom"/>
    </xf>
    <xf borderId="4" fillId="13" fontId="8" numFmtId="4" xfId="0" applyAlignment="1" applyBorder="1" applyFont="1" applyNumberFormat="1">
      <alignment horizontal="right" vertical="bottom"/>
    </xf>
    <xf borderId="4" fillId="14" fontId="8" numFmtId="4" xfId="0" applyAlignment="1" applyBorder="1" applyFont="1" applyNumberFormat="1">
      <alignment horizontal="right" vertical="bottom"/>
    </xf>
    <xf borderId="0" fillId="2" fontId="10" numFmtId="4" xfId="0" applyAlignment="1" applyFont="1" applyNumberFormat="1">
      <alignment vertical="bottom"/>
    </xf>
    <xf borderId="4" fillId="12" fontId="8" numFmtId="46" xfId="0" applyAlignment="1" applyBorder="1" applyFont="1" applyNumberFormat="1">
      <alignment horizontal="right" vertical="bottom"/>
    </xf>
    <xf borderId="0" fillId="2" fontId="11" numFmtId="4" xfId="0" applyAlignment="1" applyFont="1" applyNumberFormat="1">
      <alignment vertical="bottom"/>
    </xf>
    <xf borderId="4" fillId="13" fontId="8" numFmtId="46" xfId="0" applyAlignment="1" applyBorder="1" applyFont="1" applyNumberFormat="1">
      <alignment horizontal="right" vertical="bottom"/>
    </xf>
    <xf borderId="0" fillId="2" fontId="12" numFmtId="4" xfId="0" applyAlignment="1" applyFont="1" applyNumberFormat="1">
      <alignment vertical="bottom"/>
    </xf>
    <xf borderId="4" fillId="14" fontId="8" numFmtId="46" xfId="0" applyAlignment="1" applyBorder="1" applyFont="1" applyNumberFormat="1">
      <alignment horizontal="right" vertical="bottom"/>
    </xf>
    <xf borderId="0" fillId="0" fontId="33" numFmtId="0" xfId="0" applyAlignment="1" applyFont="1">
      <alignment vertical="bottom"/>
    </xf>
    <xf borderId="5" fillId="2" fontId="10" numFmtId="4" xfId="0" applyAlignment="1" applyBorder="1" applyFont="1" applyNumberFormat="1">
      <alignment vertical="bottom"/>
    </xf>
    <xf borderId="6" fillId="12" fontId="8" numFmtId="4" xfId="0" applyAlignment="1" applyBorder="1" applyFont="1" applyNumberFormat="1">
      <alignment horizontal="right" vertical="bottom"/>
    </xf>
    <xf borderId="5" fillId="2" fontId="11" numFmtId="4" xfId="0" applyAlignment="1" applyBorder="1" applyFont="1" applyNumberFormat="1">
      <alignment vertical="bottom"/>
    </xf>
    <xf borderId="6" fillId="13" fontId="8" numFmtId="4" xfId="0" applyAlignment="1" applyBorder="1" applyFont="1" applyNumberFormat="1">
      <alignment horizontal="right" vertical="bottom"/>
    </xf>
    <xf borderId="5" fillId="2" fontId="12" numFmtId="4" xfId="0" applyAlignment="1" applyBorder="1" applyFont="1" applyNumberFormat="1">
      <alignment vertical="bottom"/>
    </xf>
    <xf borderId="6" fillId="14" fontId="8" numFmtId="4" xfId="0" applyAlignment="1" applyBorder="1" applyFont="1" applyNumberFormat="1">
      <alignment horizontal="right" vertical="bottom"/>
    </xf>
    <xf borderId="3" fillId="7" fontId="6" numFmtId="4" xfId="0" applyAlignment="1" applyBorder="1" applyFont="1" applyNumberFormat="1">
      <alignment horizontal="center" vertical="bottom"/>
    </xf>
    <xf borderId="3" fillId="35" fontId="8" numFmtId="4" xfId="0" applyAlignment="1" applyBorder="1" applyFont="1" applyNumberFormat="1">
      <alignment vertical="bottom"/>
    </xf>
    <xf borderId="4" fillId="35" fontId="8" numFmtId="4" xfId="0" applyAlignment="1" applyBorder="1" applyFont="1" applyNumberFormat="1">
      <alignment vertical="bottom"/>
    </xf>
    <xf borderId="3" fillId="10" fontId="8" numFmtId="4" xfId="0" applyAlignment="1" applyBorder="1" applyFont="1" applyNumberFormat="1">
      <alignment vertical="bottom"/>
    </xf>
    <xf borderId="4" fillId="10" fontId="8" numFmtId="4" xfId="0" applyAlignment="1" applyBorder="1" applyFont="1" applyNumberFormat="1">
      <alignment vertical="bottom"/>
    </xf>
    <xf borderId="3" fillId="11" fontId="8" numFmtId="4" xfId="0" applyAlignment="1" applyBorder="1" applyFont="1" applyNumberFormat="1">
      <alignment vertical="bottom"/>
    </xf>
    <xf borderId="4" fillId="11" fontId="8" numFmtId="4" xfId="0" applyAlignment="1" applyBorder="1" applyFont="1" applyNumberFormat="1">
      <alignment vertical="bottom"/>
    </xf>
    <xf borderId="3" fillId="0" fontId="8" numFmtId="4" xfId="0" applyAlignment="1" applyBorder="1" applyFont="1" applyNumberFormat="1">
      <alignment vertical="bottom"/>
    </xf>
    <xf borderId="4" fillId="12" fontId="8" numFmtId="3" xfId="0" applyAlignment="1" applyBorder="1" applyFont="1" applyNumberFormat="1">
      <alignment horizontal="right" vertical="bottom"/>
    </xf>
    <xf borderId="4" fillId="13" fontId="8" numFmtId="3" xfId="0" applyAlignment="1" applyBorder="1" applyFont="1" applyNumberFormat="1">
      <alignment horizontal="right" vertical="bottom"/>
    </xf>
    <xf borderId="4" fillId="14" fontId="8" numFmtId="3" xfId="0" applyAlignment="1" applyBorder="1" applyFont="1" applyNumberFormat="1">
      <alignment horizontal="right" vertical="bottom"/>
    </xf>
    <xf borderId="5" fillId="0" fontId="8" numFmtId="4" xfId="0" applyAlignment="1" applyBorder="1" applyFont="1" applyNumberFormat="1">
      <alignment vertical="bottom"/>
    </xf>
    <xf borderId="6" fillId="12" fontId="8" numFmtId="46" xfId="0" applyAlignment="1" applyBorder="1" applyFont="1" applyNumberFormat="1">
      <alignment horizontal="right" vertical="bottom"/>
    </xf>
    <xf borderId="6" fillId="13" fontId="8" numFmtId="46" xfId="0" applyAlignment="1" applyBorder="1" applyFont="1" applyNumberFormat="1">
      <alignment horizontal="right" vertical="bottom"/>
    </xf>
    <xf borderId="6" fillId="14" fontId="8" numFmtId="46" xfId="0" applyAlignment="1" applyBorder="1" applyFont="1" applyNumberFormat="1">
      <alignment horizontal="right" vertical="bottom"/>
    </xf>
    <xf borderId="0" fillId="2" fontId="6" numFmtId="0" xfId="0" applyAlignment="1" applyFont="1">
      <alignment horizontal="center" vertical="bottom"/>
    </xf>
    <xf borderId="0" fillId="4" fontId="8" numFmtId="0" xfId="0" applyAlignment="1" applyFon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6" fontId="2" numFmtId="0" xfId="0" applyFont="1"/>
    <xf borderId="3" fillId="2" fontId="6" numFmtId="2" xfId="0" applyAlignment="1" applyBorder="1" applyFont="1" applyNumberFormat="1">
      <alignment vertical="bottom"/>
    </xf>
    <xf borderId="0" fillId="2" fontId="6" numFmtId="2" xfId="0" applyAlignment="1" applyFont="1" applyNumberFormat="1">
      <alignment vertical="bottom"/>
    </xf>
    <xf borderId="4" fillId="2" fontId="6" numFmtId="2" xfId="0" applyAlignment="1" applyBorder="1" applyFont="1" applyNumberFormat="1">
      <alignment vertical="bottom"/>
    </xf>
    <xf borderId="0" fillId="0" fontId="8" numFmtId="0" xfId="0" applyAlignment="1" applyFont="1">
      <alignment horizontal="center" vertical="bottom"/>
    </xf>
    <xf borderId="23" fillId="0" fontId="8" numFmtId="14" xfId="0" applyAlignment="1" applyBorder="1" applyFont="1" applyNumberFormat="1">
      <alignment vertical="bottom"/>
    </xf>
    <xf borderId="0" fillId="0" fontId="33" numFmtId="164" xfId="0" applyAlignment="1" applyFont="1" applyNumberFormat="1">
      <alignment horizontal="right" vertical="bottom"/>
    </xf>
    <xf borderId="0" fillId="0" fontId="35" numFmtId="0" xfId="0" applyAlignment="1" applyFont="1">
      <alignment horizontal="right" vertical="bottom"/>
    </xf>
    <xf borderId="0" fillId="0" fontId="8" numFmtId="46" xfId="0" applyAlignment="1" applyFont="1" applyNumberFormat="1">
      <alignment horizontal="right" vertical="bottom"/>
    </xf>
    <xf borderId="0" fillId="0" fontId="8" numFmtId="2" xfId="0" applyAlignment="1" applyFont="1" applyNumberFormat="1">
      <alignment horizontal="right" vertical="bottom"/>
    </xf>
    <xf borderId="4" fillId="0" fontId="8" numFmtId="2" xfId="0" applyAlignment="1" applyBorder="1" applyFont="1" applyNumberFormat="1">
      <alignment horizontal="right" vertical="bottom"/>
    </xf>
    <xf borderId="23" fillId="0" fontId="8" numFmtId="0" xfId="0" applyAlignment="1" applyBorder="1" applyFont="1">
      <alignment vertical="bottom"/>
    </xf>
    <xf borderId="0" fillId="0" fontId="8" numFmtId="0" xfId="0" applyAlignment="1" applyFont="1">
      <alignment horizontal="center"/>
    </xf>
    <xf borderId="0" fillId="0" fontId="8" numFmtId="4" xfId="0" applyAlignment="1" applyFont="1" applyNumberFormat="1">
      <alignment horizontal="center"/>
    </xf>
    <xf borderId="0" fillId="0" fontId="33" numFmtId="164" xfId="0" applyAlignment="1" applyFont="1" applyNumberFormat="1">
      <alignment vertical="bottom"/>
    </xf>
    <xf borderId="25" fillId="0" fontId="8" numFmtId="0" xfId="0" applyAlignment="1" applyBorder="1" applyFont="1">
      <alignment vertical="bottom"/>
    </xf>
    <xf borderId="8" fillId="0" fontId="8" numFmtId="164" xfId="0" applyAlignment="1" applyBorder="1" applyFont="1" applyNumberFormat="1">
      <alignment vertical="bottom"/>
    </xf>
    <xf borderId="8" fillId="0" fontId="8" numFmtId="10" xfId="0" applyAlignment="1" applyBorder="1" applyFont="1" applyNumberFormat="1">
      <alignment horizontal="right" vertical="bottom"/>
    </xf>
    <xf borderId="8" fillId="0" fontId="35" numFmtId="0" xfId="0" applyAlignment="1" applyBorder="1" applyFont="1">
      <alignment horizontal="right" vertical="bottom"/>
    </xf>
    <xf borderId="8" fillId="0" fontId="8" numFmtId="1" xfId="0" applyAlignment="1" applyBorder="1" applyFont="1" applyNumberFormat="1">
      <alignment vertical="bottom"/>
    </xf>
    <xf borderId="8" fillId="0" fontId="8" numFmtId="10" xfId="0" applyAlignment="1" applyBorder="1" applyFont="1" applyNumberFormat="1">
      <alignment vertical="bottom"/>
    </xf>
    <xf borderId="8" fillId="0" fontId="8" numFmtId="46" xfId="0" applyAlignment="1" applyBorder="1" applyFont="1" applyNumberFormat="1">
      <alignment horizontal="right" vertical="bottom"/>
    </xf>
    <xf borderId="8" fillId="0" fontId="8" numFmtId="2" xfId="0" applyAlignment="1" applyBorder="1" applyFont="1" applyNumberFormat="1">
      <alignment horizontal="right" vertical="bottom"/>
    </xf>
    <xf borderId="6" fillId="0" fontId="8" numFmtId="2" xfId="0" applyAlignment="1" applyBorder="1" applyFont="1" applyNumberFormat="1">
      <alignment horizontal="right" vertical="bottom"/>
    </xf>
  </cellXfs>
  <cellStyles count="1">
    <cellStyle xfId="0" name="Normal" builtinId="0"/>
  </cellStyles>
  <dxfs count="3">
    <dxf>
      <font>
        <b/>
        <color rgb="FF38761D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>
        <b/>
        <color rgb="FFB6D7A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[Total] Daily Composting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 '24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Spring 2024'!$I$17:$I$21</c:f>
              <c:numCache/>
            </c:numRef>
          </c:val>
        </c:ser>
        <c:ser>
          <c:idx val="1"/>
          <c:order val="1"/>
          <c:tx>
            <c:v>F '24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Fall 2024'!$I$17:$I$21</c:f>
              <c:numCache/>
            </c:numRef>
          </c:val>
        </c:ser>
        <c:ser>
          <c:idx val="2"/>
          <c:order val="2"/>
          <c:tx>
            <c:v>S '25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Spring 2025'!$I$17:$I$21</c:f>
              <c:numCache/>
            </c:numRef>
          </c:val>
        </c:ser>
        <c:ser>
          <c:idx val="3"/>
          <c:order val="3"/>
          <c:tx>
            <c:v>F '25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Fall 2025'!$I$17:$I$21</c:f>
              <c:numCache/>
            </c:numRef>
          </c:val>
        </c:ser>
        <c:ser>
          <c:idx val="4"/>
          <c:order val="4"/>
          <c:tx>
            <c:v>S '26*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2026'!$H$17:$H$21</c:f>
            </c:strRef>
          </c:cat>
          <c:val>
            <c:numRef>
              <c:f>'Master Spring 2026'!$I$17:$I$21</c:f>
              <c:numCache/>
            </c:numRef>
          </c:val>
        </c:ser>
        <c:axId val="1775933339"/>
        <c:axId val="272000900"/>
      </c:barChart>
      <c:catAx>
        <c:axId val="1775933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000900"/>
      </c:catAx>
      <c:valAx>
        <c:axId val="272000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933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+mn-lt"/>
              </a:defRPr>
            </a:pPr>
            <a:r>
              <a:rPr b="0">
                <a:solidFill>
                  <a:srgbClr val="1155CC"/>
                </a:solidFill>
                <a:latin typeface="+mn-lt"/>
              </a:rPr>
              <a:t>Mainfare Daily Composting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 '24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Fall 2024'!$C$17:$C$21</c:f>
              <c:numCache/>
            </c:numRef>
          </c:val>
        </c:ser>
        <c:ser>
          <c:idx val="1"/>
          <c:order val="1"/>
          <c:tx>
            <c:v>S '25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Spring 2025'!$C$17:$C$21</c:f>
              <c:numCache/>
            </c:numRef>
          </c:val>
        </c:ser>
        <c:ser>
          <c:idx val="2"/>
          <c:order val="2"/>
          <c:tx>
            <c:v>F '25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Fall 2025'!$C$17:$C$21</c:f>
              <c:numCache/>
            </c:numRef>
          </c:val>
        </c:ser>
        <c:ser>
          <c:idx val="3"/>
          <c:order val="3"/>
          <c:tx>
            <c:v>S '26*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'Master Spring 2026'!$B$17:$B$21</c:f>
            </c:strRef>
          </c:cat>
          <c:val>
            <c:numRef>
              <c:f>'Master Spring 2026'!$C$17:$C$21</c:f>
              <c:numCache/>
            </c:numRef>
          </c:val>
        </c:ser>
        <c:axId val="1336003716"/>
        <c:axId val="486936564"/>
      </c:barChart>
      <c:catAx>
        <c:axId val="1336003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936564"/>
      </c:catAx>
      <c:valAx>
        <c:axId val="486936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003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7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Butterfield Daily Composting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 '24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Fall 2024'!$F$17:$F$21</c:f>
              <c:numCache/>
            </c:numRef>
          </c:val>
        </c:ser>
        <c:ser>
          <c:idx val="1"/>
          <c:order val="1"/>
          <c:tx>
            <c:v>S '25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Spring 2025'!$F$17:$F$21</c:f>
              <c:numCache/>
            </c:numRef>
          </c:val>
        </c:ser>
        <c:ser>
          <c:idx val="2"/>
          <c:order val="2"/>
          <c:tx>
            <c:v>F '25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Fall 2025'!$F$17:$F$21</c:f>
              <c:numCache/>
            </c:numRef>
          </c:val>
        </c:ser>
        <c:ser>
          <c:idx val="3"/>
          <c:order val="3"/>
          <c:tx>
            <c:v>S '26*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'Master Spring 2024'!$E$17:$E$21</c:f>
            </c:strRef>
          </c:cat>
          <c:val>
            <c:numRef>
              <c:f>'Master Spring 2026'!$F$17:$F$21</c:f>
              <c:numCache/>
            </c:numRef>
          </c:val>
        </c:ser>
        <c:axId val="971053887"/>
        <c:axId val="1846511799"/>
      </c:barChart>
      <c:catAx>
        <c:axId val="971053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511799"/>
      </c:catAx>
      <c:valAx>
        <c:axId val="1846511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053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1F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Mainfare Total lbs vs Butterfield Total lbs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Data'!$F$2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'YoY Chart Data'!$E$3:$E$7</c:f>
            </c:strRef>
          </c:cat>
          <c:val>
            <c:numRef>
              <c:f>'YoY Chart Data'!$F$3:$F$7</c:f>
              <c:numCache/>
            </c:numRef>
          </c:val>
        </c:ser>
        <c:ser>
          <c:idx val="1"/>
          <c:order val="1"/>
          <c:tx>
            <c:strRef>
              <c:f>'YoY Chart Data'!$G$2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'YoY Chart Data'!$E$3:$E$7</c:f>
            </c:strRef>
          </c:cat>
          <c:val>
            <c:numRef>
              <c:f>'YoY Chart Data'!$G$3:$G$7</c:f>
              <c:numCache/>
            </c:numRef>
          </c:val>
        </c:ser>
        <c:axId val="573944271"/>
        <c:axId val="202412024"/>
      </c:barChart>
      <c:catAx>
        <c:axId val="57394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12024"/>
      </c:catAx>
      <c:valAx>
        <c:axId val="202412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944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Average Pound per Hour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Data'!$F$26:$F$27</c:f>
            </c:strRef>
          </c:cat>
          <c:val>
            <c:numRef>
              <c:f>'YoY Chart Data'!$I$26:$I$27</c:f>
              <c:numCache/>
            </c:numRef>
          </c:val>
        </c:ser>
        <c:ser>
          <c:idx val="1"/>
          <c:order val="1"/>
          <c:tx>
            <c:v>Mainfare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Data'!$F$26:$F$27</c:f>
            </c:strRef>
          </c:cat>
          <c:val>
            <c:numRef>
              <c:f>'YoY Chart Data'!$G$26:$G$27</c:f>
              <c:numCache/>
            </c:numRef>
          </c:val>
        </c:ser>
        <c:ser>
          <c:idx val="2"/>
          <c:order val="2"/>
          <c:tx>
            <c:v>Butterfield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Data'!$F$26:$F$27</c:f>
            </c:strRef>
          </c:cat>
          <c:val>
            <c:numRef>
              <c:f>'YoY Chart Data'!$H$26:$H$27</c:f>
              <c:numCache/>
            </c:numRef>
          </c:val>
        </c:ser>
        <c:axId val="242919954"/>
        <c:axId val="1572692977"/>
      </c:barChart>
      <c:catAx>
        <c:axId val="242919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692977"/>
      </c:catAx>
      <c:valAx>
        <c:axId val="1572692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919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Percent Increase in lb/hr by Dining Hall per Semester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Data'!$B$21:$B$22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'YoY Chart Data'!$A$23:$A$26</c:f>
            </c:strRef>
          </c:cat>
          <c:val>
            <c:numRef>
              <c:f>'YoY Chart Data'!$B$23:$B$26</c:f>
              <c:numCache/>
            </c:numRef>
          </c:val>
        </c:ser>
        <c:ser>
          <c:idx val="1"/>
          <c:order val="1"/>
          <c:tx>
            <c:strRef>
              <c:f>'YoY Chart Data'!$C$21:$C$22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'YoY Chart Data'!$A$23:$A$26</c:f>
            </c:strRef>
          </c:cat>
          <c:val>
            <c:numRef>
              <c:f>'YoY Chart Data'!$C$23:$C$26</c:f>
              <c:numCache/>
            </c:numRef>
          </c:val>
        </c:ser>
        <c:ser>
          <c:idx val="2"/>
          <c:order val="2"/>
          <c:tx>
            <c:strRef>
              <c:f>'YoY Chart Data'!$D$21:$D$22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'YoY Chart Data'!$A$23:$A$26</c:f>
            </c:strRef>
          </c:cat>
          <c:val>
            <c:numRef>
              <c:f>'YoY Chart Data'!$D$23:$D$26</c:f>
              <c:numCache/>
            </c:numRef>
          </c:val>
        </c:ser>
        <c:axId val="1997369204"/>
        <c:axId val="200964744"/>
      </c:barChart>
      <c:catAx>
        <c:axId val="1997369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64744"/>
      </c:catAx>
      <c:valAx>
        <c:axId val="2009647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369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Pounds per Semester by Period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Data Sheet Tables'!$B$5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Tables'!$B$6:$B$8</c:f>
              <c:numCache/>
            </c:numRef>
          </c:val>
        </c:ser>
        <c:ser>
          <c:idx val="1"/>
          <c:order val="1"/>
          <c:tx>
            <c:strRef>
              <c:f>'YoY Data Sheet Tables'!$C$5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'YoY Data Sheet Tables'!$A$6:$A$8</c:f>
            </c:strRef>
          </c:cat>
          <c:val>
            <c:numRef>
              <c:f>'YoY Data Sheet Tables'!$C$6:$C$8</c:f>
              <c:numCache/>
            </c:numRef>
          </c:val>
        </c:ser>
        <c:ser>
          <c:idx val="2"/>
          <c:order val="2"/>
          <c:tx>
            <c:strRef>
              <c:f>'YoY Data Sheet Tables'!$D$5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Tables'!$D$6:$D$8</c:f>
              <c:numCache/>
            </c:numRef>
          </c:val>
        </c:ser>
        <c:ser>
          <c:idx val="3"/>
          <c:order val="3"/>
          <c:tx>
            <c:strRef>
              <c:f>'YoY Data Sheet Tables'!$E$5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Tables'!$E$6:$E$8</c:f>
              <c:numCache/>
            </c:numRef>
          </c:val>
        </c:ser>
        <c:ser>
          <c:idx val="4"/>
          <c:order val="4"/>
          <c:tx>
            <c:strRef>
              <c:f>'YoY Data Sheet Tables'!$F$5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Tables'!$A$6:$A$8</c:f>
            </c:strRef>
          </c:cat>
          <c:val>
            <c:numRef>
              <c:f>'YoY Data Sheet Tables'!$F$6:$F$8</c:f>
              <c:numCache/>
            </c:numRef>
          </c:val>
        </c:ser>
        <c:axId val="1369611231"/>
        <c:axId val="539190478"/>
      </c:barChart>
      <c:catAx>
        <c:axId val="136961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190478"/>
      </c:catAx>
      <c:valAx>
        <c:axId val="539190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611231"/>
        <c:majorUnit val="5000.0"/>
        <c:minorUnit val="1666.6666666666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3E6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Pounds per Semester by Dining Hall-Period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Data Sheet Tables'!$B$14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Tables'!$B$15:$B$18</c:f>
              <c:numCache/>
            </c:numRef>
          </c:val>
        </c:ser>
        <c:ser>
          <c:idx val="1"/>
          <c:order val="1"/>
          <c:tx>
            <c:strRef>
              <c:f>'YoY Data Sheet Tables'!$C$14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Tables'!$C$15:$C$18</c:f>
              <c:numCache/>
            </c:numRef>
          </c:val>
        </c:ser>
        <c:ser>
          <c:idx val="2"/>
          <c:order val="2"/>
          <c:tx>
            <c:strRef>
              <c:f>'YoY Data Sheet Tables'!$D$14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Tables'!$D$15:$D$18</c:f>
              <c:numCache/>
            </c:numRef>
          </c:val>
        </c:ser>
        <c:ser>
          <c:idx val="3"/>
          <c:order val="3"/>
          <c:tx>
            <c:strRef>
              <c:f>'YoY Data Sheet Tables'!$E$14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Tables'!$E$15:$E$18</c:f>
              <c:numCache/>
            </c:numRef>
          </c:val>
        </c:ser>
        <c:ser>
          <c:idx val="4"/>
          <c:order val="4"/>
          <c:tx>
            <c:strRef>
              <c:f>'YoY Data Sheet Tables'!$F$14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'YoY Data Sheet Tables'!$A$15:$A$18</c:f>
            </c:strRef>
          </c:cat>
          <c:val>
            <c:numRef>
              <c:f>'YoY Data Sheet Tables'!$F$15:$F$18</c:f>
              <c:numCache/>
            </c:numRef>
          </c:val>
        </c:ser>
        <c:ser>
          <c:idx val="5"/>
          <c:order val="5"/>
          <c:tx>
            <c:strRef>
              <c:f>'YoY Data Sheet Tables'!$G$14</c:f>
            </c:strRef>
          </c:tx>
          <c:cat>
            <c:strRef>
              <c:f>'YoY Data Sheet Tables'!$A$15:$A$18</c:f>
            </c:strRef>
          </c:cat>
          <c:val>
            <c:numRef>
              <c:f>'YoY Data Sheet Tables'!$G$15:$G$18</c:f>
              <c:numCache/>
            </c:numRef>
          </c:val>
        </c:ser>
        <c:axId val="416915045"/>
        <c:axId val="856415758"/>
      </c:barChart>
      <c:catAx>
        <c:axId val="416915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415758"/>
      </c:catAx>
      <c:valAx>
        <c:axId val="856415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915045"/>
        <c:majorUnit val="2000.0"/>
        <c:minorUnit val="666.666666666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3E6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D6A4F"/>
                </a:solidFill>
                <a:latin typeface="+mn-lt"/>
              </a:defRPr>
            </a:pPr>
            <a:r>
              <a:rPr b="0">
                <a:solidFill>
                  <a:srgbClr val="2D6A4F"/>
                </a:solidFill>
                <a:latin typeface="+mn-lt"/>
              </a:rPr>
              <a:t>CO₂e Impact as *Miles Not Driven* by Semester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'YoY Chart Data'!$I$3:$I$7</c:f>
            </c:strRef>
          </c:cat>
          <c:val>
            <c:numRef>
              <c:f>'YoY Chart Data'!$L$3:$L$7</c:f>
              <c:numCache/>
            </c:numRef>
          </c:val>
        </c:ser>
        <c:axId val="1503218970"/>
        <c:axId val="471445911"/>
      </c:barChart>
      <c:catAx>
        <c:axId val="1503218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Semester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445911"/>
      </c:catAx>
      <c:valAx>
        <c:axId val="471445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218970"/>
        <c:majorUnit val="5000.0"/>
        <c:minorUnit val="25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8F3E4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Pounds per Week Over 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'YoY Data Sheet Tables'!$G$43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Tables'!$G$44:$G$113</c:f>
              <c:numCache/>
            </c:numRef>
          </c:yVal>
        </c:ser>
        <c:ser>
          <c:idx val="1"/>
          <c:order val="1"/>
          <c:tx>
            <c:strRef>
              <c:f>'YoY Data Sheet Tables'!$H$43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Tables'!$H$44:$H$113</c:f>
              <c:numCache/>
            </c:numRef>
          </c:yVal>
        </c:ser>
        <c:ser>
          <c:idx val="2"/>
          <c:order val="2"/>
          <c:tx>
            <c:strRef>
              <c:f>'YoY Data Sheet Tables'!$I$43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Tables'!$I$44:$I$113</c:f>
              <c:numCache/>
            </c:numRef>
          </c:yVal>
        </c:ser>
        <c:ser>
          <c:idx val="3"/>
          <c:order val="3"/>
          <c:tx>
            <c:strRef>
              <c:f>'YoY Data Sheet Tables'!$J$43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Tables'!$J$44:$J$113</c:f>
              <c:numCache/>
            </c:numRef>
          </c:yVal>
        </c:ser>
        <c:ser>
          <c:idx val="4"/>
          <c:order val="4"/>
          <c:tx>
            <c:strRef>
              <c:f>'YoY Data Sheet Tables'!$K$43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Tables'!$K$44:$K$113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211644"/>
        <c:axId val="1472912239"/>
      </c:scatterChart>
      <c:valAx>
        <c:axId val="7292116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912239"/>
      </c:valAx>
      <c:valAx>
        <c:axId val="1472912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211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Total Pounds Over Time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'YoY Data Sheet Tables'!$B$43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Tables'!$B$44:$B$113</c:f>
              <c:numCache/>
            </c:numRef>
          </c:yVal>
        </c:ser>
        <c:ser>
          <c:idx val="1"/>
          <c:order val="1"/>
          <c:tx>
            <c:strRef>
              <c:f>'YoY Data Sheet Tables'!$C$43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Tables'!$C$44:$C$113</c:f>
              <c:numCache/>
            </c:numRef>
          </c:yVal>
        </c:ser>
        <c:ser>
          <c:idx val="2"/>
          <c:order val="2"/>
          <c:tx>
            <c:strRef>
              <c:f>'YoY Data Sheet Tables'!$D$43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Tables'!$D$44:$D$113</c:f>
              <c:numCache/>
            </c:numRef>
          </c:yVal>
        </c:ser>
        <c:ser>
          <c:idx val="3"/>
          <c:order val="3"/>
          <c:tx>
            <c:strRef>
              <c:f>'YoY Data Sheet Tables'!$E$43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Tables'!$E$44:$E$113</c:f>
              <c:numCache/>
            </c:numRef>
          </c:yVal>
        </c:ser>
        <c:ser>
          <c:idx val="4"/>
          <c:order val="4"/>
          <c:tx>
            <c:strRef>
              <c:f>'YoY Data Sheet Tables'!$F$43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'YoY Data Sheet Tables'!$A$44:$A$113</c:f>
            </c:numRef>
          </c:xVal>
          <c:yVal>
            <c:numRef>
              <c:f>'YoY Data Sheet Tables'!$F$44:$F$113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962415"/>
        <c:axId val="1372380932"/>
      </c:scatterChart>
      <c:valAx>
        <c:axId val="14749624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380932"/>
      </c:valAx>
      <c:valAx>
        <c:axId val="1372380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962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Total Pounds per Semester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'YoY Chart Data'!$B$1:$B$2</c:f>
            </c:strRef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'YoY Chart Data'!$A$3:$A$7</c:f>
            </c:strRef>
          </c:cat>
          <c:val>
            <c:numRef>
              <c:f>'YoY Chart Data'!$B$3:$B$7</c:f>
              <c:numCache/>
            </c:numRef>
          </c:val>
        </c:ser>
        <c:axId val="2088416384"/>
        <c:axId val="1297926576"/>
      </c:barChart>
      <c:lineChart>
        <c:varyColors val="0"/>
        <c:ser>
          <c:idx val="1"/>
          <c:order val="1"/>
          <c:tx>
            <c:strRef>
              <c:f>'YoY Chart Data'!$C$1:$C$2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cat>
            <c:strRef>
              <c:f>'YoY Chart Data'!$A$3:$A$7</c:f>
            </c:strRef>
          </c:cat>
          <c:val>
            <c:numRef>
              <c:f>'YoY Chart Data'!$C$3:$C$7</c:f>
              <c:numCache/>
            </c:numRef>
          </c:val>
          <c:smooth val="0"/>
        </c:ser>
        <c:axId val="2088416384"/>
        <c:axId val="1297926576"/>
      </c:lineChart>
      <c:catAx>
        <c:axId val="208841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926576"/>
      </c:catAx>
      <c:valAx>
        <c:axId val="1297926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8416384"/>
      </c:valAx>
    </c:plotArea>
    <c:plotVisOnly val="1"/>
  </c:chart>
  <c:spPr>
    <a:solidFill>
      <a:srgbClr val="F3F3F3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Pound Per Week by Semester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'YoY Data Sheet Tables'!$E$24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cat>
            <c:strRef>
              <c:f>'YoY Data Sheet Tables'!$A$25:$A$38</c:f>
            </c:strRef>
          </c:cat>
          <c:val>
            <c:numRef>
              <c:f>'YoY Data Sheet Tables'!$E$25:$E$38</c:f>
              <c:numCache/>
            </c:numRef>
          </c:val>
          <c:smooth val="0"/>
        </c:ser>
        <c:ser>
          <c:idx val="1"/>
          <c:order val="1"/>
          <c:tx>
            <c:strRef>
              <c:f>'YoY Data Sheet Tables'!$C$24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Tables'!$C$25:$C$38</c:f>
              <c:numCache/>
            </c:numRef>
          </c:val>
          <c:smooth val="0"/>
        </c:ser>
        <c:ser>
          <c:idx val="2"/>
          <c:order val="2"/>
          <c:tx>
            <c:strRef>
              <c:f>'YoY Data Sheet Tables'!$F$24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cat>
            <c:strRef>
              <c:f>'YoY Data Sheet Tables'!$A$25:$A$38</c:f>
            </c:strRef>
          </c:cat>
          <c:val>
            <c:numRef>
              <c:f>'YoY Data Sheet Tables'!$F$25:$F$38</c:f>
              <c:numCache/>
            </c:numRef>
          </c:val>
          <c:smooth val="0"/>
        </c:ser>
        <c:ser>
          <c:idx val="3"/>
          <c:order val="3"/>
          <c:tx>
            <c:strRef>
              <c:f>'YoY Data Sheet Tables'!$I$24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Tables'!$I$25:$I$38</c:f>
              <c:numCache/>
            </c:numRef>
          </c:val>
          <c:smooth val="0"/>
        </c:ser>
        <c:ser>
          <c:idx val="4"/>
          <c:order val="4"/>
          <c:tx>
            <c:strRef>
              <c:f>'YoY Data Sheet Tables'!$L$24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Tables'!$L$25:$L$38</c:f>
              <c:numCache/>
            </c:numRef>
          </c:val>
          <c:smooth val="0"/>
        </c:ser>
        <c:ser>
          <c:idx val="5"/>
          <c:order val="5"/>
          <c:tx>
            <c:strRef>
              <c:f>'YoY Data Sheet Tables'!$O$24</c:f>
            </c:strRef>
          </c:tx>
          <c:spPr>
            <a:ln cmpd="sng">
              <a:solidFill>
                <a:srgbClr val="000000">
                  <a:alpha val="50196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'YoY Data Sheet Tables'!$A$25:$A$38</c:f>
            </c:strRef>
          </c:cat>
          <c:val>
            <c:numRef>
              <c:f>'YoY Data Sheet Tables'!$O$25:$O$38</c:f>
              <c:numCache/>
            </c:numRef>
          </c:val>
          <c:smooth val="0"/>
        </c:ser>
        <c:axId val="1783198443"/>
        <c:axId val="275590974"/>
      </c:lineChart>
      <c:catAx>
        <c:axId val="1783198443"/>
        <c:scaling>
          <c:orientation val="minMax"/>
          <c:max val="14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590974"/>
      </c:catAx>
      <c:valAx>
        <c:axId val="275590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198443"/>
        <c:majorUnit val="500.0"/>
        <c:minorUnit val="250.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Average Pound per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Mainfare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'Master Tables'!$Q$18:$Q$22</c:f>
            </c:strRef>
          </c:cat>
          <c:val>
            <c:numRef>
              <c:f>'Master Tables'!$R$18:$R$22</c:f>
              <c:numCache/>
            </c:numRef>
          </c:val>
        </c:ser>
        <c:ser>
          <c:idx val="1"/>
          <c:order val="1"/>
          <c:tx>
            <c:v>Butterfield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'Master Tables'!$Q$18:$Q$22</c:f>
            </c:strRef>
          </c:cat>
          <c:val>
            <c:numRef>
              <c:f>'Master Tables'!$S$18:$S$22</c:f>
              <c:numCache/>
            </c:numRef>
          </c:val>
        </c:ser>
        <c:ser>
          <c:idx val="2"/>
          <c:order val="2"/>
          <c:tx>
            <c:v>Total</c:v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'Master Tables'!$Q$18:$Q$22</c:f>
            </c:strRef>
          </c:cat>
          <c:val>
            <c:numRef>
              <c:f>'Master Tables'!$T$18:$T$22</c:f>
              <c:numCache/>
            </c:numRef>
          </c:val>
        </c:ser>
        <c:axId val="373221232"/>
        <c:axId val="1563790394"/>
      </c:barChart>
      <c:catAx>
        <c:axId val="37322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790394"/>
      </c:catAx>
      <c:valAx>
        <c:axId val="1563790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221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7F3FF"/>
    </a:solidFill>
  </c:spPr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0" Type="http://schemas.openxmlformats.org/officeDocument/2006/relationships/image" Target="../media/image5.png"/><Relationship Id="rId1" Type="http://schemas.openxmlformats.org/officeDocument/2006/relationships/image" Target="../media/Chart15.png"/><Relationship Id="rId2" Type="http://schemas.openxmlformats.org/officeDocument/2006/relationships/image" Target="../media/Chart16.png"/><Relationship Id="rId3" Type="http://schemas.openxmlformats.org/officeDocument/2006/relationships/image" Target="../media/Chart17.png"/><Relationship Id="rId4" Type="http://schemas.openxmlformats.org/officeDocument/2006/relationships/image" Target="../media/Chart18.png"/><Relationship Id="rId9" Type="http://schemas.openxmlformats.org/officeDocument/2006/relationships/image" Target="../media/image1.png"/><Relationship Id="rId5" Type="http://schemas.openxmlformats.org/officeDocument/2006/relationships/image" Target="../media/Chart19.png"/><Relationship Id="rId6" Type="http://schemas.openxmlformats.org/officeDocument/2006/relationships/image" Target="../media/Chart20.png"/><Relationship Id="rId7" Type="http://schemas.openxmlformats.org/officeDocument/2006/relationships/image" Target="../media/image6.png"/><Relationship Id="rId8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0" Type="http://schemas.openxmlformats.org/officeDocument/2006/relationships/image" Target="../media/Chart30.png"/><Relationship Id="rId1" Type="http://schemas.openxmlformats.org/officeDocument/2006/relationships/image" Target="../media/Chart21.png"/><Relationship Id="rId2" Type="http://schemas.openxmlformats.org/officeDocument/2006/relationships/image" Target="../media/Chart22.png"/><Relationship Id="rId3" Type="http://schemas.openxmlformats.org/officeDocument/2006/relationships/image" Target="../media/Chart23.png"/><Relationship Id="rId4" Type="http://schemas.openxmlformats.org/officeDocument/2006/relationships/image" Target="../media/Chart24.png"/><Relationship Id="rId9" Type="http://schemas.openxmlformats.org/officeDocument/2006/relationships/image" Target="../media/Chart29.png"/><Relationship Id="rId5" Type="http://schemas.openxmlformats.org/officeDocument/2006/relationships/image" Target="../media/Chart25.png"/><Relationship Id="rId6" Type="http://schemas.openxmlformats.org/officeDocument/2006/relationships/image" Target="../media/Chart26.png"/><Relationship Id="rId7" Type="http://schemas.openxmlformats.org/officeDocument/2006/relationships/image" Target="../media/Chart27.png"/><Relationship Id="rId8" Type="http://schemas.openxmlformats.org/officeDocument/2006/relationships/image" Target="../media/Chart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838200</xdr:colOff>
      <xdr:row>4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838200</xdr:colOff>
      <xdr:row>22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838200</xdr:colOff>
      <xdr:row>40</xdr:row>
      <xdr:rowOff>104775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876300</xdr:colOff>
      <xdr:row>4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876300</xdr:colOff>
      <xdr:row>22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866775</xdr:colOff>
      <xdr:row>40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914400</xdr:colOff>
      <xdr:row>22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914400</xdr:colOff>
      <xdr:row>40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914400</xdr:colOff>
      <xdr:row>4</xdr:row>
      <xdr:rowOff>161925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58</xdr:row>
      <xdr:rowOff>76200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95250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123825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4</xdr:row>
      <xdr:rowOff>161925</xdr:rowOff>
    </xdr:from>
    <xdr:ext cx="5715000" cy="3533775"/>
    <xdr:graphicFrame>
      <xdr:nvGraphicFramePr>
        <xdr:cNvPr descr="https://script.google.com/a/macros/uri.edu/s/AKfycbw1QCu3D3ruGNL4wSwAaPBg54HuQIrMdIAvTi2SPwtP6zMrl0L42-8vnvjTuCjocyAs5w/exec?" id="13" name="Chart 13" title="Pound Per Week by Semest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11</xdr:col>
      <xdr:colOff>866775</xdr:colOff>
      <xdr:row>58</xdr:row>
      <xdr:rowOff>76200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352425</xdr:colOff>
      <xdr:row>0</xdr:row>
      <xdr:rowOff>0</xdr:rowOff>
    </xdr:from>
    <xdr:ext cx="5715000" cy="3533775"/>
    <xdr:pic>
      <xdr:nvPicPr>
        <xdr:cNvPr id="817522500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0</xdr:row>
      <xdr:rowOff>0</xdr:rowOff>
    </xdr:from>
    <xdr:ext cx="5715000" cy="3533775"/>
    <xdr:pic>
      <xdr:nvPicPr>
        <xdr:cNvPr id="1660998852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19</xdr:row>
      <xdr:rowOff>38100</xdr:rowOff>
    </xdr:from>
    <xdr:ext cx="5715000" cy="3533775"/>
    <xdr:pic>
      <xdr:nvPicPr>
        <xdr:cNvPr id="217144707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19</xdr:row>
      <xdr:rowOff>38100</xdr:rowOff>
    </xdr:from>
    <xdr:ext cx="5715000" cy="3533775"/>
    <xdr:pic>
      <xdr:nvPicPr>
        <xdr:cNvPr id="1670158062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37</xdr:row>
      <xdr:rowOff>76200</xdr:rowOff>
    </xdr:from>
    <xdr:ext cx="5715000" cy="3533775"/>
    <xdr:pic>
      <xdr:nvPicPr>
        <xdr:cNvPr id="1409907989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409575</xdr:colOff>
      <xdr:row>37</xdr:row>
      <xdr:rowOff>76200</xdr:rowOff>
    </xdr:from>
    <xdr:ext cx="5715000" cy="3533775"/>
    <xdr:pic>
      <xdr:nvPicPr>
        <xdr:cNvPr id="1505683945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56</xdr:row>
      <xdr:rowOff>114300</xdr:rowOff>
    </xdr:from>
    <xdr:ext cx="7620000" cy="4552950"/>
    <xdr:grpSp>
      <xdr:nvGrpSpPr>
        <xdr:cNvPr id="2" name="Shape 2" title="Drawing"/>
        <xdr:cNvGrpSpPr/>
      </xdr:nvGrpSpPr>
      <xdr:grpSpPr>
        <a:xfrm>
          <a:off x="3" y="147904"/>
          <a:ext cx="7619988" cy="4532945"/>
          <a:chOff x="3" y="147904"/>
          <a:chExt cx="7619988" cy="4532945"/>
        </a:xfrm>
      </xdr:grpSpPr>
      <xdr:pic>
        <xdr:nvPicPr>
          <xdr:cNvPr id="3" name="Shape 3" title="chart_dinner_diners.png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" y="2868869"/>
            <a:ext cx="7619988" cy="18119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4" name="Shape 4" title="chart_lunch_diners.png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3" y="147904"/>
            <a:ext cx="7619988" cy="18119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18</xdr:col>
      <xdr:colOff>38100</xdr:colOff>
      <xdr:row>56</xdr:row>
      <xdr:rowOff>123825</xdr:rowOff>
    </xdr:from>
    <xdr:ext cx="7620000" cy="4552950"/>
    <xdr:grpSp>
      <xdr:nvGrpSpPr>
        <xdr:cNvPr id="2" name="Shape 2" title="Drawing"/>
        <xdr:cNvGrpSpPr/>
      </xdr:nvGrpSpPr>
      <xdr:grpSpPr>
        <a:xfrm>
          <a:off x="0" y="147901"/>
          <a:ext cx="7619991" cy="4532952"/>
          <a:chOff x="0" y="147901"/>
          <a:chExt cx="7619991" cy="4532952"/>
        </a:xfrm>
      </xdr:grpSpPr>
      <xdr:pic>
        <xdr:nvPicPr>
          <xdr:cNvPr id="5" name="Shape 5" title="chart_dinner_diners.png"/>
          <xdr:cNvPicPr preferRelativeResize="0"/>
        </xdr:nvPicPr>
        <xdr:blipFill>
          <a:blip r:embed="rId7">
            <a:alphaModFix/>
          </a:blip>
          <a:stretch>
            <a:fillRect/>
          </a:stretch>
        </xdr:blipFill>
        <xdr:spPr>
          <a:xfrm>
            <a:off x="3" y="2868869"/>
            <a:ext cx="7619988" cy="18119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6" title="chart_dinner_lbhr.png"/>
          <xdr:cNvPicPr preferRelativeResize="0"/>
        </xdr:nvPicPr>
        <xdr:blipFill>
          <a:blip r:embed="rId9">
            <a:alphaModFix/>
          </a:blip>
          <a:stretch>
            <a:fillRect/>
          </a:stretch>
        </xdr:blipFill>
        <xdr:spPr>
          <a:xfrm>
            <a:off x="0" y="2868878"/>
            <a:ext cx="7604311" cy="18119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7" name="Shape 7" title="chart_lunch_diners.png"/>
          <xdr:cNvPicPr preferRelativeResize="0"/>
        </xdr:nvPicPr>
        <xdr:blipFill>
          <a:blip r:embed="rId8">
            <a:alphaModFix/>
          </a:blip>
          <a:stretch>
            <a:fillRect/>
          </a:stretch>
        </xdr:blipFill>
        <xdr:spPr>
          <a:xfrm>
            <a:off x="3" y="147904"/>
            <a:ext cx="7619988" cy="181198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8" name="Shape 8" title="chart_lunch_lbhr.png"/>
          <xdr:cNvPicPr preferRelativeResize="0"/>
        </xdr:nvPicPr>
        <xdr:blipFill>
          <a:blip r:embed="rId10">
            <a:alphaModFix/>
          </a:blip>
          <a:stretch>
            <a:fillRect/>
          </a:stretch>
        </xdr:blipFill>
        <xdr:spPr>
          <a:xfrm>
            <a:off x="0" y="147901"/>
            <a:ext cx="7619912" cy="18119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54</xdr:row>
      <xdr:rowOff>200025</xdr:rowOff>
    </xdr:from>
    <xdr:ext cx="5715000" cy="3533775"/>
    <xdr:pic>
      <xdr:nvPicPr>
        <xdr:cNvPr id="1569685427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104775</xdr:rowOff>
    </xdr:from>
    <xdr:ext cx="5715000" cy="3533775"/>
    <xdr:pic>
      <xdr:nvPicPr>
        <xdr:cNvPr id="692207758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838200</xdr:colOff>
      <xdr:row>54</xdr:row>
      <xdr:rowOff>133350</xdr:rowOff>
    </xdr:from>
    <xdr:ext cx="5715000" cy="3533775"/>
    <xdr:pic>
      <xdr:nvPicPr>
        <xdr:cNvPr id="738529112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71</xdr:row>
      <xdr:rowOff>104775</xdr:rowOff>
    </xdr:from>
    <xdr:ext cx="5715000" cy="3533775"/>
    <xdr:pic>
      <xdr:nvPicPr>
        <xdr:cNvPr id="1359700550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762000</xdr:colOff>
      <xdr:row>54</xdr:row>
      <xdr:rowOff>133350</xdr:rowOff>
    </xdr:from>
    <xdr:ext cx="5715000" cy="3533775"/>
    <xdr:pic>
      <xdr:nvPicPr>
        <xdr:cNvPr id="613269644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600075</xdr:colOff>
      <xdr:row>71</xdr:row>
      <xdr:rowOff>104775</xdr:rowOff>
    </xdr:from>
    <xdr:ext cx="5715000" cy="3533775"/>
    <xdr:pic>
      <xdr:nvPicPr>
        <xdr:cNvPr id="1354189702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16</xdr:row>
      <xdr:rowOff>76200</xdr:rowOff>
    </xdr:from>
    <xdr:ext cx="5715000" cy="3533775"/>
    <xdr:pic>
      <xdr:nvPicPr>
        <xdr:cNvPr id="1498932634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16</xdr:row>
      <xdr:rowOff>76200</xdr:rowOff>
    </xdr:from>
    <xdr:ext cx="5715000" cy="3533775"/>
    <xdr:pic>
      <xdr:nvPicPr>
        <xdr:cNvPr id="18432990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34</xdr:row>
      <xdr:rowOff>47625</xdr:rowOff>
    </xdr:from>
    <xdr:ext cx="5715000" cy="3533775"/>
    <xdr:pic>
      <xdr:nvPicPr>
        <xdr:cNvPr id="353479995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895350</xdr:colOff>
      <xdr:row>34</xdr:row>
      <xdr:rowOff>47625</xdr:rowOff>
    </xdr:from>
    <xdr:ext cx="5715000" cy="3533775"/>
    <xdr:pic>
      <xdr:nvPicPr>
        <xdr:cNvPr id="1710555833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sights-engine.refed.org/impact-calculator?emissionsEquivalence=passengerVehicles&amp;impactMetricTab=emissions&amp;inputs=%7B%22sector%22%3A%22foodservice%22%2C%22type%22%3A%22standard-mix%22%2C%22unit%22%3A%22lbs%22%2C%22destinations%22%3A%5B%7B%22key%22%3A%22composting%22%2C%22alternative%22%3A35991%7D%2C%7B%22key%22%3A%22anaerobic-digestion%22%2C%22alternative%22%3A35990%7D%2C%7B%22key%22%3A%22landfill%22%2C%22current%22%3A71982%7D%5D%7D&amp;isFormExpanded=true&amp;methaneEquivalence=milesDriven&amp;year=1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uri.edu/s/AKfycbw1QCu3D3ruGNL4wSwAaPBg54HuQIrMdIAvTi2SPwtP6zMrl0L42-8vnvjTuCjocyAs5w/exec?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4">
      <c r="A4" s="2" t="s">
        <v>1</v>
      </c>
      <c r="F4" s="3" t="s">
        <v>2</v>
      </c>
    </row>
    <row r="5">
      <c r="F5" s="4" t="s">
        <v>3</v>
      </c>
      <c r="G5" s="5">
        <f>1 / 2000 * (G8 - (G6*G9 + G7*G10))</f>
        <v>0.000317765</v>
      </c>
      <c r="H5" s="4" t="s">
        <v>4</v>
      </c>
    </row>
    <row r="6">
      <c r="F6" s="4" t="s">
        <v>5</v>
      </c>
      <c r="G6" s="4">
        <v>1.13437</v>
      </c>
      <c r="H6" s="4" t="s">
        <v>6</v>
      </c>
    </row>
    <row r="7">
      <c r="F7" s="4" t="s">
        <v>7</v>
      </c>
      <c r="G7" s="4">
        <v>1.17477</v>
      </c>
      <c r="H7" s="4" t="s">
        <v>8</v>
      </c>
    </row>
    <row r="8">
      <c r="F8" s="4" t="s">
        <v>9</v>
      </c>
      <c r="G8" s="4">
        <v>1.7901</v>
      </c>
      <c r="H8" s="4" t="s">
        <v>8</v>
      </c>
    </row>
    <row r="9">
      <c r="F9" s="4" t="s">
        <v>10</v>
      </c>
      <c r="G9" s="4">
        <v>0.5</v>
      </c>
      <c r="H9" s="4" t="s">
        <v>11</v>
      </c>
    </row>
    <row r="10">
      <c r="F10" s="4" t="s">
        <v>12</v>
      </c>
      <c r="G10" s="4">
        <v>0.5</v>
      </c>
      <c r="H10" s="4" t="s">
        <v>11</v>
      </c>
    </row>
    <row r="18">
      <c r="A18" s="6" t="s">
        <v>13</v>
      </c>
    </row>
  </sheetData>
  <mergeCells count="3">
    <mergeCell ref="A2:D3"/>
    <mergeCell ref="A4:D17"/>
    <mergeCell ref="F4:H4"/>
  </mergeCells>
  <hyperlinks>
    <hyperlink r:id="rId1" ref="A1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C1" s="7" t="s">
        <v>14</v>
      </c>
    </row>
    <row r="2">
      <c r="K2" s="4" t="s">
        <v>15</v>
      </c>
    </row>
    <row r="3">
      <c r="K3" s="8" t="s">
        <v>16</v>
      </c>
    </row>
    <row r="4">
      <c r="K4" s="9" t="s">
        <v>17</v>
      </c>
    </row>
    <row r="5">
      <c r="A5" s="10" t="s">
        <v>18</v>
      </c>
      <c r="B5" s="11" t="s">
        <v>19</v>
      </c>
      <c r="C5" s="12"/>
      <c r="D5" s="13"/>
      <c r="E5" s="11" t="s">
        <v>20</v>
      </c>
      <c r="F5" s="12"/>
      <c r="G5" s="13"/>
      <c r="H5" s="11" t="s">
        <v>21</v>
      </c>
      <c r="I5" s="12"/>
      <c r="K5" s="9" t="s">
        <v>22</v>
      </c>
    </row>
    <row r="6">
      <c r="A6" s="14" t="s">
        <v>23</v>
      </c>
      <c r="B6" s="15" t="s">
        <v>24</v>
      </c>
      <c r="C6" s="16">
        <f t="array" ref="C6">SUM(
  MAP(
    $K$3:$K1000,
    LAMBDA(s,
      IF(
        s="",
        0,
        INDIRECT("'" &amp; s &amp; "'!C" &amp; ROW())
      )
    )
  )
)
</f>
        <v>64036</v>
      </c>
      <c r="D6" s="17"/>
      <c r="E6" s="18" t="s">
        <v>24</v>
      </c>
      <c r="F6" s="19">
        <f t="array" ref="F6">SUM(
  MAP(
    $K$3:$K1000,
    LAMBDA(s,
      IF(
        s="",
        0,
        INDIRECT("'" &amp; s &amp; "'!F" &amp; ROW())
      )
    )
  )
)
</f>
        <v>64026</v>
      </c>
      <c r="G6" s="13"/>
      <c r="H6" s="20" t="s">
        <v>24</v>
      </c>
      <c r="I6" s="21">
        <f t="array" ref="I6">SUM(
  MAP(
    $K$3:$K1000,
    LAMBDA(s,
      IF(
        s="",
        0,
        INDIRECT("'" &amp; s &amp; "'!I" &amp; ROW())
      )
    )
  )
)
</f>
        <v>135172.86</v>
      </c>
      <c r="K6" s="8" t="s">
        <v>25</v>
      </c>
    </row>
    <row r="7">
      <c r="A7" s="14" t="s">
        <v>26</v>
      </c>
      <c r="B7" s="15" t="s">
        <v>27</v>
      </c>
      <c r="C7" s="22">
        <f>IFERROR(__xludf.DUMMYFUNCTION("LET(
  vals, MAP(
    $K$3:$K1000,
    LAMBDA(s,
      IF(s="""",
        """",
        INDIRECT(""'"" &amp; s &amp; ""'!C"" &amp; ROW())
      )
    )
  ),
  nums, FILTER(vals, ISNUMBER(vals)),
  IF(COUNTA(nums)=0, """", SUM(nums)/COUNTA(nums))
)"),244.1981358040307)</f>
        <v>244.1981358</v>
      </c>
      <c r="D7" s="17"/>
      <c r="E7" s="23" t="s">
        <v>27</v>
      </c>
      <c r="F7" s="24">
        <f>IFERROR(__xludf.DUMMYFUNCTION("LET(
  vals, MAP(
    $K$3:$K1000,
    LAMBDA(s,
      IF(s="""",
        """",
        INDIRECT(""'"" &amp; s &amp; ""'!F"" &amp; ROW())
      )
    )
  ),
  nums, FILTER(vals, ISNUMBER(vals)),
  IF(COUNTA(nums)=0, """", SUM(nums)/COUNTA(nums))
)"),257.38734452250844)</f>
        <v>257.3873445</v>
      </c>
      <c r="G7" s="13"/>
      <c r="H7" s="25" t="s">
        <v>27</v>
      </c>
      <c r="I7" s="26">
        <f>IFERROR(__xludf.DUMMYFUNCTION("LET(
  vals, MAP(
    $K$3:$K1000,
    LAMBDA(s,
      IF(s="""",
        """",
        INDIRECT(""'"" &amp; s &amp; ""'!I"" &amp; ROW())
      )
    )
  ),
  nums, FILTER(vals, ISNUMBER(vals)),
  IF(COUNTA(nums)=0, """", SUM(nums)/COUNTA(nums))
)"),426.06165298507466)</f>
        <v>426.061653</v>
      </c>
      <c r="K7" s="8" t="s">
        <v>28</v>
      </c>
    </row>
    <row r="8">
      <c r="A8" s="14" t="s">
        <v>29</v>
      </c>
      <c r="B8" s="15" t="s">
        <v>30</v>
      </c>
      <c r="C8" s="27">
        <f t="array" ref="C8">SUM(
  MAP(
    $K$3:$K1000,
    LAMBDA(s,
      IF(
        s="",
        0,
        INDIRECT("'" &amp; s &amp; "'!C" &amp; ROW())
      )
    )
  )
)
</f>
        <v>112.4105821</v>
      </c>
      <c r="D8" s="28"/>
      <c r="E8" s="23" t="s">
        <v>30</v>
      </c>
      <c r="F8" s="29">
        <f t="array" ref="F8">SUM(
  MAP(
    $K$3:$K1000,
    LAMBDA(s,
      IF(
        s="",
        0,
        INDIRECT("'" &amp; s &amp; "'!F" &amp; ROW())
      )
    )
  )
)
</f>
        <v>84.27484376</v>
      </c>
      <c r="G8" s="28"/>
      <c r="H8" s="25" t="s">
        <v>30</v>
      </c>
      <c r="I8" s="30">
        <f t="array" ref="I8">SUM(
  MAP(
    $K$3:$K1000,
    LAMBDA(s,
      IF(
        s="",
        0,
        INDIRECT("'" &amp; s &amp; "'!I" &amp; ROW())
      )
    )
  )
)
</f>
        <v>96.94468387</v>
      </c>
    </row>
    <row r="9">
      <c r="A9" s="14" t="s">
        <v>31</v>
      </c>
      <c r="B9" s="15" t="s">
        <v>32</v>
      </c>
      <c r="C9" s="27">
        <f>IFERROR(__xludf.DUMMYFUNCTION("LET(
  vals, MAP(
    $K$3:$K1000,
    LAMBDA(s,
      IF(s="""",
        """",
        INDIRECT(""'"" &amp; s &amp; ""'!C"" &amp; ROW())
      )
    )
  ),
  nums, FILTER(vals, ISNUMBER(vals)),
  IF(COUNTA(nums)=0, """", SUM(nums)/COUNTA(nums))
)"),57.663306695244074)</f>
        <v>57.6633067</v>
      </c>
      <c r="D9" s="28"/>
      <c r="E9" s="23" t="s">
        <v>32</v>
      </c>
      <c r="F9" s="29">
        <f>IFERROR(__xludf.DUMMYFUNCTION("LET(
  vals, MAP(
    $K$3:$K1000,
    LAMBDA(s,
      IF(s="""",
        """",
        INDIRECT(""'"" &amp; s &amp; ""'!F"" &amp; ROW())
      )
    )
  ),
  nums, FILTER(vals, ISNUMBER(vals)),
  IF(COUNTA(nums)=0, """", SUM(nums)/COUNTA(nums))
)"),43.94825664995053)</f>
        <v>43.94825665</v>
      </c>
      <c r="G9" s="28"/>
      <c r="H9" s="25" t="s">
        <v>32</v>
      </c>
      <c r="I9" s="30">
        <f>IFERROR(__xludf.DUMMYFUNCTION("LET(
  vals, MAP(
    $K$3:$K1000,
    LAMBDA(s,
      IF(s="""",
        """",
        INDIRECT(""'"" &amp; s &amp; ""'!I"" &amp; ROW())
      )
    )
  ),
  nums, FILTER(vals, ISNUMBER(vals)),
  IF(COUNTA(nums)=0, """", SUM(nums)/COUNTA(nums))
)"),51.1387679836608)</f>
        <v>51.13876798</v>
      </c>
    </row>
    <row r="10">
      <c r="A10" s="14" t="s">
        <v>33</v>
      </c>
      <c r="B10" s="15" t="s">
        <v>34</v>
      </c>
      <c r="C10" s="31">
        <f t="array" ref="C10">SUM(
  MAP(
    $K$3:$K1000,
    LAMBDA(s,
      IF(
        s="",
        0,
        INDIRECT("'" &amp; s &amp; "'!C" &amp; ROW())
      )
    )
  )
)
</f>
        <v>564.1966667</v>
      </c>
      <c r="D10" s="17"/>
      <c r="E10" s="23" t="s">
        <v>34</v>
      </c>
      <c r="F10" s="32">
        <f t="array" ref="F10">SUM(
  MAP(
    $K$3:$K1000,
    LAMBDA(s,
      IF(
        s="",
        0,
        INDIRECT("'" &amp; s &amp; "'!F" &amp; ROW())
      )
    )
  )
)
</f>
        <v>675.8466667</v>
      </c>
      <c r="G10" s="13"/>
      <c r="H10" s="25" t="s">
        <v>34</v>
      </c>
      <c r="I10" s="33">
        <f t="array" ref="I10">SUM(
  MAP(
    $K$3:$K1000,
    LAMBDA(s,
      IF(
        s="",
        0,
        INDIRECT("'" &amp; s &amp; "'!I" &amp; ROW())
      )
    )
  )
)
</f>
        <v>1240.053333</v>
      </c>
    </row>
    <row r="11">
      <c r="A11" s="14" t="s">
        <v>35</v>
      </c>
      <c r="B11" s="15" t="s">
        <v>36</v>
      </c>
      <c r="C11" s="34">
        <f>IFERROR(__xludf.DUMMYFUNCTION("LET(
  vals, MAP(
    $K$3:$K1000,
    LAMBDA(s,
      IF(s="""",
        """",
        INDIRECT(""'"" &amp; s &amp; ""'!C"" &amp; ROW())
      )
    )
  ),
  nums, FILTER(vals, ISNUMBER(vals)),
  IF(COUNTA(nums)=0, """", SUM(nums)/COUNTA(nums))
)"),0.20402475469940068)</f>
        <v>0.2040247547</v>
      </c>
      <c r="D11" s="17"/>
      <c r="E11" s="23" t="s">
        <v>36</v>
      </c>
      <c r="F11" s="35">
        <f>IFERROR(__xludf.DUMMYFUNCTION("LET(
  vals, MAP(
    $K$3:$K1000,
    LAMBDA(s,
      IF(s="""",
        """",
        INDIRECT(""'"" &amp; s &amp; ""'!F"" &amp; ROW())
      )
    )
  ),
  nums, FILTER(vals, ISNUMBER(vals)),
  IF(COUNTA(nums)=0, """", SUM(nums)/COUNTA(nums))
)"),0.2568896053787011)</f>
        <v>0.2568896054</v>
      </c>
      <c r="G11" s="13"/>
      <c r="H11" s="25" t="s">
        <v>36</v>
      </c>
      <c r="I11" s="36">
        <f>IFERROR(__xludf.DUMMYFUNCTION("LET(
  vals, MAP(
    $K$3:$K1000,
    LAMBDA(s,
      IF(s="""",
        """",
        INDIRECT(""'"" &amp; s &amp; ""'!I"" &amp; ROW())
      )
    )
  ),
  nums, FILTER(vals, ISNUMBER(vals)),
  IF(COUNTA(nums)=0, """", SUM(nums)/COUNTA(nums))
)"),0.43644848673321524)</f>
        <v>0.4364484867</v>
      </c>
    </row>
    <row r="12">
      <c r="A12" s="14" t="s">
        <v>37</v>
      </c>
      <c r="B12" s="37" t="s">
        <v>38</v>
      </c>
      <c r="C12" s="38">
        <f>(C6*'Impact Calculations'!G5)*2000</f>
        <v>40696.79908</v>
      </c>
      <c r="E12" s="39" t="s">
        <v>38</v>
      </c>
      <c r="F12" s="40">
        <f>(F6*'Impact Calculations'!G5)*2000</f>
        <v>40690.44378</v>
      </c>
      <c r="H12" s="41" t="s">
        <v>38</v>
      </c>
      <c r="I12" s="42">
        <f>(I6*'Impact Calculations'!G5)*2000</f>
        <v>85906.40772</v>
      </c>
    </row>
    <row r="15">
      <c r="H15" s="11" t="s">
        <v>21</v>
      </c>
      <c r="I15" s="12"/>
    </row>
    <row r="16">
      <c r="H16" s="43" t="s">
        <v>39</v>
      </c>
      <c r="I16" s="44">
        <f t="array" ref="I16">SUM(
  MAP(
    $K$3:$K1000,
    LAMBDA(s,
      IF(
        s="",
        0,
        IFERROR(
          INDIRECT("'" &amp; s &amp; "'!D" &amp; ROW(D37)),
          0
        )
      )
    )
  )
)</f>
        <v>1089</v>
      </c>
    </row>
    <row r="17">
      <c r="H17" s="41" t="s">
        <v>40</v>
      </c>
      <c r="I17" s="45">
        <f>I6/I16</f>
        <v>124.1256749</v>
      </c>
    </row>
  </sheetData>
  <mergeCells count="5">
    <mergeCell ref="C1:I2"/>
    <mergeCell ref="B5:C5"/>
    <mergeCell ref="E5:F5"/>
    <mergeCell ref="H5:I5"/>
    <mergeCell ref="H15:I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41</v>
      </c>
      <c r="B1" s="47"/>
      <c r="C1" s="47"/>
      <c r="D1" s="47"/>
      <c r="E1" s="47"/>
      <c r="F1" s="47"/>
      <c r="G1" s="47"/>
      <c r="H1" s="47"/>
      <c r="I1" s="47"/>
      <c r="J1" s="12"/>
    </row>
    <row r="2">
      <c r="A2" s="48" t="s">
        <v>42</v>
      </c>
      <c r="B2" s="49" t="s">
        <v>43</v>
      </c>
      <c r="C2" s="50" t="s">
        <v>44</v>
      </c>
      <c r="D2" s="51" t="s">
        <v>45</v>
      </c>
      <c r="E2" s="52" t="s">
        <v>46</v>
      </c>
      <c r="F2" s="53"/>
      <c r="G2" s="53"/>
      <c r="H2" s="53"/>
      <c r="I2" s="53"/>
      <c r="J2" s="54"/>
    </row>
    <row r="3">
      <c r="A3" s="48" t="s">
        <v>47</v>
      </c>
      <c r="B3" s="55" t="s">
        <v>43</v>
      </c>
      <c r="C3" s="56" t="s">
        <v>44</v>
      </c>
      <c r="D3" s="57" t="s">
        <v>45</v>
      </c>
      <c r="E3" s="58" t="s">
        <v>46</v>
      </c>
      <c r="F3" s="59" t="s">
        <v>48</v>
      </c>
      <c r="G3" s="60" t="s">
        <v>49</v>
      </c>
      <c r="H3" s="53"/>
      <c r="I3" s="53"/>
      <c r="J3" s="54"/>
      <c r="L3" s="61" t="s">
        <v>50</v>
      </c>
      <c r="M3" s="62" t="s">
        <v>51</v>
      </c>
      <c r="N3" s="9" t="s">
        <v>52</v>
      </c>
    </row>
    <row r="4">
      <c r="A4" s="63" t="s">
        <v>53</v>
      </c>
      <c r="B4" s="64" t="s">
        <v>54</v>
      </c>
      <c r="C4" s="65" t="s">
        <v>55</v>
      </c>
      <c r="D4" s="66" t="s">
        <v>56</v>
      </c>
      <c r="E4" s="67" t="s">
        <v>57</v>
      </c>
      <c r="F4" s="68" t="s">
        <v>58</v>
      </c>
      <c r="G4" s="69" t="s">
        <v>44</v>
      </c>
      <c r="H4" s="70" t="s">
        <v>45</v>
      </c>
      <c r="I4" s="71" t="s">
        <v>46</v>
      </c>
      <c r="J4" s="72" t="s">
        <v>59</v>
      </c>
    </row>
  </sheetData>
  <mergeCells count="1">
    <mergeCell ref="A1:J1"/>
  </mergeCells>
  <hyperlinks>
    <hyperlink r:id="rId1" ref="M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tr">
        <f>IFERROR(__xludf.DUMMYFUNCTION("IMPORTRANGE(""https://docs.google.com/spreadsheets/d/1CwrjPhJINZWO4jEU_saNz0V1dzS-UwSgU5fMaUfZ7VY/edit?gid=303306520#gid=303306520"", ""'YoY Viz Data'!A1:R225"")"),"Bulk Tab →")</f>
        <v>Bulk Tab →</v>
      </c>
      <c r="B1" s="74" t="str">
        <f>IFERROR(__xludf.DUMMYFUNCTION("""COMPUTED_VALUE"""),"S24")</f>
        <v>S24</v>
      </c>
      <c r="C1" s="74" t="str">
        <f>IFERROR(__xludf.DUMMYFUNCTION("""COMPUTED_VALUE"""),"F24")</f>
        <v>F24</v>
      </c>
      <c r="D1" s="74" t="str">
        <f>IFERROR(__xludf.DUMMYFUNCTION("""COMPUTED_VALUE"""),"S25")</f>
        <v>S25</v>
      </c>
      <c r="E1" s="74" t="str">
        <f>IFERROR(__xludf.DUMMYFUNCTION("""COMPUTED_VALUE"""),"F25")</f>
        <v>F25</v>
      </c>
      <c r="F1" s="74" t="str">
        <f>IFERROR(__xludf.DUMMYFUNCTION("""COMPUTED_VALUE"""),"S26")</f>
        <v>S26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73" t="str">
        <f>IFERROR(__xludf.DUMMYFUNCTION("""COMPUTED_VALUE"""),"Sem Start Date →")</f>
        <v>Sem Start Date →</v>
      </c>
      <c r="B2" s="75">
        <f>IFERROR(__xludf.DUMMYFUNCTION("""COMPUTED_VALUE"""),45313.0)</f>
        <v>45313</v>
      </c>
      <c r="C2" s="75">
        <f>IFERROR(__xludf.DUMMYFUNCTION("""COMPUTED_VALUE"""),45544.0)</f>
        <v>45544</v>
      </c>
      <c r="D2" s="75">
        <f>IFERROR(__xludf.DUMMYFUNCTION("""COMPUTED_VALUE"""),45677.0)</f>
        <v>45677</v>
      </c>
      <c r="E2" s="75">
        <f>IFERROR(__xludf.DUMMYFUNCTION("""COMPUTED_VALUE"""),45908.0)</f>
        <v>45908</v>
      </c>
      <c r="F2" s="75">
        <f>IFERROR(__xludf.DUMMYFUNCTION("""COMPUTED_VALUE"""),46041.0)</f>
        <v>46041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76"/>
      <c r="B3" s="76"/>
      <c r="C3" s="76"/>
      <c r="D3" s="76"/>
      <c r="E3" s="76"/>
      <c r="F3" s="76"/>
      <c r="G3" s="76"/>
      <c r="H3" s="76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7" t="str">
        <f>IFERROR(__xludf.DUMMYFUNCTION("""COMPUTED_VALUE"""),"T8 · lbs by Period per Semester  →  stacked bar chart")</f>
        <v>T8 · lbs by Period per Semester  →  stacked bar chart</v>
      </c>
      <c r="B4" s="78"/>
      <c r="C4" s="78"/>
      <c r="D4" s="78"/>
      <c r="E4" s="78"/>
      <c r="F4" s="7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79" t="str">
        <f>IFERROR(__xludf.DUMMYFUNCTION("""COMPUTED_VALUE"""),"Period")</f>
        <v>Period</v>
      </c>
      <c r="B5" s="80" t="str">
        <f>IFERROR(__xludf.DUMMYFUNCTION("""COMPUTED_VALUE"""),"S24")</f>
        <v>S24</v>
      </c>
      <c r="C5" s="80" t="str">
        <f>IFERROR(__xludf.DUMMYFUNCTION("""COMPUTED_VALUE"""),"F24")</f>
        <v>F24</v>
      </c>
      <c r="D5" s="80" t="str">
        <f>IFERROR(__xludf.DUMMYFUNCTION("""COMPUTED_VALUE"""),"S25")</f>
        <v>S25</v>
      </c>
      <c r="E5" s="80" t="str">
        <f>IFERROR(__xludf.DUMMYFUNCTION("""COMPUTED_VALUE"""),"F25")</f>
        <v>F25</v>
      </c>
      <c r="F5" s="81" t="str">
        <f>IFERROR(__xludf.DUMMYFUNCTION("""COMPUTED_VALUE"""),"S26*")</f>
        <v>S26*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82" t="str">
        <f>IFERROR(__xludf.DUMMYFUNCTION("""COMPUTED_VALUE"""),"Breakfast")</f>
        <v>Breakfast</v>
      </c>
      <c r="B6" s="83">
        <f>IFERROR(__xludf.DUMMYFUNCTION("""COMPUTED_VALUE"""),727.1800000000001)</f>
        <v>727.18</v>
      </c>
      <c r="C6" s="83">
        <f>IFERROR(__xludf.DUMMYFUNCTION("""COMPUTED_VALUE"""),2685.0)</f>
        <v>2685</v>
      </c>
      <c r="D6" s="83">
        <f>IFERROR(__xludf.DUMMYFUNCTION("""COMPUTED_VALUE"""),4199.0)</f>
        <v>4199</v>
      </c>
      <c r="E6" s="83">
        <f>IFERROR(__xludf.DUMMYFUNCTION("""COMPUTED_VALUE"""),1851.0)</f>
        <v>1851</v>
      </c>
      <c r="F6" s="84">
        <f>IFERROR(__xludf.DUMMYFUNCTION("""COMPUTED_VALUE"""),2634.0)</f>
        <v>2634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85" t="str">
        <f>IFERROR(__xludf.DUMMYFUNCTION("""COMPUTED_VALUE"""),"Lunch")</f>
        <v>Lunch</v>
      </c>
      <c r="B7" s="86">
        <f>IFERROR(__xludf.DUMMYFUNCTION("""COMPUTED_VALUE"""),3747.78)</f>
        <v>3747.78</v>
      </c>
      <c r="C7" s="86">
        <f>IFERROR(__xludf.DUMMYFUNCTION("""COMPUTED_VALUE"""),12163.0)</f>
        <v>12163</v>
      </c>
      <c r="D7" s="86">
        <f>IFERROR(__xludf.DUMMYFUNCTION("""COMPUTED_VALUE"""),13311.0)</f>
        <v>13311</v>
      </c>
      <c r="E7" s="86">
        <f>IFERROR(__xludf.DUMMYFUNCTION("""COMPUTED_VALUE"""),14184.5)</f>
        <v>14184.5</v>
      </c>
      <c r="F7" s="87">
        <f>IFERROR(__xludf.DUMMYFUNCTION("""COMPUTED_VALUE"""),9821.0)</f>
        <v>9821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82" t="str">
        <f>IFERROR(__xludf.DUMMYFUNCTION("""COMPUTED_VALUE"""),"Dinner")</f>
        <v>Dinner</v>
      </c>
      <c r="B8" s="83">
        <f>IFERROR(__xludf.DUMMYFUNCTION("""COMPUTED_VALUE"""),2431.9)</f>
        <v>2431.9</v>
      </c>
      <c r="C8" s="83">
        <f>IFERROR(__xludf.DUMMYFUNCTION("""COMPUTED_VALUE"""),10619.0)</f>
        <v>10619</v>
      </c>
      <c r="D8" s="83">
        <f>IFERROR(__xludf.DUMMYFUNCTION("""COMPUTED_VALUE"""),13563.0)</f>
        <v>13563</v>
      </c>
      <c r="E8" s="83">
        <f>IFERROR(__xludf.DUMMYFUNCTION("""COMPUTED_VALUE"""),15726.5)</f>
        <v>15726.5</v>
      </c>
      <c r="F8" s="84">
        <f>IFERROR(__xludf.DUMMYFUNCTION("""COMPUTED_VALUE"""),13964.0)</f>
        <v>13964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85" t="str">
        <f>IFERROR(__xludf.DUMMYFUNCTION("""COMPUTED_VALUE"""),"Breakfast/Lunch")</f>
        <v>Breakfast/Lunch</v>
      </c>
      <c r="B9" s="86">
        <f>IFERROR(__xludf.DUMMYFUNCTION("""COMPUTED_VALUE"""),0.0)</f>
        <v>0</v>
      </c>
      <c r="C9" s="86">
        <f>IFERROR(__xludf.DUMMYFUNCTION("""COMPUTED_VALUE"""),919.0)</f>
        <v>919</v>
      </c>
      <c r="D9" s="86">
        <f>IFERROR(__xludf.DUMMYFUNCTION("""COMPUTED_VALUE"""),0.0)</f>
        <v>0</v>
      </c>
      <c r="E9" s="86">
        <f>IFERROR(__xludf.DUMMYFUNCTION("""COMPUTED_VALUE"""),1675.0)</f>
        <v>1675</v>
      </c>
      <c r="F9" s="87">
        <f>IFERROR(__xludf.DUMMYFUNCTION("""COMPUTED_VALUE"""),2141.0)</f>
        <v>2141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88" t="str">
        <f>IFERROR(__xludf.DUMMYFUNCTION("""COMPUTED_VALUE"""),"Total")</f>
        <v>Total</v>
      </c>
      <c r="B10" s="89">
        <f>IFERROR(__xludf.DUMMYFUNCTION("""COMPUTED_VALUE"""),6906.860000000001)</f>
        <v>6906.86</v>
      </c>
      <c r="C10" s="89">
        <f>IFERROR(__xludf.DUMMYFUNCTION("""COMPUTED_VALUE"""),26386.0)</f>
        <v>26386</v>
      </c>
      <c r="D10" s="89">
        <f>IFERROR(__xludf.DUMMYFUNCTION("""COMPUTED_VALUE"""),31073.0)</f>
        <v>31073</v>
      </c>
      <c r="E10" s="89">
        <f>IFERROR(__xludf.DUMMYFUNCTION("""COMPUTED_VALUE"""),33437.0)</f>
        <v>33437</v>
      </c>
      <c r="F10" s="90">
        <f>IFERROR(__xludf.DUMMYFUNCTION("""COMPUTED_VALUE"""),28560.0)</f>
        <v>28560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91" t="str">
        <f>IFERROR(__xludf.DUMMYFUNCTION("""COMPUTED_VALUE"""),"† S24: period approximated from timestamp hour (B: 6–11am, L: 11am–4pm, D: 4–10pm). Dining Hall unavailable for S24.")</f>
        <v>† S24: period approximated from timestamp hour (B: 6–11am, L: 11am–4pm, D: 4–10pm). Dining Hall unavailable for S24.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92"/>
      <c r="B12" s="92"/>
      <c r="C12" s="92"/>
      <c r="D12" s="92"/>
      <c r="E12" s="92"/>
      <c r="F12" s="92"/>
      <c r="G12" s="92"/>
      <c r="H12" s="92"/>
      <c r="I12" s="9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77" t="str">
        <f>IFERROR(__xludf.DUMMYFUNCTION("""COMPUTED_VALUE"""),"T9 · lbs by Period × Hall per Semester  →  grouped bar / heatmap")</f>
        <v>T9 · lbs by Period × Hall per Semester  →  grouped bar / heatmap</v>
      </c>
      <c r="B13" s="78"/>
      <c r="C13" s="78"/>
      <c r="D13" s="78"/>
      <c r="E13" s="78"/>
      <c r="F13" s="78"/>
      <c r="G13" s="78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79" t="str">
        <f>IFERROR(__xludf.DUMMYFUNCTION("""COMPUTED_VALUE"""),"Period")</f>
        <v>Period</v>
      </c>
      <c r="B14" s="80" t="str">
        <f>IFERROR(__xludf.DUMMYFUNCTION("""COMPUTED_VALUE"""),"Hall")</f>
        <v>Hall</v>
      </c>
      <c r="C14" s="80" t="str">
        <f>IFERROR(__xludf.DUMMYFUNCTION("""COMPUTED_VALUE"""),"S24")</f>
        <v>S24</v>
      </c>
      <c r="D14" s="80" t="str">
        <f>IFERROR(__xludf.DUMMYFUNCTION("""COMPUTED_VALUE"""),"F24")</f>
        <v>F24</v>
      </c>
      <c r="E14" s="80" t="str">
        <f>IFERROR(__xludf.DUMMYFUNCTION("""COMPUTED_VALUE"""),"S25")</f>
        <v>S25</v>
      </c>
      <c r="F14" s="80" t="str">
        <f>IFERROR(__xludf.DUMMYFUNCTION("""COMPUTED_VALUE"""),"F25")</f>
        <v>F25</v>
      </c>
      <c r="G14" s="81" t="str">
        <f>IFERROR(__xludf.DUMMYFUNCTION("""COMPUTED_VALUE"""),"S26*")</f>
        <v>S26*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82" t="str">
        <f>IFERROR(__xludf.DUMMYFUNCTION("""COMPUTED_VALUE"""),"Dinner")</f>
        <v>Dinner</v>
      </c>
      <c r="B15" s="93" t="str">
        <f>IFERROR(__xludf.DUMMYFUNCTION("""COMPUTED_VALUE"""),"MF")</f>
        <v>MF</v>
      </c>
      <c r="C15" s="83">
        <f>IFERROR(__xludf.DUMMYFUNCTION("""COMPUTED_VALUE"""),0.0)</f>
        <v>0</v>
      </c>
      <c r="D15" s="83">
        <f>IFERROR(__xludf.DUMMYFUNCTION("""COMPUTED_VALUE"""),5145.0)</f>
        <v>5145</v>
      </c>
      <c r="E15" s="83">
        <f>IFERROR(__xludf.DUMMYFUNCTION("""COMPUTED_VALUE"""),7476.0)</f>
        <v>7476</v>
      </c>
      <c r="F15" s="83">
        <f>IFERROR(__xludf.DUMMYFUNCTION("""COMPUTED_VALUE"""),8260.0)</f>
        <v>8260</v>
      </c>
      <c r="G15" s="84">
        <f>IFERROR(__xludf.DUMMYFUNCTION("""COMPUTED_VALUE"""),8696.0)</f>
        <v>8696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85" t="str">
        <f>IFERROR(__xludf.DUMMYFUNCTION("""COMPUTED_VALUE"""),"Dinner")</f>
        <v>Dinner</v>
      </c>
      <c r="B16" s="94" t="str">
        <f>IFERROR(__xludf.DUMMYFUNCTION("""COMPUTED_VALUE"""),"BF")</f>
        <v>BF</v>
      </c>
      <c r="C16" s="86">
        <f>IFERROR(__xludf.DUMMYFUNCTION("""COMPUTED_VALUE"""),0.0)</f>
        <v>0</v>
      </c>
      <c r="D16" s="86">
        <f>IFERROR(__xludf.DUMMYFUNCTION("""COMPUTED_VALUE"""),5474.0)</f>
        <v>5474</v>
      </c>
      <c r="E16" s="86">
        <f>IFERROR(__xludf.DUMMYFUNCTION("""COMPUTED_VALUE"""),6087.0)</f>
        <v>6087</v>
      </c>
      <c r="F16" s="86">
        <f>IFERROR(__xludf.DUMMYFUNCTION("""COMPUTED_VALUE"""),7466.5)</f>
        <v>7466.5</v>
      </c>
      <c r="G16" s="87">
        <f>IFERROR(__xludf.DUMMYFUNCTION("""COMPUTED_VALUE"""),5268.0)</f>
        <v>5268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82" t="str">
        <f>IFERROR(__xludf.DUMMYFUNCTION("""COMPUTED_VALUE"""),"Lunch")</f>
        <v>Lunch</v>
      </c>
      <c r="B17" s="93" t="str">
        <f>IFERROR(__xludf.DUMMYFUNCTION("""COMPUTED_VALUE"""),"MF")</f>
        <v>MF</v>
      </c>
      <c r="C17" s="83">
        <f>IFERROR(__xludf.DUMMYFUNCTION("""COMPUTED_VALUE"""),0.0)</f>
        <v>0</v>
      </c>
      <c r="D17" s="83">
        <f>IFERROR(__xludf.DUMMYFUNCTION("""COMPUTED_VALUE"""),6636.0)</f>
        <v>6636</v>
      </c>
      <c r="E17" s="83">
        <f>IFERROR(__xludf.DUMMYFUNCTION("""COMPUTED_VALUE"""),6793.0)</f>
        <v>6793</v>
      </c>
      <c r="F17" s="83">
        <f>IFERROR(__xludf.DUMMYFUNCTION("""COMPUTED_VALUE"""),9189.0)</f>
        <v>9189</v>
      </c>
      <c r="G17" s="84">
        <f>IFERROR(__xludf.DUMMYFUNCTION("""COMPUTED_VALUE"""),6214.0)</f>
        <v>6214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85" t="str">
        <f>IFERROR(__xludf.DUMMYFUNCTION("""COMPUTED_VALUE"""),"Lunch")</f>
        <v>Lunch</v>
      </c>
      <c r="B18" s="94" t="str">
        <f>IFERROR(__xludf.DUMMYFUNCTION("""COMPUTED_VALUE"""),"BF")</f>
        <v>BF</v>
      </c>
      <c r="C18" s="86">
        <f>IFERROR(__xludf.DUMMYFUNCTION("""COMPUTED_VALUE"""),0.0)</f>
        <v>0</v>
      </c>
      <c r="D18" s="86">
        <f>IFERROR(__xludf.DUMMYFUNCTION("""COMPUTED_VALUE"""),5527.0)</f>
        <v>5527</v>
      </c>
      <c r="E18" s="86">
        <f>IFERROR(__xludf.DUMMYFUNCTION("""COMPUTED_VALUE"""),6518.0)</f>
        <v>6518</v>
      </c>
      <c r="F18" s="86">
        <f>IFERROR(__xludf.DUMMYFUNCTION("""COMPUTED_VALUE"""),4995.5)</f>
        <v>4995.5</v>
      </c>
      <c r="G18" s="87">
        <f>IFERROR(__xludf.DUMMYFUNCTION("""COMPUTED_VALUE"""),3607.0)</f>
        <v>3607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82" t="str">
        <f>IFERROR(__xludf.DUMMYFUNCTION("""COMPUTED_VALUE"""),"Breakfast")</f>
        <v>Breakfast</v>
      </c>
      <c r="B19" s="93" t="str">
        <f>IFERROR(__xludf.DUMMYFUNCTION("""COMPUTED_VALUE"""),"BF")</f>
        <v>BF</v>
      </c>
      <c r="C19" s="83">
        <f>IFERROR(__xludf.DUMMYFUNCTION("""COMPUTED_VALUE"""),0.0)</f>
        <v>0</v>
      </c>
      <c r="D19" s="83">
        <f>IFERROR(__xludf.DUMMYFUNCTION("""COMPUTED_VALUE"""),2685.0)</f>
        <v>2685</v>
      </c>
      <c r="E19" s="83">
        <f>IFERROR(__xludf.DUMMYFUNCTION("""COMPUTED_VALUE"""),4199.0)</f>
        <v>4199</v>
      </c>
      <c r="F19" s="83">
        <f>IFERROR(__xludf.DUMMYFUNCTION("""COMPUTED_VALUE"""),1851.0)</f>
        <v>1851</v>
      </c>
      <c r="G19" s="84">
        <f>IFERROR(__xludf.DUMMYFUNCTION("""COMPUTED_VALUE"""),2616.0)</f>
        <v>2616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95" t="str">
        <f>IFERROR(__xludf.DUMMYFUNCTION("""COMPUTED_VALUE"""),"Breakfast/Lunch")</f>
        <v>Breakfast/Lunch</v>
      </c>
      <c r="B20" s="96" t="str">
        <f>IFERROR(__xludf.DUMMYFUNCTION("""COMPUTED_VALUE"""),"BF")</f>
        <v>BF</v>
      </c>
      <c r="C20" s="97">
        <f>IFERROR(__xludf.DUMMYFUNCTION("""COMPUTED_VALUE"""),0.0)</f>
        <v>0</v>
      </c>
      <c r="D20" s="97">
        <f>IFERROR(__xludf.DUMMYFUNCTION("""COMPUTED_VALUE"""),919.0)</f>
        <v>919</v>
      </c>
      <c r="E20" s="97">
        <f>IFERROR(__xludf.DUMMYFUNCTION("""COMPUTED_VALUE"""),0.0)</f>
        <v>0</v>
      </c>
      <c r="F20" s="97">
        <f>IFERROR(__xludf.DUMMYFUNCTION("""COMPUTED_VALUE"""),1675.0)</f>
        <v>1675</v>
      </c>
      <c r="G20" s="98">
        <f>IFERROR(__xludf.DUMMYFUNCTION("""COMPUTED_VALUE"""),2141.0)</f>
        <v>2141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91" t="str">
        <f>IFERROR(__xludf.DUMMYFUNCTION("""COMPUTED_VALUE"""),"† S24: Dining Hall not collected — all S24 values are 0. Rows with &lt; 50 lbs total pruned.")</f>
        <v>† S24: Dining Hall not collected — all S24 values are 0. Rows with &lt; 50 lbs total pruned.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92"/>
      <c r="B22" s="92"/>
      <c r="C22" s="92"/>
      <c r="D22" s="92"/>
      <c r="E22" s="92"/>
      <c r="F22" s="92"/>
      <c r="G22" s="92"/>
      <c r="H22" s="92"/>
      <c r="I22" s="9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77" t="str">
        <f>IFERROR(__xludf.DUMMYFUNCTION("""COMPUTED_VALUE"""),"T10 · Weekly lbs within Semester  →  multi-line overlay chart")</f>
        <v>T10 · Weekly lbs within Semester  →  multi-line overlay chart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79" t="str">
        <f>IFERROR(__xludf.DUMMYFUNCTION("""COMPUTED_VALUE"""),"Week")</f>
        <v>Week</v>
      </c>
      <c r="B24" s="99" t="str">
        <f>IFERROR(__xludf.DUMMYFUNCTION("""COMPUTED_VALUE"""),"Average")</f>
        <v>Average</v>
      </c>
      <c r="C24" s="80" t="str">
        <f>IFERROR(__xludf.DUMMYFUNCTION("""COMPUTED_VALUE"""),"S24")</f>
        <v>S24</v>
      </c>
      <c r="D24" s="100" t="str">
        <f>IFERROR(__xludf.DUMMYFUNCTION("""COMPUTED_VALUE"""),"S24 date")</f>
        <v>S24 date</v>
      </c>
      <c r="E24" s="80" t="str">
        <f>IFERROR(__xludf.DUMMYFUNCTION("""COMPUTED_VALUE"""),"S24 notes")</f>
        <v>S24 notes</v>
      </c>
      <c r="F24" s="100" t="str">
        <f>IFERROR(__xludf.DUMMYFUNCTION("""COMPUTED_VALUE"""),"F24")</f>
        <v>F24</v>
      </c>
      <c r="G24" s="80" t="str">
        <f>IFERROR(__xludf.DUMMYFUNCTION("""COMPUTED_VALUE"""),"F24 date")</f>
        <v>F24 date</v>
      </c>
      <c r="H24" s="100" t="str">
        <f>IFERROR(__xludf.DUMMYFUNCTION("""COMPUTED_VALUE"""),"F24 notes")</f>
        <v>F24 notes</v>
      </c>
      <c r="I24" s="80" t="str">
        <f>IFERROR(__xludf.DUMMYFUNCTION("""COMPUTED_VALUE"""),"S25")</f>
        <v>S25</v>
      </c>
      <c r="J24" s="100" t="str">
        <f>IFERROR(__xludf.DUMMYFUNCTION("""COMPUTED_VALUE"""),"S25 date")</f>
        <v>S25 date</v>
      </c>
      <c r="K24" s="80" t="str">
        <f>IFERROR(__xludf.DUMMYFUNCTION("""COMPUTED_VALUE"""),"S25 notes")</f>
        <v>S25 notes</v>
      </c>
      <c r="L24" s="101" t="str">
        <f>IFERROR(__xludf.DUMMYFUNCTION("""COMPUTED_VALUE"""),"F25")</f>
        <v>F25</v>
      </c>
      <c r="M24" s="13" t="str">
        <f>IFERROR(__xludf.DUMMYFUNCTION("""COMPUTED_VALUE"""),"F25 date")</f>
        <v>F25 date</v>
      </c>
      <c r="N24" s="13" t="str">
        <f>IFERROR(__xludf.DUMMYFUNCTION("""COMPUTED_VALUE"""),"F25 notes")</f>
        <v>F25 notes</v>
      </c>
      <c r="O24" s="13" t="str">
        <f>IFERROR(__xludf.DUMMYFUNCTION("""COMPUTED_VALUE"""),"S26*")</f>
        <v>S26*</v>
      </c>
      <c r="P24" s="13" t="str">
        <f>IFERROR(__xludf.DUMMYFUNCTION("""COMPUTED_VALUE"""),"S26* date")</f>
        <v>S26* date</v>
      </c>
      <c r="Q24" s="13" t="str">
        <f>IFERROR(__xludf.DUMMYFUNCTION("""COMPUTED_VALUE"""),"S26* notes")</f>
        <v>S26* notes</v>
      </c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02">
        <f>IFERROR(__xludf.DUMMYFUNCTION("""COMPUTED_VALUE"""),1.0)</f>
        <v>1</v>
      </c>
      <c r="B25" s="103">
        <f>IFERROR(__xludf.DUMMYFUNCTION("""COMPUTED_VALUE"""),1201.6666666666667)</f>
        <v>1201.666667</v>
      </c>
      <c r="C25" s="104" t="str">
        <f>IFERROR(__xludf.DUMMYFUNCTION("""COMPUTED_VALUE"""),"")</f>
        <v/>
      </c>
      <c r="D25" s="105" t="str">
        <f>IFERROR(__xludf.DUMMYFUNCTION("""COMPUTED_VALUE"""),"S24 · Jan 22, 2024")</f>
        <v>S24 · Jan 22, 2024</v>
      </c>
      <c r="E25" s="83"/>
      <c r="F25" s="105">
        <f>IFERROR(__xludf.DUMMYFUNCTION("""COMPUTED_VALUE"""),1079.0)</f>
        <v>1079</v>
      </c>
      <c r="G25" s="83" t="str">
        <f>IFERROR(__xludf.DUMMYFUNCTION("""COMPUTED_VALUE"""),"F24 · Sep 9, 2024")</f>
        <v>F24 · Sep 9, 2024</v>
      </c>
      <c r="H25" s="106"/>
      <c r="I25" s="83" t="str">
        <f>IFERROR(__xludf.DUMMYFUNCTION("""COMPUTED_VALUE"""),"")</f>
        <v/>
      </c>
      <c r="J25" s="106" t="str">
        <f>IFERROR(__xludf.DUMMYFUNCTION("""COMPUTED_VALUE"""),"S25 · Jan 20, 2025")</f>
        <v>S25 · Jan 20, 2025</v>
      </c>
      <c r="K25" s="83"/>
      <c r="L25" s="107">
        <f>IFERROR(__xludf.DUMMYFUNCTION("""COMPUTED_VALUE"""),2036.0)</f>
        <v>2036</v>
      </c>
      <c r="M25" s="13" t="str">
        <f>IFERROR(__xludf.DUMMYFUNCTION("""COMPUTED_VALUE"""),"F25 · Sep 8, 2025")</f>
        <v>F25 · Sep 8, 2025</v>
      </c>
      <c r="N25" s="13"/>
      <c r="O25" s="108">
        <f>IFERROR(__xludf.DUMMYFUNCTION("""COMPUTED_VALUE"""),490.0)</f>
        <v>490</v>
      </c>
      <c r="P25" s="13" t="str">
        <f>IFERROR(__xludf.DUMMYFUNCTION("""COMPUTED_VALUE"""),"S26* · Jan 19, 2026")</f>
        <v>S26* · Jan 19, 2026</v>
      </c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09">
        <f>IFERROR(__xludf.DUMMYFUNCTION("""COMPUTED_VALUE"""),2.0)</f>
        <v>2</v>
      </c>
      <c r="B26" s="103">
        <f>IFERROR(__xludf.DUMMYFUNCTION("""COMPUTED_VALUE"""),1950.25)</f>
        <v>1950.25</v>
      </c>
      <c r="C26" s="110" t="str">
        <f>IFERROR(__xludf.DUMMYFUNCTION("""COMPUTED_VALUE"""),"")</f>
        <v/>
      </c>
      <c r="D26" s="111" t="str">
        <f>IFERROR(__xludf.DUMMYFUNCTION("""COMPUTED_VALUE"""),"S24 · Jan 29, 2024")</f>
        <v>S24 · Jan 29, 2024</v>
      </c>
      <c r="E26" s="86"/>
      <c r="F26" s="111">
        <f>IFERROR(__xludf.DUMMYFUNCTION("""COMPUTED_VALUE"""),1634.0)</f>
        <v>1634</v>
      </c>
      <c r="G26" s="86" t="str">
        <f>IFERROR(__xludf.DUMMYFUNCTION("""COMPUTED_VALUE"""),"F24 · Sep 16, 2024")</f>
        <v>F24 · Sep 16, 2024</v>
      </c>
      <c r="H26" s="112"/>
      <c r="I26" s="86">
        <f>IFERROR(__xludf.DUMMYFUNCTION("""COMPUTED_VALUE"""),2292.0)</f>
        <v>2292</v>
      </c>
      <c r="J26" s="112" t="str">
        <f>IFERROR(__xludf.DUMMYFUNCTION("""COMPUTED_VALUE"""),"S25 · Jan 27, 2025")</f>
        <v>S25 · Jan 27, 2025</v>
      </c>
      <c r="K26" s="86"/>
      <c r="L26" s="113">
        <f>IFERROR(__xludf.DUMMYFUNCTION("""COMPUTED_VALUE"""),2521.0)</f>
        <v>2521</v>
      </c>
      <c r="M26" s="13" t="str">
        <f>IFERROR(__xludf.DUMMYFUNCTION("""COMPUTED_VALUE"""),"F25 · Sep 15, 2025")</f>
        <v>F25 · Sep 15, 2025</v>
      </c>
      <c r="N26" s="13"/>
      <c r="O26" s="108">
        <f>IFERROR(__xludf.DUMMYFUNCTION("""COMPUTED_VALUE"""),1354.0)</f>
        <v>1354</v>
      </c>
      <c r="P26" s="13" t="str">
        <f>IFERROR(__xludf.DUMMYFUNCTION("""COMPUTED_VALUE"""),"S26* · Jan 26, 2026")</f>
        <v>S26* · Jan 26, 2026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02">
        <f>IFERROR(__xludf.DUMMYFUNCTION("""COMPUTED_VALUE"""),3.0)</f>
        <v>3</v>
      </c>
      <c r="B27" s="103">
        <f>IFERROR(__xludf.DUMMYFUNCTION("""COMPUTED_VALUE"""),2583.5)</f>
        <v>2583.5</v>
      </c>
      <c r="C27" s="104" t="str">
        <f>IFERROR(__xludf.DUMMYFUNCTION("""COMPUTED_VALUE"""),"")</f>
        <v/>
      </c>
      <c r="D27" s="105" t="str">
        <f>IFERROR(__xludf.DUMMYFUNCTION("""COMPUTED_VALUE"""),"S24 · Feb 5, 2024")</f>
        <v>S24 · Feb 5, 2024</v>
      </c>
      <c r="E27" s="83"/>
      <c r="F27" s="105">
        <f>IFERROR(__xludf.DUMMYFUNCTION("""COMPUTED_VALUE"""),1502.0)</f>
        <v>1502</v>
      </c>
      <c r="G27" s="83" t="str">
        <f>IFERROR(__xludf.DUMMYFUNCTION("""COMPUTED_VALUE"""),"F24 · Sep 23, 2024")</f>
        <v>F24 · Sep 23, 2024</v>
      </c>
      <c r="H27" s="106"/>
      <c r="I27" s="83">
        <f>IFERROR(__xludf.DUMMYFUNCTION("""COMPUTED_VALUE"""),2581.0)</f>
        <v>2581</v>
      </c>
      <c r="J27" s="106" t="str">
        <f>IFERROR(__xludf.DUMMYFUNCTION("""COMPUTED_VALUE"""),"S25 · Feb 3, 2025")</f>
        <v>S25 · Feb 3, 2025</v>
      </c>
      <c r="K27" s="83"/>
      <c r="L27" s="107">
        <f>IFERROR(__xludf.DUMMYFUNCTION("""COMPUTED_VALUE"""),2807.0)</f>
        <v>2807</v>
      </c>
      <c r="M27" s="13" t="str">
        <f>IFERROR(__xludf.DUMMYFUNCTION("""COMPUTED_VALUE"""),"F25 · Sep 22, 2025")</f>
        <v>F25 · Sep 22, 2025</v>
      </c>
      <c r="N27" s="13"/>
      <c r="O27" s="108">
        <f>IFERROR(__xludf.DUMMYFUNCTION("""COMPUTED_VALUE"""),3444.0)</f>
        <v>3444</v>
      </c>
      <c r="P27" s="13" t="str">
        <f>IFERROR(__xludf.DUMMYFUNCTION("""COMPUTED_VALUE"""),"S26* · Feb 2, 2026")</f>
        <v>S26* · Feb 2, 2026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09">
        <f>IFERROR(__xludf.DUMMYFUNCTION("""COMPUTED_VALUE"""),4.0)</f>
        <v>4</v>
      </c>
      <c r="B28" s="103">
        <f>IFERROR(__xludf.DUMMYFUNCTION("""COMPUTED_VALUE"""),2654.0)</f>
        <v>2654</v>
      </c>
      <c r="C28" s="110" t="str">
        <f>IFERROR(__xludf.DUMMYFUNCTION("""COMPUTED_VALUE"""),"")</f>
        <v/>
      </c>
      <c r="D28" s="111" t="str">
        <f>IFERROR(__xludf.DUMMYFUNCTION("""COMPUTED_VALUE"""),"S24 · Feb 12, 2024")</f>
        <v>S24 · Feb 12, 2024</v>
      </c>
      <c r="E28" s="86"/>
      <c r="F28" s="111">
        <f>IFERROR(__xludf.DUMMYFUNCTION("""COMPUTED_VALUE"""),2521.0)</f>
        <v>2521</v>
      </c>
      <c r="G28" s="86" t="str">
        <f>IFERROR(__xludf.DUMMYFUNCTION("""COMPUTED_VALUE"""),"F24 · Sep 30, 2024")</f>
        <v>F24 · Sep 30, 2024</v>
      </c>
      <c r="H28" s="112"/>
      <c r="I28" s="86">
        <f>IFERROR(__xludf.DUMMYFUNCTION("""COMPUTED_VALUE"""),2857.0)</f>
        <v>2857</v>
      </c>
      <c r="J28" s="112" t="str">
        <f>IFERROR(__xludf.DUMMYFUNCTION("""COMPUTED_VALUE"""),"S25 · Feb 10, 2025")</f>
        <v>S25 · Feb 10, 2025</v>
      </c>
      <c r="K28" s="86"/>
      <c r="L28" s="113">
        <f>IFERROR(__xludf.DUMMYFUNCTION("""COMPUTED_VALUE"""),2637.0)</f>
        <v>2637</v>
      </c>
      <c r="M28" s="13" t="str">
        <f>IFERROR(__xludf.DUMMYFUNCTION("""COMPUTED_VALUE"""),"F25 · Sep 29, 2025")</f>
        <v>F25 · Sep 29, 2025</v>
      </c>
      <c r="N28" s="13"/>
      <c r="O28" s="108">
        <f>IFERROR(__xludf.DUMMYFUNCTION("""COMPUTED_VALUE"""),2601.0)</f>
        <v>2601</v>
      </c>
      <c r="P28" s="13" t="str">
        <f>IFERROR(__xludf.DUMMYFUNCTION("""COMPUTED_VALUE"""),"S26* · Feb 9, 2026")</f>
        <v>S26* · Feb 9, 2026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02">
        <f>IFERROR(__xludf.DUMMYFUNCTION("""COMPUTED_VALUE"""),5.0)</f>
        <v>5</v>
      </c>
      <c r="B29" s="103">
        <f>IFERROR(__xludf.DUMMYFUNCTION("""COMPUTED_VALUE"""),2372.0)</f>
        <v>2372</v>
      </c>
      <c r="C29" s="104" t="str">
        <f>IFERROR(__xludf.DUMMYFUNCTION("""COMPUTED_VALUE"""),"")</f>
        <v/>
      </c>
      <c r="D29" s="105" t="str">
        <f>IFERROR(__xludf.DUMMYFUNCTION("""COMPUTED_VALUE"""),"S24 · Feb 19, 2024")</f>
        <v>S24 · Feb 19, 2024</v>
      </c>
      <c r="E29" s="83"/>
      <c r="F29" s="105">
        <f>IFERROR(__xludf.DUMMYFUNCTION("""COMPUTED_VALUE"""),2246.0)</f>
        <v>2246</v>
      </c>
      <c r="G29" s="83" t="str">
        <f>IFERROR(__xludf.DUMMYFUNCTION("""COMPUTED_VALUE"""),"F24 · Oct 7, 2024")</f>
        <v>F24 · Oct 7, 2024</v>
      </c>
      <c r="H29" s="106"/>
      <c r="I29" s="83">
        <f>IFERROR(__xludf.DUMMYFUNCTION("""COMPUTED_VALUE"""),2372.0)</f>
        <v>2372</v>
      </c>
      <c r="J29" s="106" t="str">
        <f>IFERROR(__xludf.DUMMYFUNCTION("""COMPUTED_VALUE"""),"S25 · Feb 17, 2025")</f>
        <v>S25 · Feb 17, 2025</v>
      </c>
      <c r="K29" s="83"/>
      <c r="L29" s="107">
        <f>IFERROR(__xludf.DUMMYFUNCTION("""COMPUTED_VALUE"""),2198.0)</f>
        <v>2198</v>
      </c>
      <c r="M29" s="13" t="str">
        <f>IFERROR(__xludf.DUMMYFUNCTION("""COMPUTED_VALUE"""),"F25 · Oct 6, 2025")</f>
        <v>F25 · Oct 6, 2025</v>
      </c>
      <c r="N29" s="13"/>
      <c r="O29" s="108">
        <f>IFERROR(__xludf.DUMMYFUNCTION("""COMPUTED_VALUE"""),2672.0)</f>
        <v>2672</v>
      </c>
      <c r="P29" s="13" t="str">
        <f>IFERROR(__xludf.DUMMYFUNCTION("""COMPUTED_VALUE"""),"S26* · Feb 16, 2026")</f>
        <v>S26* · Feb 16, 2026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09">
        <f>IFERROR(__xludf.DUMMYFUNCTION("""COMPUTED_VALUE"""),6.0)</f>
        <v>6</v>
      </c>
      <c r="B30" s="103">
        <f>IFERROR(__xludf.DUMMYFUNCTION("""COMPUTED_VALUE"""),1751.0)</f>
        <v>1751</v>
      </c>
      <c r="C30" s="110" t="str">
        <f>IFERROR(__xludf.DUMMYFUNCTION("""COMPUTED_VALUE"""),"")</f>
        <v/>
      </c>
      <c r="D30" s="111" t="str">
        <f>IFERROR(__xludf.DUMMYFUNCTION("""COMPUTED_VALUE"""),"S24 · Feb 26, 2024")</f>
        <v>S24 · Feb 26, 2024</v>
      </c>
      <c r="E30" s="86"/>
      <c r="F30" s="111">
        <f>IFERROR(__xludf.DUMMYFUNCTION("""COMPUTED_VALUE"""),1921.0)</f>
        <v>1921</v>
      </c>
      <c r="G30" s="86" t="str">
        <f>IFERROR(__xludf.DUMMYFUNCTION("""COMPUTED_VALUE"""),"F24 · Oct 14, 2024")</f>
        <v>F24 · Oct 14, 2024</v>
      </c>
      <c r="H30" s="112" t="str">
        <f>IFERROR(__xludf.DUMMYFUNCTION("""COMPUTED_VALUE"""),"Columbus Day")</f>
        <v>Columbus Day</v>
      </c>
      <c r="I30" s="86">
        <f>IFERROR(__xludf.DUMMYFUNCTION("""COMPUTED_VALUE"""),2607.0)</f>
        <v>2607</v>
      </c>
      <c r="J30" s="112" t="str">
        <f>IFERROR(__xludf.DUMMYFUNCTION("""COMPUTED_VALUE"""),"S25 · Feb 24, 2025")</f>
        <v>S25 · Feb 24, 2025</v>
      </c>
      <c r="K30" s="86"/>
      <c r="L30" s="113">
        <f>IFERROR(__xludf.DUMMYFUNCTION("""COMPUTED_VALUE"""),1860.0)</f>
        <v>1860</v>
      </c>
      <c r="M30" s="13" t="str">
        <f>IFERROR(__xludf.DUMMYFUNCTION("""COMPUTED_VALUE"""),"F25 · Oct 13, 2025")</f>
        <v>F25 · Oct 13, 2025</v>
      </c>
      <c r="N30" s="13" t="str">
        <f>IFERROR(__xludf.DUMMYFUNCTION("""COMPUTED_VALUE"""),"Columbus Day")</f>
        <v>Columbus Day</v>
      </c>
      <c r="O30" s="108">
        <f>IFERROR(__xludf.DUMMYFUNCTION("""COMPUTED_VALUE"""),616.0)</f>
        <v>616</v>
      </c>
      <c r="P30" s="13" t="str">
        <f>IFERROR(__xludf.DUMMYFUNCTION("""COMPUTED_VALUE"""),"S26* · Feb 23, 2026")</f>
        <v>S26* · Feb 23, 2026</v>
      </c>
      <c r="Q30" s="13" t="str">
        <f>IFERROR(__xludf.DUMMYFUNCTION("""COMPUTED_VALUE"""),"3 snow days")</f>
        <v>3 snow days</v>
      </c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02">
        <f>IFERROR(__xludf.DUMMYFUNCTION("""COMPUTED_VALUE"""),7.0)</f>
        <v>7</v>
      </c>
      <c r="B31" s="103">
        <f>IFERROR(__xludf.DUMMYFUNCTION("""COMPUTED_VALUE"""),2558.75)</f>
        <v>2558.75</v>
      </c>
      <c r="C31" s="104" t="str">
        <f>IFERROR(__xludf.DUMMYFUNCTION("""COMPUTED_VALUE"""),"")</f>
        <v/>
      </c>
      <c r="D31" s="105" t="str">
        <f>IFERROR(__xludf.DUMMYFUNCTION("""COMPUTED_VALUE"""),"S24 · Mar 4, 2024")</f>
        <v>S24 · Mar 4, 2024</v>
      </c>
      <c r="E31" s="83"/>
      <c r="F31" s="105">
        <f>IFERROR(__xludf.DUMMYFUNCTION("""COMPUTED_VALUE"""),2697.0)</f>
        <v>2697</v>
      </c>
      <c r="G31" s="104" t="str">
        <f>IFERROR(__xludf.DUMMYFUNCTION("""COMPUTED_VALUE"""),"F24 · Oct 21, 2024")</f>
        <v>F24 · Oct 21, 2024</v>
      </c>
      <c r="H31" s="106"/>
      <c r="I31" s="83">
        <f>IFERROR(__xludf.DUMMYFUNCTION("""COMPUTED_VALUE"""),2059.0)</f>
        <v>2059</v>
      </c>
      <c r="J31" s="106" t="str">
        <f>IFERROR(__xludf.DUMMYFUNCTION("""COMPUTED_VALUE"""),"S25 · Mar 3, 2025")</f>
        <v>S25 · Mar 3, 2025</v>
      </c>
      <c r="K31" s="83"/>
      <c r="L31" s="107">
        <f>IFERROR(__xludf.DUMMYFUNCTION("""COMPUTED_VALUE"""),2852.0)</f>
        <v>2852</v>
      </c>
      <c r="M31" s="13" t="str">
        <f>IFERROR(__xludf.DUMMYFUNCTION("""COMPUTED_VALUE"""),"F25 · Oct 20, 2025")</f>
        <v>F25 · Oct 20, 2025</v>
      </c>
      <c r="N31" s="13"/>
      <c r="O31" s="108">
        <f>IFERROR(__xludf.DUMMYFUNCTION("""COMPUTED_VALUE"""),2627.0)</f>
        <v>2627</v>
      </c>
      <c r="P31" s="13" t="str">
        <f>IFERROR(__xludf.DUMMYFUNCTION("""COMPUTED_VALUE"""),"S26* · Mar 2, 2026")</f>
        <v>S26* · Mar 2, 2026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09">
        <f>IFERROR(__xludf.DUMMYFUNCTION("""COMPUTED_VALUE"""),8.0)</f>
        <v>8</v>
      </c>
      <c r="B32" s="103">
        <f>IFERROR(__xludf.DUMMYFUNCTION("""COMPUTED_VALUE"""),2717.0)</f>
        <v>2717</v>
      </c>
      <c r="C32" s="110" t="str">
        <f>IFERROR(__xludf.DUMMYFUNCTION("""COMPUTED_VALUE"""),"")</f>
        <v/>
      </c>
      <c r="D32" s="111" t="str">
        <f>IFERROR(__xludf.DUMMYFUNCTION("""COMPUTED_VALUE"""),"S24 · Mar 11, 2024")</f>
        <v>S24 · Mar 11, 2024</v>
      </c>
      <c r="E32" s="86"/>
      <c r="F32" s="111">
        <f>IFERROR(__xludf.DUMMYFUNCTION("""COMPUTED_VALUE"""),2343.0)</f>
        <v>2343</v>
      </c>
      <c r="G32" s="86" t="str">
        <f>IFERROR(__xludf.DUMMYFUNCTION("""COMPUTED_VALUE"""),"F24 · Oct 28, 2024")</f>
        <v>F24 · Oct 28, 2024</v>
      </c>
      <c r="H32" s="112"/>
      <c r="I32" s="86" t="str">
        <f>IFERROR(__xludf.DUMMYFUNCTION("""COMPUTED_VALUE"""),"")</f>
        <v/>
      </c>
      <c r="J32" s="112" t="str">
        <f>IFERROR(__xludf.DUMMYFUNCTION("""COMPUTED_VALUE"""),"S25 · Mar 10, 2025")</f>
        <v>S25 · Mar 10, 2025</v>
      </c>
      <c r="K32" s="86" t="str">
        <f>IFERROR(__xludf.DUMMYFUNCTION("""COMPUTED_VALUE"""),"spring break")</f>
        <v>spring break</v>
      </c>
      <c r="L32" s="113">
        <f>IFERROR(__xludf.DUMMYFUNCTION("""COMPUTED_VALUE"""),3078.0)</f>
        <v>3078</v>
      </c>
      <c r="M32" s="13" t="str">
        <f>IFERROR(__xludf.DUMMYFUNCTION("""COMPUTED_VALUE"""),"F25 · Oct 27, 2025")</f>
        <v>F25 · Oct 27, 2025</v>
      </c>
      <c r="N32" s="13"/>
      <c r="O32" s="108">
        <f>IFERROR(__xludf.DUMMYFUNCTION("""COMPUTED_VALUE"""),2730.0)</f>
        <v>2730</v>
      </c>
      <c r="P32" s="13" t="str">
        <f>IFERROR(__xludf.DUMMYFUNCTION("""COMPUTED_VALUE"""),"S26* · Mar 9, 2026")</f>
        <v>S26* · Mar 9, 2026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02">
        <f>IFERROR(__xludf.DUMMYFUNCTION("""COMPUTED_VALUE"""),9.0)</f>
        <v>9</v>
      </c>
      <c r="B33" s="103">
        <f>IFERROR(__xludf.DUMMYFUNCTION("""COMPUTED_VALUE"""),2023.115)</f>
        <v>2023.115</v>
      </c>
      <c r="C33" s="83">
        <f>IFERROR(__xludf.DUMMYFUNCTION("""COMPUTED_VALUE"""),744.46)</f>
        <v>744.46</v>
      </c>
      <c r="D33" s="105" t="str">
        <f>IFERROR(__xludf.DUMMYFUNCTION("""COMPUTED_VALUE"""),"S24 · Mar 18, 2024")</f>
        <v>S24 · Mar 18, 2024</v>
      </c>
      <c r="E33" s="83"/>
      <c r="F33" s="105">
        <f>IFERROR(__xludf.DUMMYFUNCTION("""COMPUTED_VALUE"""),2007.0)</f>
        <v>2007</v>
      </c>
      <c r="G33" s="83" t="str">
        <f>IFERROR(__xludf.DUMMYFUNCTION("""COMPUTED_VALUE"""),"F24 · Oct 29, 2024")</f>
        <v>F24 · Oct 29, 2024</v>
      </c>
      <c r="H33" s="106"/>
      <c r="I33" s="83">
        <f>IFERROR(__xludf.DUMMYFUNCTION("""COMPUTED_VALUE"""),2401.0)</f>
        <v>2401</v>
      </c>
      <c r="J33" s="106" t="str">
        <f>IFERROR(__xludf.DUMMYFUNCTION("""COMPUTED_VALUE"""),"S25 · Mar 17, 2025")</f>
        <v>S25 · Mar 17, 2025</v>
      </c>
      <c r="K33" s="104"/>
      <c r="L33" s="107">
        <f>IFERROR(__xludf.DUMMYFUNCTION("""COMPUTED_VALUE"""),2940.0)</f>
        <v>2940</v>
      </c>
      <c r="M33" s="13" t="str">
        <f>IFERROR(__xludf.DUMMYFUNCTION("""COMPUTED_VALUE"""),"F25 · Oct 28, 2025")</f>
        <v>F25 · Oct 28, 2025</v>
      </c>
      <c r="N33" s="13"/>
      <c r="O33" s="108" t="str">
        <f>IFERROR(__xludf.DUMMYFUNCTION("""COMPUTED_VALUE"""),"")</f>
        <v/>
      </c>
      <c r="P33" s="13" t="str">
        <f>IFERROR(__xludf.DUMMYFUNCTION("""COMPUTED_VALUE"""),"S26* · Mar 16, 2026")</f>
        <v>S26* · Mar 16, 2026</v>
      </c>
      <c r="Q33" s="13" t="str">
        <f>IFERROR(__xludf.DUMMYFUNCTION("""COMPUTED_VALUE"""),"spring break")</f>
        <v>spring break</v>
      </c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09">
        <f>IFERROR(__xludf.DUMMYFUNCTION("""COMPUTED_VALUE"""),10.0)</f>
        <v>10</v>
      </c>
      <c r="B34" s="103">
        <f>IFERROR(__xludf.DUMMYFUNCTION("""COMPUTED_VALUE"""),2111.02)</f>
        <v>2111.02</v>
      </c>
      <c r="C34" s="86">
        <f>IFERROR(__xludf.DUMMYFUNCTION("""COMPUTED_VALUE"""),1473.1)</f>
        <v>1473.1</v>
      </c>
      <c r="D34" s="111" t="str">
        <f>IFERROR(__xludf.DUMMYFUNCTION("""COMPUTED_VALUE"""),"S24 · Mar 25, 2024")</f>
        <v>S24 · Mar 25, 2024</v>
      </c>
      <c r="E34" s="86"/>
      <c r="F34" s="111">
        <f>IFERROR(__xludf.DUMMYFUNCTION("""COMPUTED_VALUE"""),1977.0)</f>
        <v>1977</v>
      </c>
      <c r="G34" s="86" t="str">
        <f>IFERROR(__xludf.DUMMYFUNCTION("""COMPUTED_VALUE"""),"F24 · Nov 4, 2024")</f>
        <v>F24 · Nov 4, 2024</v>
      </c>
      <c r="H34" s="112"/>
      <c r="I34" s="86">
        <f>IFERROR(__xludf.DUMMYFUNCTION("""COMPUTED_VALUE"""),2181.0)</f>
        <v>2181</v>
      </c>
      <c r="J34" s="112" t="str">
        <f>IFERROR(__xludf.DUMMYFUNCTION("""COMPUTED_VALUE"""),"S25 · Mar 24, 2025")</f>
        <v>S25 · Mar 24, 2025</v>
      </c>
      <c r="K34" s="110"/>
      <c r="L34" s="113">
        <f>IFERROR(__xludf.DUMMYFUNCTION("""COMPUTED_VALUE"""),2468.0)</f>
        <v>2468</v>
      </c>
      <c r="M34" s="13" t="str">
        <f>IFERROR(__xludf.DUMMYFUNCTION("""COMPUTED_VALUE"""),"F25 · Nov 3, 2025")</f>
        <v>F25 · Nov 3, 2025</v>
      </c>
      <c r="N34" s="13"/>
      <c r="O34" s="108">
        <f>IFERROR(__xludf.DUMMYFUNCTION("""COMPUTED_VALUE"""),2456.0)</f>
        <v>2456</v>
      </c>
      <c r="P34" s="13" t="str">
        <f>IFERROR(__xludf.DUMMYFUNCTION("""COMPUTED_VALUE"""),"S26* · Mar 23, 2026")</f>
        <v>S26* · Mar 23, 2026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02">
        <f>IFERROR(__xludf.DUMMYFUNCTION("""COMPUTED_VALUE"""),11.0)</f>
        <v>11</v>
      </c>
      <c r="B35" s="103">
        <f>IFERROR(__xludf.DUMMYFUNCTION("""COMPUTED_VALUE"""),2227.6)</f>
        <v>2227.6</v>
      </c>
      <c r="C35" s="83">
        <f>IFERROR(__xludf.DUMMYFUNCTION("""COMPUTED_VALUE"""),877.0)</f>
        <v>877</v>
      </c>
      <c r="D35" s="105" t="str">
        <f>IFERROR(__xludf.DUMMYFUNCTION("""COMPUTED_VALUE"""),"S24 · Apr 1, 2024")</f>
        <v>S24 · Apr 1, 2024</v>
      </c>
      <c r="E35" s="83"/>
      <c r="F35" s="105">
        <f>IFERROR(__xludf.DUMMYFUNCTION("""COMPUTED_VALUE"""),2065.0)</f>
        <v>2065</v>
      </c>
      <c r="G35" s="83" t="str">
        <f>IFERROR(__xludf.DUMMYFUNCTION("""COMPUTED_VALUE"""),"F24 · Nov 11, 2024")</f>
        <v>F24 · Nov 11, 2024</v>
      </c>
      <c r="H35" s="106"/>
      <c r="I35" s="83">
        <f>IFERROR(__xludf.DUMMYFUNCTION("""COMPUTED_VALUE"""),2134.0)</f>
        <v>2134</v>
      </c>
      <c r="J35" s="106" t="str">
        <f>IFERROR(__xludf.DUMMYFUNCTION("""COMPUTED_VALUE"""),"S25 · Mar 31, 2025")</f>
        <v>S25 · Mar 31, 2025</v>
      </c>
      <c r="K35" s="104"/>
      <c r="L35" s="107">
        <f>IFERROR(__xludf.DUMMYFUNCTION("""COMPUTED_VALUE"""),3196.0)</f>
        <v>3196</v>
      </c>
      <c r="M35" s="13" t="str">
        <f>IFERROR(__xludf.DUMMYFUNCTION("""COMPUTED_VALUE"""),"F25 · Nov 10, 2025")</f>
        <v>F25 · Nov 10, 2025</v>
      </c>
      <c r="N35" s="13"/>
      <c r="O35" s="108">
        <f>IFERROR(__xludf.DUMMYFUNCTION("""COMPUTED_VALUE"""),2866.0)</f>
        <v>2866</v>
      </c>
      <c r="P35" s="13" t="str">
        <f>IFERROR(__xludf.DUMMYFUNCTION("""COMPUTED_VALUE"""),"S26* · Mar 30, 2026")</f>
        <v>S26* · Mar 30, 2026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09">
        <f>IFERROR(__xludf.DUMMYFUNCTION("""COMPUTED_VALUE"""),12.0)</f>
        <v>12</v>
      </c>
      <c r="B36" s="103">
        <f>IFERROR(__xludf.DUMMYFUNCTION("""COMPUTED_VALUE"""),1567.8799999999999)</f>
        <v>1567.88</v>
      </c>
      <c r="C36" s="86">
        <f>IFERROR(__xludf.DUMMYFUNCTION("""COMPUTED_VALUE"""),1328.4)</f>
        <v>1328.4</v>
      </c>
      <c r="D36" s="111" t="str">
        <f>IFERROR(__xludf.DUMMYFUNCTION("""COMPUTED_VALUE"""),"S24 · Apr 8, 2024")</f>
        <v>S24 · Apr 8, 2024</v>
      </c>
      <c r="E36" s="86"/>
      <c r="F36" s="111">
        <f>IFERROR(__xludf.DUMMYFUNCTION("""COMPUTED_VALUE"""),322.0)</f>
        <v>322</v>
      </c>
      <c r="G36" s="86" t="str">
        <f>IFERROR(__xludf.DUMMYFUNCTION("""COMPUTED_VALUE"""),"F24 · Nov 18, 2024")</f>
        <v>F24 · Nov 18, 2024</v>
      </c>
      <c r="H36" s="112" t="str">
        <f>IFERROR(__xludf.DUMMYFUNCTION("""COMPUTED_VALUE"""),"Thanksgiving")</f>
        <v>Thanksgiving</v>
      </c>
      <c r="I36" s="86">
        <f>IFERROR(__xludf.DUMMYFUNCTION("""COMPUTED_VALUE"""),2389.0)</f>
        <v>2389</v>
      </c>
      <c r="J36" s="112" t="str">
        <f>IFERROR(__xludf.DUMMYFUNCTION("""COMPUTED_VALUE"""),"S25 · Apr 7, 2025")</f>
        <v>S25 · Apr 7, 2025</v>
      </c>
      <c r="K36" s="110"/>
      <c r="L36" s="113">
        <f>IFERROR(__xludf.DUMMYFUNCTION("""COMPUTED_VALUE"""),674.0)</f>
        <v>674</v>
      </c>
      <c r="M36" s="13" t="str">
        <f>IFERROR(__xludf.DUMMYFUNCTION("""COMPUTED_VALUE"""),"F25 · Nov 17, 2025")</f>
        <v>F25 · Nov 17, 2025</v>
      </c>
      <c r="N36" s="13" t="str">
        <f>IFERROR(__xludf.DUMMYFUNCTION("""COMPUTED_VALUE"""),"Thanksgiving")</f>
        <v>Thanksgiving</v>
      </c>
      <c r="O36" s="108">
        <f>IFERROR(__xludf.DUMMYFUNCTION("""COMPUTED_VALUE"""),3126.0)</f>
        <v>3126</v>
      </c>
      <c r="P36" s="13" t="str">
        <f>IFERROR(__xludf.DUMMYFUNCTION("""COMPUTED_VALUE"""),"S26* · Apr 6, 2026")</f>
        <v>S26* · Apr 6, 2026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02">
        <f>IFERROR(__xludf.DUMMYFUNCTION("""COMPUTED_VALUE"""),13.0)</f>
        <v>13</v>
      </c>
      <c r="B37" s="103">
        <f>IFERROR(__xludf.DUMMYFUNCTION("""COMPUTED_VALUE"""),2323.58)</f>
        <v>2323.58</v>
      </c>
      <c r="C37" s="83">
        <f>IFERROR(__xludf.DUMMYFUNCTION("""COMPUTED_VALUE"""),1418.9)</f>
        <v>1418.9</v>
      </c>
      <c r="D37" s="105" t="str">
        <f>IFERROR(__xludf.DUMMYFUNCTION("""COMPUTED_VALUE"""),"S24 · Apr 15, 2024")</f>
        <v>S24 · Apr 15, 2024</v>
      </c>
      <c r="E37" s="83"/>
      <c r="F37" s="105">
        <f>IFERROR(__xludf.DUMMYFUNCTION("""COMPUTED_VALUE"""),2408.0)</f>
        <v>2408</v>
      </c>
      <c r="G37" s="83" t="str">
        <f>IFERROR(__xludf.DUMMYFUNCTION("""COMPUTED_VALUE"""),"F24 · Nov 25, 2024")</f>
        <v>F24 · Nov 25, 2024</v>
      </c>
      <c r="H37" s="106"/>
      <c r="I37" s="83">
        <f>IFERROR(__xludf.DUMMYFUNCTION("""COMPUTED_VALUE"""),2647.0)</f>
        <v>2647</v>
      </c>
      <c r="J37" s="106" t="str">
        <f>IFERROR(__xludf.DUMMYFUNCTION("""COMPUTED_VALUE"""),"S25 · Apr 14, 2025")</f>
        <v>S25 · Apr 14, 2025</v>
      </c>
      <c r="K37" s="104"/>
      <c r="L37" s="107">
        <f>IFERROR(__xludf.DUMMYFUNCTION("""COMPUTED_VALUE"""),2701.0)</f>
        <v>2701</v>
      </c>
      <c r="M37" s="13" t="str">
        <f>IFERROR(__xludf.DUMMYFUNCTION("""COMPUTED_VALUE"""),"F25 · Nov 24, 2025")</f>
        <v>F25 · Nov 24, 2025</v>
      </c>
      <c r="N37" s="13"/>
      <c r="O37" s="108">
        <f>IFERROR(__xludf.DUMMYFUNCTION("""COMPUTED_VALUE"""),2443.0)</f>
        <v>2443</v>
      </c>
      <c r="P37" s="13" t="str">
        <f>IFERROR(__xludf.DUMMYFUNCTION("""COMPUTED_VALUE"""),"S26* · Apr 13, 2026")</f>
        <v>S26* · Apr 13, 2026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4">
        <f>IFERROR(__xludf.DUMMYFUNCTION("""COMPUTED_VALUE"""),14.0)</f>
        <v>14</v>
      </c>
      <c r="B38" s="115">
        <f>IFERROR(__xludf.DUMMYFUNCTION("""COMPUTED_VALUE"""),1599.4)</f>
        <v>1599.4</v>
      </c>
      <c r="C38" s="97">
        <f>IFERROR(__xludf.DUMMYFUNCTION("""COMPUTED_VALUE"""),1116.0)</f>
        <v>1116</v>
      </c>
      <c r="D38" s="116" t="str">
        <f>IFERROR(__xludf.DUMMYFUNCTION("""COMPUTED_VALUE"""),"S24 · Apr 22, 2024")</f>
        <v>S24 · Apr 22, 2024</v>
      </c>
      <c r="E38" s="97"/>
      <c r="F38" s="116">
        <f>IFERROR(__xludf.DUMMYFUNCTION("""COMPUTED_VALUE"""),1577.0)</f>
        <v>1577</v>
      </c>
      <c r="G38" s="97" t="str">
        <f>IFERROR(__xludf.DUMMYFUNCTION("""COMPUTED_VALUE"""),"F24 · Dec 2, 2024")</f>
        <v>F24 · Dec 2, 2024</v>
      </c>
      <c r="H38" s="117"/>
      <c r="I38" s="97">
        <f>IFERROR(__xludf.DUMMYFUNCTION("""COMPUTED_VALUE"""),2700.0)</f>
        <v>2700</v>
      </c>
      <c r="J38" s="117" t="str">
        <f>IFERROR(__xludf.DUMMYFUNCTION("""COMPUTED_VALUE"""),"S25 · Apr 21, 2025")</f>
        <v>S25 · Apr 21, 2025</v>
      </c>
      <c r="K38" s="118"/>
      <c r="L38" s="119">
        <f>IFERROR(__xludf.DUMMYFUNCTION("""COMPUTED_VALUE"""),1469.0)</f>
        <v>1469</v>
      </c>
      <c r="M38" s="13" t="str">
        <f>IFERROR(__xludf.DUMMYFUNCTION("""COMPUTED_VALUE"""),"F25 · Dec 1, 2025")</f>
        <v>F25 · Dec 1, 2025</v>
      </c>
      <c r="N38" s="13"/>
      <c r="O38" s="108">
        <f>IFERROR(__xludf.DUMMYFUNCTION("""COMPUTED_VALUE"""),1135.0)</f>
        <v>1135</v>
      </c>
      <c r="P38" s="13" t="str">
        <f>IFERROR(__xludf.DUMMYFUNCTION("""COMPUTED_VALUE"""),"S26* · Apr 20, 2026")</f>
        <v>S26* · Apr 20, 2026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91" t="str">
        <f>IFERROR(__xludf.DUMMYFUNCTION("""COMPUTED_VALUE"""),"† Tooltip date cols (italic headers) show the actual calendar date per semester per week. In chart editor: select each ""[sem] date"" column → Column role → Tooltip.")</f>
        <v>† Tooltip date cols (italic headers) show the actual calendar date per semester per week. In chart editor: select each "[sem] date" column → Column role → Tooltip.</v>
      </c>
      <c r="B39" s="108"/>
      <c r="C39" s="108"/>
      <c r="D39" s="108"/>
      <c r="E39" s="108"/>
      <c r="F39" s="108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77" t="str">
        <f>IFERROR(__xludf.DUMMYFUNCTION("""COMPUTED_VALUE"""),"T11 · Program Progress  →  color-coded scatter by semester")</f>
        <v>T11 · Program Progress  →  color-coded scatter by semester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20" t="str">
        <f>IFERROR(__xludf.DUMMYFUNCTION("""COMPUTED_VALUE"""),"lifetime lbs  ──▶")</f>
        <v>lifetime lbs  ──▶</v>
      </c>
      <c r="G42" s="120" t="str">
        <f>IFERROR(__xludf.DUMMYFUNCTION("""COMPUTED_VALUE"""),"lbs this week  ──▶")</f>
        <v>lbs this week  ──▶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79" t="str">
        <f>IFERROR(__xludf.DUMMYFUNCTION("""COMPUTED_VALUE"""),"Week")</f>
        <v>Week</v>
      </c>
      <c r="B43" s="121" t="str">
        <f>IFERROR(__xludf.DUMMYFUNCTION("""COMPUTED_VALUE"""),"S24")</f>
        <v>S24</v>
      </c>
      <c r="C43" s="121" t="str">
        <f>IFERROR(__xludf.DUMMYFUNCTION("""COMPUTED_VALUE"""),"F24")</f>
        <v>F24</v>
      </c>
      <c r="D43" s="80" t="str">
        <f>IFERROR(__xludf.DUMMYFUNCTION("""COMPUTED_VALUE"""),"S25")</f>
        <v>S25</v>
      </c>
      <c r="E43" s="80" t="str">
        <f>IFERROR(__xludf.DUMMYFUNCTION("""COMPUTED_VALUE"""),"F25")</f>
        <v>F25</v>
      </c>
      <c r="F43" s="80" t="str">
        <f>IFERROR(__xludf.DUMMYFUNCTION("""COMPUTED_VALUE"""),"S26*")</f>
        <v>S26*</v>
      </c>
      <c r="G43" s="80" t="str">
        <f>IFERROR(__xludf.DUMMYFUNCTION("""COMPUTED_VALUE"""),"S24")</f>
        <v>S24</v>
      </c>
      <c r="H43" s="80" t="str">
        <f>IFERROR(__xludf.DUMMYFUNCTION("""COMPUTED_VALUE"""),"F24")</f>
        <v>F24</v>
      </c>
      <c r="I43" s="80" t="str">
        <f>IFERROR(__xludf.DUMMYFUNCTION("""COMPUTED_VALUE"""),"S25")</f>
        <v>S25</v>
      </c>
      <c r="J43" s="80" t="str">
        <f>IFERROR(__xludf.DUMMYFUNCTION("""COMPUTED_VALUE"""),"F25")</f>
        <v>F25</v>
      </c>
      <c r="K43" s="81" t="str">
        <f>IFERROR(__xludf.DUMMYFUNCTION("""COMPUTED_VALUE"""),"S26*")</f>
        <v>S26*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22">
        <f>IFERROR(__xludf.DUMMYFUNCTION("""COMPUTED_VALUE"""),45313.0)</f>
        <v>45313</v>
      </c>
      <c r="B44" s="104" t="str">
        <f>IFERROR(__xludf.DUMMYFUNCTION("""COMPUTED_VALUE"""),"")</f>
        <v/>
      </c>
      <c r="C44" s="104"/>
      <c r="D44" s="104"/>
      <c r="E44" s="104"/>
      <c r="F44" s="104"/>
      <c r="G44" s="104" t="str">
        <f>IFERROR(__xludf.DUMMYFUNCTION("""COMPUTED_VALUE"""),"")</f>
        <v/>
      </c>
      <c r="H44" s="104"/>
      <c r="I44" s="104"/>
      <c r="J44" s="104"/>
      <c r="K44" s="12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24">
        <f>IFERROR(__xludf.DUMMYFUNCTION("""COMPUTED_VALUE"""),45320.0)</f>
        <v>45320</v>
      </c>
      <c r="B45" s="110" t="str">
        <f>IFERROR(__xludf.DUMMYFUNCTION("""COMPUTED_VALUE"""),"")</f>
        <v/>
      </c>
      <c r="C45" s="110"/>
      <c r="D45" s="110"/>
      <c r="E45" s="110"/>
      <c r="F45" s="110"/>
      <c r="G45" s="110" t="str">
        <f>IFERROR(__xludf.DUMMYFUNCTION("""COMPUTED_VALUE"""),"")</f>
        <v/>
      </c>
      <c r="H45" s="110"/>
      <c r="I45" s="110"/>
      <c r="J45" s="110"/>
      <c r="K45" s="125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2">
        <f>IFERROR(__xludf.DUMMYFUNCTION("""COMPUTED_VALUE"""),45327.0)</f>
        <v>45327</v>
      </c>
      <c r="B46" s="104" t="str">
        <f>IFERROR(__xludf.DUMMYFUNCTION("""COMPUTED_VALUE"""),"")</f>
        <v/>
      </c>
      <c r="C46" s="104"/>
      <c r="D46" s="104"/>
      <c r="E46" s="104"/>
      <c r="F46" s="104"/>
      <c r="G46" s="104" t="str">
        <f>IFERROR(__xludf.DUMMYFUNCTION("""COMPUTED_VALUE"""),"")</f>
        <v/>
      </c>
      <c r="H46" s="104"/>
      <c r="I46" s="104"/>
      <c r="J46" s="104"/>
      <c r="K46" s="12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4">
        <f>IFERROR(__xludf.DUMMYFUNCTION("""COMPUTED_VALUE"""),45334.0)</f>
        <v>45334</v>
      </c>
      <c r="B47" s="110" t="str">
        <f>IFERROR(__xludf.DUMMYFUNCTION("""COMPUTED_VALUE"""),"")</f>
        <v/>
      </c>
      <c r="C47" s="110"/>
      <c r="D47" s="110"/>
      <c r="E47" s="110"/>
      <c r="F47" s="110"/>
      <c r="G47" s="110" t="str">
        <f>IFERROR(__xludf.DUMMYFUNCTION("""COMPUTED_VALUE"""),"")</f>
        <v/>
      </c>
      <c r="H47" s="110"/>
      <c r="I47" s="110"/>
      <c r="J47" s="110"/>
      <c r="K47" s="125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2">
        <f>IFERROR(__xludf.DUMMYFUNCTION("""COMPUTED_VALUE"""),45341.0)</f>
        <v>45341</v>
      </c>
      <c r="B48" s="104" t="str">
        <f>IFERROR(__xludf.DUMMYFUNCTION("""COMPUTED_VALUE"""),"")</f>
        <v/>
      </c>
      <c r="C48" s="104"/>
      <c r="D48" s="104"/>
      <c r="E48" s="104"/>
      <c r="F48" s="104"/>
      <c r="G48" s="104" t="str">
        <f>IFERROR(__xludf.DUMMYFUNCTION("""COMPUTED_VALUE"""),"")</f>
        <v/>
      </c>
      <c r="H48" s="104"/>
      <c r="I48" s="104"/>
      <c r="J48" s="104"/>
      <c r="K48" s="12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4">
        <f>IFERROR(__xludf.DUMMYFUNCTION("""COMPUTED_VALUE"""),45348.0)</f>
        <v>45348</v>
      </c>
      <c r="B49" s="110" t="str">
        <f>IFERROR(__xludf.DUMMYFUNCTION("""COMPUTED_VALUE"""),"")</f>
        <v/>
      </c>
      <c r="C49" s="110"/>
      <c r="D49" s="110"/>
      <c r="E49" s="110"/>
      <c r="F49" s="110"/>
      <c r="G49" s="110" t="str">
        <f>IFERROR(__xludf.DUMMYFUNCTION("""COMPUTED_VALUE"""),"")</f>
        <v/>
      </c>
      <c r="H49" s="110"/>
      <c r="I49" s="110"/>
      <c r="J49" s="110"/>
      <c r="K49" s="125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2">
        <f>IFERROR(__xludf.DUMMYFUNCTION("""COMPUTED_VALUE"""),45355.0)</f>
        <v>45355</v>
      </c>
      <c r="B50" s="104" t="str">
        <f>IFERROR(__xludf.DUMMYFUNCTION("""COMPUTED_VALUE"""),"")</f>
        <v/>
      </c>
      <c r="C50" s="104"/>
      <c r="D50" s="104"/>
      <c r="E50" s="104"/>
      <c r="F50" s="104"/>
      <c r="G50" s="104" t="str">
        <f>IFERROR(__xludf.DUMMYFUNCTION("""COMPUTED_VALUE"""),"")</f>
        <v/>
      </c>
      <c r="H50" s="104"/>
      <c r="I50" s="104"/>
      <c r="J50" s="104"/>
      <c r="K50" s="12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4">
        <f>IFERROR(__xludf.DUMMYFUNCTION("""COMPUTED_VALUE"""),45362.0)</f>
        <v>45362</v>
      </c>
      <c r="B51" s="110" t="str">
        <f>IFERROR(__xludf.DUMMYFUNCTION("""COMPUTED_VALUE"""),"")</f>
        <v/>
      </c>
      <c r="C51" s="110"/>
      <c r="D51" s="110"/>
      <c r="E51" s="110"/>
      <c r="F51" s="110"/>
      <c r="G51" s="110" t="str">
        <f>IFERROR(__xludf.DUMMYFUNCTION("""COMPUTED_VALUE"""),"")</f>
        <v/>
      </c>
      <c r="H51" s="110"/>
      <c r="I51" s="110"/>
      <c r="J51" s="110"/>
      <c r="K51" s="125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2">
        <f>IFERROR(__xludf.DUMMYFUNCTION("""COMPUTED_VALUE"""),45369.0)</f>
        <v>45369</v>
      </c>
      <c r="B52" s="83">
        <f>IFERROR(__xludf.DUMMYFUNCTION("""COMPUTED_VALUE"""),744.46)</f>
        <v>744.46</v>
      </c>
      <c r="C52" s="104"/>
      <c r="D52" s="104"/>
      <c r="E52" s="104"/>
      <c r="F52" s="104"/>
      <c r="G52" s="83">
        <f>IFERROR(__xludf.DUMMYFUNCTION("""COMPUTED_VALUE"""),744.46)</f>
        <v>744.46</v>
      </c>
      <c r="H52" s="104"/>
      <c r="I52" s="104"/>
      <c r="J52" s="104"/>
      <c r="K52" s="12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4">
        <f>IFERROR(__xludf.DUMMYFUNCTION("""COMPUTED_VALUE"""),45376.0)</f>
        <v>45376</v>
      </c>
      <c r="B53" s="86">
        <f>IFERROR(__xludf.DUMMYFUNCTION("""COMPUTED_VALUE"""),2217.5600000000004)</f>
        <v>2217.56</v>
      </c>
      <c r="C53" s="110"/>
      <c r="D53" s="110"/>
      <c r="E53" s="110"/>
      <c r="F53" s="110"/>
      <c r="G53" s="86">
        <f>IFERROR(__xludf.DUMMYFUNCTION("""COMPUTED_VALUE"""),1473.1)</f>
        <v>1473.1</v>
      </c>
      <c r="H53" s="110"/>
      <c r="I53" s="110"/>
      <c r="J53" s="110"/>
      <c r="K53" s="125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2">
        <f>IFERROR(__xludf.DUMMYFUNCTION("""COMPUTED_VALUE"""),45383.0)</f>
        <v>45383</v>
      </c>
      <c r="B54" s="83">
        <f>IFERROR(__xludf.DUMMYFUNCTION("""COMPUTED_VALUE"""),3094.5600000000004)</f>
        <v>3094.56</v>
      </c>
      <c r="C54" s="104"/>
      <c r="D54" s="104"/>
      <c r="E54" s="104"/>
      <c r="F54" s="104"/>
      <c r="G54" s="83">
        <f>IFERROR(__xludf.DUMMYFUNCTION("""COMPUTED_VALUE"""),877.0)</f>
        <v>877</v>
      </c>
      <c r="H54" s="104"/>
      <c r="I54" s="104"/>
      <c r="J54" s="104"/>
      <c r="K54" s="12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4">
        <f>IFERROR(__xludf.DUMMYFUNCTION("""COMPUTED_VALUE"""),45390.0)</f>
        <v>45390</v>
      </c>
      <c r="B55" s="86">
        <f>IFERROR(__xludf.DUMMYFUNCTION("""COMPUTED_VALUE"""),4422.960000000001)</f>
        <v>4422.96</v>
      </c>
      <c r="C55" s="110"/>
      <c r="D55" s="110"/>
      <c r="E55" s="110"/>
      <c r="F55" s="110"/>
      <c r="G55" s="86">
        <f>IFERROR(__xludf.DUMMYFUNCTION("""COMPUTED_VALUE"""),1328.4)</f>
        <v>1328.4</v>
      </c>
      <c r="H55" s="110"/>
      <c r="I55" s="110"/>
      <c r="J55" s="110"/>
      <c r="K55" s="125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2">
        <f>IFERROR(__xludf.DUMMYFUNCTION("""COMPUTED_VALUE"""),45397.0)</f>
        <v>45397</v>
      </c>
      <c r="B56" s="83">
        <f>IFERROR(__xludf.DUMMYFUNCTION("""COMPUTED_VALUE"""),5841.860000000001)</f>
        <v>5841.86</v>
      </c>
      <c r="C56" s="104"/>
      <c r="D56" s="104"/>
      <c r="E56" s="104"/>
      <c r="F56" s="104"/>
      <c r="G56" s="83">
        <f>IFERROR(__xludf.DUMMYFUNCTION("""COMPUTED_VALUE"""),1418.9)</f>
        <v>1418.9</v>
      </c>
      <c r="H56" s="104"/>
      <c r="I56" s="104"/>
      <c r="J56" s="104"/>
      <c r="K56" s="12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24">
        <f>IFERROR(__xludf.DUMMYFUNCTION("""COMPUTED_VALUE"""),45404.0)</f>
        <v>45404</v>
      </c>
      <c r="B57" s="86">
        <f>IFERROR(__xludf.DUMMYFUNCTION("""COMPUTED_VALUE"""),6957.860000000001)</f>
        <v>6957.86</v>
      </c>
      <c r="C57" s="110"/>
      <c r="D57" s="110"/>
      <c r="E57" s="110"/>
      <c r="F57" s="110"/>
      <c r="G57" s="86">
        <f>IFERROR(__xludf.DUMMYFUNCTION("""COMPUTED_VALUE"""),1116.0)</f>
        <v>1116</v>
      </c>
      <c r="H57" s="110"/>
      <c r="I57" s="110"/>
      <c r="J57" s="110"/>
      <c r="K57" s="125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22">
        <f>IFERROR(__xludf.DUMMYFUNCTION("""COMPUTED_VALUE"""),45544.0)</f>
        <v>45544</v>
      </c>
      <c r="B58" s="104"/>
      <c r="C58" s="83">
        <f>IFERROR(__xludf.DUMMYFUNCTION("""COMPUTED_VALUE"""),8189.860000000001)</f>
        <v>8189.86</v>
      </c>
      <c r="D58" s="104"/>
      <c r="E58" s="104"/>
      <c r="F58" s="104"/>
      <c r="G58" s="104"/>
      <c r="H58" s="83">
        <f>IFERROR(__xludf.DUMMYFUNCTION("""COMPUTED_VALUE"""),1079.0)</f>
        <v>1079</v>
      </c>
      <c r="I58" s="104"/>
      <c r="J58" s="104"/>
      <c r="K58" s="12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24">
        <f>IFERROR(__xludf.DUMMYFUNCTION("""COMPUTED_VALUE"""),45551.0)</f>
        <v>45551</v>
      </c>
      <c r="B59" s="110"/>
      <c r="C59" s="86">
        <f>IFERROR(__xludf.DUMMYFUNCTION("""COMPUTED_VALUE"""),9823.86)</f>
        <v>9823.86</v>
      </c>
      <c r="D59" s="110"/>
      <c r="E59" s="110"/>
      <c r="F59" s="110"/>
      <c r="G59" s="110"/>
      <c r="H59" s="86">
        <f>IFERROR(__xludf.DUMMYFUNCTION("""COMPUTED_VALUE"""),1634.0)</f>
        <v>1634</v>
      </c>
      <c r="I59" s="110"/>
      <c r="J59" s="110"/>
      <c r="K59" s="125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22">
        <f>IFERROR(__xludf.DUMMYFUNCTION("""COMPUTED_VALUE"""),45558.0)</f>
        <v>45558</v>
      </c>
      <c r="B60" s="104"/>
      <c r="C60" s="83">
        <f>IFERROR(__xludf.DUMMYFUNCTION("""COMPUTED_VALUE"""),11325.86)</f>
        <v>11325.86</v>
      </c>
      <c r="D60" s="104"/>
      <c r="E60" s="104"/>
      <c r="F60" s="104"/>
      <c r="G60" s="104"/>
      <c r="H60" s="83">
        <f>IFERROR(__xludf.DUMMYFUNCTION("""COMPUTED_VALUE"""),1502.0)</f>
        <v>1502</v>
      </c>
      <c r="I60" s="104"/>
      <c r="J60" s="104"/>
      <c r="K60" s="12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24">
        <f>IFERROR(__xludf.DUMMYFUNCTION("""COMPUTED_VALUE"""),45565.0)</f>
        <v>45565</v>
      </c>
      <c r="B61" s="110"/>
      <c r="C61" s="86">
        <f>IFERROR(__xludf.DUMMYFUNCTION("""COMPUTED_VALUE"""),13846.86)</f>
        <v>13846.86</v>
      </c>
      <c r="D61" s="110"/>
      <c r="E61" s="110"/>
      <c r="F61" s="110"/>
      <c r="G61" s="110"/>
      <c r="H61" s="86">
        <f>IFERROR(__xludf.DUMMYFUNCTION("""COMPUTED_VALUE"""),2521.0)</f>
        <v>2521</v>
      </c>
      <c r="I61" s="110"/>
      <c r="J61" s="110"/>
      <c r="K61" s="125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22">
        <f>IFERROR(__xludf.DUMMYFUNCTION("""COMPUTED_VALUE"""),45572.0)</f>
        <v>45572</v>
      </c>
      <c r="B62" s="104"/>
      <c r="C62" s="83">
        <f>IFERROR(__xludf.DUMMYFUNCTION("""COMPUTED_VALUE"""),16092.86)</f>
        <v>16092.86</v>
      </c>
      <c r="D62" s="104"/>
      <c r="E62" s="104"/>
      <c r="F62" s="104"/>
      <c r="G62" s="104"/>
      <c r="H62" s="83">
        <f>IFERROR(__xludf.DUMMYFUNCTION("""COMPUTED_VALUE"""),2246.0)</f>
        <v>2246</v>
      </c>
      <c r="I62" s="104"/>
      <c r="J62" s="104"/>
      <c r="K62" s="12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24">
        <f>IFERROR(__xludf.DUMMYFUNCTION("""COMPUTED_VALUE"""),45579.0)</f>
        <v>45579</v>
      </c>
      <c r="B63" s="110"/>
      <c r="C63" s="86">
        <f>IFERROR(__xludf.DUMMYFUNCTION("""COMPUTED_VALUE"""),18013.86)</f>
        <v>18013.86</v>
      </c>
      <c r="D63" s="110"/>
      <c r="E63" s="110"/>
      <c r="F63" s="110"/>
      <c r="G63" s="110"/>
      <c r="H63" s="86">
        <f>IFERROR(__xludf.DUMMYFUNCTION("""COMPUTED_VALUE"""),1921.0)</f>
        <v>1921</v>
      </c>
      <c r="I63" s="110"/>
      <c r="J63" s="110"/>
      <c r="K63" s="125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22">
        <f>IFERROR(__xludf.DUMMYFUNCTION("""COMPUTED_VALUE"""),45586.0)</f>
        <v>45586</v>
      </c>
      <c r="B64" s="104"/>
      <c r="C64" s="83">
        <f>IFERROR(__xludf.DUMMYFUNCTION("""COMPUTED_VALUE"""),20710.86)</f>
        <v>20710.86</v>
      </c>
      <c r="D64" s="104"/>
      <c r="E64" s="104"/>
      <c r="F64" s="104"/>
      <c r="G64" s="104"/>
      <c r="H64" s="83">
        <f>IFERROR(__xludf.DUMMYFUNCTION("""COMPUTED_VALUE"""),2697.0)</f>
        <v>2697</v>
      </c>
      <c r="I64" s="104"/>
      <c r="J64" s="104"/>
      <c r="K64" s="12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24">
        <f>IFERROR(__xludf.DUMMYFUNCTION("""COMPUTED_VALUE"""),45593.0)</f>
        <v>45593</v>
      </c>
      <c r="B65" s="110"/>
      <c r="C65" s="86">
        <f>IFERROR(__xludf.DUMMYFUNCTION("""COMPUTED_VALUE"""),23053.86)</f>
        <v>23053.86</v>
      </c>
      <c r="D65" s="110"/>
      <c r="E65" s="110"/>
      <c r="F65" s="110"/>
      <c r="G65" s="110"/>
      <c r="H65" s="86">
        <f>IFERROR(__xludf.DUMMYFUNCTION("""COMPUTED_VALUE"""),2343.0)</f>
        <v>2343</v>
      </c>
      <c r="I65" s="110"/>
      <c r="J65" s="110"/>
      <c r="K65" s="125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22">
        <f>IFERROR(__xludf.DUMMYFUNCTION("""COMPUTED_VALUE"""),45594.0)</f>
        <v>45594</v>
      </c>
      <c r="B66" s="104"/>
      <c r="C66" s="83">
        <f>IFERROR(__xludf.DUMMYFUNCTION("""COMPUTED_VALUE"""),25060.86)</f>
        <v>25060.86</v>
      </c>
      <c r="D66" s="104"/>
      <c r="E66" s="104"/>
      <c r="F66" s="104"/>
      <c r="G66" s="104"/>
      <c r="H66" s="83">
        <f>IFERROR(__xludf.DUMMYFUNCTION("""COMPUTED_VALUE"""),2007.0)</f>
        <v>2007</v>
      </c>
      <c r="I66" s="104"/>
      <c r="J66" s="104"/>
      <c r="K66" s="12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24">
        <f>IFERROR(__xludf.DUMMYFUNCTION("""COMPUTED_VALUE"""),45600.0)</f>
        <v>45600</v>
      </c>
      <c r="B67" s="110"/>
      <c r="C67" s="86">
        <f>IFERROR(__xludf.DUMMYFUNCTION("""COMPUTED_VALUE"""),27037.86)</f>
        <v>27037.86</v>
      </c>
      <c r="D67" s="110"/>
      <c r="E67" s="110"/>
      <c r="F67" s="110"/>
      <c r="G67" s="110"/>
      <c r="H67" s="86">
        <f>IFERROR(__xludf.DUMMYFUNCTION("""COMPUTED_VALUE"""),1977.0)</f>
        <v>1977</v>
      </c>
      <c r="I67" s="110"/>
      <c r="J67" s="110"/>
      <c r="K67" s="125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22">
        <f>IFERROR(__xludf.DUMMYFUNCTION("""COMPUTED_VALUE"""),45607.0)</f>
        <v>45607</v>
      </c>
      <c r="B68" s="104"/>
      <c r="C68" s="83">
        <f>IFERROR(__xludf.DUMMYFUNCTION("""COMPUTED_VALUE"""),29102.86)</f>
        <v>29102.86</v>
      </c>
      <c r="D68" s="104"/>
      <c r="E68" s="104"/>
      <c r="F68" s="104"/>
      <c r="G68" s="104"/>
      <c r="H68" s="83">
        <f>IFERROR(__xludf.DUMMYFUNCTION("""COMPUTED_VALUE"""),2065.0)</f>
        <v>2065</v>
      </c>
      <c r="I68" s="104"/>
      <c r="J68" s="104"/>
      <c r="K68" s="12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24">
        <f>IFERROR(__xludf.DUMMYFUNCTION("""COMPUTED_VALUE"""),45614.0)</f>
        <v>45614</v>
      </c>
      <c r="B69" s="110"/>
      <c r="C69" s="86">
        <f>IFERROR(__xludf.DUMMYFUNCTION("""COMPUTED_VALUE"""),29424.86)</f>
        <v>29424.86</v>
      </c>
      <c r="D69" s="110"/>
      <c r="E69" s="110"/>
      <c r="F69" s="110"/>
      <c r="G69" s="110"/>
      <c r="H69" s="86">
        <f>IFERROR(__xludf.DUMMYFUNCTION("""COMPUTED_VALUE"""),322.0)</f>
        <v>322</v>
      </c>
      <c r="I69" s="110"/>
      <c r="J69" s="110"/>
      <c r="K69" s="125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22">
        <f>IFERROR(__xludf.DUMMYFUNCTION("""COMPUTED_VALUE"""),45621.0)</f>
        <v>45621</v>
      </c>
      <c r="B70" s="104"/>
      <c r="C70" s="83">
        <f>IFERROR(__xludf.DUMMYFUNCTION("""COMPUTED_VALUE"""),31832.86)</f>
        <v>31832.86</v>
      </c>
      <c r="D70" s="104"/>
      <c r="E70" s="104"/>
      <c r="F70" s="104"/>
      <c r="G70" s="104"/>
      <c r="H70" s="83">
        <f>IFERROR(__xludf.DUMMYFUNCTION("""COMPUTED_VALUE"""),2408.0)</f>
        <v>2408</v>
      </c>
      <c r="I70" s="104"/>
      <c r="J70" s="104"/>
      <c r="K70" s="12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24">
        <f>IFERROR(__xludf.DUMMYFUNCTION("""COMPUTED_VALUE"""),45628.0)</f>
        <v>45628</v>
      </c>
      <c r="B71" s="110"/>
      <c r="C71" s="86">
        <f>IFERROR(__xludf.DUMMYFUNCTION("""COMPUTED_VALUE"""),33409.86)</f>
        <v>33409.86</v>
      </c>
      <c r="D71" s="110"/>
      <c r="E71" s="110"/>
      <c r="F71" s="110"/>
      <c r="G71" s="110"/>
      <c r="H71" s="86">
        <f>IFERROR(__xludf.DUMMYFUNCTION("""COMPUTED_VALUE"""),1577.0)</f>
        <v>1577</v>
      </c>
      <c r="I71" s="110"/>
      <c r="J71" s="110"/>
      <c r="K71" s="125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22">
        <f>IFERROR(__xludf.DUMMYFUNCTION("""COMPUTED_VALUE"""),45677.0)</f>
        <v>45677</v>
      </c>
      <c r="B72" s="104"/>
      <c r="C72" s="104"/>
      <c r="D72" s="83">
        <f>IFERROR(__xludf.DUMMYFUNCTION("""COMPUTED_VALUE"""),33496.86)</f>
        <v>33496.86</v>
      </c>
      <c r="E72" s="104"/>
      <c r="F72" s="104"/>
      <c r="G72" s="104"/>
      <c r="H72" s="104"/>
      <c r="I72" s="83" t="str">
        <f>IFERROR(__xludf.DUMMYFUNCTION("""COMPUTED_VALUE"""),"")</f>
        <v/>
      </c>
      <c r="J72" s="104"/>
      <c r="K72" s="12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24">
        <f>IFERROR(__xludf.DUMMYFUNCTION("""COMPUTED_VALUE"""),45684.0)</f>
        <v>45684</v>
      </c>
      <c r="B73" s="110"/>
      <c r="C73" s="110"/>
      <c r="D73" s="86">
        <f>IFERROR(__xludf.DUMMYFUNCTION("""COMPUTED_VALUE"""),35788.86)</f>
        <v>35788.86</v>
      </c>
      <c r="E73" s="110"/>
      <c r="F73" s="110"/>
      <c r="G73" s="110"/>
      <c r="H73" s="110"/>
      <c r="I73" s="86">
        <f>IFERROR(__xludf.DUMMYFUNCTION("""COMPUTED_VALUE"""),2292.0)</f>
        <v>2292</v>
      </c>
      <c r="J73" s="110"/>
      <c r="K73" s="125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22">
        <f>IFERROR(__xludf.DUMMYFUNCTION("""COMPUTED_VALUE"""),45691.0)</f>
        <v>45691</v>
      </c>
      <c r="B74" s="104"/>
      <c r="C74" s="104"/>
      <c r="D74" s="83">
        <f>IFERROR(__xludf.DUMMYFUNCTION("""COMPUTED_VALUE"""),38369.86)</f>
        <v>38369.86</v>
      </c>
      <c r="E74" s="104"/>
      <c r="F74" s="104"/>
      <c r="G74" s="104"/>
      <c r="H74" s="104"/>
      <c r="I74" s="83">
        <f>IFERROR(__xludf.DUMMYFUNCTION("""COMPUTED_VALUE"""),2581.0)</f>
        <v>2581</v>
      </c>
      <c r="J74" s="104"/>
      <c r="K74" s="12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24">
        <f>IFERROR(__xludf.DUMMYFUNCTION("""COMPUTED_VALUE"""),45698.0)</f>
        <v>45698</v>
      </c>
      <c r="B75" s="110"/>
      <c r="C75" s="110"/>
      <c r="D75" s="86">
        <f>IFERROR(__xludf.DUMMYFUNCTION("""COMPUTED_VALUE"""),41226.86)</f>
        <v>41226.86</v>
      </c>
      <c r="E75" s="110"/>
      <c r="F75" s="110"/>
      <c r="G75" s="110"/>
      <c r="H75" s="110"/>
      <c r="I75" s="86">
        <f>IFERROR(__xludf.DUMMYFUNCTION("""COMPUTED_VALUE"""),2857.0)</f>
        <v>2857</v>
      </c>
      <c r="J75" s="110"/>
      <c r="K75" s="125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22">
        <f>IFERROR(__xludf.DUMMYFUNCTION("""COMPUTED_VALUE"""),45705.0)</f>
        <v>45705</v>
      </c>
      <c r="B76" s="104"/>
      <c r="C76" s="104"/>
      <c r="D76" s="83">
        <f>IFERROR(__xludf.DUMMYFUNCTION("""COMPUTED_VALUE"""),43598.86)</f>
        <v>43598.86</v>
      </c>
      <c r="E76" s="104"/>
      <c r="F76" s="104"/>
      <c r="G76" s="104"/>
      <c r="H76" s="104"/>
      <c r="I76" s="83">
        <f>IFERROR(__xludf.DUMMYFUNCTION("""COMPUTED_VALUE"""),2372.0)</f>
        <v>2372</v>
      </c>
      <c r="J76" s="104"/>
      <c r="K76" s="12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24">
        <f>IFERROR(__xludf.DUMMYFUNCTION("""COMPUTED_VALUE"""),45712.0)</f>
        <v>45712</v>
      </c>
      <c r="B77" s="110"/>
      <c r="C77" s="110"/>
      <c r="D77" s="86">
        <f>IFERROR(__xludf.DUMMYFUNCTION("""COMPUTED_VALUE"""),46205.86)</f>
        <v>46205.86</v>
      </c>
      <c r="E77" s="110"/>
      <c r="F77" s="110"/>
      <c r="G77" s="110"/>
      <c r="H77" s="110"/>
      <c r="I77" s="86">
        <f>IFERROR(__xludf.DUMMYFUNCTION("""COMPUTED_VALUE"""),2607.0)</f>
        <v>2607</v>
      </c>
      <c r="J77" s="110"/>
      <c r="K77" s="125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22">
        <f>IFERROR(__xludf.DUMMYFUNCTION("""COMPUTED_VALUE"""),45719.0)</f>
        <v>45719</v>
      </c>
      <c r="B78" s="104"/>
      <c r="C78" s="104"/>
      <c r="D78" s="83">
        <f>IFERROR(__xludf.DUMMYFUNCTION("""COMPUTED_VALUE"""),48264.86)</f>
        <v>48264.86</v>
      </c>
      <c r="E78" s="104"/>
      <c r="F78" s="104"/>
      <c r="G78" s="104"/>
      <c r="H78" s="104"/>
      <c r="I78" s="104">
        <f>IFERROR(__xludf.DUMMYFUNCTION("""COMPUTED_VALUE"""),2059.0)</f>
        <v>2059</v>
      </c>
      <c r="J78" s="104"/>
      <c r="K78" s="12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24">
        <f>IFERROR(__xludf.DUMMYFUNCTION("""COMPUTED_VALUE"""),45726.0)</f>
        <v>45726</v>
      </c>
      <c r="B79" s="110"/>
      <c r="C79" s="110"/>
      <c r="D79" s="86">
        <f>IFERROR(__xludf.DUMMYFUNCTION("""COMPUTED_VALUE"""),48264.86)</f>
        <v>48264.86</v>
      </c>
      <c r="E79" s="110"/>
      <c r="F79" s="110"/>
      <c r="G79" s="110"/>
      <c r="H79" s="110"/>
      <c r="I79" s="86" t="str">
        <f>IFERROR(__xludf.DUMMYFUNCTION("""COMPUTED_VALUE"""),"")</f>
        <v/>
      </c>
      <c r="J79" s="110"/>
      <c r="K79" s="125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22">
        <f>IFERROR(__xludf.DUMMYFUNCTION("""COMPUTED_VALUE"""),45733.0)</f>
        <v>45733</v>
      </c>
      <c r="B80" s="104"/>
      <c r="C80" s="104"/>
      <c r="D80" s="83">
        <f>IFERROR(__xludf.DUMMYFUNCTION("""COMPUTED_VALUE"""),50665.86)</f>
        <v>50665.86</v>
      </c>
      <c r="E80" s="104"/>
      <c r="F80" s="104"/>
      <c r="G80" s="104"/>
      <c r="H80" s="104"/>
      <c r="I80" s="83">
        <f>IFERROR(__xludf.DUMMYFUNCTION("""COMPUTED_VALUE"""),2401.0)</f>
        <v>2401</v>
      </c>
      <c r="J80" s="104"/>
      <c r="K80" s="12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24">
        <f>IFERROR(__xludf.DUMMYFUNCTION("""COMPUTED_VALUE"""),45740.0)</f>
        <v>45740</v>
      </c>
      <c r="B81" s="110"/>
      <c r="C81" s="110"/>
      <c r="D81" s="86">
        <f>IFERROR(__xludf.DUMMYFUNCTION("""COMPUTED_VALUE"""),52846.86)</f>
        <v>52846.86</v>
      </c>
      <c r="E81" s="110"/>
      <c r="F81" s="110"/>
      <c r="G81" s="110"/>
      <c r="H81" s="110"/>
      <c r="I81" s="86">
        <f>IFERROR(__xludf.DUMMYFUNCTION("""COMPUTED_VALUE"""),2181.0)</f>
        <v>2181</v>
      </c>
      <c r="J81" s="110"/>
      <c r="K81" s="125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22">
        <f>IFERROR(__xludf.DUMMYFUNCTION("""COMPUTED_VALUE"""),45747.0)</f>
        <v>45747</v>
      </c>
      <c r="B82" s="104"/>
      <c r="C82" s="104"/>
      <c r="D82" s="83">
        <f>IFERROR(__xludf.DUMMYFUNCTION("""COMPUTED_VALUE"""),54980.86)</f>
        <v>54980.86</v>
      </c>
      <c r="E82" s="104"/>
      <c r="F82" s="104"/>
      <c r="G82" s="104"/>
      <c r="H82" s="104"/>
      <c r="I82" s="83">
        <f>IFERROR(__xludf.DUMMYFUNCTION("""COMPUTED_VALUE"""),2134.0)</f>
        <v>2134</v>
      </c>
      <c r="J82" s="104"/>
      <c r="K82" s="12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24">
        <f>IFERROR(__xludf.DUMMYFUNCTION("""COMPUTED_VALUE"""),45754.0)</f>
        <v>45754</v>
      </c>
      <c r="B83" s="110"/>
      <c r="C83" s="110"/>
      <c r="D83" s="86">
        <f>IFERROR(__xludf.DUMMYFUNCTION("""COMPUTED_VALUE"""),57369.86)</f>
        <v>57369.86</v>
      </c>
      <c r="E83" s="110"/>
      <c r="F83" s="110"/>
      <c r="G83" s="110"/>
      <c r="H83" s="110"/>
      <c r="I83" s="86">
        <f>IFERROR(__xludf.DUMMYFUNCTION("""COMPUTED_VALUE"""),2389.0)</f>
        <v>2389</v>
      </c>
      <c r="J83" s="110"/>
      <c r="K83" s="125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22">
        <f>IFERROR(__xludf.DUMMYFUNCTION("""COMPUTED_VALUE"""),45761.0)</f>
        <v>45761</v>
      </c>
      <c r="B84" s="104"/>
      <c r="C84" s="104"/>
      <c r="D84" s="83">
        <f>IFERROR(__xludf.DUMMYFUNCTION("""COMPUTED_VALUE"""),60016.86)</f>
        <v>60016.86</v>
      </c>
      <c r="E84" s="104"/>
      <c r="F84" s="104"/>
      <c r="G84" s="104"/>
      <c r="H84" s="104"/>
      <c r="I84" s="83">
        <f>IFERROR(__xludf.DUMMYFUNCTION("""COMPUTED_VALUE"""),2647.0)</f>
        <v>2647</v>
      </c>
      <c r="J84" s="104"/>
      <c r="K84" s="12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24">
        <f>IFERROR(__xludf.DUMMYFUNCTION("""COMPUTED_VALUE"""),45768.0)</f>
        <v>45768</v>
      </c>
      <c r="B85" s="110"/>
      <c r="C85" s="110"/>
      <c r="D85" s="86">
        <f>IFERROR(__xludf.DUMMYFUNCTION("""COMPUTED_VALUE"""),62716.86)</f>
        <v>62716.86</v>
      </c>
      <c r="E85" s="110"/>
      <c r="F85" s="110"/>
      <c r="G85" s="110"/>
      <c r="H85" s="110"/>
      <c r="I85" s="86">
        <f>IFERROR(__xludf.DUMMYFUNCTION("""COMPUTED_VALUE"""),2700.0)</f>
        <v>2700</v>
      </c>
      <c r="J85" s="110"/>
      <c r="K85" s="125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22">
        <f>IFERROR(__xludf.DUMMYFUNCTION("""COMPUTED_VALUE"""),45908.0)</f>
        <v>45908</v>
      </c>
      <c r="B86" s="104"/>
      <c r="C86" s="104"/>
      <c r="D86" s="104"/>
      <c r="E86" s="83">
        <f>IFERROR(__xludf.DUMMYFUNCTION("""COMPUTED_VALUE"""),66605.86)</f>
        <v>66605.86</v>
      </c>
      <c r="F86" s="104"/>
      <c r="G86" s="104"/>
      <c r="H86" s="104"/>
      <c r="I86" s="104"/>
      <c r="J86" s="83">
        <f>IFERROR(__xludf.DUMMYFUNCTION("""COMPUTED_VALUE"""),2036.0)</f>
        <v>2036</v>
      </c>
      <c r="K86" s="12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24">
        <f>IFERROR(__xludf.DUMMYFUNCTION("""COMPUTED_VALUE"""),45915.0)</f>
        <v>45915</v>
      </c>
      <c r="B87" s="110"/>
      <c r="C87" s="110"/>
      <c r="D87" s="110"/>
      <c r="E87" s="86">
        <f>IFERROR(__xludf.DUMMYFUNCTION("""COMPUTED_VALUE"""),69126.86)</f>
        <v>69126.86</v>
      </c>
      <c r="F87" s="110"/>
      <c r="G87" s="110"/>
      <c r="H87" s="110"/>
      <c r="I87" s="110"/>
      <c r="J87" s="86">
        <f>IFERROR(__xludf.DUMMYFUNCTION("""COMPUTED_VALUE"""),2521.0)</f>
        <v>2521</v>
      </c>
      <c r="K87" s="125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22">
        <f>IFERROR(__xludf.DUMMYFUNCTION("""COMPUTED_VALUE"""),45922.0)</f>
        <v>45922</v>
      </c>
      <c r="B88" s="104"/>
      <c r="C88" s="104"/>
      <c r="D88" s="104"/>
      <c r="E88" s="83">
        <f>IFERROR(__xludf.DUMMYFUNCTION("""COMPUTED_VALUE"""),71933.86)</f>
        <v>71933.86</v>
      </c>
      <c r="F88" s="104"/>
      <c r="G88" s="104"/>
      <c r="H88" s="104"/>
      <c r="I88" s="104"/>
      <c r="J88" s="83">
        <f>IFERROR(__xludf.DUMMYFUNCTION("""COMPUTED_VALUE"""),2807.0)</f>
        <v>2807</v>
      </c>
      <c r="K88" s="12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24">
        <f>IFERROR(__xludf.DUMMYFUNCTION("""COMPUTED_VALUE"""),45929.0)</f>
        <v>45929</v>
      </c>
      <c r="B89" s="110"/>
      <c r="C89" s="110"/>
      <c r="D89" s="110"/>
      <c r="E89" s="86">
        <f>IFERROR(__xludf.DUMMYFUNCTION("""COMPUTED_VALUE"""),74570.86)</f>
        <v>74570.86</v>
      </c>
      <c r="F89" s="110"/>
      <c r="G89" s="110"/>
      <c r="H89" s="110"/>
      <c r="I89" s="110"/>
      <c r="J89" s="86">
        <f>IFERROR(__xludf.DUMMYFUNCTION("""COMPUTED_VALUE"""),2637.0)</f>
        <v>2637</v>
      </c>
      <c r="K89" s="125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22">
        <f>IFERROR(__xludf.DUMMYFUNCTION("""COMPUTED_VALUE"""),45936.0)</f>
        <v>45936</v>
      </c>
      <c r="B90" s="104"/>
      <c r="C90" s="104"/>
      <c r="D90" s="104"/>
      <c r="E90" s="83">
        <f>IFERROR(__xludf.DUMMYFUNCTION("""COMPUTED_VALUE"""),76768.86)</f>
        <v>76768.86</v>
      </c>
      <c r="F90" s="104"/>
      <c r="G90" s="104"/>
      <c r="H90" s="104"/>
      <c r="I90" s="104"/>
      <c r="J90" s="83">
        <f>IFERROR(__xludf.DUMMYFUNCTION("""COMPUTED_VALUE"""),2198.0)</f>
        <v>2198</v>
      </c>
      <c r="K90" s="12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24">
        <f>IFERROR(__xludf.DUMMYFUNCTION("""COMPUTED_VALUE"""),45943.0)</f>
        <v>45943</v>
      </c>
      <c r="B91" s="110"/>
      <c r="C91" s="110"/>
      <c r="D91" s="110"/>
      <c r="E91" s="86">
        <f>IFERROR(__xludf.DUMMYFUNCTION("""COMPUTED_VALUE"""),78628.86)</f>
        <v>78628.86</v>
      </c>
      <c r="F91" s="110"/>
      <c r="G91" s="110"/>
      <c r="H91" s="110"/>
      <c r="I91" s="110"/>
      <c r="J91" s="86">
        <f>IFERROR(__xludf.DUMMYFUNCTION("""COMPUTED_VALUE"""),1860.0)</f>
        <v>1860</v>
      </c>
      <c r="K91" s="125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22">
        <f>IFERROR(__xludf.DUMMYFUNCTION("""COMPUTED_VALUE"""),45950.0)</f>
        <v>45950</v>
      </c>
      <c r="B92" s="104"/>
      <c r="C92" s="104"/>
      <c r="D92" s="104"/>
      <c r="E92" s="83">
        <f>IFERROR(__xludf.DUMMYFUNCTION("""COMPUTED_VALUE"""),81480.86)</f>
        <v>81480.86</v>
      </c>
      <c r="F92" s="104"/>
      <c r="G92" s="104"/>
      <c r="H92" s="104"/>
      <c r="I92" s="104"/>
      <c r="J92" s="83">
        <f>IFERROR(__xludf.DUMMYFUNCTION("""COMPUTED_VALUE"""),2852.0)</f>
        <v>2852</v>
      </c>
      <c r="K92" s="12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24">
        <f>IFERROR(__xludf.DUMMYFUNCTION("""COMPUTED_VALUE"""),45957.0)</f>
        <v>45957</v>
      </c>
      <c r="B93" s="110"/>
      <c r="C93" s="110"/>
      <c r="D93" s="110"/>
      <c r="E93" s="86">
        <f>IFERROR(__xludf.DUMMYFUNCTION("""COMPUTED_VALUE"""),84558.86)</f>
        <v>84558.86</v>
      </c>
      <c r="F93" s="110"/>
      <c r="G93" s="110"/>
      <c r="H93" s="110"/>
      <c r="I93" s="110"/>
      <c r="J93" s="86">
        <f>IFERROR(__xludf.DUMMYFUNCTION("""COMPUTED_VALUE"""),3078.0)</f>
        <v>3078</v>
      </c>
      <c r="K93" s="125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22">
        <f>IFERROR(__xludf.DUMMYFUNCTION("""COMPUTED_VALUE"""),45958.0)</f>
        <v>45958</v>
      </c>
      <c r="B94" s="104"/>
      <c r="C94" s="104"/>
      <c r="D94" s="104"/>
      <c r="E94" s="83">
        <f>IFERROR(__xludf.DUMMYFUNCTION("""COMPUTED_VALUE"""),87498.86)</f>
        <v>87498.86</v>
      </c>
      <c r="F94" s="104"/>
      <c r="G94" s="104"/>
      <c r="H94" s="104"/>
      <c r="I94" s="104"/>
      <c r="J94" s="83">
        <f>IFERROR(__xludf.DUMMYFUNCTION("""COMPUTED_VALUE"""),2940.0)</f>
        <v>2940</v>
      </c>
      <c r="K94" s="12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24">
        <f>IFERROR(__xludf.DUMMYFUNCTION("""COMPUTED_VALUE"""),45964.0)</f>
        <v>45964</v>
      </c>
      <c r="B95" s="110"/>
      <c r="C95" s="110"/>
      <c r="D95" s="110"/>
      <c r="E95" s="86">
        <f>IFERROR(__xludf.DUMMYFUNCTION("""COMPUTED_VALUE"""),89966.86)</f>
        <v>89966.86</v>
      </c>
      <c r="F95" s="110"/>
      <c r="G95" s="110"/>
      <c r="H95" s="110"/>
      <c r="I95" s="110"/>
      <c r="J95" s="86">
        <f>IFERROR(__xludf.DUMMYFUNCTION("""COMPUTED_VALUE"""),2468.0)</f>
        <v>2468</v>
      </c>
      <c r="K95" s="125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22">
        <f>IFERROR(__xludf.DUMMYFUNCTION("""COMPUTED_VALUE"""),45971.0)</f>
        <v>45971</v>
      </c>
      <c r="B96" s="104"/>
      <c r="C96" s="104"/>
      <c r="D96" s="104"/>
      <c r="E96" s="83">
        <f>IFERROR(__xludf.DUMMYFUNCTION("""COMPUTED_VALUE"""),93162.86)</f>
        <v>93162.86</v>
      </c>
      <c r="F96" s="104"/>
      <c r="G96" s="104"/>
      <c r="H96" s="104"/>
      <c r="I96" s="104"/>
      <c r="J96" s="83">
        <f>IFERROR(__xludf.DUMMYFUNCTION("""COMPUTED_VALUE"""),3196.0)</f>
        <v>3196</v>
      </c>
      <c r="K96" s="12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24">
        <f>IFERROR(__xludf.DUMMYFUNCTION("""COMPUTED_VALUE"""),45978.0)</f>
        <v>45978</v>
      </c>
      <c r="B97" s="110"/>
      <c r="C97" s="110"/>
      <c r="D97" s="110"/>
      <c r="E97" s="86">
        <f>IFERROR(__xludf.DUMMYFUNCTION("""COMPUTED_VALUE"""),93836.86)</f>
        <v>93836.86</v>
      </c>
      <c r="F97" s="110"/>
      <c r="G97" s="110"/>
      <c r="H97" s="110"/>
      <c r="I97" s="110"/>
      <c r="J97" s="86">
        <f>IFERROR(__xludf.DUMMYFUNCTION("""COMPUTED_VALUE"""),674.0)</f>
        <v>674</v>
      </c>
      <c r="K97" s="125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22">
        <f>IFERROR(__xludf.DUMMYFUNCTION("""COMPUTED_VALUE"""),45985.0)</f>
        <v>45985</v>
      </c>
      <c r="B98" s="104"/>
      <c r="C98" s="104"/>
      <c r="D98" s="104"/>
      <c r="E98" s="83">
        <f>IFERROR(__xludf.DUMMYFUNCTION("""COMPUTED_VALUE"""),96537.86)</f>
        <v>96537.86</v>
      </c>
      <c r="F98" s="104"/>
      <c r="G98" s="104"/>
      <c r="H98" s="104"/>
      <c r="I98" s="104"/>
      <c r="J98" s="83">
        <f>IFERROR(__xludf.DUMMYFUNCTION("""COMPUTED_VALUE"""),2701.0)</f>
        <v>2701</v>
      </c>
      <c r="K98" s="12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24">
        <f>IFERROR(__xludf.DUMMYFUNCTION("""COMPUTED_VALUE"""),45992.0)</f>
        <v>45992</v>
      </c>
      <c r="B99" s="110"/>
      <c r="C99" s="110"/>
      <c r="D99" s="110"/>
      <c r="E99" s="86">
        <f>IFERROR(__xludf.DUMMYFUNCTION("""COMPUTED_VALUE"""),98006.86)</f>
        <v>98006.86</v>
      </c>
      <c r="F99" s="110"/>
      <c r="G99" s="110"/>
      <c r="H99" s="110"/>
      <c r="I99" s="110"/>
      <c r="J99" s="86">
        <f>IFERROR(__xludf.DUMMYFUNCTION("""COMPUTED_VALUE"""),1469.0)</f>
        <v>1469</v>
      </c>
      <c r="K99" s="125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22">
        <f>IFERROR(__xludf.DUMMYFUNCTION("""COMPUTED_VALUE"""),46041.0)</f>
        <v>46041</v>
      </c>
      <c r="B100" s="104"/>
      <c r="C100" s="104"/>
      <c r="D100" s="104"/>
      <c r="E100" s="104"/>
      <c r="F100" s="83">
        <f>IFERROR(__xludf.DUMMYFUNCTION("""COMPUTED_VALUE"""),98496.86)</f>
        <v>98496.86</v>
      </c>
      <c r="G100" s="104"/>
      <c r="H100" s="104"/>
      <c r="I100" s="104"/>
      <c r="J100" s="104"/>
      <c r="K100" s="84">
        <f>IFERROR(__xludf.DUMMYFUNCTION("""COMPUTED_VALUE"""),490.0)</f>
        <v>490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24">
        <f>IFERROR(__xludf.DUMMYFUNCTION("""COMPUTED_VALUE"""),46048.0)</f>
        <v>46048</v>
      </c>
      <c r="B101" s="110"/>
      <c r="C101" s="110"/>
      <c r="D101" s="110"/>
      <c r="E101" s="110"/>
      <c r="F101" s="86">
        <f>IFERROR(__xludf.DUMMYFUNCTION("""COMPUTED_VALUE"""),99850.86)</f>
        <v>99850.86</v>
      </c>
      <c r="G101" s="110"/>
      <c r="H101" s="110"/>
      <c r="I101" s="110"/>
      <c r="J101" s="110"/>
      <c r="K101" s="87">
        <f>IFERROR(__xludf.DUMMYFUNCTION("""COMPUTED_VALUE"""),1354.0)</f>
        <v>1354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22">
        <f>IFERROR(__xludf.DUMMYFUNCTION("""COMPUTED_VALUE"""),46055.0)</f>
        <v>46055</v>
      </c>
      <c r="B102" s="104"/>
      <c r="C102" s="104"/>
      <c r="D102" s="104"/>
      <c r="E102" s="104"/>
      <c r="F102" s="83">
        <f>IFERROR(__xludf.DUMMYFUNCTION("""COMPUTED_VALUE"""),103294.86)</f>
        <v>103294.86</v>
      </c>
      <c r="G102" s="104"/>
      <c r="H102" s="104"/>
      <c r="I102" s="104"/>
      <c r="J102" s="104"/>
      <c r="K102" s="84">
        <f>IFERROR(__xludf.DUMMYFUNCTION("""COMPUTED_VALUE"""),3444.0)</f>
        <v>3444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24">
        <f>IFERROR(__xludf.DUMMYFUNCTION("""COMPUTED_VALUE"""),46062.0)</f>
        <v>46062</v>
      </c>
      <c r="B103" s="110"/>
      <c r="C103" s="110"/>
      <c r="D103" s="110"/>
      <c r="E103" s="110"/>
      <c r="F103" s="86">
        <f>IFERROR(__xludf.DUMMYFUNCTION("""COMPUTED_VALUE"""),105895.86)</f>
        <v>105895.86</v>
      </c>
      <c r="G103" s="110"/>
      <c r="H103" s="110"/>
      <c r="I103" s="110"/>
      <c r="J103" s="110"/>
      <c r="K103" s="87">
        <f>IFERROR(__xludf.DUMMYFUNCTION("""COMPUTED_VALUE"""),2601.0)</f>
        <v>2601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22">
        <f>IFERROR(__xludf.DUMMYFUNCTION("""COMPUTED_VALUE"""),46069.0)</f>
        <v>46069</v>
      </c>
      <c r="B104" s="104"/>
      <c r="C104" s="104"/>
      <c r="D104" s="104"/>
      <c r="E104" s="104"/>
      <c r="F104" s="83">
        <f>IFERROR(__xludf.DUMMYFUNCTION("""COMPUTED_VALUE"""),108567.86)</f>
        <v>108567.86</v>
      </c>
      <c r="G104" s="104"/>
      <c r="H104" s="104"/>
      <c r="I104" s="104"/>
      <c r="J104" s="104"/>
      <c r="K104" s="84">
        <f>IFERROR(__xludf.DUMMYFUNCTION("""COMPUTED_VALUE"""),2672.0)</f>
        <v>2672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24">
        <f>IFERROR(__xludf.DUMMYFUNCTION("""COMPUTED_VALUE"""),46076.0)</f>
        <v>46076</v>
      </c>
      <c r="B105" s="110"/>
      <c r="C105" s="110"/>
      <c r="D105" s="110"/>
      <c r="E105" s="110"/>
      <c r="F105" s="86">
        <f>IFERROR(__xludf.DUMMYFUNCTION("""COMPUTED_VALUE"""),109183.86)</f>
        <v>109183.86</v>
      </c>
      <c r="G105" s="110"/>
      <c r="H105" s="110"/>
      <c r="I105" s="110"/>
      <c r="J105" s="110"/>
      <c r="K105" s="87">
        <f>IFERROR(__xludf.DUMMYFUNCTION("""COMPUTED_VALUE"""),616.0)</f>
        <v>616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22">
        <f>IFERROR(__xludf.DUMMYFUNCTION("""COMPUTED_VALUE"""),46083.0)</f>
        <v>46083</v>
      </c>
      <c r="B106" s="104"/>
      <c r="C106" s="104"/>
      <c r="D106" s="104"/>
      <c r="E106" s="104"/>
      <c r="F106" s="83">
        <f>IFERROR(__xludf.DUMMYFUNCTION("""COMPUTED_VALUE"""),111810.86)</f>
        <v>111810.86</v>
      </c>
      <c r="G106" s="104"/>
      <c r="H106" s="104"/>
      <c r="I106" s="104"/>
      <c r="J106" s="104"/>
      <c r="K106" s="84">
        <f>IFERROR(__xludf.DUMMYFUNCTION("""COMPUTED_VALUE"""),2627.0)</f>
        <v>2627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24">
        <f>IFERROR(__xludf.DUMMYFUNCTION("""COMPUTED_VALUE"""),46090.0)</f>
        <v>46090</v>
      </c>
      <c r="B107" s="110"/>
      <c r="C107" s="110"/>
      <c r="D107" s="110"/>
      <c r="E107" s="110"/>
      <c r="F107" s="86">
        <f>IFERROR(__xludf.DUMMYFUNCTION("""COMPUTED_VALUE"""),114540.86)</f>
        <v>114540.86</v>
      </c>
      <c r="G107" s="110"/>
      <c r="H107" s="110"/>
      <c r="I107" s="110"/>
      <c r="J107" s="110"/>
      <c r="K107" s="87">
        <f>IFERROR(__xludf.DUMMYFUNCTION("""COMPUTED_VALUE"""),2730.0)</f>
        <v>2730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22">
        <f>IFERROR(__xludf.DUMMYFUNCTION("""COMPUTED_VALUE"""),46097.0)</f>
        <v>46097</v>
      </c>
      <c r="B108" s="104"/>
      <c r="C108" s="104"/>
      <c r="D108" s="104"/>
      <c r="E108" s="104"/>
      <c r="F108" s="83">
        <f>IFERROR(__xludf.DUMMYFUNCTION("""COMPUTED_VALUE"""),114540.86)</f>
        <v>114540.86</v>
      </c>
      <c r="G108" s="104"/>
      <c r="H108" s="104"/>
      <c r="I108" s="104"/>
      <c r="J108" s="104"/>
      <c r="K108" s="123" t="str">
        <f>IFERROR(__xludf.DUMMYFUNCTION("""COMPUTED_VALUE"""),"")</f>
        <v/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24">
        <f>IFERROR(__xludf.DUMMYFUNCTION("""COMPUTED_VALUE"""),46104.0)</f>
        <v>46104</v>
      </c>
      <c r="B109" s="110"/>
      <c r="C109" s="110"/>
      <c r="D109" s="110"/>
      <c r="E109" s="110"/>
      <c r="F109" s="86">
        <f>IFERROR(__xludf.DUMMYFUNCTION("""COMPUTED_VALUE"""),116996.86)</f>
        <v>116996.86</v>
      </c>
      <c r="G109" s="110"/>
      <c r="H109" s="110"/>
      <c r="I109" s="110"/>
      <c r="J109" s="110"/>
      <c r="K109" s="125">
        <f>IFERROR(__xludf.DUMMYFUNCTION("""COMPUTED_VALUE"""),2456.0)</f>
        <v>2456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22">
        <f>IFERROR(__xludf.DUMMYFUNCTION("""COMPUTED_VALUE"""),46111.0)</f>
        <v>46111</v>
      </c>
      <c r="B110" s="104"/>
      <c r="C110" s="104"/>
      <c r="D110" s="104"/>
      <c r="E110" s="104"/>
      <c r="F110" s="83">
        <f>IFERROR(__xludf.DUMMYFUNCTION("""COMPUTED_VALUE"""),119862.86)</f>
        <v>119862.86</v>
      </c>
      <c r="G110" s="104"/>
      <c r="H110" s="104"/>
      <c r="I110" s="104"/>
      <c r="J110" s="104"/>
      <c r="K110" s="123">
        <f>IFERROR(__xludf.DUMMYFUNCTION("""COMPUTED_VALUE"""),2866.0)</f>
        <v>2866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24">
        <f>IFERROR(__xludf.DUMMYFUNCTION("""COMPUTED_VALUE"""),46118.0)</f>
        <v>46118</v>
      </c>
      <c r="B111" s="110"/>
      <c r="C111" s="110"/>
      <c r="D111" s="110"/>
      <c r="E111" s="110"/>
      <c r="F111" s="86">
        <f>IFERROR(__xludf.DUMMYFUNCTION("""COMPUTED_VALUE"""),122988.86)</f>
        <v>122988.86</v>
      </c>
      <c r="G111" s="110"/>
      <c r="H111" s="110"/>
      <c r="I111" s="110"/>
      <c r="J111" s="110"/>
      <c r="K111" s="125">
        <f>IFERROR(__xludf.DUMMYFUNCTION("""COMPUTED_VALUE"""),3126.0)</f>
        <v>3126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22">
        <f>IFERROR(__xludf.DUMMYFUNCTION("""COMPUTED_VALUE"""),46125.0)</f>
        <v>46125</v>
      </c>
      <c r="B112" s="104"/>
      <c r="C112" s="104"/>
      <c r="D112" s="104"/>
      <c r="E112" s="104"/>
      <c r="F112" s="83">
        <f>IFERROR(__xludf.DUMMYFUNCTION("""COMPUTED_VALUE"""),125431.86)</f>
        <v>125431.86</v>
      </c>
      <c r="G112" s="104"/>
      <c r="H112" s="104"/>
      <c r="I112" s="104"/>
      <c r="J112" s="104"/>
      <c r="K112" s="123">
        <f>IFERROR(__xludf.DUMMYFUNCTION("""COMPUTED_VALUE"""),2443.0)</f>
        <v>2443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26">
        <f>IFERROR(__xludf.DUMMYFUNCTION("""COMPUTED_VALUE"""),46132.0)</f>
        <v>46132</v>
      </c>
      <c r="B113" s="118"/>
      <c r="C113" s="118"/>
      <c r="D113" s="118"/>
      <c r="E113" s="118"/>
      <c r="F113" s="97">
        <f>IFERROR(__xludf.DUMMYFUNCTION("""COMPUTED_VALUE"""),126566.86)</f>
        <v>126566.86</v>
      </c>
      <c r="G113" s="118"/>
      <c r="H113" s="118"/>
      <c r="I113" s="118"/>
      <c r="J113" s="118"/>
      <c r="K113" s="127">
        <f>IFERROR(__xludf.DUMMYFUNCTION("""COMPUTED_VALUE"""),1135.0)</f>
        <v>1135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91" t="str">
        <f>IFERROR(__xludf.DUMMYFUNCTION("""COMPUTED_VALUE"""),"† Each semester has its own column pair (lifetime + weekly) — blank rows belong to other semesters. Select col A + cols B–F for the lifetime scatter; col A + cols G–K for the weekly scatter. Sheets will color each semester automatically.")</f>
        <v>† Each semester has its own column pair (lifetime + weekly) — blank rows belong to other semesters. Select col A + cols B–F for the lifetime scatter; col A + cols G–K for the weekly scatter. Sheets will color each semester automatically.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91" t="str">
        <f>IFERROR(__xludf.DUMMYFUNCTION("""COMPUTED_VALUE"""),"⚙  To add a semester: create a tab named S## or F## (e.g. F26), then use DaRP Data → 🔄 I added a new semester.")</f>
        <v>⚙  To add a semester: create a tab named S## or F## (e.g. F26), then use DaRP Data → 🔄 I added a new semester.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91" t="str">
        <f>IFERROR(__xludf.DUMMYFUNCTION("""COMPUTED_VALUE"""),"Script last run: March 28, 2026")</f>
        <v>Script last run: March 28, 2026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</sheetData>
  <mergeCells count="2">
    <mergeCell ref="B42:F42"/>
    <mergeCell ref="G42:K4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12.0"/>
  </cols>
  <sheetData>
    <row r="1" ht="16.5" customHeight="1">
      <c r="A1" s="128" t="s">
        <v>60</v>
      </c>
      <c r="B1" s="129"/>
      <c r="C1" s="129"/>
      <c r="E1" s="128" t="s">
        <v>61</v>
      </c>
      <c r="F1" s="129"/>
      <c r="G1" s="129"/>
      <c r="I1" s="128" t="s">
        <v>62</v>
      </c>
      <c r="J1" s="129"/>
      <c r="K1" s="129"/>
      <c r="L1" s="129"/>
      <c r="N1" s="128" t="s">
        <v>63</v>
      </c>
      <c r="O1" s="129"/>
      <c r="P1" s="129"/>
      <c r="Q1" s="129"/>
    </row>
    <row r="2" ht="18.0" customHeight="1">
      <c r="A2" s="130" t="s">
        <v>64</v>
      </c>
      <c r="B2" s="131" t="s">
        <v>24</v>
      </c>
      <c r="C2" s="132" t="s">
        <v>65</v>
      </c>
      <c r="E2" s="130" t="s">
        <v>64</v>
      </c>
      <c r="F2" s="131" t="s">
        <v>66</v>
      </c>
      <c r="G2" s="132" t="s">
        <v>67</v>
      </c>
      <c r="I2" s="130" t="s">
        <v>64</v>
      </c>
      <c r="J2" s="131" t="s">
        <v>68</v>
      </c>
      <c r="K2" s="131" t="s">
        <v>69</v>
      </c>
      <c r="L2" s="132" t="s">
        <v>70</v>
      </c>
      <c r="N2" s="130" t="s">
        <v>64</v>
      </c>
      <c r="O2" s="131" t="s">
        <v>71</v>
      </c>
      <c r="P2" s="131" t="s">
        <v>24</v>
      </c>
      <c r="Q2" s="132" t="s">
        <v>72</v>
      </c>
    </row>
    <row r="3">
      <c r="A3" s="133" t="s">
        <v>54</v>
      </c>
      <c r="B3" s="134">
        <f t="array" ref="B3">IF('Master of Masters'!K3="","",IFERROR(IF(ISNUMBER(INDIRECT("'"&amp;'Master of Masters'!K3&amp;"'!I6",TRUE)),INDIRECT("'"&amp;'Master of Masters'!K3&amp;"'!I6",TRUE),"N/A"),"N/A"))</f>
        <v>7110.86</v>
      </c>
      <c r="C3" s="135">
        <f t="shared" ref="C3:C17" si="1">IF(B3="","",SUMPRODUCT((ISNUMBER(B$3:B3))*IF(ISNUMBER(B$3:B3),B$3:B3,0)))</f>
        <v>7110.86</v>
      </c>
      <c r="E3" s="133" t="str">
        <f t="shared" ref="E3:E17" si="2">IF(A3="","",A3)</f>
        <v>S24</v>
      </c>
      <c r="F3" s="134" t="str">
        <f t="array" ref="F3">IF('Master of Masters'!K3="","",IFERROR(IF(ISNUMBER(INDIRECT("'"&amp;'Master of Masters'!K3&amp;"'!C6",TRUE)),INDIRECT("'"&amp;'Master of Masters'!K3&amp;"'!C6",TRUE),"N/A"),"N/A"))</f>
        <v>N/A</v>
      </c>
      <c r="G3" s="135" t="str">
        <f t="array" ref="G3">IF('Master of Masters'!K3="","",IFERROR(IF(ISNUMBER(INDIRECT("'"&amp;'Master of Masters'!K3&amp;"'!F6",TRUE)),INDIRECT("'"&amp;'Master of Masters'!K3&amp;"'!F6",TRUE),"N/A"),"N/A"))</f>
        <v>N/A</v>
      </c>
      <c r="I3" s="133" t="str">
        <f t="shared" ref="I3:I17" si="3">IF(A3="","",A3)</f>
        <v>S24</v>
      </c>
      <c r="J3" s="134">
        <f t="array" ref="J3">IF('Master of Masters'!K3="","",IFERROR(IF(ISNUMBER(INDIRECT("'"&amp;'Master of Masters'!K3&amp;"'!I12",TRUE)),INDIRECT("'"&amp;'Master of Masters'!K3&amp;"'!I12",TRUE),"N/A"),"N/A"))</f>
        <v>4519.164856</v>
      </c>
      <c r="K3" s="136">
        <f t="shared" ref="K3:K17" si="4">IF(J3="","",IF(NOT(ISNUMBER(J3)),"N/A",ROUND(J3/2000,2)))</f>
        <v>2.26</v>
      </c>
      <c r="L3" s="135">
        <f t="shared" ref="L3:L17" si="5">IF(J3="","",IF(NOT(ISNUMBER(J3)),"N/A",ROUND(J3/0.891,0)))</f>
        <v>5072</v>
      </c>
      <c r="N3" s="133" t="str">
        <f t="shared" ref="N3:N17" si="6">IF(A3="","",A3)</f>
        <v>S24</v>
      </c>
      <c r="O3" s="136">
        <f t="array" ref="O3">IF('Master of Masters'!K3="","",IFERROR(IF(ISNUMBER(INDIRECT("'"&amp;'Master of Masters'!K3&amp;"'!A4",TRUE)),INDIRECT("'"&amp;'Master of Masters'!K3&amp;"'!A4",TRUE),"N/A"),"N/A"))</f>
        <v>8</v>
      </c>
      <c r="P3" s="134">
        <f t="shared" ref="P3:P17" si="7">IF(B3="","",B3)</f>
        <v>7110.86</v>
      </c>
      <c r="Q3" s="135">
        <f t="shared" ref="Q3:Q17" si="8">IF(OR(O3="",P3="",NOT(ISNUMBER(O3)),NOT(ISNUMBER(P3))),"",ROUND(P3/O3,0))</f>
        <v>889</v>
      </c>
    </row>
    <row r="4">
      <c r="A4" s="137" t="s">
        <v>55</v>
      </c>
      <c r="B4" s="138">
        <f t="array" ref="B4">IF('Master of Masters'!K4="","",IFERROR(IF(ISNUMBER(INDIRECT("'"&amp;'Master of Masters'!K4&amp;"'!I6",TRUE)),INDIRECT("'"&amp;'Master of Masters'!K4&amp;"'!I6",TRUE),"N/A"),"N/A"))</f>
        <v>26386</v>
      </c>
      <c r="C4" s="139">
        <f t="shared" si="1"/>
        <v>33496.86</v>
      </c>
      <c r="E4" s="137" t="str">
        <f t="shared" si="2"/>
        <v>F24</v>
      </c>
      <c r="F4" s="138">
        <f t="array" ref="F4">IF('Master of Masters'!K4="","",IFERROR(IF(ISNUMBER(INDIRECT("'"&amp;'Master of Masters'!K4&amp;"'!C6",TRUE)),INDIRECT("'"&amp;'Master of Masters'!K4&amp;"'!C6",TRUE),"N/A"),"N/A"))</f>
        <v>11781</v>
      </c>
      <c r="G4" s="139">
        <f t="array" ref="G4">IF('Master of Masters'!K4="","",IFERROR(IF(ISNUMBER(INDIRECT("'"&amp;'Master of Masters'!K4&amp;"'!F6",TRUE)),INDIRECT("'"&amp;'Master of Masters'!K4&amp;"'!F6",TRUE),"N/A"),"N/A"))</f>
        <v>14605</v>
      </c>
      <c r="I4" s="137" t="str">
        <f t="shared" si="3"/>
        <v>F24</v>
      </c>
      <c r="J4" s="138">
        <f t="array" ref="J4">IF('Master of Masters'!K4="","",IFERROR(IF(ISNUMBER(INDIRECT("'"&amp;'Master of Masters'!K4&amp;"'!I12",TRUE)),INDIRECT("'"&amp;'Master of Masters'!K4&amp;"'!I12",TRUE),"N/A"),"N/A"))</f>
        <v>16769.09458</v>
      </c>
      <c r="K4" s="140">
        <f t="shared" si="4"/>
        <v>8.38</v>
      </c>
      <c r="L4" s="139">
        <f t="shared" si="5"/>
        <v>18821</v>
      </c>
      <c r="N4" s="137" t="str">
        <f t="shared" si="6"/>
        <v>F24</v>
      </c>
      <c r="O4" s="140">
        <f t="array" ref="O4">IF('Master of Masters'!K4="","",IFERROR(IF(ISNUMBER(INDIRECT("'"&amp;'Master of Masters'!K4&amp;"'!A4",TRUE)),INDIRECT("'"&amp;'Master of Masters'!K4&amp;"'!A4",TRUE),"N/A"),"N/A"))</f>
        <v>10</v>
      </c>
      <c r="P4" s="138">
        <f t="shared" si="7"/>
        <v>26386</v>
      </c>
      <c r="Q4" s="139">
        <f t="shared" si="8"/>
        <v>2639</v>
      </c>
    </row>
    <row r="5">
      <c r="A5" s="133" t="s">
        <v>56</v>
      </c>
      <c r="B5" s="134">
        <f t="array" ref="B5">IF('Master of Masters'!K5="","",IFERROR(IF(ISNUMBER(INDIRECT("'"&amp;'Master of Masters'!K5&amp;"'!I6",TRUE)),INDIRECT("'"&amp;'Master of Masters'!K5&amp;"'!I6",TRUE),"N/A"),"N/A"))</f>
        <v>31073</v>
      </c>
      <c r="C5" s="135">
        <f t="shared" si="1"/>
        <v>64569.86</v>
      </c>
      <c r="E5" s="133" t="str">
        <f t="shared" si="2"/>
        <v>S25</v>
      </c>
      <c r="F5" s="134">
        <f t="array" ref="F5">IF('Master of Masters'!K5="","",IFERROR(IF(ISNUMBER(INDIRECT("'"&amp;'Master of Masters'!K5&amp;"'!C6",TRUE)),INDIRECT("'"&amp;'Master of Masters'!K5&amp;"'!C6",TRUE),"N/A"),"N/A"))</f>
        <v>14269</v>
      </c>
      <c r="G5" s="135">
        <f t="array" ref="G5">IF('Master of Masters'!K5="","",IFERROR(IF(ISNUMBER(INDIRECT("'"&amp;'Master of Masters'!K5&amp;"'!F6",TRUE)),INDIRECT("'"&amp;'Master of Masters'!K5&amp;"'!F6",TRUE),"N/A"),"N/A"))</f>
        <v>16804</v>
      </c>
      <c r="I5" s="133" t="str">
        <f t="shared" si="3"/>
        <v>S25</v>
      </c>
      <c r="J5" s="134">
        <f t="array" ref="J5">IF('Master of Masters'!K5="","",IFERROR(IF(ISNUMBER(INDIRECT("'"&amp;'Master of Masters'!K5&amp;"'!I12",TRUE)),INDIRECT("'"&amp;'Master of Masters'!K5&amp;"'!I12",TRUE),"N/A"),"N/A"))</f>
        <v>19747.82369</v>
      </c>
      <c r="K5" s="136">
        <f t="shared" si="4"/>
        <v>9.87</v>
      </c>
      <c r="L5" s="135">
        <f t="shared" si="5"/>
        <v>22164</v>
      </c>
      <c r="N5" s="133" t="str">
        <f t="shared" si="6"/>
        <v>S25</v>
      </c>
      <c r="O5" s="136">
        <f t="array" ref="O5">IF('Master of Masters'!K5="","",IFERROR(IF(ISNUMBER(INDIRECT("'"&amp;'Master of Masters'!K5&amp;"'!A4",TRUE)),INDIRECT("'"&amp;'Master of Masters'!K5&amp;"'!A4",TRUE),"N/A"),"N/A"))</f>
        <v>13</v>
      </c>
      <c r="P5" s="134">
        <f t="shared" si="7"/>
        <v>31073</v>
      </c>
      <c r="Q5" s="135">
        <f t="shared" si="8"/>
        <v>2390</v>
      </c>
    </row>
    <row r="6">
      <c r="A6" s="137" t="s">
        <v>57</v>
      </c>
      <c r="B6" s="138">
        <f t="array" ref="B6">IF('Master of Masters'!K6="","",IFERROR(IF(ISNUMBER(INDIRECT("'"&amp;'Master of Masters'!K6&amp;"'!I6",TRUE)),INDIRECT("'"&amp;'Master of Masters'!K6&amp;"'!I6",TRUE),"N/A"),"N/A"))</f>
        <v>36594</v>
      </c>
      <c r="C6" s="139">
        <f t="shared" si="1"/>
        <v>101163.86</v>
      </c>
      <c r="E6" s="137" t="str">
        <f t="shared" si="2"/>
        <v>F25</v>
      </c>
      <c r="F6" s="138">
        <f t="array" ref="F6">IF('Master of Masters'!K6="","",IFERROR(IF(ISNUMBER(INDIRECT("'"&amp;'Master of Masters'!K6&amp;"'!C6",TRUE)),INDIRECT("'"&amp;'Master of Masters'!K6&amp;"'!C6",TRUE),"N/A"),"N/A"))</f>
        <v>20069</v>
      </c>
      <c r="G6" s="139">
        <f t="array" ref="G6">IF('Master of Masters'!K6="","",IFERROR(IF(ISNUMBER(INDIRECT("'"&amp;'Master of Masters'!K6&amp;"'!F6",TRUE)),INDIRECT("'"&amp;'Master of Masters'!K6&amp;"'!F6",TRUE),"N/A"),"N/A"))</f>
        <v>16525</v>
      </c>
      <c r="I6" s="137" t="str">
        <f t="shared" si="3"/>
        <v>F25</v>
      </c>
      <c r="J6" s="138">
        <f t="array" ref="J6">IF('Master of Masters'!K6="","",IFERROR(IF(ISNUMBER(INDIRECT("'"&amp;'Master of Masters'!K6&amp;"'!I12",TRUE)),INDIRECT("'"&amp;'Master of Masters'!K6&amp;"'!I12",TRUE),"N/A"),"N/A"))</f>
        <v>23256.58482</v>
      </c>
      <c r="K6" s="140">
        <f t="shared" si="4"/>
        <v>11.63</v>
      </c>
      <c r="L6" s="139">
        <f t="shared" si="5"/>
        <v>26102</v>
      </c>
      <c r="N6" s="137" t="str">
        <f t="shared" si="6"/>
        <v>F25</v>
      </c>
      <c r="O6" s="140">
        <f t="array" ref="O6">IF('Master of Masters'!K6="","",IFERROR(IF(ISNUMBER(INDIRECT("'"&amp;'Master of Masters'!K6&amp;"'!A4",TRUE)),INDIRECT("'"&amp;'Master of Masters'!K6&amp;"'!A4",TRUE),"N/A"),"N/A"))</f>
        <v>14</v>
      </c>
      <c r="P6" s="138">
        <f t="shared" si="7"/>
        <v>36594</v>
      </c>
      <c r="Q6" s="139">
        <f t="shared" si="8"/>
        <v>2614</v>
      </c>
    </row>
    <row r="7">
      <c r="A7" s="141" t="s">
        <v>73</v>
      </c>
      <c r="B7" s="134">
        <f t="array" ref="B7">IF('Master of Masters'!K7="","",IFERROR(IF(ISNUMBER(INDIRECT("'"&amp;'Master of Masters'!K7&amp;"'!I6",TRUE)),INDIRECT("'"&amp;'Master of Masters'!K7&amp;"'!I6",TRUE),"N/A"),"N/A"))</f>
        <v>34009</v>
      </c>
      <c r="C7" s="135">
        <f t="shared" si="1"/>
        <v>135172.86</v>
      </c>
      <c r="E7" s="133" t="str">
        <f t="shared" si="2"/>
        <v>S26*</v>
      </c>
      <c r="F7" s="134">
        <f t="array" ref="F7">IF('Master of Masters'!K7="","",IFERROR(IF(ISNUMBER(INDIRECT("'"&amp;'Master of Masters'!K7&amp;"'!C6",TRUE)),INDIRECT("'"&amp;'Master of Masters'!K7&amp;"'!C6",TRUE),"N/A"),"N/A"))</f>
        <v>17917</v>
      </c>
      <c r="G7" s="135">
        <f t="array" ref="G7">IF('Master of Masters'!K7="","",IFERROR(IF(ISNUMBER(INDIRECT("'"&amp;'Master of Masters'!K7&amp;"'!F6",TRUE)),INDIRECT("'"&amp;'Master of Masters'!K7&amp;"'!F6",TRUE),"N/A"),"N/A"))</f>
        <v>16092</v>
      </c>
      <c r="I7" s="133" t="str">
        <f t="shared" si="3"/>
        <v>S26*</v>
      </c>
      <c r="J7" s="134">
        <f t="array" ref="J7">IF('Master of Masters'!K7="","",IFERROR(IF(ISNUMBER(INDIRECT("'"&amp;'Master of Masters'!K7&amp;"'!I12",TRUE)),INDIRECT("'"&amp;'Master of Masters'!K7&amp;"'!I12",TRUE),"N/A"),"N/A"))</f>
        <v>21613.73977</v>
      </c>
      <c r="K7" s="136">
        <f t="shared" si="4"/>
        <v>10.81</v>
      </c>
      <c r="L7" s="135">
        <f t="shared" si="5"/>
        <v>24258</v>
      </c>
      <c r="N7" s="133" t="str">
        <f t="shared" si="6"/>
        <v>S26*</v>
      </c>
      <c r="O7" s="136">
        <f t="array" ref="O7">IF('Master of Masters'!K7="","",IFERROR(IF(ISNUMBER(INDIRECT("'"&amp;'Master of Masters'!K7&amp;"'!A4",TRUE)),INDIRECT("'"&amp;'Master of Masters'!K7&amp;"'!A4",TRUE),"N/A"),"N/A"))</f>
        <v>14</v>
      </c>
      <c r="P7" s="134">
        <f t="shared" si="7"/>
        <v>34009</v>
      </c>
      <c r="Q7" s="135">
        <f t="shared" si="8"/>
        <v>2429</v>
      </c>
    </row>
    <row r="8">
      <c r="A8" s="137" t="str">
        <f>IF('Master of Masters'!K8="","",IF(ISNUMBER(SEARCH("Spring",'Master of Masters'!K8)),"S",IF(ISNUMBER(SEARCH("Fall",'Master of Masters'!K8)),"F","?"))&amp;RIGHT('Master of Masters'!K8,2))</f>
        <v/>
      </c>
      <c r="B8" s="138" t="str">
        <f t="array" ref="B8">IF('Master of Masters'!K8="","",IFERROR(IF(ISNUMBER(INDIRECT("'"&amp;'Master of Masters'!K8&amp;"'!I6",TRUE)),INDIRECT("'"&amp;'Master of Masters'!K8&amp;"'!I6",TRUE),"N/A"),"N/A"))</f>
        <v/>
      </c>
      <c r="C8" s="139" t="str">
        <f t="shared" si="1"/>
        <v/>
      </c>
      <c r="E8" s="137" t="str">
        <f t="shared" si="2"/>
        <v/>
      </c>
      <c r="F8" s="138" t="str">
        <f t="array" ref="F8">IF('Master of Masters'!K8="","",IFERROR(IF(ISNUMBER(INDIRECT("'"&amp;'Master of Masters'!K8&amp;"'!C6",TRUE)),INDIRECT("'"&amp;'Master of Masters'!K8&amp;"'!C6",TRUE),"N/A"),"N/A"))</f>
        <v/>
      </c>
      <c r="G8" s="139" t="str">
        <f t="array" ref="G8">IF('Master of Masters'!K8="","",IFERROR(IF(ISNUMBER(INDIRECT("'"&amp;'Master of Masters'!K8&amp;"'!F6",TRUE)),INDIRECT("'"&amp;'Master of Masters'!K8&amp;"'!F6",TRUE),"N/A"),"N/A"))</f>
        <v/>
      </c>
      <c r="I8" s="137" t="str">
        <f t="shared" si="3"/>
        <v/>
      </c>
      <c r="J8" s="138" t="str">
        <f t="array" ref="J8">IF('Master of Masters'!K8="","",IFERROR(IF(ISNUMBER(INDIRECT("'"&amp;'Master of Masters'!K8&amp;"'!I12",TRUE)),INDIRECT("'"&amp;'Master of Masters'!K8&amp;"'!I12",TRUE),"N/A"),"N/A"))</f>
        <v/>
      </c>
      <c r="K8" s="140" t="str">
        <f t="shared" si="4"/>
        <v/>
      </c>
      <c r="L8" s="139" t="str">
        <f t="shared" si="5"/>
        <v/>
      </c>
      <c r="N8" s="137" t="str">
        <f t="shared" si="6"/>
        <v/>
      </c>
      <c r="O8" s="140" t="str">
        <f t="array" ref="O8">IF('Master of Masters'!K8="","",IFERROR(IF(ISNUMBER(INDIRECT("'"&amp;'Master of Masters'!K8&amp;"'!A4",TRUE)),INDIRECT("'"&amp;'Master of Masters'!K8&amp;"'!A4",TRUE),"N/A"),"N/A"))</f>
        <v/>
      </c>
      <c r="P8" s="138" t="str">
        <f t="shared" si="7"/>
        <v/>
      </c>
      <c r="Q8" s="139" t="str">
        <f t="shared" si="8"/>
        <v/>
      </c>
    </row>
    <row r="9">
      <c r="A9" s="133" t="str">
        <f>IF('Master of Masters'!K9="","",IF(ISNUMBER(SEARCH("Spring",'Master of Masters'!K9)),"S",IF(ISNUMBER(SEARCH("Fall",'Master of Masters'!K9)),"F","?"))&amp;RIGHT('Master of Masters'!K9,2))</f>
        <v/>
      </c>
      <c r="B9" s="134" t="str">
        <f t="array" ref="B9">IF('Master of Masters'!K9="","",IFERROR(IF(ISNUMBER(INDIRECT("'"&amp;'Master of Masters'!K9&amp;"'!I6",TRUE)),INDIRECT("'"&amp;'Master of Masters'!K9&amp;"'!I6",TRUE),"N/A"),"N/A"))</f>
        <v/>
      </c>
      <c r="C9" s="135" t="str">
        <f t="shared" si="1"/>
        <v/>
      </c>
      <c r="E9" s="133" t="str">
        <f t="shared" si="2"/>
        <v/>
      </c>
      <c r="F9" s="134" t="str">
        <f t="array" ref="F9">IF('Master of Masters'!K9="","",IFERROR(IF(ISNUMBER(INDIRECT("'"&amp;'Master of Masters'!K9&amp;"'!C6",TRUE)),INDIRECT("'"&amp;'Master of Masters'!K9&amp;"'!C6",TRUE),"N/A"),"N/A"))</f>
        <v/>
      </c>
      <c r="G9" s="135" t="str">
        <f t="array" ref="G9">IF('Master of Masters'!K9="","",IFERROR(IF(ISNUMBER(INDIRECT("'"&amp;'Master of Masters'!K9&amp;"'!F6",TRUE)),INDIRECT("'"&amp;'Master of Masters'!K9&amp;"'!F6",TRUE),"N/A"),"N/A"))</f>
        <v/>
      </c>
      <c r="I9" s="133" t="str">
        <f t="shared" si="3"/>
        <v/>
      </c>
      <c r="J9" s="134" t="str">
        <f t="array" ref="J9">IF('Master of Masters'!K9="","",IFERROR(IF(ISNUMBER(INDIRECT("'"&amp;'Master of Masters'!K9&amp;"'!I12",TRUE)),INDIRECT("'"&amp;'Master of Masters'!K9&amp;"'!I12",TRUE),"N/A"),"N/A"))</f>
        <v/>
      </c>
      <c r="K9" s="136" t="str">
        <f t="shared" si="4"/>
        <v/>
      </c>
      <c r="L9" s="135" t="str">
        <f t="shared" si="5"/>
        <v/>
      </c>
      <c r="N9" s="133" t="str">
        <f t="shared" si="6"/>
        <v/>
      </c>
      <c r="O9" s="136" t="str">
        <f t="array" ref="O9">IF('Master of Masters'!K9="","",IFERROR(IF(ISNUMBER(INDIRECT("'"&amp;'Master of Masters'!K9&amp;"'!A4",TRUE)),INDIRECT("'"&amp;'Master of Masters'!K9&amp;"'!A4",TRUE),"N/A"),"N/A"))</f>
        <v/>
      </c>
      <c r="P9" s="134" t="str">
        <f t="shared" si="7"/>
        <v/>
      </c>
      <c r="Q9" s="135" t="str">
        <f t="shared" si="8"/>
        <v/>
      </c>
    </row>
    <row r="10">
      <c r="A10" s="137" t="str">
        <f>IF('Master of Masters'!K10="","",IF(ISNUMBER(SEARCH("Spring",'Master of Masters'!K10)),"S",IF(ISNUMBER(SEARCH("Fall",'Master of Masters'!K10)),"F","?"))&amp;RIGHT('Master of Masters'!K10,2))</f>
        <v/>
      </c>
      <c r="B10" s="138" t="str">
        <f t="array" ref="B10">IF('Master of Masters'!K10="","",IFERROR(IF(ISNUMBER(INDIRECT("'"&amp;'Master of Masters'!K10&amp;"'!I6",TRUE)),INDIRECT("'"&amp;'Master of Masters'!K10&amp;"'!I6",TRUE),"N/A"),"N/A"))</f>
        <v/>
      </c>
      <c r="C10" s="139" t="str">
        <f t="shared" si="1"/>
        <v/>
      </c>
      <c r="E10" s="137" t="str">
        <f t="shared" si="2"/>
        <v/>
      </c>
      <c r="F10" s="138" t="str">
        <f t="array" ref="F10">IF('Master of Masters'!K10="","",IFERROR(IF(ISNUMBER(INDIRECT("'"&amp;'Master of Masters'!K10&amp;"'!C6",TRUE)),INDIRECT("'"&amp;'Master of Masters'!K10&amp;"'!C6",TRUE),"N/A"),"N/A"))</f>
        <v/>
      </c>
      <c r="G10" s="139" t="str">
        <f t="array" ref="G10">IF('Master of Masters'!K10="","",IFERROR(IF(ISNUMBER(INDIRECT("'"&amp;'Master of Masters'!K10&amp;"'!F6",TRUE)),INDIRECT("'"&amp;'Master of Masters'!K10&amp;"'!F6",TRUE),"N/A"),"N/A"))</f>
        <v/>
      </c>
      <c r="I10" s="137" t="str">
        <f t="shared" si="3"/>
        <v/>
      </c>
      <c r="J10" s="138" t="str">
        <f t="array" ref="J10">IF('Master of Masters'!K10="","",IFERROR(IF(ISNUMBER(INDIRECT("'"&amp;'Master of Masters'!K10&amp;"'!I12",TRUE)),INDIRECT("'"&amp;'Master of Masters'!K10&amp;"'!I12",TRUE),"N/A"),"N/A"))</f>
        <v/>
      </c>
      <c r="K10" s="140" t="str">
        <f t="shared" si="4"/>
        <v/>
      </c>
      <c r="L10" s="139" t="str">
        <f t="shared" si="5"/>
        <v/>
      </c>
      <c r="N10" s="137" t="str">
        <f t="shared" si="6"/>
        <v/>
      </c>
      <c r="O10" s="140" t="str">
        <f t="array" ref="O10">IF('Master of Masters'!K10="","",IFERROR(IF(ISNUMBER(INDIRECT("'"&amp;'Master of Masters'!K10&amp;"'!A4",TRUE)),INDIRECT("'"&amp;'Master of Masters'!K10&amp;"'!A4",TRUE),"N/A"),"N/A"))</f>
        <v/>
      </c>
      <c r="P10" s="138" t="str">
        <f t="shared" si="7"/>
        <v/>
      </c>
      <c r="Q10" s="139" t="str">
        <f t="shared" si="8"/>
        <v/>
      </c>
    </row>
    <row r="11">
      <c r="A11" s="133" t="str">
        <f>IF('Master of Masters'!K11="","",IF(ISNUMBER(SEARCH("Spring",'Master of Masters'!K11)),"S",IF(ISNUMBER(SEARCH("Fall",'Master of Masters'!K11)),"F","?"))&amp;RIGHT('Master of Masters'!K11,2))</f>
        <v/>
      </c>
      <c r="B11" s="134" t="str">
        <f t="array" ref="B11">IF('Master of Masters'!K11="","",IFERROR(IF(ISNUMBER(INDIRECT("'"&amp;'Master of Masters'!K11&amp;"'!I6",TRUE)),INDIRECT("'"&amp;'Master of Masters'!K11&amp;"'!I6",TRUE),"N/A"),"N/A"))</f>
        <v/>
      </c>
      <c r="C11" s="135" t="str">
        <f t="shared" si="1"/>
        <v/>
      </c>
      <c r="E11" s="133" t="str">
        <f t="shared" si="2"/>
        <v/>
      </c>
      <c r="F11" s="134" t="str">
        <f t="array" ref="F11">IF('Master of Masters'!K11="","",IFERROR(IF(ISNUMBER(INDIRECT("'"&amp;'Master of Masters'!K11&amp;"'!C6",TRUE)),INDIRECT("'"&amp;'Master of Masters'!K11&amp;"'!C6",TRUE),"N/A"),"N/A"))</f>
        <v/>
      </c>
      <c r="G11" s="135" t="str">
        <f t="array" ref="G11">IF('Master of Masters'!K11="","",IFERROR(IF(ISNUMBER(INDIRECT("'"&amp;'Master of Masters'!K11&amp;"'!F6",TRUE)),INDIRECT("'"&amp;'Master of Masters'!K11&amp;"'!F6",TRUE),"N/A"),"N/A"))</f>
        <v/>
      </c>
      <c r="I11" s="133" t="str">
        <f t="shared" si="3"/>
        <v/>
      </c>
      <c r="J11" s="134" t="str">
        <f t="array" ref="J11">IF('Master of Masters'!K11="","",IFERROR(IF(ISNUMBER(INDIRECT("'"&amp;'Master of Masters'!K11&amp;"'!I12",TRUE)),INDIRECT("'"&amp;'Master of Masters'!K11&amp;"'!I12",TRUE),"N/A"),"N/A"))</f>
        <v/>
      </c>
      <c r="K11" s="136" t="str">
        <f t="shared" si="4"/>
        <v/>
      </c>
      <c r="L11" s="135" t="str">
        <f t="shared" si="5"/>
        <v/>
      </c>
      <c r="N11" s="133" t="str">
        <f t="shared" si="6"/>
        <v/>
      </c>
      <c r="O11" s="136" t="str">
        <f t="array" ref="O11">IF('Master of Masters'!K11="","",IFERROR(IF(ISNUMBER(INDIRECT("'"&amp;'Master of Masters'!K11&amp;"'!A4",TRUE)),INDIRECT("'"&amp;'Master of Masters'!K11&amp;"'!A4",TRUE),"N/A"),"N/A"))</f>
        <v/>
      </c>
      <c r="P11" s="134" t="str">
        <f t="shared" si="7"/>
        <v/>
      </c>
      <c r="Q11" s="135" t="str">
        <f t="shared" si="8"/>
        <v/>
      </c>
    </row>
    <row r="12">
      <c r="A12" s="137" t="str">
        <f>IF('Master of Masters'!K12="","",IF(ISNUMBER(SEARCH("Spring",'Master of Masters'!K12)),"S",IF(ISNUMBER(SEARCH("Fall",'Master of Masters'!K12)),"F","?"))&amp;RIGHT('Master of Masters'!K12,2))</f>
        <v/>
      </c>
      <c r="B12" s="138" t="str">
        <f t="array" ref="B12">IF('Master of Masters'!K12="","",IFERROR(IF(ISNUMBER(INDIRECT("'"&amp;'Master of Masters'!K12&amp;"'!I6",TRUE)),INDIRECT("'"&amp;'Master of Masters'!K12&amp;"'!I6",TRUE),"N/A"),"N/A"))</f>
        <v/>
      </c>
      <c r="C12" s="139" t="str">
        <f t="shared" si="1"/>
        <v/>
      </c>
      <c r="E12" s="137" t="str">
        <f t="shared" si="2"/>
        <v/>
      </c>
      <c r="F12" s="138" t="str">
        <f t="array" ref="F12">IF('Master of Masters'!K12="","",IFERROR(IF(ISNUMBER(INDIRECT("'"&amp;'Master of Masters'!K12&amp;"'!C6",TRUE)),INDIRECT("'"&amp;'Master of Masters'!K12&amp;"'!C6",TRUE),"N/A"),"N/A"))</f>
        <v/>
      </c>
      <c r="G12" s="139" t="str">
        <f t="array" ref="G12">IF('Master of Masters'!K12="","",IFERROR(IF(ISNUMBER(INDIRECT("'"&amp;'Master of Masters'!K12&amp;"'!F6",TRUE)),INDIRECT("'"&amp;'Master of Masters'!K12&amp;"'!F6",TRUE),"N/A"),"N/A"))</f>
        <v/>
      </c>
      <c r="I12" s="137" t="str">
        <f t="shared" si="3"/>
        <v/>
      </c>
      <c r="J12" s="138" t="str">
        <f t="array" ref="J12">IF('Master of Masters'!K12="","",IFERROR(IF(ISNUMBER(INDIRECT("'"&amp;'Master of Masters'!K12&amp;"'!I12",TRUE)),INDIRECT("'"&amp;'Master of Masters'!K12&amp;"'!I12",TRUE),"N/A"),"N/A"))</f>
        <v/>
      </c>
      <c r="K12" s="140" t="str">
        <f t="shared" si="4"/>
        <v/>
      </c>
      <c r="L12" s="139" t="str">
        <f t="shared" si="5"/>
        <v/>
      </c>
      <c r="N12" s="137" t="str">
        <f t="shared" si="6"/>
        <v/>
      </c>
      <c r="O12" s="140" t="str">
        <f t="array" ref="O12">IF('Master of Masters'!K12="","",IFERROR(IF(ISNUMBER(INDIRECT("'"&amp;'Master of Masters'!K12&amp;"'!A4",TRUE)),INDIRECT("'"&amp;'Master of Masters'!K12&amp;"'!A4",TRUE),"N/A"),"N/A"))</f>
        <v/>
      </c>
      <c r="P12" s="138" t="str">
        <f t="shared" si="7"/>
        <v/>
      </c>
      <c r="Q12" s="139" t="str">
        <f t="shared" si="8"/>
        <v/>
      </c>
    </row>
    <row r="13">
      <c r="A13" s="133" t="str">
        <f>IF('Master of Masters'!K13="","",IF(ISNUMBER(SEARCH("Spring",'Master of Masters'!K13)),"S",IF(ISNUMBER(SEARCH("Fall",'Master of Masters'!K13)),"F","?"))&amp;RIGHT('Master of Masters'!K13,2))</f>
        <v/>
      </c>
      <c r="B13" s="134" t="str">
        <f t="array" ref="B13">IF('Master of Masters'!K13="","",IFERROR(IF(ISNUMBER(INDIRECT("'"&amp;'Master of Masters'!K13&amp;"'!I6",TRUE)),INDIRECT("'"&amp;'Master of Masters'!K13&amp;"'!I6",TRUE),"N/A"),"N/A"))</f>
        <v/>
      </c>
      <c r="C13" s="135" t="str">
        <f t="shared" si="1"/>
        <v/>
      </c>
      <c r="E13" s="133" t="str">
        <f t="shared" si="2"/>
        <v/>
      </c>
      <c r="F13" s="134" t="str">
        <f t="array" ref="F13">IF('Master of Masters'!K13="","",IFERROR(IF(ISNUMBER(INDIRECT("'"&amp;'Master of Masters'!K13&amp;"'!C6",TRUE)),INDIRECT("'"&amp;'Master of Masters'!K13&amp;"'!C6",TRUE),"N/A"),"N/A"))</f>
        <v/>
      </c>
      <c r="G13" s="135" t="str">
        <f t="array" ref="G13">IF('Master of Masters'!K13="","",IFERROR(IF(ISNUMBER(INDIRECT("'"&amp;'Master of Masters'!K13&amp;"'!F6",TRUE)),INDIRECT("'"&amp;'Master of Masters'!K13&amp;"'!F6",TRUE),"N/A"),"N/A"))</f>
        <v/>
      </c>
      <c r="I13" s="133" t="str">
        <f t="shared" si="3"/>
        <v/>
      </c>
      <c r="J13" s="134" t="str">
        <f t="array" ref="J13">IF('Master of Masters'!K13="","",IFERROR(IF(ISNUMBER(INDIRECT("'"&amp;'Master of Masters'!K13&amp;"'!I12",TRUE)),INDIRECT("'"&amp;'Master of Masters'!K13&amp;"'!I12",TRUE),"N/A"),"N/A"))</f>
        <v/>
      </c>
      <c r="K13" s="136" t="str">
        <f t="shared" si="4"/>
        <v/>
      </c>
      <c r="L13" s="135" t="str">
        <f t="shared" si="5"/>
        <v/>
      </c>
      <c r="N13" s="133" t="str">
        <f t="shared" si="6"/>
        <v/>
      </c>
      <c r="O13" s="136" t="str">
        <f t="array" ref="O13">IF('Master of Masters'!K13="","",IFERROR(IF(ISNUMBER(INDIRECT("'"&amp;'Master of Masters'!K13&amp;"'!A4",TRUE)),INDIRECT("'"&amp;'Master of Masters'!K13&amp;"'!A4",TRUE),"N/A"),"N/A"))</f>
        <v/>
      </c>
      <c r="P13" s="134" t="str">
        <f t="shared" si="7"/>
        <v/>
      </c>
      <c r="Q13" s="135" t="str">
        <f t="shared" si="8"/>
        <v/>
      </c>
    </row>
    <row r="14">
      <c r="A14" s="137" t="str">
        <f>IF('Master of Masters'!K14="","",IF(ISNUMBER(SEARCH("Spring",'Master of Masters'!K14)),"S",IF(ISNUMBER(SEARCH("Fall",'Master of Masters'!K14)),"F","?"))&amp;RIGHT('Master of Masters'!K14,2))</f>
        <v/>
      </c>
      <c r="B14" s="138" t="str">
        <f t="array" ref="B14">IF('Master of Masters'!K14="","",IFERROR(IF(ISNUMBER(INDIRECT("'"&amp;'Master of Masters'!K14&amp;"'!I6",TRUE)),INDIRECT("'"&amp;'Master of Masters'!K14&amp;"'!I6",TRUE),"N/A"),"N/A"))</f>
        <v/>
      </c>
      <c r="C14" s="139" t="str">
        <f t="shared" si="1"/>
        <v/>
      </c>
      <c r="E14" s="137" t="str">
        <f t="shared" si="2"/>
        <v/>
      </c>
      <c r="F14" s="138" t="str">
        <f t="array" ref="F14">IF('Master of Masters'!K14="","",IFERROR(IF(ISNUMBER(INDIRECT("'"&amp;'Master of Masters'!K14&amp;"'!C6",TRUE)),INDIRECT("'"&amp;'Master of Masters'!K14&amp;"'!C6",TRUE),"N/A"),"N/A"))</f>
        <v/>
      </c>
      <c r="G14" s="139" t="str">
        <f t="array" ref="G14">IF('Master of Masters'!K14="","",IFERROR(IF(ISNUMBER(INDIRECT("'"&amp;'Master of Masters'!K14&amp;"'!F6",TRUE)),INDIRECT("'"&amp;'Master of Masters'!K14&amp;"'!F6",TRUE),"N/A"),"N/A"))</f>
        <v/>
      </c>
      <c r="I14" s="137" t="str">
        <f t="shared" si="3"/>
        <v/>
      </c>
      <c r="J14" s="138" t="str">
        <f t="array" ref="J14">IF('Master of Masters'!K14="","",IFERROR(IF(ISNUMBER(INDIRECT("'"&amp;'Master of Masters'!K14&amp;"'!I12",TRUE)),INDIRECT("'"&amp;'Master of Masters'!K14&amp;"'!I12",TRUE),"N/A"),"N/A"))</f>
        <v/>
      </c>
      <c r="K14" s="140" t="str">
        <f t="shared" si="4"/>
        <v/>
      </c>
      <c r="L14" s="139" t="str">
        <f t="shared" si="5"/>
        <v/>
      </c>
      <c r="N14" s="137" t="str">
        <f t="shared" si="6"/>
        <v/>
      </c>
      <c r="O14" s="140" t="str">
        <f t="array" ref="O14">IF('Master of Masters'!K14="","",IFERROR(IF(ISNUMBER(INDIRECT("'"&amp;'Master of Masters'!K14&amp;"'!A4",TRUE)),INDIRECT("'"&amp;'Master of Masters'!K14&amp;"'!A4",TRUE),"N/A"),"N/A"))</f>
        <v/>
      </c>
      <c r="P14" s="138" t="str">
        <f t="shared" si="7"/>
        <v/>
      </c>
      <c r="Q14" s="139" t="str">
        <f t="shared" si="8"/>
        <v/>
      </c>
    </row>
    <row r="15">
      <c r="A15" s="133" t="str">
        <f>IF('Master of Masters'!K15="","",IF(ISNUMBER(SEARCH("Spring",'Master of Masters'!K15)),"S",IF(ISNUMBER(SEARCH("Fall",'Master of Masters'!K15)),"F","?"))&amp;RIGHT('Master of Masters'!K15,2))</f>
        <v/>
      </c>
      <c r="B15" s="134" t="str">
        <f t="array" ref="B15">IF('Master of Masters'!K15="","",IFERROR(IF(ISNUMBER(INDIRECT("'"&amp;'Master of Masters'!K15&amp;"'!I6",TRUE)),INDIRECT("'"&amp;'Master of Masters'!K15&amp;"'!I6",TRUE),"N/A"),"N/A"))</f>
        <v/>
      </c>
      <c r="C15" s="135" t="str">
        <f t="shared" si="1"/>
        <v/>
      </c>
      <c r="E15" s="133" t="str">
        <f t="shared" si="2"/>
        <v/>
      </c>
      <c r="F15" s="134" t="str">
        <f t="array" ref="F15">IF('Master of Masters'!K15="","",IFERROR(IF(ISNUMBER(INDIRECT("'"&amp;'Master of Masters'!K15&amp;"'!C6",TRUE)),INDIRECT("'"&amp;'Master of Masters'!K15&amp;"'!C6",TRUE),"N/A"),"N/A"))</f>
        <v/>
      </c>
      <c r="G15" s="135" t="str">
        <f t="array" ref="G15">IF('Master of Masters'!K15="","",IFERROR(IF(ISNUMBER(INDIRECT("'"&amp;'Master of Masters'!K15&amp;"'!F6",TRUE)),INDIRECT("'"&amp;'Master of Masters'!K15&amp;"'!F6",TRUE),"N/A"),"N/A"))</f>
        <v/>
      </c>
      <c r="I15" s="133" t="str">
        <f t="shared" si="3"/>
        <v/>
      </c>
      <c r="J15" s="134" t="str">
        <f t="array" ref="J15">IF('Master of Masters'!K15="","",IFERROR(IF(ISNUMBER(INDIRECT("'"&amp;'Master of Masters'!K15&amp;"'!I12",TRUE)),INDIRECT("'"&amp;'Master of Masters'!K15&amp;"'!I12",TRUE),"N/A"),"N/A"))</f>
        <v/>
      </c>
      <c r="K15" s="136" t="str">
        <f t="shared" si="4"/>
        <v/>
      </c>
      <c r="L15" s="135" t="str">
        <f t="shared" si="5"/>
        <v/>
      </c>
      <c r="N15" s="133" t="str">
        <f t="shared" si="6"/>
        <v/>
      </c>
      <c r="O15" s="136" t="str">
        <f t="array" ref="O15">IF('Master of Masters'!K15="","",IFERROR(IF(ISNUMBER(INDIRECT("'"&amp;'Master of Masters'!K15&amp;"'!A4",TRUE)),INDIRECT("'"&amp;'Master of Masters'!K15&amp;"'!A4",TRUE),"N/A"),"N/A"))</f>
        <v/>
      </c>
      <c r="P15" s="134" t="str">
        <f t="shared" si="7"/>
        <v/>
      </c>
      <c r="Q15" s="135" t="str">
        <f t="shared" si="8"/>
        <v/>
      </c>
    </row>
    <row r="16">
      <c r="A16" s="137" t="str">
        <f>IF('Master of Masters'!K16="","",IF(ISNUMBER(SEARCH("Spring",'Master of Masters'!K16)),"S",IF(ISNUMBER(SEARCH("Fall",'Master of Masters'!K16)),"F","?"))&amp;RIGHT('Master of Masters'!K16,2))</f>
        <v/>
      </c>
      <c r="B16" s="138" t="str">
        <f t="array" ref="B16">IF('Master of Masters'!K16="","",IFERROR(IF(ISNUMBER(INDIRECT("'"&amp;'Master of Masters'!K16&amp;"'!I6",TRUE)),INDIRECT("'"&amp;'Master of Masters'!K16&amp;"'!I6",TRUE),"N/A"),"N/A"))</f>
        <v/>
      </c>
      <c r="C16" s="139" t="str">
        <f t="shared" si="1"/>
        <v/>
      </c>
      <c r="E16" s="137" t="str">
        <f t="shared" si="2"/>
        <v/>
      </c>
      <c r="F16" s="138" t="str">
        <f t="array" ref="F16">IF('Master of Masters'!K16="","",IFERROR(IF(ISNUMBER(INDIRECT("'"&amp;'Master of Masters'!K16&amp;"'!C6",TRUE)),INDIRECT("'"&amp;'Master of Masters'!K16&amp;"'!C6",TRUE),"N/A"),"N/A"))</f>
        <v/>
      </c>
      <c r="G16" s="139" t="str">
        <f t="array" ref="G16">IF('Master of Masters'!K16="","",IFERROR(IF(ISNUMBER(INDIRECT("'"&amp;'Master of Masters'!K16&amp;"'!F6",TRUE)),INDIRECT("'"&amp;'Master of Masters'!K16&amp;"'!F6",TRUE),"N/A"),"N/A"))</f>
        <v/>
      </c>
      <c r="I16" s="137" t="str">
        <f t="shared" si="3"/>
        <v/>
      </c>
      <c r="J16" s="138" t="str">
        <f t="array" ref="J16">IF('Master of Masters'!K16="","",IFERROR(IF(ISNUMBER(INDIRECT("'"&amp;'Master of Masters'!K16&amp;"'!I12",TRUE)),INDIRECT("'"&amp;'Master of Masters'!K16&amp;"'!I12",TRUE),"N/A"),"N/A"))</f>
        <v/>
      </c>
      <c r="K16" s="140" t="str">
        <f t="shared" si="4"/>
        <v/>
      </c>
      <c r="L16" s="139" t="str">
        <f t="shared" si="5"/>
        <v/>
      </c>
      <c r="N16" s="137" t="str">
        <f t="shared" si="6"/>
        <v/>
      </c>
      <c r="O16" s="140" t="str">
        <f t="array" ref="O16">IF('Master of Masters'!K16="","",IFERROR(IF(ISNUMBER(INDIRECT("'"&amp;'Master of Masters'!K16&amp;"'!A4",TRUE)),INDIRECT("'"&amp;'Master of Masters'!K16&amp;"'!A4",TRUE),"N/A"),"N/A"))</f>
        <v/>
      </c>
      <c r="P16" s="138" t="str">
        <f t="shared" si="7"/>
        <v/>
      </c>
      <c r="Q16" s="139" t="str">
        <f t="shared" si="8"/>
        <v/>
      </c>
    </row>
    <row r="17">
      <c r="A17" s="142" t="str">
        <f>IF('Master of Masters'!K17="","",IF(ISNUMBER(SEARCH("Spring",'Master of Masters'!K17)),"S",IF(ISNUMBER(SEARCH("Fall",'Master of Masters'!K17)),"F","?"))&amp;RIGHT('Master of Masters'!K17,2))</f>
        <v/>
      </c>
      <c r="B17" s="143" t="str">
        <f t="array" ref="B17">IF('Master of Masters'!K17="","",IFERROR(IF(ISNUMBER(INDIRECT("'"&amp;'Master of Masters'!K17&amp;"'!I6",TRUE)),INDIRECT("'"&amp;'Master of Masters'!K17&amp;"'!I6",TRUE),"N/A"),"N/A"))</f>
        <v/>
      </c>
      <c r="C17" s="144" t="str">
        <f t="shared" si="1"/>
        <v/>
      </c>
      <c r="E17" s="142" t="str">
        <f t="shared" si="2"/>
        <v/>
      </c>
      <c r="F17" s="143" t="str">
        <f t="array" ref="F17">IF('Master of Masters'!K17="","",IFERROR(IF(ISNUMBER(INDIRECT("'"&amp;'Master of Masters'!K17&amp;"'!C6",TRUE)),INDIRECT("'"&amp;'Master of Masters'!K17&amp;"'!C6",TRUE),"N/A"),"N/A"))</f>
        <v/>
      </c>
      <c r="G17" s="144" t="str">
        <f t="array" ref="G17">IF('Master of Masters'!K17="","",IFERROR(IF(ISNUMBER(INDIRECT("'"&amp;'Master of Masters'!K17&amp;"'!F6",TRUE)),INDIRECT("'"&amp;'Master of Masters'!K17&amp;"'!F6",TRUE),"N/A"),"N/A"))</f>
        <v/>
      </c>
      <c r="I17" s="142" t="str">
        <f t="shared" si="3"/>
        <v/>
      </c>
      <c r="J17" s="143" t="str">
        <f t="array" ref="J17">IF('Master of Masters'!K17="","",IFERROR(IF(ISNUMBER(INDIRECT("'"&amp;'Master of Masters'!K17&amp;"'!I12",TRUE)),INDIRECT("'"&amp;'Master of Masters'!K17&amp;"'!I12",TRUE),"N/A"),"N/A"))</f>
        <v/>
      </c>
      <c r="K17" s="145" t="str">
        <f t="shared" si="4"/>
        <v/>
      </c>
      <c r="L17" s="144" t="str">
        <f t="shared" si="5"/>
        <v/>
      </c>
      <c r="N17" s="142" t="str">
        <f t="shared" si="6"/>
        <v/>
      </c>
      <c r="O17" s="145" t="str">
        <f t="array" ref="O17">IF('Master of Masters'!K17="","",IFERROR(IF(ISNUMBER(INDIRECT("'"&amp;'Master of Masters'!K17&amp;"'!A4",TRUE)),INDIRECT("'"&amp;'Master of Masters'!K17&amp;"'!A4",TRUE),"N/A"),"N/A"))</f>
        <v/>
      </c>
      <c r="P17" s="143" t="str">
        <f t="shared" si="7"/>
        <v/>
      </c>
      <c r="Q17" s="144" t="str">
        <f t="shared" si="8"/>
        <v/>
      </c>
    </row>
    <row r="18" ht="12.0" customHeight="1">
      <c r="E18" s="146" t="s">
        <v>74</v>
      </c>
      <c r="I18" s="146" t="s">
        <v>75</v>
      </c>
    </row>
    <row r="20" ht="3.75" customHeight="1">
      <c r="A20" s="147"/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</row>
    <row r="21" ht="16.5" customHeight="1">
      <c r="A21" s="128" t="s">
        <v>76</v>
      </c>
      <c r="B21" s="129"/>
      <c r="C21" s="129"/>
      <c r="D21" s="129"/>
      <c r="F21" s="128" t="s">
        <v>77</v>
      </c>
      <c r="G21" s="129"/>
      <c r="H21" s="129"/>
      <c r="I21" s="129"/>
    </row>
    <row r="22" ht="18.0" customHeight="1">
      <c r="A22" s="130" t="s">
        <v>78</v>
      </c>
      <c r="B22" s="131" t="s">
        <v>79</v>
      </c>
      <c r="C22" s="131" t="s">
        <v>80</v>
      </c>
      <c r="D22" s="132" t="s">
        <v>81</v>
      </c>
      <c r="F22" s="130" t="s">
        <v>64</v>
      </c>
      <c r="G22" s="131" t="s">
        <v>82</v>
      </c>
      <c r="H22" s="131" t="s">
        <v>83</v>
      </c>
      <c r="I22" s="132" t="s">
        <v>30</v>
      </c>
    </row>
    <row r="23">
      <c r="A23" s="82" t="str">
        <f t="shared" ref="A23:A36" si="10">IF(OR(A3="",A4=""),"",A3&amp;" → "&amp;A4)</f>
        <v>S24 → F24</v>
      </c>
      <c r="B23" s="148" t="str">
        <f t="shared" ref="B23:C23" si="9">IF(OR(NOT(ISNUMBER(F3)),NOT(ISNUMBER(F4))),"",(F4-F3)/F3)</f>
        <v/>
      </c>
      <c r="C23" s="148" t="str">
        <f t="shared" si="9"/>
        <v/>
      </c>
      <c r="D23" s="149">
        <f t="shared" ref="D23:D36" si="12">IF(OR(NOT(ISNUMBER(B3)),NOT(ISNUMBER(B4))),"",(B4-B3)/B3)</f>
        <v>2.710662283</v>
      </c>
      <c r="F23" s="133" t="str">
        <f t="shared" ref="F23:F37" si="13">IF(A3="","",A3)</f>
        <v>S24</v>
      </c>
      <c r="G23" s="150" t="str">
        <f t="array" ref="G23">IF('Master of Masters'!K3="","",IFERROR(IF(ISNUMBER(INDIRECT("'"&amp;'Master of Masters'!K3&amp;"'!C8",TRUE)),INDIRECT("'"&amp;'Master of Masters'!K3&amp;"'!C8",TRUE),"N/A"),"N/A"))</f>
        <v>N/A</v>
      </c>
      <c r="H23" s="150" t="str">
        <f t="array" ref="H23">IF('Master of Masters'!K3="","",IFERROR(IF(ISNUMBER(INDIRECT("'"&amp;'Master of Masters'!K3&amp;"'!F8",TRUE)),INDIRECT("'"&amp;'Master of Masters'!K3&amp;"'!F8",TRUE),"N/A"),"N/A"))</f>
        <v>N/A</v>
      </c>
      <c r="I23" s="151" t="str">
        <f t="array" ref="I23">IF('Master of Masters'!K3="","",IFERROR(IF(ISNUMBER(INDIRECT("'"&amp;'Master of Masters'!K3&amp;"'!I8",TRUE)),INDIRECT("'"&amp;'Master of Masters'!K3&amp;"'!I8",TRUE),"N/A"),"N/A"))</f>
        <v>N/A</v>
      </c>
    </row>
    <row r="24">
      <c r="A24" s="85" t="str">
        <f t="shared" si="10"/>
        <v>F24 → S25</v>
      </c>
      <c r="B24" s="152">
        <f t="shared" ref="B24:C24" si="11">IF(OR(NOT(ISNUMBER(F4)),NOT(ISNUMBER(F5))),"",(F5-F4)/F4)</f>
        <v>0.2111875053</v>
      </c>
      <c r="C24" s="152">
        <f t="shared" si="11"/>
        <v>0.150564875</v>
      </c>
      <c r="D24" s="153">
        <f t="shared" si="12"/>
        <v>0.1776320776</v>
      </c>
      <c r="F24" s="137" t="str">
        <f t="shared" si="13"/>
        <v>F24</v>
      </c>
      <c r="G24" s="154" t="str">
        <f t="array" ref="G24">IF('Master of Masters'!K4="","",IFERROR(IF(ISNUMBER(INDIRECT("'"&amp;'Master of Masters'!K4&amp;"'!C8",TRUE)),INDIRECT("'"&amp;'Master of Masters'!K4&amp;"'!C8",TRUE),"N/A"),"N/A"))</f>
        <v>N/A</v>
      </c>
      <c r="H24" s="154" t="str">
        <f t="array" ref="H24">IF('Master of Masters'!K4="","",IFERROR(IF(ISNUMBER(INDIRECT("'"&amp;'Master of Masters'!K4&amp;"'!F8",TRUE)),INDIRECT("'"&amp;'Master of Masters'!K4&amp;"'!F8",TRUE),"N/A"),"N/A"))</f>
        <v>N/A</v>
      </c>
      <c r="I24" s="155" t="str">
        <f t="array" ref="I24">IF('Master of Masters'!K4="","",IFERROR(IF(ISNUMBER(INDIRECT("'"&amp;'Master of Masters'!K4&amp;"'!I8",TRUE)),INDIRECT("'"&amp;'Master of Masters'!K4&amp;"'!I8",TRUE),"N/A"),"N/A"))</f>
        <v>N/A</v>
      </c>
    </row>
    <row r="25">
      <c r="A25" s="82" t="str">
        <f t="shared" si="10"/>
        <v>S25 → F25</v>
      </c>
      <c r="B25" s="156">
        <f t="shared" ref="B25:C25" si="14">IF(OR(NOT(ISNUMBER(F5)),NOT(ISNUMBER(F6))),"",(F6-F5)/F5)</f>
        <v>0.4064755764</v>
      </c>
      <c r="C25" s="156">
        <f t="shared" si="14"/>
        <v>-0.01660318972</v>
      </c>
      <c r="D25" s="149">
        <f t="shared" si="12"/>
        <v>0.1776783703</v>
      </c>
      <c r="F25" s="133" t="str">
        <f t="shared" si="13"/>
        <v>S25</v>
      </c>
      <c r="G25" s="150" t="str">
        <f t="array" ref="G25">IF('Master of Masters'!K5="","",IFERROR(IF(ISNUMBER(INDIRECT("'"&amp;'Master of Masters'!K5&amp;"'!C8",TRUE)),INDIRECT("'"&amp;'Master of Masters'!K5&amp;"'!C8",TRUE),"N/A"),"N/A"))</f>
        <v>N/A</v>
      </c>
      <c r="H25" s="150" t="str">
        <f t="array" ref="H25">IF('Master of Masters'!K5="","",IFERROR(IF(ISNUMBER(INDIRECT("'"&amp;'Master of Masters'!K5&amp;"'!F8",TRUE)),INDIRECT("'"&amp;'Master of Masters'!K5&amp;"'!F8",TRUE),"N/A"),"N/A"))</f>
        <v>N/A</v>
      </c>
      <c r="I25" s="151" t="str">
        <f t="array" ref="I25">IF('Master of Masters'!K5="","",IFERROR(IF(ISNUMBER(INDIRECT("'"&amp;'Master of Masters'!K5&amp;"'!I8",TRUE)),INDIRECT("'"&amp;'Master of Masters'!K5&amp;"'!I8",TRUE),"N/A"),"N/A"))</f>
        <v>N/A</v>
      </c>
    </row>
    <row r="26">
      <c r="A26" s="85" t="str">
        <f t="shared" si="10"/>
        <v>F25 → S26*</v>
      </c>
      <c r="B26" s="152">
        <f t="shared" ref="B26:C26" si="15">IF(OR(NOT(ISNUMBER(F6)),NOT(ISNUMBER(F7))),"",(F7-F6)/F6)</f>
        <v>-0.1072300563</v>
      </c>
      <c r="C26" s="152">
        <f t="shared" si="15"/>
        <v>-0.02620272315</v>
      </c>
      <c r="D26" s="153">
        <f t="shared" si="12"/>
        <v>-0.07063999563</v>
      </c>
      <c r="F26" s="137" t="str">
        <f t="shared" si="13"/>
        <v>F25</v>
      </c>
      <c r="G26" s="154">
        <f t="array" ref="G26">IF('Master of Masters'!K6="","",IFERROR(IF(ISNUMBER(INDIRECT("'"&amp;'Master of Masters'!K6&amp;"'!C8",TRUE)),INDIRECT("'"&amp;'Master of Masters'!K6&amp;"'!C8",TRUE),"N/A"),"N/A"))</f>
        <v>51.42</v>
      </c>
      <c r="H26" s="154">
        <f t="array" ref="H26">IF('Master of Masters'!K6="","",IFERROR(IF(ISNUMBER(INDIRECT("'"&amp;'Master of Masters'!K6&amp;"'!F8",TRUE)),INDIRECT("'"&amp;'Master of Masters'!K6&amp;"'!F8",TRUE),"N/A"),"N/A"))</f>
        <v>41.84</v>
      </c>
      <c r="I26" s="155">
        <f t="array" ref="I26">IF('Master of Masters'!K6="","",IFERROR(IF(ISNUMBER(INDIRECT("'"&amp;'Master of Masters'!K6&amp;"'!I8",TRUE)),INDIRECT("'"&amp;'Master of Masters'!K6&amp;"'!I8",TRUE),"N/A"),"N/A"))</f>
        <v>46.41</v>
      </c>
    </row>
    <row r="27">
      <c r="A27" s="82" t="str">
        <f t="shared" si="10"/>
        <v/>
      </c>
      <c r="B27" s="148" t="str">
        <f t="shared" ref="B27:C27" si="16">IF(OR(NOT(ISNUMBER(F7)),NOT(ISNUMBER(F8))),"",(F8-F7)/F7)</f>
        <v/>
      </c>
      <c r="C27" s="148" t="str">
        <f t="shared" si="16"/>
        <v/>
      </c>
      <c r="D27" s="157" t="str">
        <f t="shared" si="12"/>
        <v/>
      </c>
      <c r="F27" s="133" t="str">
        <f t="shared" si="13"/>
        <v>S26*</v>
      </c>
      <c r="G27" s="150">
        <f t="array" ref="G27">IF('Master of Masters'!K7="","",IFERROR(IF(ISNUMBER(INDIRECT("'"&amp;'Master of Masters'!K7&amp;"'!C8",TRUE)),INDIRECT("'"&amp;'Master of Masters'!K7&amp;"'!C8",TRUE),"N/A"),"N/A"))</f>
        <v>60.99058209</v>
      </c>
      <c r="H27" s="150">
        <f t="array" ref="H27">IF('Master of Masters'!K7="","",IFERROR(IF(ISNUMBER(INDIRECT("'"&amp;'Master of Masters'!K7&amp;"'!F8",TRUE)),INDIRECT("'"&amp;'Master of Masters'!K7&amp;"'!F8",TRUE),"N/A"),"N/A"))</f>
        <v>42.43484376</v>
      </c>
      <c r="I27" s="151">
        <f t="array" ref="I27">IF('Master of Masters'!K7="","",IFERROR(IF(ISNUMBER(INDIRECT("'"&amp;'Master of Masters'!K7&amp;"'!I8",TRUE)),INDIRECT("'"&amp;'Master of Masters'!K7&amp;"'!I8",TRUE),"N/A"),"N/A"))</f>
        <v>50.53468387</v>
      </c>
    </row>
    <row r="28">
      <c r="A28" s="85" t="str">
        <f t="shared" si="10"/>
        <v/>
      </c>
      <c r="B28" s="158" t="str">
        <f t="shared" ref="B28:C28" si="17">IF(OR(NOT(ISNUMBER(F8)),NOT(ISNUMBER(F9))),"",(F9-F8)/F8)</f>
        <v/>
      </c>
      <c r="C28" s="158" t="str">
        <f t="shared" si="17"/>
        <v/>
      </c>
      <c r="D28" s="159" t="str">
        <f t="shared" si="12"/>
        <v/>
      </c>
      <c r="F28" s="137" t="str">
        <f t="shared" si="13"/>
        <v/>
      </c>
      <c r="G28" s="154" t="str">
        <f t="array" ref="G28">IF('Master of Masters'!K8="","",IFERROR(IF(ISNUMBER(INDIRECT("'"&amp;'Master of Masters'!K8&amp;"'!C8",TRUE)),INDIRECT("'"&amp;'Master of Masters'!K8&amp;"'!C8",TRUE),"N/A"),"N/A"))</f>
        <v/>
      </c>
      <c r="H28" s="154" t="str">
        <f t="array" ref="H28">IF('Master of Masters'!K8="","",IFERROR(IF(ISNUMBER(INDIRECT("'"&amp;'Master of Masters'!K8&amp;"'!F8",TRUE)),INDIRECT("'"&amp;'Master of Masters'!K8&amp;"'!F8",TRUE),"N/A"),"N/A"))</f>
        <v/>
      </c>
      <c r="I28" s="155" t="str">
        <f t="array" ref="I28">IF('Master of Masters'!K8="","",IFERROR(IF(ISNUMBER(INDIRECT("'"&amp;'Master of Masters'!K8&amp;"'!I8",TRUE)),INDIRECT("'"&amp;'Master of Masters'!K8&amp;"'!I8",TRUE),"N/A"),"N/A"))</f>
        <v/>
      </c>
    </row>
    <row r="29">
      <c r="A29" s="82" t="str">
        <f t="shared" si="10"/>
        <v/>
      </c>
      <c r="B29" s="148" t="str">
        <f t="shared" ref="B29:C29" si="18">IF(OR(NOT(ISNUMBER(F9)),NOT(ISNUMBER(F10))),"",(F10-F9)/F9)</f>
        <v/>
      </c>
      <c r="C29" s="148" t="str">
        <f t="shared" si="18"/>
        <v/>
      </c>
      <c r="D29" s="157" t="str">
        <f t="shared" si="12"/>
        <v/>
      </c>
      <c r="F29" s="133" t="str">
        <f t="shared" si="13"/>
        <v/>
      </c>
      <c r="G29" s="150" t="str">
        <f t="array" ref="G29">IF('Master of Masters'!K9="","",IFERROR(IF(ISNUMBER(INDIRECT("'"&amp;'Master of Masters'!K9&amp;"'!C8",TRUE)),INDIRECT("'"&amp;'Master of Masters'!K9&amp;"'!C8",TRUE),"N/A"),"N/A"))</f>
        <v/>
      </c>
      <c r="H29" s="150" t="str">
        <f t="array" ref="H29">IF('Master of Masters'!K9="","",IFERROR(IF(ISNUMBER(INDIRECT("'"&amp;'Master of Masters'!K9&amp;"'!F8",TRUE)),INDIRECT("'"&amp;'Master of Masters'!K9&amp;"'!F8",TRUE),"N/A"),"N/A"))</f>
        <v/>
      </c>
      <c r="I29" s="151" t="str">
        <f t="array" ref="I29">IF('Master of Masters'!K9="","",IFERROR(IF(ISNUMBER(INDIRECT("'"&amp;'Master of Masters'!K9&amp;"'!I8",TRUE)),INDIRECT("'"&amp;'Master of Masters'!K9&amp;"'!I8",TRUE),"N/A"),"N/A"))</f>
        <v/>
      </c>
    </row>
    <row r="30">
      <c r="A30" s="85" t="str">
        <f t="shared" si="10"/>
        <v/>
      </c>
      <c r="B30" s="158" t="str">
        <f t="shared" ref="B30:C30" si="19">IF(OR(NOT(ISNUMBER(F10)),NOT(ISNUMBER(F11))),"",(F11-F10)/F10)</f>
        <v/>
      </c>
      <c r="C30" s="158" t="str">
        <f t="shared" si="19"/>
        <v/>
      </c>
      <c r="D30" s="159" t="str">
        <f t="shared" si="12"/>
        <v/>
      </c>
      <c r="F30" s="137" t="str">
        <f t="shared" si="13"/>
        <v/>
      </c>
      <c r="G30" s="154" t="str">
        <f t="array" ref="G30">IF('Master of Masters'!K10="","",IFERROR(IF(ISNUMBER(INDIRECT("'"&amp;'Master of Masters'!K10&amp;"'!C8",TRUE)),INDIRECT("'"&amp;'Master of Masters'!K10&amp;"'!C8",TRUE),"N/A"),"N/A"))</f>
        <v/>
      </c>
      <c r="H30" s="154" t="str">
        <f t="array" ref="H30">IF('Master of Masters'!K10="","",IFERROR(IF(ISNUMBER(INDIRECT("'"&amp;'Master of Masters'!K10&amp;"'!F8",TRUE)),INDIRECT("'"&amp;'Master of Masters'!K10&amp;"'!F8",TRUE),"N/A"),"N/A"))</f>
        <v/>
      </c>
      <c r="I30" s="155" t="str">
        <f t="array" ref="I30">IF('Master of Masters'!K10="","",IFERROR(IF(ISNUMBER(INDIRECT("'"&amp;'Master of Masters'!K10&amp;"'!I8",TRUE)),INDIRECT("'"&amp;'Master of Masters'!K10&amp;"'!I8",TRUE),"N/A"),"N/A"))</f>
        <v/>
      </c>
    </row>
    <row r="31">
      <c r="A31" s="82" t="str">
        <f t="shared" si="10"/>
        <v/>
      </c>
      <c r="B31" s="148" t="str">
        <f t="shared" ref="B31:C31" si="20">IF(OR(NOT(ISNUMBER(F11)),NOT(ISNUMBER(F12))),"",(F12-F11)/F11)</f>
        <v/>
      </c>
      <c r="C31" s="148" t="str">
        <f t="shared" si="20"/>
        <v/>
      </c>
      <c r="D31" s="157" t="str">
        <f t="shared" si="12"/>
        <v/>
      </c>
      <c r="F31" s="133" t="str">
        <f t="shared" si="13"/>
        <v/>
      </c>
      <c r="G31" s="150" t="str">
        <f t="array" ref="G31">IF('Master of Masters'!K11="","",IFERROR(IF(ISNUMBER(INDIRECT("'"&amp;'Master of Masters'!K11&amp;"'!C8",TRUE)),INDIRECT("'"&amp;'Master of Masters'!K11&amp;"'!C8",TRUE),"N/A"),"N/A"))</f>
        <v/>
      </c>
      <c r="H31" s="150" t="str">
        <f t="array" ref="H31">IF('Master of Masters'!K11="","",IFERROR(IF(ISNUMBER(INDIRECT("'"&amp;'Master of Masters'!K11&amp;"'!F8",TRUE)),INDIRECT("'"&amp;'Master of Masters'!K11&amp;"'!F8",TRUE),"N/A"),"N/A"))</f>
        <v/>
      </c>
      <c r="I31" s="151" t="str">
        <f t="array" ref="I31">IF('Master of Masters'!K11="","",IFERROR(IF(ISNUMBER(INDIRECT("'"&amp;'Master of Masters'!K11&amp;"'!I8",TRUE)),INDIRECT("'"&amp;'Master of Masters'!K11&amp;"'!I8",TRUE),"N/A"),"N/A"))</f>
        <v/>
      </c>
    </row>
    <row r="32">
      <c r="A32" s="85" t="str">
        <f t="shared" si="10"/>
        <v/>
      </c>
      <c r="B32" s="158" t="str">
        <f t="shared" ref="B32:C32" si="21">IF(OR(NOT(ISNUMBER(F12)),NOT(ISNUMBER(F13))),"",(F13-F12)/F12)</f>
        <v/>
      </c>
      <c r="C32" s="158" t="str">
        <f t="shared" si="21"/>
        <v/>
      </c>
      <c r="D32" s="159" t="str">
        <f t="shared" si="12"/>
        <v/>
      </c>
      <c r="F32" s="137" t="str">
        <f t="shared" si="13"/>
        <v/>
      </c>
      <c r="G32" s="154" t="str">
        <f t="array" ref="G32">IF('Master of Masters'!K12="","",IFERROR(IF(ISNUMBER(INDIRECT("'"&amp;'Master of Masters'!K12&amp;"'!C8",TRUE)),INDIRECT("'"&amp;'Master of Masters'!K12&amp;"'!C8",TRUE),"N/A"),"N/A"))</f>
        <v/>
      </c>
      <c r="H32" s="154" t="str">
        <f t="array" ref="H32">IF('Master of Masters'!K12="","",IFERROR(IF(ISNUMBER(INDIRECT("'"&amp;'Master of Masters'!K12&amp;"'!F8",TRUE)),INDIRECT("'"&amp;'Master of Masters'!K12&amp;"'!F8",TRUE),"N/A"),"N/A"))</f>
        <v/>
      </c>
      <c r="I32" s="155" t="str">
        <f t="array" ref="I32">IF('Master of Masters'!K12="","",IFERROR(IF(ISNUMBER(INDIRECT("'"&amp;'Master of Masters'!K12&amp;"'!I8",TRUE)),INDIRECT("'"&amp;'Master of Masters'!K12&amp;"'!I8",TRUE),"N/A"),"N/A"))</f>
        <v/>
      </c>
    </row>
    <row r="33">
      <c r="A33" s="82" t="str">
        <f t="shared" si="10"/>
        <v/>
      </c>
      <c r="B33" s="148" t="str">
        <f t="shared" ref="B33:C33" si="22">IF(OR(NOT(ISNUMBER(F13)),NOT(ISNUMBER(F14))),"",(F14-F13)/F13)</f>
        <v/>
      </c>
      <c r="C33" s="148" t="str">
        <f t="shared" si="22"/>
        <v/>
      </c>
      <c r="D33" s="157" t="str">
        <f t="shared" si="12"/>
        <v/>
      </c>
      <c r="F33" s="133" t="str">
        <f t="shared" si="13"/>
        <v/>
      </c>
      <c r="G33" s="150" t="str">
        <f t="array" ref="G33">IF('Master of Masters'!K13="","",IFERROR(IF(ISNUMBER(INDIRECT("'"&amp;'Master of Masters'!K13&amp;"'!C8",TRUE)),INDIRECT("'"&amp;'Master of Masters'!K13&amp;"'!C8",TRUE),"N/A"),"N/A"))</f>
        <v/>
      </c>
      <c r="H33" s="150" t="str">
        <f t="array" ref="H33">IF('Master of Masters'!K13="","",IFERROR(IF(ISNUMBER(INDIRECT("'"&amp;'Master of Masters'!K13&amp;"'!F8",TRUE)),INDIRECT("'"&amp;'Master of Masters'!K13&amp;"'!F8",TRUE),"N/A"),"N/A"))</f>
        <v/>
      </c>
      <c r="I33" s="151" t="str">
        <f t="array" ref="I33">IF('Master of Masters'!K13="","",IFERROR(IF(ISNUMBER(INDIRECT("'"&amp;'Master of Masters'!K13&amp;"'!I8",TRUE)),INDIRECT("'"&amp;'Master of Masters'!K13&amp;"'!I8",TRUE),"N/A"),"N/A"))</f>
        <v/>
      </c>
    </row>
    <row r="34">
      <c r="A34" s="85" t="str">
        <f t="shared" si="10"/>
        <v/>
      </c>
      <c r="B34" s="158" t="str">
        <f t="shared" ref="B34:C34" si="23">IF(OR(NOT(ISNUMBER(F14)),NOT(ISNUMBER(F15))),"",(F15-F14)/F14)</f>
        <v/>
      </c>
      <c r="C34" s="158" t="str">
        <f t="shared" si="23"/>
        <v/>
      </c>
      <c r="D34" s="159" t="str">
        <f t="shared" si="12"/>
        <v/>
      </c>
      <c r="F34" s="137" t="str">
        <f t="shared" si="13"/>
        <v/>
      </c>
      <c r="G34" s="154" t="str">
        <f t="array" ref="G34">IF('Master of Masters'!K14="","",IFERROR(IF(ISNUMBER(INDIRECT("'"&amp;'Master of Masters'!K14&amp;"'!C8",TRUE)),INDIRECT("'"&amp;'Master of Masters'!K14&amp;"'!C8",TRUE),"N/A"),"N/A"))</f>
        <v/>
      </c>
      <c r="H34" s="154" t="str">
        <f t="array" ref="H34">IF('Master of Masters'!K14="","",IFERROR(IF(ISNUMBER(INDIRECT("'"&amp;'Master of Masters'!K14&amp;"'!F8",TRUE)),INDIRECT("'"&amp;'Master of Masters'!K14&amp;"'!F8",TRUE),"N/A"),"N/A"))</f>
        <v/>
      </c>
      <c r="I34" s="155" t="str">
        <f t="array" ref="I34">IF('Master of Masters'!K14="","",IFERROR(IF(ISNUMBER(INDIRECT("'"&amp;'Master of Masters'!K14&amp;"'!I8",TRUE)),INDIRECT("'"&amp;'Master of Masters'!K14&amp;"'!I8",TRUE),"N/A"),"N/A"))</f>
        <v/>
      </c>
    </row>
    <row r="35">
      <c r="A35" s="82" t="str">
        <f t="shared" si="10"/>
        <v/>
      </c>
      <c r="B35" s="148" t="str">
        <f t="shared" ref="B35:C35" si="24">IF(OR(NOT(ISNUMBER(F15)),NOT(ISNUMBER(F16))),"",(F16-F15)/F15)</f>
        <v/>
      </c>
      <c r="C35" s="148" t="str">
        <f t="shared" si="24"/>
        <v/>
      </c>
      <c r="D35" s="157" t="str">
        <f t="shared" si="12"/>
        <v/>
      </c>
      <c r="F35" s="133" t="str">
        <f t="shared" si="13"/>
        <v/>
      </c>
      <c r="G35" s="150" t="str">
        <f t="array" ref="G35">IF('Master of Masters'!K15="","",IFERROR(IF(ISNUMBER(INDIRECT("'"&amp;'Master of Masters'!K15&amp;"'!C8",TRUE)),INDIRECT("'"&amp;'Master of Masters'!K15&amp;"'!C8",TRUE),"N/A"),"N/A"))</f>
        <v/>
      </c>
      <c r="H35" s="150" t="str">
        <f t="array" ref="H35">IF('Master of Masters'!K15="","",IFERROR(IF(ISNUMBER(INDIRECT("'"&amp;'Master of Masters'!K15&amp;"'!F8",TRUE)),INDIRECT("'"&amp;'Master of Masters'!K15&amp;"'!F8",TRUE),"N/A"),"N/A"))</f>
        <v/>
      </c>
      <c r="I35" s="151" t="str">
        <f t="array" ref="I35">IF('Master of Masters'!K15="","",IFERROR(IF(ISNUMBER(INDIRECT("'"&amp;'Master of Masters'!K15&amp;"'!I8",TRUE)),INDIRECT("'"&amp;'Master of Masters'!K15&amp;"'!I8",TRUE),"N/A"),"N/A"))</f>
        <v/>
      </c>
    </row>
    <row r="36">
      <c r="A36" s="95" t="str">
        <f t="shared" si="10"/>
        <v/>
      </c>
      <c r="B36" s="160" t="str">
        <f t="shared" ref="B36:C36" si="25">IF(OR(NOT(ISNUMBER(F16)),NOT(ISNUMBER(F17))),"",(F17-F16)/F16)</f>
        <v/>
      </c>
      <c r="C36" s="160" t="str">
        <f t="shared" si="25"/>
        <v/>
      </c>
      <c r="D36" s="161" t="str">
        <f t="shared" si="12"/>
        <v/>
      </c>
      <c r="F36" s="137" t="str">
        <f t="shared" si="13"/>
        <v/>
      </c>
      <c r="G36" s="154" t="str">
        <f t="array" ref="G36">IF('Master of Masters'!K16="","",IFERROR(IF(ISNUMBER(INDIRECT("'"&amp;'Master of Masters'!K16&amp;"'!C8",TRUE)),INDIRECT("'"&amp;'Master of Masters'!K16&amp;"'!C8",TRUE),"N/A"),"N/A"))</f>
        <v/>
      </c>
      <c r="H36" s="154" t="str">
        <f t="array" ref="H36">IF('Master of Masters'!K16="","",IFERROR(IF(ISNUMBER(INDIRECT("'"&amp;'Master of Masters'!K16&amp;"'!F8",TRUE)),INDIRECT("'"&amp;'Master of Masters'!K16&amp;"'!F8",TRUE),"N/A"),"N/A"))</f>
        <v/>
      </c>
      <c r="I36" s="155" t="str">
        <f t="array" ref="I36">IF('Master of Masters'!K16="","",IFERROR(IF(ISNUMBER(INDIRECT("'"&amp;'Master of Masters'!K16&amp;"'!I8",TRUE)),INDIRECT("'"&amp;'Master of Masters'!K16&amp;"'!I8",TRUE),"N/A"),"N/A"))</f>
        <v/>
      </c>
    </row>
    <row r="37">
      <c r="F37" s="142" t="str">
        <f t="shared" si="13"/>
        <v/>
      </c>
      <c r="G37" s="162" t="str">
        <f t="array" ref="G37">IF('Master of Masters'!K17="","",IFERROR(IF(ISNUMBER(INDIRECT("'"&amp;'Master of Masters'!K17&amp;"'!C8",TRUE)),INDIRECT("'"&amp;'Master of Masters'!K17&amp;"'!C8",TRUE),"N/A"),"N/A"))</f>
        <v/>
      </c>
      <c r="H37" s="162" t="str">
        <f t="array" ref="H37">IF('Master of Masters'!K17="","",IFERROR(IF(ISNUMBER(INDIRECT("'"&amp;'Master of Masters'!K17&amp;"'!F8",TRUE)),INDIRECT("'"&amp;'Master of Masters'!K17&amp;"'!F8",TRUE),"N/A"),"N/A"))</f>
        <v/>
      </c>
      <c r="I37" s="163" t="str">
        <f t="array" ref="I37">IF('Master of Masters'!K17="","",IFERROR(IF(ISNUMBER(INDIRECT("'"&amp;'Master of Masters'!K17&amp;"'!I8",TRUE)),INDIRECT("'"&amp;'Master of Masters'!K17&amp;"'!I8",TRUE),"N/A"),"N/A"))</f>
        <v/>
      </c>
    </row>
    <row r="38" ht="12.0" customHeight="1">
      <c r="F38" s="146" t="s">
        <v>84</v>
      </c>
    </row>
    <row r="40" ht="3.75" customHeight="1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</row>
    <row r="41" ht="16.5" customHeight="1">
      <c r="A41" s="128" t="s">
        <v>85</v>
      </c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</row>
    <row r="42" ht="18.0" customHeight="1">
      <c r="A42" s="130" t="s">
        <v>86</v>
      </c>
      <c r="B42" s="164" t="str">
        <f>IF('Master of Masters'!K3="","",IF(ISNUMBER(SEARCH("Spring",'Master of Masters'!K3)),"S",IF(ISNUMBER(SEARCH("Fall",'Master of Masters'!K3)),"F","?"))&amp;RIGHT('Master of Masters'!K3,2))</f>
        <v>S24</v>
      </c>
      <c r="C42" s="164" t="str">
        <f>IF('Master of Masters'!K4="","",IF(ISNUMBER(SEARCH("Spring",'Master of Masters'!K4)),"S",IF(ISNUMBER(SEARCH("Fall",'Master of Masters'!K4)),"F","?"))&amp;RIGHT('Master of Masters'!K4,2))</f>
        <v>F24</v>
      </c>
      <c r="D42" s="164" t="str">
        <f>IF('Master of Masters'!K5="","",IF(ISNUMBER(SEARCH("Spring",'Master of Masters'!K5)),"S",IF(ISNUMBER(SEARCH("Fall",'Master of Masters'!K5)),"F","?"))&amp;RIGHT('Master of Masters'!K5,2))</f>
        <v>S25</v>
      </c>
      <c r="E42" s="164" t="str">
        <f>IF('Master of Masters'!K6="","",IF(ISNUMBER(SEARCH("Spring",'Master of Masters'!K6)),"S",IF(ISNUMBER(SEARCH("Fall",'Master of Masters'!K6)),"F","?"))&amp;RIGHT('Master of Masters'!K6,2))</f>
        <v>F25</v>
      </c>
      <c r="F42" s="164" t="str">
        <f>IF('Master of Masters'!K7="","",IF(ISNUMBER(SEARCH("Spring",'Master of Masters'!K7)),"S",IF(ISNUMBER(SEARCH("Fall",'Master of Masters'!K7)),"F","?"))&amp;RIGHT('Master of Masters'!K7,2))</f>
        <v>S26</v>
      </c>
      <c r="G42" s="164" t="str">
        <f>IF('Master of Masters'!K8="","",IF(ISNUMBER(SEARCH("Spring",'Master of Masters'!K8)),"S",IF(ISNUMBER(SEARCH("Fall",'Master of Masters'!K8)),"F","?"))&amp;RIGHT('Master of Masters'!K8,2))</f>
        <v/>
      </c>
      <c r="H42" s="164" t="str">
        <f>IF('Master of Masters'!K9="","",IF(ISNUMBER(SEARCH("Spring",'Master of Masters'!K9)),"S",IF(ISNUMBER(SEARCH("Fall",'Master of Masters'!K9)),"F","?"))&amp;RIGHT('Master of Masters'!K9,2))</f>
        <v/>
      </c>
      <c r="I42" s="164" t="str">
        <f>IF('Master of Masters'!K10="","",IF(ISNUMBER(SEARCH("Spring",'Master of Masters'!K10)),"S",IF(ISNUMBER(SEARCH("Fall",'Master of Masters'!K10)),"F","?"))&amp;RIGHT('Master of Masters'!K10,2))</f>
        <v/>
      </c>
      <c r="J42" s="164" t="str">
        <f>IF('Master of Masters'!K11="","",IF(ISNUMBER(SEARCH("Spring",'Master of Masters'!K11)),"S",IF(ISNUMBER(SEARCH("Fall",'Master of Masters'!K11)),"F","?"))&amp;RIGHT('Master of Masters'!K11,2))</f>
        <v/>
      </c>
      <c r="K42" s="164" t="str">
        <f>IF('Master of Masters'!K12="","",IF(ISNUMBER(SEARCH("Spring",'Master of Masters'!K12)),"S",IF(ISNUMBER(SEARCH("Fall",'Master of Masters'!K12)),"F","?"))&amp;RIGHT('Master of Masters'!K12,2))</f>
        <v/>
      </c>
      <c r="L42" s="164" t="str">
        <f>IF('Master of Masters'!K13="","",IF(ISNUMBER(SEARCH("Spring",'Master of Masters'!K13)),"S",IF(ISNUMBER(SEARCH("Fall",'Master of Masters'!K13)),"F","?"))&amp;RIGHT('Master of Masters'!K13,2))</f>
        <v/>
      </c>
      <c r="M42" s="164" t="str">
        <f>IF('Master of Masters'!K14="","",IF(ISNUMBER(SEARCH("Spring",'Master of Masters'!K14)),"S",IF(ISNUMBER(SEARCH("Fall",'Master of Masters'!K14)),"F","?"))&amp;RIGHT('Master of Masters'!K14,2))</f>
        <v/>
      </c>
      <c r="N42" s="164" t="str">
        <f>IF('Master of Masters'!K15="","",IF(ISNUMBER(SEARCH("Spring",'Master of Masters'!K15)),"S",IF(ISNUMBER(SEARCH("Fall",'Master of Masters'!K15)),"F","?"))&amp;RIGHT('Master of Masters'!K15,2))</f>
        <v/>
      </c>
      <c r="O42" s="164" t="str">
        <f>IF('Master of Masters'!K16="","",IF(ISNUMBER(SEARCH("Spring",'Master of Masters'!K16)),"S",IF(ISNUMBER(SEARCH("Fall",'Master of Masters'!K16)),"F","?"))&amp;RIGHT('Master of Masters'!K16,2))</f>
        <v/>
      </c>
      <c r="P42" s="165" t="str">
        <f>IF('Master of Masters'!K17="","",IF(ISNUMBER(SEARCH("Spring",'Master of Masters'!K17)),"S",IF(ISNUMBER(SEARCH("Fall",'Master of Masters'!K17)),"F","?"))&amp;RIGHT('Master of Masters'!K17,2))</f>
        <v/>
      </c>
    </row>
    <row r="43">
      <c r="A43" s="166" t="s">
        <v>87</v>
      </c>
      <c r="B43" s="167">
        <f t="array" ref="B43">IF('Master of Masters'!K3="","",IFERROR(IF(ISNUMBER(INDIRECT("'"&amp;'Master of Masters'!K3&amp;"'!I17",TRUE)),INDIRECT("'"&amp;'Master of Masters'!K3&amp;"'!I17",TRUE),"N/A"),"N/A"))</f>
        <v>294.1428571</v>
      </c>
      <c r="C43" s="167">
        <f t="array" ref="C43">IF('Master of Masters'!K4="","",IFERROR(IF(ISNUMBER(INDIRECT("'"&amp;'Master of Masters'!K4&amp;"'!I17",TRUE)),INDIRECT("'"&amp;'Master of Masters'!K4&amp;"'!I17",TRUE),"N/A"),"N/A"))</f>
        <v>340.5238095</v>
      </c>
      <c r="D43" s="167">
        <f t="array" ref="D43">IF('Master of Masters'!K5="","",IFERROR(IF(ISNUMBER(INDIRECT("'"&amp;'Master of Masters'!K5&amp;"'!I17",TRUE)),INDIRECT("'"&amp;'Master of Masters'!K5&amp;"'!I17",TRUE),"N/A"),"N/A"))</f>
        <v>592.5</v>
      </c>
      <c r="E43" s="167">
        <f t="array" ref="E43">IF('Master of Masters'!K6="","",IFERROR(IF(ISNUMBER(INDIRECT("'"&amp;'Master of Masters'!K6&amp;"'!I17",TRUE)),INDIRECT("'"&amp;'Master of Masters'!K6&amp;"'!I17",TRUE),"N/A"),"N/A"))</f>
        <v>708</v>
      </c>
      <c r="F43" s="167">
        <f t="array" ref="F43">IF('Master of Masters'!K7="","",IFERROR(IF(ISNUMBER(INDIRECT("'"&amp;'Master of Masters'!K7&amp;"'!I17",TRUE)),INDIRECT("'"&amp;'Master of Masters'!K7&amp;"'!I17",TRUE),"N/A"),"N/A"))</f>
        <v>518</v>
      </c>
      <c r="G43" s="167" t="str">
        <f t="array" ref="G43">IF('Master of Masters'!K8="","",IFERROR(IF(ISNUMBER(INDIRECT("'"&amp;'Master of Masters'!K8&amp;"'!I17",TRUE)),INDIRECT("'"&amp;'Master of Masters'!K8&amp;"'!I17",TRUE),"N/A"),"N/A"))</f>
        <v/>
      </c>
      <c r="H43" s="167" t="str">
        <f t="array" ref="H43">IF('Master of Masters'!K9="","",IFERROR(IF(ISNUMBER(INDIRECT("'"&amp;'Master of Masters'!K9&amp;"'!I17",TRUE)),INDIRECT("'"&amp;'Master of Masters'!K9&amp;"'!I17",TRUE),"N/A"),"N/A"))</f>
        <v/>
      </c>
      <c r="I43" s="167" t="str">
        <f t="array" ref="I43">IF('Master of Masters'!K10="","",IFERROR(IF(ISNUMBER(INDIRECT("'"&amp;'Master of Masters'!K10&amp;"'!I17",TRUE)),INDIRECT("'"&amp;'Master of Masters'!K10&amp;"'!I17",TRUE),"N/A"),"N/A"))</f>
        <v/>
      </c>
      <c r="J43" s="167" t="str">
        <f t="array" ref="J43">IF('Master of Masters'!K11="","",IFERROR(IF(ISNUMBER(INDIRECT("'"&amp;'Master of Masters'!K11&amp;"'!I17",TRUE)),INDIRECT("'"&amp;'Master of Masters'!K11&amp;"'!I17",TRUE),"N/A"),"N/A"))</f>
        <v/>
      </c>
      <c r="K43" s="167" t="str">
        <f t="array" ref="K43">IF('Master of Masters'!K12="","",IFERROR(IF(ISNUMBER(INDIRECT("'"&amp;'Master of Masters'!K12&amp;"'!I17",TRUE)),INDIRECT("'"&amp;'Master of Masters'!K12&amp;"'!I17",TRUE),"N/A"),"N/A"))</f>
        <v/>
      </c>
      <c r="L43" s="167" t="str">
        <f t="array" ref="L43">IF('Master of Masters'!K13="","",IFERROR(IF(ISNUMBER(INDIRECT("'"&amp;'Master of Masters'!K13&amp;"'!I17",TRUE)),INDIRECT("'"&amp;'Master of Masters'!K13&amp;"'!I17",TRUE),"N/A"),"N/A"))</f>
        <v/>
      </c>
      <c r="M43" s="167" t="str">
        <f t="array" ref="M43">IF('Master of Masters'!K14="","",IFERROR(IF(ISNUMBER(INDIRECT("'"&amp;'Master of Masters'!K14&amp;"'!I17",TRUE)),INDIRECT("'"&amp;'Master of Masters'!K14&amp;"'!I17",TRUE),"N/A"),"N/A"))</f>
        <v/>
      </c>
      <c r="N43" s="167" t="str">
        <f t="array" ref="N43">IF('Master of Masters'!K15="","",IFERROR(IF(ISNUMBER(INDIRECT("'"&amp;'Master of Masters'!K15&amp;"'!I17",TRUE)),INDIRECT("'"&amp;'Master of Masters'!K15&amp;"'!I17",TRUE),"N/A"),"N/A"))</f>
        <v/>
      </c>
      <c r="O43" s="167" t="str">
        <f t="array" ref="O43">IF('Master of Masters'!K16="","",IFERROR(IF(ISNUMBER(INDIRECT("'"&amp;'Master of Masters'!K16&amp;"'!I17",TRUE)),INDIRECT("'"&amp;'Master of Masters'!K16&amp;"'!I17",TRUE),"N/A"),"N/A"))</f>
        <v/>
      </c>
      <c r="P43" s="168" t="str">
        <f t="array" ref="P43">IF('Master of Masters'!K17="","",IFERROR(IF(ISNUMBER(INDIRECT("'"&amp;'Master of Masters'!K17&amp;"'!I17",TRUE)),INDIRECT("'"&amp;'Master of Masters'!K17&amp;"'!I17",TRUE),"N/A"),"N/A"))</f>
        <v/>
      </c>
    </row>
    <row r="44">
      <c r="A44" s="169" t="s">
        <v>88</v>
      </c>
      <c r="B44" s="170">
        <f t="array" ref="B44">IF('Master of Masters'!K3="","",IFERROR(IF(ISNUMBER(INDIRECT("'"&amp;'Master of Masters'!K3&amp;"'!I18",TRUE)),INDIRECT("'"&amp;'Master of Masters'!K3&amp;"'!I18",TRUE),"N/A"),"N/A"))</f>
        <v>377.11</v>
      </c>
      <c r="C44" s="170">
        <f t="array" ref="C44">IF('Master of Masters'!K4="","",IFERROR(IF(ISNUMBER(INDIRECT("'"&amp;'Master of Masters'!K4&amp;"'!I18",TRUE)),INDIRECT("'"&amp;'Master of Masters'!K4&amp;"'!I18",TRUE),"N/A"),"N/A"))</f>
        <v>339.8666667</v>
      </c>
      <c r="D44" s="170">
        <f t="array" ref="D44">IF('Master of Masters'!K5="","",IFERROR(IF(ISNUMBER(INDIRECT("'"&amp;'Master of Masters'!K5&amp;"'!I18",TRUE)),INDIRECT("'"&amp;'Master of Masters'!K5&amp;"'!I18",TRUE),"N/A"),"N/A"))</f>
        <v>499.2307692</v>
      </c>
      <c r="E44" s="170">
        <f t="array" ref="E44">IF('Master of Masters'!K6="","",IFERROR(IF(ISNUMBER(INDIRECT("'"&amp;'Master of Masters'!K6&amp;"'!I18",TRUE)),INDIRECT("'"&amp;'Master of Masters'!K6&amp;"'!I18",TRUE),"N/A"),"N/A"))</f>
        <v>473</v>
      </c>
      <c r="F44" s="170">
        <f t="array" ref="F44">IF('Master of Masters'!K7="","",IFERROR(IF(ISNUMBER(INDIRECT("'"&amp;'Master of Masters'!K7&amp;"'!I18",TRUE)),INDIRECT("'"&amp;'Master of Masters'!K7&amp;"'!I18",TRUE),"N/A"),"N/A"))</f>
        <v>597.8681319</v>
      </c>
      <c r="G44" s="170" t="str">
        <f t="array" ref="G44">IF('Master of Masters'!K8="","",IFERROR(IF(ISNUMBER(INDIRECT("'"&amp;'Master of Masters'!K8&amp;"'!I18",TRUE)),INDIRECT("'"&amp;'Master of Masters'!K8&amp;"'!I18",TRUE),"N/A"),"N/A"))</f>
        <v/>
      </c>
      <c r="H44" s="170" t="str">
        <f t="array" ref="H44">IF('Master of Masters'!K9="","",IFERROR(IF(ISNUMBER(INDIRECT("'"&amp;'Master of Masters'!K9&amp;"'!I18",TRUE)),INDIRECT("'"&amp;'Master of Masters'!K9&amp;"'!I18",TRUE),"N/A"),"N/A"))</f>
        <v/>
      </c>
      <c r="I44" s="170" t="str">
        <f t="array" ref="I44">IF('Master of Masters'!K10="","",IFERROR(IF(ISNUMBER(INDIRECT("'"&amp;'Master of Masters'!K10&amp;"'!I18",TRUE)),INDIRECT("'"&amp;'Master of Masters'!K10&amp;"'!I18",TRUE),"N/A"),"N/A"))</f>
        <v/>
      </c>
      <c r="J44" s="170" t="str">
        <f t="array" ref="J44">IF('Master of Masters'!K11="","",IFERROR(IF(ISNUMBER(INDIRECT("'"&amp;'Master of Masters'!K11&amp;"'!I18",TRUE)),INDIRECT("'"&amp;'Master of Masters'!K11&amp;"'!I18",TRUE),"N/A"),"N/A"))</f>
        <v/>
      </c>
      <c r="K44" s="170" t="str">
        <f t="array" ref="K44">IF('Master of Masters'!K12="","",IFERROR(IF(ISNUMBER(INDIRECT("'"&amp;'Master of Masters'!K12&amp;"'!I18",TRUE)),INDIRECT("'"&amp;'Master of Masters'!K12&amp;"'!I18",TRUE),"N/A"),"N/A"))</f>
        <v/>
      </c>
      <c r="L44" s="170" t="str">
        <f t="array" ref="L44">IF('Master of Masters'!K13="","",IFERROR(IF(ISNUMBER(INDIRECT("'"&amp;'Master of Masters'!K13&amp;"'!I18",TRUE)),INDIRECT("'"&amp;'Master of Masters'!K13&amp;"'!I18",TRUE),"N/A"),"N/A"))</f>
        <v/>
      </c>
      <c r="M44" s="170" t="str">
        <f t="array" ref="M44">IF('Master of Masters'!K14="","",IFERROR(IF(ISNUMBER(INDIRECT("'"&amp;'Master of Masters'!K14&amp;"'!I18",TRUE)),INDIRECT("'"&amp;'Master of Masters'!K14&amp;"'!I18",TRUE),"N/A"),"N/A"))</f>
        <v/>
      </c>
      <c r="N44" s="170" t="str">
        <f t="array" ref="N44">IF('Master of Masters'!K15="","",IFERROR(IF(ISNUMBER(INDIRECT("'"&amp;'Master of Masters'!K15&amp;"'!I18",TRUE)),INDIRECT("'"&amp;'Master of Masters'!K15&amp;"'!I18",TRUE),"N/A"),"N/A"))</f>
        <v/>
      </c>
      <c r="O44" s="170" t="str">
        <f t="array" ref="O44">IF('Master of Masters'!K16="","",IFERROR(IF(ISNUMBER(INDIRECT("'"&amp;'Master of Masters'!K16&amp;"'!I18",TRUE)),INDIRECT("'"&amp;'Master of Masters'!K16&amp;"'!I18",TRUE),"N/A"),"N/A"))</f>
        <v/>
      </c>
      <c r="P44" s="171" t="str">
        <f t="array" ref="P44">IF('Master of Masters'!K17="","",IFERROR(IF(ISNUMBER(INDIRECT("'"&amp;'Master of Masters'!K17&amp;"'!I18",TRUE)),INDIRECT("'"&amp;'Master of Masters'!K17&amp;"'!I18",TRUE),"N/A"),"N/A"))</f>
        <v/>
      </c>
    </row>
    <row r="45">
      <c r="A45" s="166" t="s">
        <v>89</v>
      </c>
      <c r="B45" s="167">
        <f t="array" ref="B45">IF('Master of Masters'!K3="","",IFERROR(IF(ISNUMBER(INDIRECT("'"&amp;'Master of Masters'!K3&amp;"'!I19",TRUE)),INDIRECT("'"&amp;'Master of Masters'!K3&amp;"'!I19",TRUE),"N/A"),"N/A"))</f>
        <v>189.035</v>
      </c>
      <c r="C45" s="167">
        <f t="array" ref="C45">IF('Master of Masters'!K4="","",IFERROR(IF(ISNUMBER(INDIRECT("'"&amp;'Master of Masters'!K4&amp;"'!I19",TRUE)),INDIRECT("'"&amp;'Master of Masters'!K4&amp;"'!I19",TRUE),"N/A"),"N/A"))</f>
        <v>495.8461538</v>
      </c>
      <c r="D45" s="167">
        <f t="array" ref="D45">IF('Master of Masters'!K5="","",IFERROR(IF(ISNUMBER(INDIRECT("'"&amp;'Master of Masters'!K5&amp;"'!I19",TRUE)),INDIRECT("'"&amp;'Master of Masters'!K5&amp;"'!I19",TRUE),"N/A"),"N/A"))</f>
        <v>509.3076923</v>
      </c>
      <c r="E45" s="167">
        <f t="array" ref="E45">IF('Master of Masters'!K6="","",IFERROR(IF(ISNUMBER(INDIRECT("'"&amp;'Master of Masters'!K6&amp;"'!I19",TRUE)),INDIRECT("'"&amp;'Master of Masters'!K6&amp;"'!I19",TRUE),"N/A"),"N/A"))</f>
        <v>576</v>
      </c>
      <c r="F45" s="167">
        <f t="array" ref="F45">IF('Master of Masters'!K7="","",IFERROR(IF(ISNUMBER(INDIRECT("'"&amp;'Master of Masters'!K7&amp;"'!I19",TRUE)),INDIRECT("'"&amp;'Master of Masters'!K7&amp;"'!I19",TRUE),"N/A"),"N/A"))</f>
        <v>530.9358974</v>
      </c>
      <c r="G45" s="167" t="str">
        <f t="array" ref="G45">IF('Master of Masters'!K8="","",IFERROR(IF(ISNUMBER(INDIRECT("'"&amp;'Master of Masters'!K8&amp;"'!I19",TRUE)),INDIRECT("'"&amp;'Master of Masters'!K8&amp;"'!I19",TRUE),"N/A"),"N/A"))</f>
        <v/>
      </c>
      <c r="H45" s="167" t="str">
        <f t="array" ref="H45">IF('Master of Masters'!K9="","",IFERROR(IF(ISNUMBER(INDIRECT("'"&amp;'Master of Masters'!K9&amp;"'!I19",TRUE)),INDIRECT("'"&amp;'Master of Masters'!K9&amp;"'!I19",TRUE),"N/A"),"N/A"))</f>
        <v/>
      </c>
      <c r="I45" s="167" t="str">
        <f t="array" ref="I45">IF('Master of Masters'!K10="","",IFERROR(IF(ISNUMBER(INDIRECT("'"&amp;'Master of Masters'!K10&amp;"'!I19",TRUE)),INDIRECT("'"&amp;'Master of Masters'!K10&amp;"'!I19",TRUE),"N/A"),"N/A"))</f>
        <v/>
      </c>
      <c r="J45" s="167" t="str">
        <f t="array" ref="J45">IF('Master of Masters'!K11="","",IFERROR(IF(ISNUMBER(INDIRECT("'"&amp;'Master of Masters'!K11&amp;"'!I19",TRUE)),INDIRECT("'"&amp;'Master of Masters'!K11&amp;"'!I19",TRUE),"N/A"),"N/A"))</f>
        <v/>
      </c>
      <c r="K45" s="167" t="str">
        <f t="array" ref="K45">IF('Master of Masters'!K12="","",IFERROR(IF(ISNUMBER(INDIRECT("'"&amp;'Master of Masters'!K12&amp;"'!I19",TRUE)),INDIRECT("'"&amp;'Master of Masters'!K12&amp;"'!I19",TRUE),"N/A"),"N/A"))</f>
        <v/>
      </c>
      <c r="L45" s="167" t="str">
        <f t="array" ref="L45">IF('Master of Masters'!K13="","",IFERROR(IF(ISNUMBER(INDIRECT("'"&amp;'Master of Masters'!K13&amp;"'!I19",TRUE)),INDIRECT("'"&amp;'Master of Masters'!K13&amp;"'!I19",TRUE),"N/A"),"N/A"))</f>
        <v/>
      </c>
      <c r="M45" s="167" t="str">
        <f t="array" ref="M45">IF('Master of Masters'!K14="","",IFERROR(IF(ISNUMBER(INDIRECT("'"&amp;'Master of Masters'!K14&amp;"'!I19",TRUE)),INDIRECT("'"&amp;'Master of Masters'!K14&amp;"'!I19",TRUE),"N/A"),"N/A"))</f>
        <v/>
      </c>
      <c r="N45" s="167" t="str">
        <f t="array" ref="N45">IF('Master of Masters'!K15="","",IFERROR(IF(ISNUMBER(INDIRECT("'"&amp;'Master of Masters'!K15&amp;"'!I19",TRUE)),INDIRECT("'"&amp;'Master of Masters'!K15&amp;"'!I19",TRUE),"N/A"),"N/A"))</f>
        <v/>
      </c>
      <c r="O45" s="167" t="str">
        <f t="array" ref="O45">IF('Master of Masters'!K16="","",IFERROR(IF(ISNUMBER(INDIRECT("'"&amp;'Master of Masters'!K16&amp;"'!I19",TRUE)),INDIRECT("'"&amp;'Master of Masters'!K16&amp;"'!I19",TRUE),"N/A"),"N/A"))</f>
        <v/>
      </c>
      <c r="P45" s="168" t="str">
        <f t="array" ref="P45">IF('Master of Masters'!K17="","",IFERROR(IF(ISNUMBER(INDIRECT("'"&amp;'Master of Masters'!K17&amp;"'!I19",TRUE)),INDIRECT("'"&amp;'Master of Masters'!K17&amp;"'!I19",TRUE),"N/A"),"N/A"))</f>
        <v/>
      </c>
    </row>
    <row r="46">
      <c r="A46" s="169" t="s">
        <v>90</v>
      </c>
      <c r="B46" s="170">
        <f t="array" ref="B46">IF('Master of Masters'!K3="","",IFERROR(IF(ISNUMBER(INDIRECT("'"&amp;'Master of Masters'!K3&amp;"'!I20",TRUE)),INDIRECT("'"&amp;'Master of Masters'!K3&amp;"'!I20",TRUE),"N/A"),"N/A"))</f>
        <v>188.5833333</v>
      </c>
      <c r="C46" s="170">
        <f t="array" ref="C46">IF('Master of Masters'!K4="","",IFERROR(IF(ISNUMBER(INDIRECT("'"&amp;'Master of Masters'!K4&amp;"'!I20",TRUE)),INDIRECT("'"&amp;'Master of Masters'!K4&amp;"'!I20",TRUE),"N/A"),"N/A"))</f>
        <v>377.9</v>
      </c>
      <c r="D46" s="170">
        <f t="array" ref="D46">IF('Master of Masters'!K5="","",IFERROR(IF(ISNUMBER(INDIRECT("'"&amp;'Master of Masters'!K5&amp;"'!I20",TRUE)),INDIRECT("'"&amp;'Master of Masters'!K5&amp;"'!I20",TRUE),"N/A"),"N/A"))</f>
        <v>477.7692308</v>
      </c>
      <c r="E46" s="170">
        <f t="array" ref="E46">IF('Master of Masters'!K6="","",IFERROR(IF(ISNUMBER(INDIRECT("'"&amp;'Master of Masters'!K6&amp;"'!I20",TRUE)),INDIRECT("'"&amp;'Master of Masters'!K6&amp;"'!I20",TRUE),"N/A"),"N/A"))</f>
        <v>485</v>
      </c>
      <c r="F46" s="170">
        <f t="array" ref="F46">IF('Master of Masters'!K7="","",IFERROR(IF(ISNUMBER(INDIRECT("'"&amp;'Master of Masters'!K7&amp;"'!I20",TRUE)),INDIRECT("'"&amp;'Master of Masters'!K7&amp;"'!I20",TRUE),"N/A"),"N/A"))</f>
        <v>551.7692308</v>
      </c>
      <c r="G46" s="170" t="str">
        <f t="array" ref="G46">IF('Master of Masters'!K8="","",IFERROR(IF(ISNUMBER(INDIRECT("'"&amp;'Master of Masters'!K8&amp;"'!I20",TRUE)),INDIRECT("'"&amp;'Master of Masters'!K8&amp;"'!I20",TRUE),"N/A"),"N/A"))</f>
        <v/>
      </c>
      <c r="H46" s="170" t="str">
        <f t="array" ref="H46">IF('Master of Masters'!K9="","",IFERROR(IF(ISNUMBER(INDIRECT("'"&amp;'Master of Masters'!K9&amp;"'!I20",TRUE)),INDIRECT("'"&amp;'Master of Masters'!K9&amp;"'!I20",TRUE),"N/A"),"N/A"))</f>
        <v/>
      </c>
      <c r="I46" s="170" t="str">
        <f t="array" ref="I46">IF('Master of Masters'!K10="","",IFERROR(IF(ISNUMBER(INDIRECT("'"&amp;'Master of Masters'!K10&amp;"'!I20",TRUE)),INDIRECT("'"&amp;'Master of Masters'!K10&amp;"'!I20",TRUE),"N/A"),"N/A"))</f>
        <v/>
      </c>
      <c r="J46" s="170" t="str">
        <f t="array" ref="J46">IF('Master of Masters'!K11="","",IFERROR(IF(ISNUMBER(INDIRECT("'"&amp;'Master of Masters'!K11&amp;"'!I20",TRUE)),INDIRECT("'"&amp;'Master of Masters'!K11&amp;"'!I20",TRUE),"N/A"),"N/A"))</f>
        <v/>
      </c>
      <c r="K46" s="170" t="str">
        <f t="array" ref="K46">IF('Master of Masters'!K12="","",IFERROR(IF(ISNUMBER(INDIRECT("'"&amp;'Master of Masters'!K12&amp;"'!I20",TRUE)),INDIRECT("'"&amp;'Master of Masters'!K12&amp;"'!I20",TRUE),"N/A"),"N/A"))</f>
        <v/>
      </c>
      <c r="L46" s="170" t="str">
        <f t="array" ref="L46">IF('Master of Masters'!K13="","",IFERROR(IF(ISNUMBER(INDIRECT("'"&amp;'Master of Masters'!K13&amp;"'!I20",TRUE)),INDIRECT("'"&amp;'Master of Masters'!K13&amp;"'!I20",TRUE),"N/A"),"N/A"))</f>
        <v/>
      </c>
      <c r="M46" s="170" t="str">
        <f t="array" ref="M46">IF('Master of Masters'!K14="","",IFERROR(IF(ISNUMBER(INDIRECT("'"&amp;'Master of Masters'!K14&amp;"'!I20",TRUE)),INDIRECT("'"&amp;'Master of Masters'!K14&amp;"'!I20",TRUE),"N/A"),"N/A"))</f>
        <v/>
      </c>
      <c r="N46" s="170" t="str">
        <f t="array" ref="N46">IF('Master of Masters'!K15="","",IFERROR(IF(ISNUMBER(INDIRECT("'"&amp;'Master of Masters'!K15&amp;"'!I20",TRUE)),INDIRECT("'"&amp;'Master of Masters'!K15&amp;"'!I20",TRUE),"N/A"),"N/A"))</f>
        <v/>
      </c>
      <c r="O46" s="170" t="str">
        <f t="array" ref="O46">IF('Master of Masters'!K16="","",IFERROR(IF(ISNUMBER(INDIRECT("'"&amp;'Master of Masters'!K16&amp;"'!I20",TRUE)),INDIRECT("'"&amp;'Master of Masters'!K16&amp;"'!I20",TRUE),"N/A"),"N/A"))</f>
        <v/>
      </c>
      <c r="P46" s="171" t="str">
        <f t="array" ref="P46">IF('Master of Masters'!K17="","",IFERROR(IF(ISNUMBER(INDIRECT("'"&amp;'Master of Masters'!K17&amp;"'!I20",TRUE)),INDIRECT("'"&amp;'Master of Masters'!K17&amp;"'!I20",TRUE),"N/A"),"N/A"))</f>
        <v/>
      </c>
    </row>
    <row r="47">
      <c r="A47" s="172" t="s">
        <v>91</v>
      </c>
      <c r="B47" s="173">
        <f t="array" ref="B47">IF('Master of Masters'!K3="","",IFERROR(IF(ISNUMBER(INDIRECT("'"&amp;'Master of Masters'!K3&amp;"'!I21",TRUE)),INDIRECT("'"&amp;'Master of Masters'!K3&amp;"'!I21",TRUE),"N/A"),"N/A"))</f>
        <v>45.06333333</v>
      </c>
      <c r="C47" s="173">
        <f t="array" ref="C47">IF('Master of Masters'!K4="","",IFERROR(IF(ISNUMBER(INDIRECT("'"&amp;'Master of Masters'!K4&amp;"'!I21",TRUE)),INDIRECT("'"&amp;'Master of Masters'!K4&amp;"'!I21",TRUE),"N/A"),"N/A"))</f>
        <v>340.6</v>
      </c>
      <c r="D47" s="173">
        <f t="array" ref="D47">IF('Master of Masters'!K5="","",IFERROR(IF(ISNUMBER(INDIRECT("'"&amp;'Master of Masters'!K5&amp;"'!I21",TRUE)),INDIRECT("'"&amp;'Master of Masters'!K5&amp;"'!I21",TRUE),"N/A"),"N/A"))</f>
        <v>364.0769231</v>
      </c>
      <c r="E47" s="173">
        <f t="array" ref="E47">IF('Master of Masters'!K6="","",IFERROR(IF(ISNUMBER(INDIRECT("'"&amp;'Master of Masters'!K6&amp;"'!I21",TRUE)),INDIRECT("'"&amp;'Master of Masters'!K6&amp;"'!I21",TRUE),"N/A"),"N/A"))</f>
        <v>397</v>
      </c>
      <c r="F47" s="173">
        <f t="array" ref="F47">IF('Master of Masters'!K7="","",IFERROR(IF(ISNUMBER(INDIRECT("'"&amp;'Master of Masters'!K7&amp;"'!I21",TRUE)),INDIRECT("'"&amp;'Master of Masters'!K7&amp;"'!I21",TRUE),"N/A"),"N/A"))</f>
        <v>419.0604396</v>
      </c>
      <c r="G47" s="173" t="str">
        <f t="array" ref="G47">IF('Master of Masters'!K8="","",IFERROR(IF(ISNUMBER(INDIRECT("'"&amp;'Master of Masters'!K8&amp;"'!I21",TRUE)),INDIRECT("'"&amp;'Master of Masters'!K8&amp;"'!I21",TRUE),"N/A"),"N/A"))</f>
        <v/>
      </c>
      <c r="H47" s="173" t="str">
        <f t="array" ref="H47">IF('Master of Masters'!K9="","",IFERROR(IF(ISNUMBER(INDIRECT("'"&amp;'Master of Masters'!K9&amp;"'!I21",TRUE)),INDIRECT("'"&amp;'Master of Masters'!K9&amp;"'!I21",TRUE),"N/A"),"N/A"))</f>
        <v/>
      </c>
      <c r="I47" s="173" t="str">
        <f t="array" ref="I47">IF('Master of Masters'!K10="","",IFERROR(IF(ISNUMBER(INDIRECT("'"&amp;'Master of Masters'!K10&amp;"'!I21",TRUE)),INDIRECT("'"&amp;'Master of Masters'!K10&amp;"'!I21",TRUE),"N/A"),"N/A"))</f>
        <v/>
      </c>
      <c r="J47" s="173" t="str">
        <f t="array" ref="J47">IF('Master of Masters'!K11="","",IFERROR(IF(ISNUMBER(INDIRECT("'"&amp;'Master of Masters'!K11&amp;"'!I21",TRUE)),INDIRECT("'"&amp;'Master of Masters'!K11&amp;"'!I21",TRUE),"N/A"),"N/A"))</f>
        <v/>
      </c>
      <c r="K47" s="173" t="str">
        <f t="array" ref="K47">IF('Master of Masters'!K12="","",IFERROR(IF(ISNUMBER(INDIRECT("'"&amp;'Master of Masters'!K12&amp;"'!I21",TRUE)),INDIRECT("'"&amp;'Master of Masters'!K12&amp;"'!I21",TRUE),"N/A"),"N/A"))</f>
        <v/>
      </c>
      <c r="L47" s="173" t="str">
        <f t="array" ref="L47">IF('Master of Masters'!K13="","",IFERROR(IF(ISNUMBER(INDIRECT("'"&amp;'Master of Masters'!K13&amp;"'!I21",TRUE)),INDIRECT("'"&amp;'Master of Masters'!K13&amp;"'!I21",TRUE),"N/A"),"N/A"))</f>
        <v/>
      </c>
      <c r="M47" s="173" t="str">
        <f t="array" ref="M47">IF('Master of Masters'!K14="","",IFERROR(IF(ISNUMBER(INDIRECT("'"&amp;'Master of Masters'!K14&amp;"'!I21",TRUE)),INDIRECT("'"&amp;'Master of Masters'!K14&amp;"'!I21",TRUE),"N/A"),"N/A"))</f>
        <v/>
      </c>
      <c r="N47" s="173" t="str">
        <f t="array" ref="N47">IF('Master of Masters'!K15="","",IFERROR(IF(ISNUMBER(INDIRECT("'"&amp;'Master of Masters'!K15&amp;"'!I21",TRUE)),INDIRECT("'"&amp;'Master of Masters'!K15&amp;"'!I21",TRUE),"N/A"),"N/A"))</f>
        <v/>
      </c>
      <c r="O47" s="173" t="str">
        <f t="array" ref="O47">IF('Master of Masters'!K16="","",IFERROR(IF(ISNUMBER(INDIRECT("'"&amp;'Master of Masters'!K16&amp;"'!I21",TRUE)),INDIRECT("'"&amp;'Master of Masters'!K16&amp;"'!I21",TRUE),"N/A"),"N/A"))</f>
        <v/>
      </c>
      <c r="P47" s="174" t="str">
        <f t="array" ref="P47">IF('Master of Masters'!K17="","",IFERROR(IF(ISNUMBER(INDIRECT("'"&amp;'Master of Masters'!K17&amp;"'!I21",TRUE)),INDIRECT("'"&amp;'Master of Masters'!K17&amp;"'!I21",TRUE),"N/A"),"N/A"))</f>
        <v/>
      </c>
    </row>
    <row r="48" ht="12.0" customHeight="1">
      <c r="A48" s="146" t="s">
        <v>92</v>
      </c>
      <c r="B48" s="146" t="s">
        <v>92</v>
      </c>
      <c r="C48" s="146" t="s">
        <v>92</v>
      </c>
      <c r="D48" s="146" t="s">
        <v>92</v>
      </c>
      <c r="E48" s="146" t="s">
        <v>92</v>
      </c>
      <c r="F48" s="146" t="s">
        <v>92</v>
      </c>
      <c r="G48" s="146" t="s">
        <v>92</v>
      </c>
      <c r="H48" s="146" t="s">
        <v>92</v>
      </c>
      <c r="I48" s="146" t="s">
        <v>92</v>
      </c>
      <c r="J48" s="146" t="s">
        <v>92</v>
      </c>
      <c r="K48" s="146" t="s">
        <v>92</v>
      </c>
      <c r="L48" s="146" t="s">
        <v>92</v>
      </c>
      <c r="M48" s="146" t="s">
        <v>92</v>
      </c>
      <c r="N48" s="146" t="s">
        <v>92</v>
      </c>
      <c r="O48" s="146" t="s">
        <v>92</v>
      </c>
      <c r="P48" s="146" t="s">
        <v>92</v>
      </c>
    </row>
    <row r="50" ht="12.0" customHeight="1">
      <c r="A50" s="146" t="s">
        <v>93</v>
      </c>
      <c r="B50" s="146" t="s">
        <v>93</v>
      </c>
      <c r="C50" s="146" t="s">
        <v>93</v>
      </c>
      <c r="D50" s="146" t="s">
        <v>93</v>
      </c>
      <c r="E50" s="146" t="s">
        <v>93</v>
      </c>
      <c r="F50" s="146" t="s">
        <v>93</v>
      </c>
      <c r="G50" s="146" t="s">
        <v>93</v>
      </c>
      <c r="H50" s="146" t="s">
        <v>93</v>
      </c>
      <c r="I50" s="146" t="s">
        <v>93</v>
      </c>
      <c r="J50" s="146" t="s">
        <v>93</v>
      </c>
      <c r="K50" s="146" t="s">
        <v>93</v>
      </c>
      <c r="L50" s="146" t="s">
        <v>93</v>
      </c>
      <c r="M50" s="146" t="s">
        <v>93</v>
      </c>
      <c r="N50" s="146" t="s">
        <v>93</v>
      </c>
      <c r="O50" s="146" t="s">
        <v>93</v>
      </c>
      <c r="P50" s="146" t="s">
        <v>93</v>
      </c>
      <c r="Q50" s="146" t="s">
        <v>93</v>
      </c>
    </row>
    <row r="51" ht="10.5" customHeight="1">
      <c r="A51" s="146" t="s">
        <v>94</v>
      </c>
      <c r="B51" s="146" t="s">
        <v>94</v>
      </c>
      <c r="C51" s="146" t="s">
        <v>94</v>
      </c>
      <c r="D51" s="146" t="s">
        <v>94</v>
      </c>
    </row>
  </sheetData>
  <conditionalFormatting sqref="B43:P47">
    <cfRule type="colorScale" priority="1">
      <colorScale>
        <cfvo type="min"/>
        <cfvo type="percentile" val="50"/>
        <cfvo type="max"/>
        <color rgb="FFFFFFFF"/>
        <color rgb="FF95D5B2"/>
        <color rgb="FF2D6A4F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.88"/>
    <col customWidth="1" min="11" max="11" width="9.88"/>
  </cols>
  <sheetData>
    <row r="3">
      <c r="B3" s="46" t="s">
        <v>95</v>
      </c>
      <c r="C3" s="47"/>
      <c r="D3" s="47"/>
      <c r="E3" s="12"/>
      <c r="G3" s="46" t="s">
        <v>96</v>
      </c>
      <c r="H3" s="47"/>
      <c r="I3" s="47"/>
      <c r="J3" s="12"/>
      <c r="L3" s="46" t="s">
        <v>97</v>
      </c>
      <c r="M3" s="47"/>
      <c r="N3" s="47"/>
      <c r="O3" s="12"/>
    </row>
    <row r="4">
      <c r="B4" s="175" t="s">
        <v>64</v>
      </c>
      <c r="C4" s="176" t="s">
        <v>98</v>
      </c>
      <c r="D4" s="177" t="s">
        <v>99</v>
      </c>
      <c r="E4" s="178" t="s">
        <v>100</v>
      </c>
      <c r="G4" s="179" t="s">
        <v>64</v>
      </c>
      <c r="H4" s="180" t="s">
        <v>98</v>
      </c>
      <c r="I4" s="181" t="s">
        <v>99</v>
      </c>
      <c r="J4" s="182" t="s">
        <v>100</v>
      </c>
      <c r="L4" s="183" t="s">
        <v>64</v>
      </c>
      <c r="M4" s="184" t="s">
        <v>98</v>
      </c>
      <c r="N4" s="185" t="s">
        <v>99</v>
      </c>
      <c r="O4" s="186" t="s">
        <v>100</v>
      </c>
    </row>
    <row r="5">
      <c r="B5" s="187" t="s">
        <v>101</v>
      </c>
      <c r="C5" s="188" t="str">
        <f t="array" ref="C5:C14">TOCOL(
    MAP(
      'Master of Masters'!$K$3:$K1505,
      LAMBDA(s,
        IF(
          s="",
          "",
          INDIRECT("'"&amp;s&amp;"'!C6", TRUE)
        )
      )
    ),
    1
  )</f>
        <v>NA</v>
      </c>
      <c r="D5" s="189" t="str">
        <f t="shared" ref="D5:E5" si="1">IF(C5="NA","NA",IF(C5-0&gt;0,"+ ","- ")&amp;TEXT(ABS(INT(C5-0)),"#,##0"))</f>
        <v>NA</v>
      </c>
      <c r="E5" s="190" t="str">
        <f t="shared" si="1"/>
        <v>NA</v>
      </c>
      <c r="G5" s="191" t="s">
        <v>101</v>
      </c>
      <c r="H5" s="192" t="str">
        <f t="array" ref="H5:H14">TOCOL(
    MAP(
      'Master of Masters'!$K$3:$K1505,
      LAMBDA(s,
        IF(
          s="",
          "",
          INDIRECT("'"&amp;s&amp;"'!F6", TRUE)
        )
      )
    ),
    1
  )</f>
        <v>NA</v>
      </c>
      <c r="I5" s="193" t="str">
        <f t="shared" ref="I5:J5" si="2">IF(H5="NA","NA",IF(H5-0&gt;0,"+ ","- ")&amp;TEXT(ABS(INT(H5-0)),"#,##0"))</f>
        <v>NA</v>
      </c>
      <c r="J5" s="194" t="str">
        <f t="shared" si="2"/>
        <v>NA</v>
      </c>
      <c r="L5" s="195" t="s">
        <v>101</v>
      </c>
      <c r="M5" s="196">
        <f t="array" ref="M5:M14">TOCOL(
    MAP(
      'Master of Masters'!$K$3:$K1505,
      LAMBDA(s,
        IF(
          s="",
          "",
          INDIRECT("'"&amp;s&amp;"'!I6", TRUE)
        )
      )
    ),
    1
  )</f>
        <v>7110.86</v>
      </c>
      <c r="N5" s="197" t="str">
        <f>IF(M5="","",IF(M5-0&gt;0,"+ ","- ")&amp;TEXT(ABS(INT(M5-0)),"#,##0"))</f>
        <v>+ 7,110</v>
      </c>
      <c r="O5" s="198" t="str">
        <f>if(N5="NA","NA", CONCATENATE(if(M5-0&gt;0,"+",""),TEXT((1)/1,"%0.00")))</f>
        <v>+%100.00</v>
      </c>
    </row>
    <row r="6">
      <c r="B6" s="187" t="s">
        <v>102</v>
      </c>
      <c r="C6" s="199">
        <v>11781.0</v>
      </c>
      <c r="D6" s="189" t="str">
        <f>IF(C6="","",IF(C6-0&gt;0,"+ ","- ")&amp;TEXT(ABS(INT(C6-0)),"#,##0"))</f>
        <v>+ 11,781</v>
      </c>
      <c r="E6" s="190" t="str">
        <f>if(D6="NA","NA", CONCATENATE(if(C6-0&gt;0,"+",""),TEXT((1)/1,"%0.00")))</f>
        <v>+%100.00</v>
      </c>
      <c r="G6" s="191" t="s">
        <v>102</v>
      </c>
      <c r="H6" s="200">
        <v>14605.0</v>
      </c>
      <c r="I6" s="193" t="str">
        <f>IF(H6="","",IF(H6-0&gt;0,"+ ","- ")&amp;TEXT(ABS(INT(H6-0)),"#,##0"))</f>
        <v>+ 14,605</v>
      </c>
      <c r="J6" s="194" t="str">
        <f>if(I6="NA","NA", CONCATENATE(if(H6-0&gt;0,"+",""),TEXT((1)/1,"%0.00")))</f>
        <v>+%100.00</v>
      </c>
      <c r="L6" s="195" t="s">
        <v>102</v>
      </c>
      <c r="M6" s="196">
        <v>26386.0</v>
      </c>
      <c r="N6" s="197" t="str">
        <f t="shared" ref="N6:N9" si="3">IF(M6="","",IF(M6-M5&gt;0,"+ ","- ")&amp;TEXT(ABS(INT(M6-M5)),"#,##0"))</f>
        <v>+ 19,275</v>
      </c>
      <c r="O6" s="198" t="str">
        <f t="shared" ref="O6:O9" si="4">if(N6="NA","NA", CONCATENATE(if(M6-M5&gt;0,"+",""),TEXT((M6-M5)/M5,"%0.00")))</f>
        <v>+%271.07</v>
      </c>
    </row>
    <row r="7">
      <c r="B7" s="187" t="s">
        <v>103</v>
      </c>
      <c r="C7" s="199">
        <v>14269.0</v>
      </c>
      <c r="D7" s="189" t="str">
        <f t="shared" ref="D7:D9" si="5">IF(C7="","",IF(C7-C6&gt;0,"+ ","- ")&amp;TEXT(ABS(INT(C7-C6)),"#,##0"))</f>
        <v>+ 2,488</v>
      </c>
      <c r="E7" s="190" t="str">
        <f t="shared" ref="E7:E9" si="6">if(D7="NA","NA", CONCATENATE(if(C7-C6&gt;0,"+",""),TEXT((C7-C6)/C6,"%0.00")))</f>
        <v>+%21.12</v>
      </c>
      <c r="G7" s="191" t="s">
        <v>103</v>
      </c>
      <c r="H7" s="200">
        <v>16804.0</v>
      </c>
      <c r="I7" s="193" t="str">
        <f t="shared" ref="I7:I9" si="7">IF(H7="","",IF(H7-H6&gt;0,"+ ","- ")&amp;TEXT(ABS(INT(H7-H6)),"#,##0"))</f>
        <v>+ 2,199</v>
      </c>
      <c r="J7" s="194" t="str">
        <f t="shared" ref="J7:J9" si="8">if(I7="NA","NA", CONCATENATE(if(H7-H6&gt;0,"+",""),TEXT((H7-H6)/H6,"%0.00")))</f>
        <v>+%15.06</v>
      </c>
      <c r="L7" s="195" t="s">
        <v>103</v>
      </c>
      <c r="M7" s="196">
        <v>31073.0</v>
      </c>
      <c r="N7" s="197" t="str">
        <f t="shared" si="3"/>
        <v>+ 4,687</v>
      </c>
      <c r="O7" s="198" t="str">
        <f t="shared" si="4"/>
        <v>+%17.76</v>
      </c>
    </row>
    <row r="8">
      <c r="B8" s="187" t="s">
        <v>104</v>
      </c>
      <c r="C8" s="199">
        <v>20069.0</v>
      </c>
      <c r="D8" s="189" t="str">
        <f t="shared" si="5"/>
        <v>+ 5,800</v>
      </c>
      <c r="E8" s="190" t="str">
        <f t="shared" si="6"/>
        <v>+%40.65</v>
      </c>
      <c r="G8" s="191" t="s">
        <v>104</v>
      </c>
      <c r="H8" s="200">
        <v>16525.0</v>
      </c>
      <c r="I8" s="193" t="str">
        <f t="shared" si="7"/>
        <v>- 279</v>
      </c>
      <c r="J8" s="194" t="str">
        <f t="shared" si="8"/>
        <v>-%1.66</v>
      </c>
      <c r="L8" s="195" t="s">
        <v>104</v>
      </c>
      <c r="M8" s="196">
        <v>36594.0</v>
      </c>
      <c r="N8" s="197" t="str">
        <f t="shared" si="3"/>
        <v>+ 5,521</v>
      </c>
      <c r="O8" s="198" t="str">
        <f t="shared" si="4"/>
        <v>+%17.77</v>
      </c>
    </row>
    <row r="9">
      <c r="B9" s="201" t="s">
        <v>105</v>
      </c>
      <c r="C9" s="202">
        <v>17917.0</v>
      </c>
      <c r="D9" s="203" t="str">
        <f t="shared" si="5"/>
        <v>- 2,152</v>
      </c>
      <c r="E9" s="204" t="str">
        <f t="shared" si="6"/>
        <v>-%10.72</v>
      </c>
      <c r="G9" s="205" t="s">
        <v>105</v>
      </c>
      <c r="H9" s="206">
        <v>16092.0</v>
      </c>
      <c r="I9" s="207" t="str">
        <f t="shared" si="7"/>
        <v>- 433</v>
      </c>
      <c r="J9" s="208" t="str">
        <f t="shared" si="8"/>
        <v>-%2.62</v>
      </c>
      <c r="L9" s="209" t="s">
        <v>105</v>
      </c>
      <c r="M9" s="210">
        <v>34009.0</v>
      </c>
      <c r="N9" s="211" t="str">
        <f t="shared" si="3"/>
        <v>- 2,585</v>
      </c>
      <c r="O9" s="212" t="str">
        <f t="shared" si="4"/>
        <v>-%7.06</v>
      </c>
    </row>
    <row r="10">
      <c r="B10" s="213"/>
      <c r="C10" s="213" t="s">
        <v>106</v>
      </c>
      <c r="D10" s="213"/>
      <c r="E10" s="213"/>
      <c r="G10" s="213"/>
      <c r="H10" s="213" t="s">
        <v>106</v>
      </c>
      <c r="I10" s="213"/>
      <c r="J10" s="213"/>
      <c r="L10" s="213"/>
      <c r="M10" s="213" t="s">
        <v>106</v>
      </c>
      <c r="N10" s="213"/>
      <c r="O10" s="213"/>
    </row>
    <row r="11">
      <c r="B11" s="213"/>
      <c r="C11" s="213" t="s">
        <v>106</v>
      </c>
      <c r="D11" s="213"/>
      <c r="E11" s="213"/>
      <c r="G11" s="213"/>
      <c r="H11" s="213" t="s">
        <v>106</v>
      </c>
      <c r="I11" s="213"/>
      <c r="J11" s="213"/>
      <c r="L11" s="213"/>
      <c r="M11" s="213" t="s">
        <v>106</v>
      </c>
      <c r="N11" s="213"/>
      <c r="O11" s="213"/>
    </row>
    <row r="12">
      <c r="B12" s="213"/>
      <c r="C12" s="213" t="s">
        <v>106</v>
      </c>
      <c r="D12" s="213"/>
      <c r="E12" s="213"/>
      <c r="G12" s="213"/>
      <c r="H12" s="213" t="s">
        <v>106</v>
      </c>
      <c r="I12" s="213"/>
      <c r="J12" s="213"/>
      <c r="L12" s="213"/>
      <c r="M12" s="213" t="s">
        <v>106</v>
      </c>
      <c r="N12" s="213"/>
      <c r="O12" s="213"/>
    </row>
    <row r="13">
      <c r="B13" s="213"/>
      <c r="C13" s="213" t="s">
        <v>106</v>
      </c>
      <c r="D13" s="213"/>
      <c r="E13" s="214" t="str">
        <f>IF(D13="","",IF(D13-C9&gt;0,"+ ","- ")&amp;TEXT(ABS(INT(D13-C9)),"#,##0"))</f>
        <v/>
      </c>
      <c r="F13" s="215"/>
      <c r="G13" s="213"/>
      <c r="H13" s="213" t="s">
        <v>106</v>
      </c>
      <c r="I13" s="213"/>
      <c r="J13" s="213"/>
      <c r="L13" s="213"/>
      <c r="M13" s="213" t="s">
        <v>106</v>
      </c>
      <c r="N13" s="213"/>
      <c r="O13" s="213"/>
    </row>
    <row r="14">
      <c r="B14" s="213"/>
      <c r="C14" s="213" t="s">
        <v>106</v>
      </c>
      <c r="D14" s="213"/>
      <c r="E14" s="214" t="str">
        <f t="shared" ref="E14:E15" si="9">IF(D14="","",IF(D14-D13&gt;0,"+ ","- ")&amp;TEXT(ABS(INT(D14-D13)),"#,##0"))</f>
        <v/>
      </c>
      <c r="F14" s="215"/>
      <c r="G14" s="213"/>
      <c r="H14" s="213" t="s">
        <v>106</v>
      </c>
      <c r="I14" s="213"/>
      <c r="J14" s="213"/>
      <c r="L14" s="213"/>
      <c r="M14" s="213" t="s">
        <v>106</v>
      </c>
      <c r="N14" s="213"/>
      <c r="O14" s="213"/>
    </row>
    <row r="15">
      <c r="E15" s="215" t="str">
        <f t="shared" si="9"/>
        <v/>
      </c>
      <c r="F15" s="215"/>
    </row>
    <row r="16">
      <c r="B16" s="46" t="s">
        <v>107</v>
      </c>
      <c r="C16" s="47"/>
      <c r="D16" s="12"/>
      <c r="G16" s="46" t="s">
        <v>108</v>
      </c>
      <c r="H16" s="47"/>
      <c r="I16" s="47"/>
      <c r="J16" s="12"/>
      <c r="M16" s="46" t="s">
        <v>109</v>
      </c>
      <c r="N16" s="47"/>
      <c r="O16" s="12"/>
      <c r="Q16" s="46" t="s">
        <v>110</v>
      </c>
      <c r="R16" s="47"/>
      <c r="S16" s="47"/>
      <c r="T16" s="12"/>
    </row>
    <row r="17">
      <c r="B17" s="216" t="s">
        <v>64</v>
      </c>
      <c r="C17" s="217" t="s">
        <v>82</v>
      </c>
      <c r="D17" s="218" t="s">
        <v>83</v>
      </c>
      <c r="G17" s="48" t="s">
        <v>64</v>
      </c>
      <c r="H17" s="176" t="s">
        <v>82</v>
      </c>
      <c r="I17" s="181" t="s">
        <v>83</v>
      </c>
      <c r="J17" s="186" t="s">
        <v>30</v>
      </c>
      <c r="M17" s="183" t="s">
        <v>64</v>
      </c>
      <c r="N17" s="184" t="s">
        <v>24</v>
      </c>
      <c r="O17" s="219" t="s">
        <v>65</v>
      </c>
      <c r="Q17" s="48" t="s">
        <v>64</v>
      </c>
      <c r="R17" s="176" t="s">
        <v>111</v>
      </c>
      <c r="S17" s="181" t="s">
        <v>112</v>
      </c>
      <c r="T17" s="186" t="s">
        <v>113</v>
      </c>
    </row>
    <row r="18">
      <c r="B18" s="220" t="s">
        <v>54</v>
      </c>
      <c r="C18" s="221" t="str">
        <f t="array" ref="C18">IF('Master of Masters'!K3="","",IFERROR(IF(ISNUMBER(INDIRECT("'"&amp;'Master of Masters'!K3&amp;"'!C6",TRUE)),INDIRECT("'"&amp;'Master of Masters'!K3&amp;"'!C6",TRUE),"N/A"),"N/A"))</f>
        <v>N/A</v>
      </c>
      <c r="D18" s="222" t="str">
        <f t="array" ref="D18">IF('Master of Masters'!K3="","",IFERROR(IF(ISNUMBER(INDIRECT("'"&amp;'Master of Masters'!K3&amp;"'!F6",TRUE)),INDIRECT("'"&amp;'Master of Masters'!K3&amp;"'!F6",TRUE),"N/A"),"N/A"))</f>
        <v>N/A</v>
      </c>
      <c r="G18" s="223" t="s">
        <v>54</v>
      </c>
      <c r="H18" s="224" t="str">
        <f t="array" ref="H18">IF('Master of Masters'!K3="","",IFERROR(IF(ISNUMBER(INDIRECT("'"&amp;'Master of Masters'!K3&amp;"'!C8",TRUE)),INDIRECT("'"&amp;'Master of Masters'!K3&amp;"'!C8",TRUE),"N/A"),"N/A"))</f>
        <v>N/A</v>
      </c>
      <c r="I18" s="225" t="str">
        <f t="array" ref="I18">IF('Master of Masters'!K3="","",IFERROR(IF(ISNUMBER(INDIRECT("'"&amp;'Master of Masters'!K3&amp;"'!F8",TRUE)),INDIRECT("'"&amp;'Master of Masters'!K3&amp;"'!F8",TRUE),"N/A"),"N/A"))</f>
        <v>N/A</v>
      </c>
      <c r="J18" s="198" t="str">
        <f t="array" ref="J18">IF('Master of Masters'!K3="","",IFERROR(IF(ISNUMBER(INDIRECT("'"&amp;'Master of Masters'!K3&amp;"'!I8",TRUE)),INDIRECT("'"&amp;'Master of Masters'!K3&amp;"'!I8",TRUE),"N/A"),"N/A"))</f>
        <v>N/A</v>
      </c>
      <c r="M18" s="195" t="s">
        <v>54</v>
      </c>
      <c r="N18" s="196">
        <f t="array" ref="N18">IF('Master of Masters'!K3="","",IFERROR(IF(ISNUMBER(INDIRECT("'"&amp;'Master of Masters'!K3&amp;"'!I6",TRUE)),INDIRECT("'"&amp;'Master of Masters'!K3&amp;"'!I6",TRUE),"N/A"),"N/A"))</f>
        <v>7110.86</v>
      </c>
      <c r="O18" s="226">
        <f t="shared" ref="O18:O22" si="10">IF(N18="","",SUMPRODUCT((ISNUMBER(N$18:N18))*IF(ISNUMBER(N$18:N18),N$18:N18,0)))</f>
        <v>7110.86</v>
      </c>
      <c r="Q18" s="223" t="s">
        <v>54</v>
      </c>
      <c r="R18" s="224" t="str">
        <f>'Master Spring 2024'!$C$7</f>
        <v>NA</v>
      </c>
      <c r="S18" s="227" t="str">
        <f>'Master Spring 2024'!$F$7</f>
        <v>NA</v>
      </c>
      <c r="T18" s="198">
        <f>'Master Spring 2024'!$I$7</f>
        <v>222.214375</v>
      </c>
    </row>
    <row r="19">
      <c r="B19" s="220" t="s">
        <v>55</v>
      </c>
      <c r="C19" s="221">
        <f t="array" ref="C19">IF('Master of Masters'!K4="","",IFERROR(IF(ISNUMBER(INDIRECT("'"&amp;'Master of Masters'!K4&amp;"'!C6",TRUE)),INDIRECT("'"&amp;'Master of Masters'!K4&amp;"'!C6",TRUE),"N/A"),"N/A"))</f>
        <v>11781</v>
      </c>
      <c r="D19" s="222">
        <f t="array" ref="D19">IF('Master of Masters'!K4="","",IFERROR(IF(ISNUMBER(INDIRECT("'"&amp;'Master of Masters'!K4&amp;"'!F6",TRUE)),INDIRECT("'"&amp;'Master of Masters'!K4&amp;"'!F6",TRUE),"N/A"),"N/A"))</f>
        <v>14605</v>
      </c>
      <c r="G19" s="223" t="s">
        <v>55</v>
      </c>
      <c r="H19" s="224" t="str">
        <f t="array" ref="H19">IF('Master of Masters'!K4="","",IFERROR(IF(ISNUMBER(INDIRECT("'"&amp;'Master of Masters'!K4&amp;"'!C8",TRUE)),INDIRECT("'"&amp;'Master of Masters'!K4&amp;"'!C8",TRUE),"N/A"),"N/A"))</f>
        <v>N/A</v>
      </c>
      <c r="I19" s="225" t="str">
        <f t="array" ref="I19">IF('Master of Masters'!K4="","",IFERROR(IF(ISNUMBER(INDIRECT("'"&amp;'Master of Masters'!K4&amp;"'!F8",TRUE)),INDIRECT("'"&amp;'Master of Masters'!K4&amp;"'!F8",TRUE),"N/A"),"N/A"))</f>
        <v>N/A</v>
      </c>
      <c r="J19" s="198" t="str">
        <f t="array" ref="J19">IF('Master of Masters'!K4="","",IFERROR(IF(ISNUMBER(INDIRECT("'"&amp;'Master of Masters'!K4&amp;"'!I8",TRUE)),INDIRECT("'"&amp;'Master of Masters'!K4&amp;"'!I8",TRUE),"N/A"),"N/A"))</f>
        <v>N/A</v>
      </c>
      <c r="M19" s="195" t="s">
        <v>55</v>
      </c>
      <c r="N19" s="196">
        <f t="array" ref="N19">IF('Master of Masters'!K4="","",IFERROR(IF(ISNUMBER(INDIRECT("'"&amp;'Master of Masters'!K4&amp;"'!I6",TRUE)),INDIRECT("'"&amp;'Master of Masters'!K4&amp;"'!I6",TRUE),"N/A"),"N/A"))</f>
        <v>26386</v>
      </c>
      <c r="O19" s="226">
        <f t="shared" si="10"/>
        <v>33496.86</v>
      </c>
      <c r="Q19" s="223" t="s">
        <v>55</v>
      </c>
      <c r="R19" s="224">
        <f>'Master Fall 2024'!$C$7</f>
        <v>199.6779661</v>
      </c>
      <c r="S19" s="228">
        <f>'Master Fall 2024'!$F$7</f>
        <v>231.8253968</v>
      </c>
      <c r="T19" s="198">
        <f>'Master Fall 2024'!$I$7</f>
        <v>412.28125</v>
      </c>
    </row>
    <row r="20">
      <c r="B20" s="220" t="s">
        <v>56</v>
      </c>
      <c r="C20" s="221">
        <f t="array" ref="C20">IF('Master of Masters'!K5="","",IFERROR(IF(ISNUMBER(INDIRECT("'"&amp;'Master of Masters'!K5&amp;"'!C6",TRUE)),INDIRECT("'"&amp;'Master of Masters'!K5&amp;"'!C6",TRUE),"N/A"),"N/A"))</f>
        <v>14269</v>
      </c>
      <c r="D20" s="222">
        <f t="array" ref="D20">IF('Master of Masters'!K5="","",IFERROR(IF(ISNUMBER(INDIRECT("'"&amp;'Master of Masters'!K5&amp;"'!F6",TRUE)),INDIRECT("'"&amp;'Master of Masters'!K5&amp;"'!F6",TRUE),"N/A"),"N/A"))</f>
        <v>16804</v>
      </c>
      <c r="G20" s="223" t="s">
        <v>56</v>
      </c>
      <c r="H20" s="224" t="str">
        <f t="array" ref="H20">IF('Master of Masters'!K5="","",IFERROR(IF(ISNUMBER(INDIRECT("'"&amp;'Master of Masters'!K5&amp;"'!C8",TRUE)),INDIRECT("'"&amp;'Master of Masters'!K5&amp;"'!C8",TRUE),"N/A"),"N/A"))</f>
        <v>N/A</v>
      </c>
      <c r="I20" s="225" t="str">
        <f t="array" ref="I20">IF('Master of Masters'!K5="","",IFERROR(IF(ISNUMBER(INDIRECT("'"&amp;'Master of Masters'!K5&amp;"'!F8",TRUE)),INDIRECT("'"&amp;'Master of Masters'!K5&amp;"'!F8",TRUE),"N/A"),"N/A"))</f>
        <v>N/A</v>
      </c>
      <c r="J20" s="198" t="str">
        <f t="array" ref="J20">IF('Master of Masters'!K5="","",IFERROR(IF(ISNUMBER(INDIRECT("'"&amp;'Master of Masters'!K5&amp;"'!I8",TRUE)),INDIRECT("'"&amp;'Master of Masters'!K5&amp;"'!I8",TRUE),"N/A"),"N/A"))</f>
        <v>N/A</v>
      </c>
      <c r="M20" s="195" t="s">
        <v>56</v>
      </c>
      <c r="N20" s="196">
        <f t="array" ref="N20">IF('Master of Masters'!K5="","",IFERROR(IF(ISNUMBER(INDIRECT("'"&amp;'Master of Masters'!K5&amp;"'!I6",TRUE)),INDIRECT("'"&amp;'Master of Masters'!K5&amp;"'!I6",TRUE),"N/A"),"N/A"))</f>
        <v>31073</v>
      </c>
      <c r="O20" s="226">
        <f t="shared" si="10"/>
        <v>64569.86</v>
      </c>
      <c r="Q20" s="223" t="s">
        <v>56</v>
      </c>
      <c r="R20" s="224">
        <f>'Master Spring 2025'!$C$7</f>
        <v>237.8166667</v>
      </c>
      <c r="S20" s="228">
        <f>'Master Spring 2025'!$F$7</f>
        <v>275.4754098</v>
      </c>
      <c r="T20" s="198">
        <f>'Master Spring 2025'!$I$7</f>
        <v>485.515625</v>
      </c>
    </row>
    <row r="21">
      <c r="B21" s="220" t="s">
        <v>57</v>
      </c>
      <c r="C21" s="221">
        <f t="array" ref="C21">IF('Master of Masters'!K6="","",IFERROR(IF(ISNUMBER(INDIRECT("'"&amp;'Master of Masters'!K6&amp;"'!C6",TRUE)),INDIRECT("'"&amp;'Master of Masters'!K6&amp;"'!C6",TRUE),"N/A"),"N/A"))</f>
        <v>20069</v>
      </c>
      <c r="D21" s="222">
        <f t="array" ref="D21">IF('Master of Masters'!K6="","",IFERROR(IF(ISNUMBER(INDIRECT("'"&amp;'Master of Masters'!K6&amp;"'!F6",TRUE)),INDIRECT("'"&amp;'Master of Masters'!K6&amp;"'!F6",TRUE),"N/A"),"N/A"))</f>
        <v>16525</v>
      </c>
      <c r="G21" s="223" t="s">
        <v>57</v>
      </c>
      <c r="H21" s="229">
        <f t="array" ref="H21">IF('Master of Masters'!K6="","",IFERROR(IF(ISNUMBER(INDIRECT("'"&amp;'Master of Masters'!K6&amp;"'!C8",TRUE)),INDIRECT("'"&amp;'Master of Masters'!K6&amp;"'!C8",TRUE),"N/A"),"N/A"))</f>
        <v>51.42</v>
      </c>
      <c r="I21" s="230">
        <f t="array" ref="I21">IF('Master of Masters'!K6="","",IFERROR(IF(ISNUMBER(INDIRECT("'"&amp;'Master of Masters'!K6&amp;"'!F8",TRUE)),INDIRECT("'"&amp;'Master of Masters'!K6&amp;"'!F8",TRUE),"N/A"),"N/A"))</f>
        <v>41.84</v>
      </c>
      <c r="J21" s="231">
        <f t="array" ref="J21">IF('Master of Masters'!K6="","",IFERROR(IF(ISNUMBER(INDIRECT("'"&amp;'Master of Masters'!K6&amp;"'!I8",TRUE)),INDIRECT("'"&amp;'Master of Masters'!K6&amp;"'!I8",TRUE),"N/A"),"N/A"))</f>
        <v>46.41</v>
      </c>
      <c r="M21" s="195" t="s">
        <v>57</v>
      </c>
      <c r="N21" s="196">
        <f t="array" ref="N21">IF('Master of Masters'!K6="","",IFERROR(IF(ISNUMBER(INDIRECT("'"&amp;'Master of Masters'!K6&amp;"'!I6",TRUE)),INDIRECT("'"&amp;'Master of Masters'!K6&amp;"'!I6",TRUE),"N/A"),"N/A"))</f>
        <v>36594</v>
      </c>
      <c r="O21" s="226">
        <f t="shared" si="10"/>
        <v>101163.86</v>
      </c>
      <c r="Q21" s="223" t="s">
        <v>57</v>
      </c>
      <c r="R21" s="224">
        <f>'Master Fall 2025'!$C$7</f>
        <v>271.88</v>
      </c>
      <c r="S21" s="228">
        <f>'Master Fall 2025'!$F$7</f>
        <v>266.82</v>
      </c>
      <c r="T21" s="198">
        <f>'Master Fall 2025'!$I$7</f>
        <v>502.7</v>
      </c>
    </row>
    <row r="22">
      <c r="B22" s="232" t="s">
        <v>58</v>
      </c>
      <c r="C22" s="233">
        <f t="array" ref="C22">IF('Master of Masters'!K7="","",IFERROR(IF(ISNUMBER(INDIRECT("'"&amp;'Master of Masters'!K7&amp;"'!C6",TRUE)),INDIRECT("'"&amp;'Master of Masters'!K7&amp;"'!C6",TRUE),"N/A"),"N/A"))</f>
        <v>17917</v>
      </c>
      <c r="D22" s="234">
        <f t="array" ref="D22">IF('Master of Masters'!K7="","",IFERROR(IF(ISNUMBER(INDIRECT("'"&amp;'Master of Masters'!K7&amp;"'!F6",TRUE)),INDIRECT("'"&amp;'Master of Masters'!K7&amp;"'!F6",TRUE),"N/A"),"N/A"))</f>
        <v>16092</v>
      </c>
      <c r="G22" s="235" t="s">
        <v>73</v>
      </c>
      <c r="H22" s="236">
        <f t="array" ref="H22">IF('Master of Masters'!K7="","",IFERROR(IF(ISNUMBER(INDIRECT("'"&amp;'Master of Masters'!K7&amp;"'!C8",TRUE)),INDIRECT("'"&amp;'Master of Masters'!K7&amp;"'!C8",TRUE),"N/A"),"N/A"))</f>
        <v>60.99058209</v>
      </c>
      <c r="I22" s="237">
        <f t="array" ref="I22">IF('Master of Masters'!K7="","",IFERROR(IF(ISNUMBER(INDIRECT("'"&amp;'Master of Masters'!K7&amp;"'!F8",TRUE)),INDIRECT("'"&amp;'Master of Masters'!K7&amp;"'!F8",TRUE),"N/A"),"N/A"))</f>
        <v>42.43484376</v>
      </c>
      <c r="J22" s="238">
        <f t="array" ref="J22">IF('Master of Masters'!K7="","",IFERROR(IF(ISNUMBER(INDIRECT("'"&amp;'Master of Masters'!K7&amp;"'!I8",TRUE)),INDIRECT("'"&amp;'Master of Masters'!K7&amp;"'!I8",TRUE),"N/A"),"N/A"))</f>
        <v>50.53468387</v>
      </c>
      <c r="M22" s="209" t="s">
        <v>58</v>
      </c>
      <c r="N22" s="210">
        <f t="array" ref="N22">IF('Master of Masters'!K7="","",IFERROR(IF(ISNUMBER(INDIRECT("'"&amp;'Master of Masters'!K7&amp;"'!I6",TRUE)),INDIRECT("'"&amp;'Master of Masters'!K7&amp;"'!I6",TRUE),"N/A"),"N/A"))</f>
        <v>34009</v>
      </c>
      <c r="O22" s="239">
        <f t="shared" si="10"/>
        <v>135172.86</v>
      </c>
      <c r="Q22" s="235" t="s">
        <v>73</v>
      </c>
      <c r="R22" s="240">
        <f>'Master Spring 2026'!$C$7</f>
        <v>267.4179104</v>
      </c>
      <c r="S22" s="241">
        <f>'Master Spring 2026'!$F$7</f>
        <v>255.4285714</v>
      </c>
      <c r="T22" s="212">
        <f>'Master Spring 2026'!$I$7</f>
        <v>507.5970149</v>
      </c>
    </row>
    <row r="23">
      <c r="E23" s="215"/>
      <c r="F23" s="215"/>
    </row>
    <row r="24">
      <c r="E24" s="215"/>
      <c r="F24" s="215"/>
    </row>
    <row r="25">
      <c r="E25" s="215"/>
    </row>
    <row r="26">
      <c r="E26" s="242"/>
      <c r="G26" s="243" t="s">
        <v>114</v>
      </c>
      <c r="H26" s="47"/>
      <c r="I26" s="47"/>
      <c r="J26" s="12"/>
    </row>
    <row r="27">
      <c r="E27" s="244" t="s">
        <v>30</v>
      </c>
      <c r="G27" s="245" t="s">
        <v>64</v>
      </c>
      <c r="H27" s="246" t="s">
        <v>68</v>
      </c>
      <c r="I27" s="246" t="s">
        <v>69</v>
      </c>
      <c r="J27" s="247" t="s">
        <v>115</v>
      </c>
    </row>
    <row r="28">
      <c r="E28" s="248"/>
      <c r="G28" s="249" t="s">
        <v>54</v>
      </c>
      <c r="H28" s="250">
        <f t="array" ref="H28">IF('Master of Masters'!K3="","",IFERROR(IF(ISNUMBER(INDIRECT("'"&amp;'Master of Masters'!K3&amp;"'!I12",TRUE)),INDIRECT("'"&amp;'Master of Masters'!K3&amp;"'!I12",TRUE),"N/A"),"N/A"))</f>
        <v>4519.164856</v>
      </c>
      <c r="I28" s="250">
        <f t="shared" ref="I28:I32" si="11">IF(H28="","",IF(NOT(ISNUMBER(H28)),"N/A",ROUND(H28/2000,2)))</f>
        <v>2.26</v>
      </c>
      <c r="J28" s="251">
        <f t="shared" ref="J28:J32" si="12">IF(H28="","",IF(NOT(ISNUMBER(H28)),"N/A",ROUND(H28/0.891,0)))</f>
        <v>5072</v>
      </c>
    </row>
    <row r="29">
      <c r="E29" s="248"/>
      <c r="G29" s="249" t="s">
        <v>55</v>
      </c>
      <c r="H29" s="250">
        <f t="array" ref="H29">IF('Master of Masters'!K4="","",IFERROR(IF(ISNUMBER(INDIRECT("'"&amp;'Master of Masters'!K4&amp;"'!I12",TRUE)),INDIRECT("'"&amp;'Master of Masters'!K4&amp;"'!I12",TRUE),"N/A"),"N/A"))</f>
        <v>16769.09458</v>
      </c>
      <c r="I29" s="250">
        <f t="shared" si="11"/>
        <v>8.38</v>
      </c>
      <c r="J29" s="251">
        <f t="shared" si="12"/>
        <v>18821</v>
      </c>
    </row>
    <row r="30">
      <c r="E30" s="248"/>
      <c r="G30" s="249" t="s">
        <v>56</v>
      </c>
      <c r="H30" s="250">
        <f t="array" ref="H30">IF('Master of Masters'!K5="","",IFERROR(IF(ISNUMBER(INDIRECT("'"&amp;'Master of Masters'!K5&amp;"'!I12",TRUE)),INDIRECT("'"&amp;'Master of Masters'!K5&amp;"'!I12",TRUE),"N/A"),"N/A"))</f>
        <v>19747.82369</v>
      </c>
      <c r="I30" s="250">
        <f t="shared" si="11"/>
        <v>9.87</v>
      </c>
      <c r="J30" s="251">
        <f t="shared" si="12"/>
        <v>22164</v>
      </c>
    </row>
    <row r="31">
      <c r="E31" s="248"/>
      <c r="G31" s="249" t="s">
        <v>57</v>
      </c>
      <c r="H31" s="250">
        <f t="array" ref="H31">IF('Master of Masters'!K6="","",IFERROR(IF(ISNUMBER(INDIRECT("'"&amp;'Master of Masters'!K6&amp;"'!I12",TRUE)),INDIRECT("'"&amp;'Master of Masters'!K6&amp;"'!I12",TRUE),"N/A"),"N/A"))</f>
        <v>23256.58482</v>
      </c>
      <c r="I31" s="250">
        <f t="shared" si="11"/>
        <v>11.63</v>
      </c>
      <c r="J31" s="251">
        <f t="shared" si="12"/>
        <v>26102</v>
      </c>
    </row>
    <row r="32">
      <c r="E32" s="248"/>
      <c r="G32" s="252" t="s">
        <v>58</v>
      </c>
      <c r="H32" s="253">
        <f t="array" ref="H32">IF('Master of Masters'!K7="","",IFERROR(IF(ISNUMBER(INDIRECT("'"&amp;'Master of Masters'!K7&amp;"'!I12",TRUE)),INDIRECT("'"&amp;'Master of Masters'!K7&amp;"'!I12",TRUE),"N/A"),"N/A"))</f>
        <v>21613.73977</v>
      </c>
      <c r="I32" s="253">
        <f t="shared" si="11"/>
        <v>10.81</v>
      </c>
      <c r="J32" s="254">
        <f t="shared" si="12"/>
        <v>24258</v>
      </c>
    </row>
    <row r="33">
      <c r="G33" s="146" t="s">
        <v>116</v>
      </c>
    </row>
  </sheetData>
  <mergeCells count="8">
    <mergeCell ref="B3:E3"/>
    <mergeCell ref="G3:J3"/>
    <mergeCell ref="L3:O3"/>
    <mergeCell ref="B16:D16"/>
    <mergeCell ref="G16:J16"/>
    <mergeCell ref="M16:O16"/>
    <mergeCell ref="Q16:T16"/>
    <mergeCell ref="G26:J26"/>
  </mergeCells>
  <conditionalFormatting sqref="D5:D15 E5:E9 O5:O9 J6:J9 D18:D23 I18:I22 S18:S22">
    <cfRule type="beginsWith" dxfId="0" priority="1" operator="beginsWith" text="+">
      <formula>LEFT((D5),LEN("+"))=("+")</formula>
    </cfRule>
  </conditionalFormatting>
  <conditionalFormatting sqref="D5:D15 E5:E9 I5:I15 J5:J9 N5:N15 O5:O9 D18:D23 I18:I22 S18:S22">
    <cfRule type="beginsWith" dxfId="1" priority="2" operator="beginsWith" text="-">
      <formula>LEFT((D5),LEN("-"))=("-")</formula>
    </cfRule>
  </conditionalFormatting>
  <conditionalFormatting sqref="I5:I15 J5:J9 N5:N15 O5:O9">
    <cfRule type="beginsWith" dxfId="2" priority="3" operator="beginsWith" text="+">
      <formula>LEFT((I5),LEN("+"))=("+")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sheetData>
    <row r="1">
      <c r="A1" s="255"/>
      <c r="B1" s="13"/>
      <c r="C1" s="7" t="s">
        <v>117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5"/>
      <c r="B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256" t="s">
        <v>118</v>
      </c>
      <c r="B3" s="13"/>
      <c r="C3" s="13"/>
      <c r="D3" s="13"/>
      <c r="E3" s="13"/>
      <c r="F3" s="13"/>
      <c r="G3" s="13"/>
      <c r="H3" s="13"/>
      <c r="I3" s="13"/>
      <c r="J3" s="13"/>
      <c r="K3" s="257" t="s">
        <v>119</v>
      </c>
      <c r="L3" s="257"/>
      <c r="M3" s="257"/>
      <c r="N3" s="257"/>
      <c r="O3" s="257"/>
      <c r="P3" s="257"/>
      <c r="Q3" s="257"/>
      <c r="R3" s="257"/>
      <c r="S3" s="257"/>
      <c r="T3" s="13"/>
      <c r="U3" s="13"/>
      <c r="V3" s="13"/>
      <c r="W3" s="13"/>
    </row>
    <row r="4">
      <c r="A4" s="258">
        <v>8.0</v>
      </c>
      <c r="B4" s="17"/>
      <c r="C4" s="259"/>
      <c r="D4" s="13"/>
      <c r="E4" s="13"/>
      <c r="F4" s="13"/>
      <c r="G4" s="13"/>
      <c r="H4" s="13"/>
      <c r="I4" s="13"/>
      <c r="J4" s="13"/>
      <c r="K4" s="257"/>
      <c r="L4" s="257"/>
      <c r="M4" s="257"/>
      <c r="N4" s="257"/>
      <c r="O4" s="257"/>
      <c r="P4" s="257"/>
      <c r="Q4" s="257"/>
      <c r="R4" s="257"/>
      <c r="S4" s="257"/>
      <c r="T4" s="13"/>
      <c r="U4" s="13"/>
      <c r="V4" s="13"/>
      <c r="W4" s="13"/>
    </row>
    <row r="5">
      <c r="A5" s="17"/>
      <c r="B5" s="11" t="s">
        <v>120</v>
      </c>
      <c r="C5" s="12"/>
      <c r="D5" s="13"/>
      <c r="E5" s="11" t="s">
        <v>121</v>
      </c>
      <c r="F5" s="12"/>
      <c r="G5" s="13"/>
      <c r="H5" s="11" t="s">
        <v>122</v>
      </c>
      <c r="I5" s="12"/>
      <c r="J5" s="13"/>
      <c r="K5" s="257"/>
      <c r="L5" s="257"/>
      <c r="M5" s="257"/>
      <c r="N5" s="257"/>
      <c r="O5" s="257"/>
      <c r="P5" s="257"/>
      <c r="Q5" s="257"/>
      <c r="R5" s="257"/>
      <c r="S5" s="257"/>
      <c r="T5" s="13"/>
      <c r="U5" s="255"/>
      <c r="W5" s="13"/>
    </row>
    <row r="6">
      <c r="A6" s="257"/>
      <c r="B6" s="15" t="s">
        <v>24</v>
      </c>
      <c r="C6" s="22" t="s">
        <v>123</v>
      </c>
      <c r="D6" s="17"/>
      <c r="E6" s="18" t="s">
        <v>24</v>
      </c>
      <c r="F6" s="24" t="s">
        <v>123</v>
      </c>
      <c r="G6" s="13"/>
      <c r="H6" s="20" t="s">
        <v>24</v>
      </c>
      <c r="I6" s="21">
        <f>IFERROR(__xludf.DUMMYFUNCTION("SUM(IMPORTRANGE(""1CwrjPhJINZWO4jEU_saNz0V1dzS-UwSgU5fMaUfZ7VY"",""'S24'!M2:M282""))"),7110.86)</f>
        <v>7110.86</v>
      </c>
      <c r="J6" s="13"/>
      <c r="K6" s="257"/>
      <c r="L6" s="257"/>
      <c r="M6" s="257"/>
      <c r="N6" s="257"/>
      <c r="O6" s="257"/>
      <c r="P6" s="257"/>
      <c r="Q6" s="257"/>
      <c r="R6" s="257"/>
      <c r="S6" s="257"/>
      <c r="T6" s="13"/>
      <c r="U6" s="260"/>
      <c r="V6" s="261"/>
      <c r="W6" s="13"/>
    </row>
    <row r="7">
      <c r="A7" s="257"/>
      <c r="B7" s="15" t="s">
        <v>124</v>
      </c>
      <c r="C7" s="22" t="s">
        <v>123</v>
      </c>
      <c r="D7" s="17"/>
      <c r="E7" s="23" t="s">
        <v>124</v>
      </c>
      <c r="F7" s="24" t="s">
        <v>123</v>
      </c>
      <c r="G7" s="13"/>
      <c r="H7" s="25" t="s">
        <v>124</v>
      </c>
      <c r="I7" s="262">
        <f>IFERROR(__xludf.DUMMYFUNCTION("AVERAGE(IMPORTRANGE(""1CwrjPhJINZWO4jEU_saNz0V1dzS-UwSgU5fMaUfZ7VY"",""'S24'!M2:M282""))"),222.214375)</f>
        <v>222.214375</v>
      </c>
      <c r="J7" s="13"/>
      <c r="K7" s="257"/>
      <c r="L7" s="257"/>
      <c r="M7" s="257"/>
      <c r="N7" s="257"/>
      <c r="O7" s="257"/>
      <c r="P7" s="257"/>
      <c r="Q7" s="257"/>
      <c r="R7" s="257"/>
      <c r="S7" s="257"/>
      <c r="T7" s="13"/>
      <c r="U7" s="263"/>
      <c r="V7" s="28"/>
      <c r="W7" s="13"/>
    </row>
    <row r="8">
      <c r="A8" s="257"/>
      <c r="B8" s="15" t="s">
        <v>30</v>
      </c>
      <c r="C8" s="27" t="s">
        <v>123</v>
      </c>
      <c r="D8" s="28"/>
      <c r="E8" s="23" t="s">
        <v>30</v>
      </c>
      <c r="F8" s="29" t="s">
        <v>123</v>
      </c>
      <c r="G8" s="28"/>
      <c r="H8" s="25" t="s">
        <v>30</v>
      </c>
      <c r="I8" s="30" t="s">
        <v>123</v>
      </c>
      <c r="J8" s="13"/>
      <c r="K8" s="257"/>
      <c r="L8" s="257"/>
      <c r="M8" s="257"/>
      <c r="N8" s="257"/>
      <c r="O8" s="257"/>
      <c r="P8" s="257"/>
      <c r="Q8" s="257"/>
      <c r="R8" s="257"/>
      <c r="S8" s="257"/>
      <c r="T8" s="13"/>
      <c r="U8" s="13"/>
      <c r="V8" s="13"/>
      <c r="W8" s="13"/>
    </row>
    <row r="9">
      <c r="A9" s="257"/>
      <c r="B9" s="15" t="s">
        <v>32</v>
      </c>
      <c r="C9" s="27" t="s">
        <v>123</v>
      </c>
      <c r="D9" s="28"/>
      <c r="E9" s="23" t="s">
        <v>32</v>
      </c>
      <c r="F9" s="29" t="s">
        <v>123</v>
      </c>
      <c r="G9" s="28"/>
      <c r="H9" s="25" t="s">
        <v>32</v>
      </c>
      <c r="I9" s="30" t="s">
        <v>123</v>
      </c>
      <c r="J9" s="13"/>
      <c r="K9" s="257"/>
      <c r="L9" s="257"/>
      <c r="M9" s="257"/>
      <c r="N9" s="257"/>
      <c r="O9" s="257"/>
      <c r="P9" s="257"/>
      <c r="Q9" s="257"/>
      <c r="R9" s="257"/>
      <c r="S9" s="257"/>
      <c r="T9" s="13"/>
      <c r="U9" s="13"/>
      <c r="V9" s="13"/>
      <c r="W9" s="13"/>
    </row>
    <row r="10">
      <c r="A10" s="257"/>
      <c r="B10" s="15" t="s">
        <v>34</v>
      </c>
      <c r="C10" s="31" t="s">
        <v>123</v>
      </c>
      <c r="D10" s="17"/>
      <c r="E10" s="23" t="s">
        <v>34</v>
      </c>
      <c r="F10" s="32" t="s">
        <v>123</v>
      </c>
      <c r="G10" s="13"/>
      <c r="H10" s="25" t="s">
        <v>34</v>
      </c>
      <c r="I10" s="33" t="s">
        <v>123</v>
      </c>
      <c r="J10" s="264"/>
      <c r="K10" s="257"/>
      <c r="L10" s="257"/>
      <c r="M10" s="257"/>
      <c r="N10" s="257"/>
      <c r="O10" s="257"/>
      <c r="P10" s="257"/>
      <c r="Q10" s="257"/>
      <c r="R10" s="257"/>
      <c r="S10" s="257"/>
      <c r="T10" s="13"/>
      <c r="U10" s="13"/>
      <c r="V10" s="13"/>
      <c r="W10" s="13"/>
    </row>
    <row r="11">
      <c r="A11" s="257"/>
      <c r="B11" s="15" t="s">
        <v>36</v>
      </c>
      <c r="C11" s="265" t="s">
        <v>123</v>
      </c>
      <c r="D11" s="17"/>
      <c r="E11" s="23" t="s">
        <v>36</v>
      </c>
      <c r="F11" s="266" t="s">
        <v>123</v>
      </c>
      <c r="G11" s="13"/>
      <c r="H11" s="25" t="s">
        <v>36</v>
      </c>
      <c r="I11" s="267" t="s">
        <v>123</v>
      </c>
      <c r="J11" s="13"/>
      <c r="K11" s="257"/>
      <c r="L11" s="257"/>
      <c r="M11" s="257"/>
      <c r="N11" s="257"/>
      <c r="O11" s="257"/>
      <c r="P11" s="257"/>
      <c r="Q11" s="257"/>
      <c r="R11" s="257"/>
      <c r="S11" s="257"/>
      <c r="T11" s="13"/>
      <c r="U11" s="13"/>
      <c r="V11" s="13"/>
      <c r="W11" s="13"/>
    </row>
    <row r="12">
      <c r="A12" s="268"/>
      <c r="B12" s="37" t="s">
        <v>38</v>
      </c>
      <c r="C12" s="38" t="s">
        <v>123</v>
      </c>
      <c r="E12" s="39" t="s">
        <v>38</v>
      </c>
      <c r="F12" s="40" t="s">
        <v>123</v>
      </c>
      <c r="H12" s="41" t="s">
        <v>38</v>
      </c>
      <c r="I12" s="42">
        <f>(I6*'Impact Calculations'!G5)*2000</f>
        <v>4519.164856</v>
      </c>
      <c r="J12" s="13"/>
      <c r="K12" s="257"/>
      <c r="L12" s="257"/>
      <c r="M12" s="257"/>
      <c r="N12" s="257"/>
      <c r="O12" s="257"/>
      <c r="P12" s="257"/>
      <c r="Q12" s="257"/>
      <c r="R12" s="257"/>
      <c r="S12" s="257"/>
      <c r="T12" s="13"/>
      <c r="U12" s="13"/>
      <c r="V12" s="13"/>
      <c r="W12" s="13"/>
    </row>
    <row r="13">
      <c r="A13" s="13"/>
      <c r="B13" s="269"/>
      <c r="C13" s="270"/>
      <c r="D13" s="17"/>
      <c r="E13" s="269"/>
      <c r="F13" s="270"/>
      <c r="G13" s="13"/>
      <c r="H13" s="269"/>
      <c r="I13" s="270"/>
      <c r="J13" s="13"/>
      <c r="K13" s="257"/>
      <c r="L13" s="257"/>
      <c r="M13" s="257"/>
      <c r="N13" s="257"/>
      <c r="O13" s="257"/>
      <c r="P13" s="257"/>
      <c r="Q13" s="257"/>
      <c r="R13" s="257"/>
      <c r="S13" s="257"/>
      <c r="T13" s="13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13"/>
      <c r="K14" s="257"/>
      <c r="L14" s="257"/>
      <c r="M14" s="257"/>
      <c r="N14" s="257"/>
      <c r="O14" s="257"/>
      <c r="P14" s="257"/>
      <c r="Q14" s="257"/>
      <c r="R14" s="257"/>
      <c r="S14" s="257"/>
      <c r="T14" s="13"/>
      <c r="U14" s="13"/>
      <c r="V14" s="13"/>
      <c r="W14" s="13"/>
    </row>
    <row r="15">
      <c r="A15" s="13"/>
      <c r="B15" s="271" t="s">
        <v>125</v>
      </c>
      <c r="C15" s="272"/>
      <c r="D15" s="13"/>
      <c r="E15" s="271" t="s">
        <v>126</v>
      </c>
      <c r="F15" s="272"/>
      <c r="G15" s="13"/>
      <c r="H15" s="271" t="s">
        <v>127</v>
      </c>
      <c r="I15" s="272"/>
      <c r="J15" s="13"/>
      <c r="K15" s="257"/>
      <c r="L15" s="257"/>
      <c r="M15" s="257"/>
      <c r="N15" s="257"/>
      <c r="O15" s="257"/>
      <c r="P15" s="257"/>
      <c r="Q15" s="257"/>
      <c r="R15" s="257"/>
      <c r="S15" s="257"/>
      <c r="T15" s="13"/>
      <c r="U15" s="13"/>
      <c r="V15" s="13"/>
      <c r="W15" s="13"/>
    </row>
    <row r="16">
      <c r="A16" s="13"/>
      <c r="B16" s="273" t="s">
        <v>128</v>
      </c>
      <c r="C16" s="274" t="s">
        <v>129</v>
      </c>
      <c r="D16" s="257"/>
      <c r="E16" s="275" t="s">
        <v>130</v>
      </c>
      <c r="F16" s="276" t="s">
        <v>129</v>
      </c>
      <c r="G16" s="13"/>
      <c r="H16" s="277" t="s">
        <v>131</v>
      </c>
      <c r="I16" s="278" t="s">
        <v>129</v>
      </c>
      <c r="J16" s="13"/>
      <c r="K16" s="257"/>
      <c r="L16" s="257"/>
      <c r="M16" s="257"/>
      <c r="N16" s="257"/>
      <c r="O16" s="257"/>
      <c r="P16" s="257"/>
      <c r="Q16" s="257"/>
      <c r="R16" s="257"/>
      <c r="S16" s="257"/>
      <c r="T16" s="13"/>
      <c r="U16" s="13"/>
      <c r="V16" s="13"/>
      <c r="W16" s="13"/>
    </row>
    <row r="17">
      <c r="A17" s="13"/>
      <c r="B17" s="279" t="s">
        <v>132</v>
      </c>
      <c r="C17" s="27" t="s">
        <v>123</v>
      </c>
      <c r="D17" s="257"/>
      <c r="E17" s="279" t="s">
        <v>132</v>
      </c>
      <c r="F17" s="29" t="s">
        <v>123</v>
      </c>
      <c r="G17" s="264"/>
      <c r="H17" s="279" t="s">
        <v>132</v>
      </c>
      <c r="I17" s="280">
        <v>294.1428571</v>
      </c>
      <c r="J17" s="13"/>
      <c r="K17" s="257"/>
      <c r="L17" s="257"/>
      <c r="M17" s="257"/>
      <c r="N17" s="257"/>
      <c r="O17" s="257"/>
      <c r="P17" s="257"/>
      <c r="Q17" s="257"/>
      <c r="R17" s="257"/>
      <c r="S17" s="257"/>
      <c r="T17" s="13"/>
      <c r="U17" s="13"/>
      <c r="V17" s="13"/>
      <c r="W17" s="13"/>
    </row>
    <row r="18">
      <c r="A18" s="13"/>
      <c r="B18" s="279" t="s">
        <v>133</v>
      </c>
      <c r="C18" s="27" t="s">
        <v>123</v>
      </c>
      <c r="D18" s="257"/>
      <c r="E18" s="279" t="s">
        <v>133</v>
      </c>
      <c r="F18" s="29" t="s">
        <v>123</v>
      </c>
      <c r="G18" s="264"/>
      <c r="H18" s="279" t="s">
        <v>133</v>
      </c>
      <c r="I18" s="280">
        <v>377.11</v>
      </c>
      <c r="J18" s="13"/>
      <c r="K18" s="257"/>
      <c r="L18" s="257"/>
      <c r="M18" s="257"/>
      <c r="N18" s="257"/>
      <c r="O18" s="257"/>
      <c r="P18" s="257"/>
      <c r="Q18" s="257"/>
      <c r="R18" s="257"/>
      <c r="S18" s="257"/>
      <c r="T18" s="13"/>
      <c r="U18" s="13"/>
      <c r="V18" s="13"/>
      <c r="W18" s="13"/>
    </row>
    <row r="19">
      <c r="A19" s="13"/>
      <c r="B19" s="279" t="s">
        <v>134</v>
      </c>
      <c r="C19" s="31" t="s">
        <v>123</v>
      </c>
      <c r="D19" s="257"/>
      <c r="E19" s="279" t="s">
        <v>134</v>
      </c>
      <c r="F19" s="29" t="s">
        <v>123</v>
      </c>
      <c r="G19" s="264"/>
      <c r="H19" s="279" t="s">
        <v>134</v>
      </c>
      <c r="I19" s="280">
        <v>189.035</v>
      </c>
      <c r="J19" s="13"/>
      <c r="K19" s="257"/>
      <c r="L19" s="257"/>
      <c r="M19" s="257"/>
      <c r="N19" s="257"/>
      <c r="O19" s="257"/>
      <c r="P19" s="257"/>
      <c r="Q19" s="257"/>
      <c r="R19" s="257"/>
      <c r="S19" s="257"/>
      <c r="T19" s="13"/>
      <c r="U19" s="13"/>
      <c r="V19" s="13"/>
      <c r="W19" s="13"/>
    </row>
    <row r="20">
      <c r="A20" s="13"/>
      <c r="B20" s="279" t="s">
        <v>135</v>
      </c>
      <c r="C20" s="27" t="s">
        <v>123</v>
      </c>
      <c r="D20" s="257"/>
      <c r="E20" s="279" t="s">
        <v>135</v>
      </c>
      <c r="F20" s="29" t="s">
        <v>123</v>
      </c>
      <c r="G20" s="264"/>
      <c r="H20" s="279" t="s">
        <v>135</v>
      </c>
      <c r="I20" s="280">
        <v>188.5833333</v>
      </c>
      <c r="J20" s="13"/>
      <c r="K20" s="257"/>
      <c r="L20" s="257"/>
      <c r="M20" s="257"/>
      <c r="N20" s="257"/>
      <c r="O20" s="257"/>
      <c r="P20" s="257"/>
      <c r="Q20" s="257"/>
      <c r="R20" s="257"/>
      <c r="S20" s="257"/>
      <c r="T20" s="13"/>
      <c r="U20" s="13"/>
      <c r="V20" s="13"/>
      <c r="W20" s="13"/>
    </row>
    <row r="21">
      <c r="A21" s="13"/>
      <c r="B21" s="279" t="s">
        <v>136</v>
      </c>
      <c r="C21" s="31" t="s">
        <v>123</v>
      </c>
      <c r="D21" s="257"/>
      <c r="E21" s="279" t="s">
        <v>136</v>
      </c>
      <c r="F21" s="32" t="s">
        <v>123</v>
      </c>
      <c r="G21" s="264"/>
      <c r="H21" s="279" t="s">
        <v>136</v>
      </c>
      <c r="I21" s="280">
        <v>45.06333333</v>
      </c>
      <c r="J21" s="13"/>
      <c r="K21" s="257"/>
      <c r="L21" s="257"/>
      <c r="M21" s="257"/>
      <c r="N21" s="257"/>
      <c r="O21" s="257"/>
      <c r="P21" s="257"/>
      <c r="Q21" s="257"/>
      <c r="R21" s="257"/>
      <c r="S21" s="257"/>
      <c r="T21" s="13"/>
      <c r="U21" s="13"/>
      <c r="V21" s="13"/>
      <c r="W21" s="13"/>
    </row>
    <row r="22">
      <c r="A22" s="13"/>
      <c r="B22" s="281"/>
      <c r="C22" s="281"/>
      <c r="D22" s="282"/>
      <c r="E22" s="281"/>
      <c r="F22" s="281"/>
      <c r="G22" s="13"/>
      <c r="H22" s="281"/>
      <c r="I22" s="281"/>
      <c r="J22" s="13"/>
      <c r="K22" s="257"/>
      <c r="L22" s="257"/>
      <c r="M22" s="257"/>
      <c r="N22" s="257"/>
      <c r="O22" s="257"/>
      <c r="P22" s="257"/>
      <c r="Q22" s="257"/>
      <c r="R22" s="257"/>
      <c r="S22" s="257"/>
      <c r="T22" s="13"/>
      <c r="U22" s="13"/>
      <c r="V22" s="13"/>
      <c r="W22" s="13"/>
    </row>
    <row r="23">
      <c r="A23" s="13"/>
      <c r="B23" s="283"/>
      <c r="C23" s="284"/>
      <c r="D23" s="13"/>
      <c r="E23" s="283"/>
      <c r="F23" s="284"/>
      <c r="G23" s="264"/>
      <c r="H23" s="283"/>
      <c r="I23" s="284"/>
      <c r="J23" s="13"/>
      <c r="K23" s="257"/>
      <c r="L23" s="257"/>
      <c r="M23" s="257"/>
      <c r="N23" s="257"/>
      <c r="O23" s="257"/>
      <c r="P23" s="257"/>
      <c r="Q23" s="257"/>
      <c r="R23" s="257"/>
      <c r="S23" s="257"/>
      <c r="T23" s="13"/>
      <c r="U23" s="13"/>
      <c r="V23" s="13"/>
      <c r="W23" s="13"/>
    </row>
    <row r="24">
      <c r="A24" s="13"/>
      <c r="B24" s="283"/>
      <c r="C24" s="284"/>
      <c r="D24" s="17"/>
      <c r="E24" s="283"/>
      <c r="F24" s="284"/>
      <c r="G24" s="264"/>
      <c r="H24" s="283"/>
      <c r="I24" s="284"/>
      <c r="J24" s="13"/>
      <c r="K24" s="257"/>
      <c r="L24" s="257"/>
      <c r="M24" s="257"/>
      <c r="N24" s="257"/>
      <c r="O24" s="257"/>
      <c r="P24" s="257"/>
      <c r="Q24" s="257"/>
      <c r="R24" s="257"/>
      <c r="S24" s="257"/>
      <c r="T24" s="13"/>
      <c r="U24" s="13"/>
      <c r="V24" s="13"/>
      <c r="W24" s="13"/>
    </row>
    <row r="25">
      <c r="A25" s="13"/>
      <c r="B25" s="283"/>
      <c r="C25" s="284"/>
      <c r="D25" s="17"/>
      <c r="E25" s="283"/>
      <c r="F25" s="284"/>
      <c r="G25" s="264"/>
      <c r="H25" s="283"/>
      <c r="I25" s="284"/>
      <c r="J25" s="13"/>
      <c r="K25" s="257"/>
      <c r="L25" s="257"/>
      <c r="M25" s="257"/>
      <c r="N25" s="257"/>
      <c r="O25" s="257"/>
      <c r="P25" s="257"/>
      <c r="Q25" s="257"/>
      <c r="R25" s="257"/>
      <c r="S25" s="257"/>
      <c r="T25" s="13"/>
      <c r="U25" s="13"/>
      <c r="V25" s="13"/>
      <c r="W25" s="13"/>
    </row>
    <row r="26">
      <c r="A26" s="13"/>
      <c r="B26" s="283"/>
      <c r="C26" s="284"/>
      <c r="D26" s="17"/>
      <c r="E26" s="283"/>
      <c r="F26" s="284"/>
      <c r="G26" s="264"/>
      <c r="H26" s="283"/>
      <c r="I26" s="284"/>
      <c r="J26" s="13"/>
      <c r="K26" s="257"/>
      <c r="L26" s="257"/>
      <c r="M26" s="257"/>
      <c r="N26" s="257"/>
      <c r="O26" s="257"/>
      <c r="P26" s="257"/>
      <c r="Q26" s="257"/>
      <c r="R26" s="257"/>
      <c r="S26" s="257"/>
      <c r="T26" s="13"/>
      <c r="U26" s="13"/>
      <c r="V26" s="13"/>
      <c r="W26" s="13"/>
    </row>
    <row r="27">
      <c r="A27" s="13"/>
      <c r="B27" s="283"/>
      <c r="C27" s="284"/>
      <c r="D27" s="17"/>
      <c r="E27" s="283"/>
      <c r="F27" s="284"/>
      <c r="G27" s="264"/>
      <c r="H27" s="283"/>
      <c r="I27" s="284"/>
      <c r="J27" s="13"/>
      <c r="K27" s="257"/>
      <c r="L27" s="257"/>
      <c r="M27" s="257"/>
      <c r="N27" s="257"/>
      <c r="O27" s="257"/>
      <c r="P27" s="257"/>
      <c r="Q27" s="257"/>
      <c r="R27" s="257"/>
      <c r="S27" s="257"/>
      <c r="T27" s="13"/>
      <c r="U27" s="13"/>
      <c r="V27" s="13"/>
      <c r="W27" s="13"/>
    </row>
    <row r="28">
      <c r="A28" s="13"/>
      <c r="B28" s="283"/>
      <c r="C28" s="283"/>
      <c r="D28" s="17"/>
      <c r="E28" s="283"/>
      <c r="F28" s="283"/>
      <c r="G28" s="13"/>
      <c r="H28" s="283"/>
      <c r="I28" s="283"/>
      <c r="J28" s="13"/>
      <c r="K28" s="257"/>
      <c r="L28" s="257"/>
      <c r="M28" s="257"/>
      <c r="N28" s="257"/>
      <c r="O28" s="257"/>
      <c r="P28" s="257"/>
      <c r="Q28" s="257"/>
      <c r="R28" s="257"/>
      <c r="S28" s="257"/>
      <c r="T28" s="13"/>
      <c r="U28" s="13"/>
      <c r="V28" s="13"/>
      <c r="W28" s="13"/>
    </row>
    <row r="29">
      <c r="A29" s="13"/>
      <c r="B29" s="283"/>
      <c r="C29" s="285"/>
      <c r="D29" s="17"/>
      <c r="E29" s="283"/>
      <c r="F29" s="285"/>
      <c r="G29" s="13"/>
      <c r="H29" s="283"/>
      <c r="I29" s="285"/>
      <c r="J29" s="13"/>
      <c r="K29" s="257"/>
      <c r="L29" s="257"/>
      <c r="M29" s="257"/>
      <c r="N29" s="257"/>
      <c r="O29" s="257"/>
      <c r="P29" s="257"/>
      <c r="Q29" s="257"/>
      <c r="R29" s="257"/>
      <c r="S29" s="257"/>
      <c r="T29" s="13"/>
      <c r="U29" s="13"/>
      <c r="V29" s="13"/>
      <c r="W29" s="13"/>
    </row>
    <row r="30">
      <c r="A30" s="13"/>
      <c r="B30" s="283"/>
      <c r="C30" s="285"/>
      <c r="D30" s="17"/>
      <c r="E30" s="283"/>
      <c r="F30" s="285"/>
      <c r="G30" s="13"/>
      <c r="H30" s="283"/>
      <c r="I30" s="285"/>
      <c r="J30" s="13"/>
      <c r="K30" s="257"/>
      <c r="L30" s="257"/>
      <c r="M30" s="257"/>
      <c r="N30" s="257"/>
      <c r="O30" s="257"/>
      <c r="P30" s="257"/>
      <c r="Q30" s="257"/>
      <c r="R30" s="257"/>
      <c r="S30" s="257"/>
      <c r="T30" s="13"/>
      <c r="U30" s="13"/>
      <c r="V30" s="13"/>
      <c r="W30" s="13"/>
    </row>
    <row r="31">
      <c r="A31" s="13"/>
      <c r="B31" s="283"/>
      <c r="C31" s="285"/>
      <c r="D31" s="17"/>
      <c r="E31" s="283"/>
      <c r="F31" s="285"/>
      <c r="G31" s="13"/>
      <c r="H31" s="283"/>
      <c r="I31" s="285"/>
      <c r="J31" s="13"/>
      <c r="K31" s="257"/>
      <c r="L31" s="257"/>
      <c r="M31" s="257"/>
      <c r="N31" s="257"/>
      <c r="O31" s="257"/>
      <c r="P31" s="257"/>
      <c r="Q31" s="257"/>
      <c r="R31" s="257"/>
      <c r="S31" s="257"/>
      <c r="T31" s="13"/>
      <c r="U31" s="13"/>
      <c r="V31" s="13"/>
      <c r="W31" s="13"/>
    </row>
    <row r="32">
      <c r="A32" s="13"/>
      <c r="B32" s="283"/>
      <c r="C32" s="285"/>
      <c r="D32" s="17"/>
      <c r="E32" s="283"/>
      <c r="F32" s="285"/>
      <c r="G32" s="13"/>
      <c r="H32" s="283"/>
      <c r="I32" s="285"/>
      <c r="J32" s="13"/>
      <c r="K32" s="257"/>
      <c r="L32" s="257"/>
      <c r="M32" s="257"/>
      <c r="N32" s="257"/>
      <c r="O32" s="257"/>
      <c r="P32" s="257"/>
      <c r="Q32" s="257"/>
      <c r="R32" s="257"/>
      <c r="S32" s="257"/>
      <c r="T32" s="13"/>
      <c r="U32" s="13"/>
      <c r="V32" s="13"/>
      <c r="W32" s="13"/>
    </row>
    <row r="33">
      <c r="A33" s="13"/>
      <c r="B33" s="283"/>
      <c r="C33" s="285"/>
      <c r="D33" s="17"/>
      <c r="E33" s="283"/>
      <c r="F33" s="285"/>
      <c r="G33" s="13"/>
      <c r="H33" s="283"/>
      <c r="I33" s="285"/>
      <c r="J33" s="13"/>
      <c r="K33" s="257"/>
      <c r="L33" s="257"/>
      <c r="M33" s="257"/>
      <c r="N33" s="257"/>
      <c r="O33" s="257"/>
      <c r="P33" s="257"/>
      <c r="Q33" s="257"/>
      <c r="R33" s="257"/>
      <c r="S33" s="257"/>
      <c r="T33" s="13"/>
      <c r="U33" s="13"/>
      <c r="V33" s="13"/>
      <c r="W33" s="13"/>
    </row>
    <row r="34">
      <c r="A34" s="13"/>
      <c r="B34" s="257"/>
      <c r="C34" s="285"/>
      <c r="D34" s="17"/>
      <c r="E34" s="257"/>
      <c r="F34" s="285"/>
      <c r="G34" s="13"/>
      <c r="H34" s="257"/>
      <c r="I34" s="285"/>
      <c r="J34" s="13"/>
      <c r="K34" s="257"/>
      <c r="L34" s="257"/>
      <c r="M34" s="257"/>
      <c r="N34" s="257"/>
      <c r="O34" s="257"/>
      <c r="P34" s="257"/>
      <c r="Q34" s="257"/>
      <c r="R34" s="257"/>
      <c r="S34" s="257"/>
      <c r="T34" s="13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257"/>
      <c r="L35" s="257"/>
      <c r="M35" s="257"/>
      <c r="N35" s="257"/>
      <c r="O35" s="257"/>
      <c r="P35" s="257"/>
      <c r="Q35" s="257"/>
      <c r="R35" s="257"/>
      <c r="S35" s="257"/>
      <c r="T35" s="13"/>
      <c r="U35" s="13"/>
      <c r="V35" s="13"/>
      <c r="W35" s="13"/>
    </row>
    <row r="36">
      <c r="A36" s="13"/>
      <c r="B36" s="13"/>
      <c r="C36" s="13"/>
      <c r="D36" s="13"/>
      <c r="E36" s="13"/>
      <c r="F36" s="286"/>
      <c r="G36" s="13"/>
      <c r="H36" s="13"/>
      <c r="I36" s="13"/>
      <c r="J36" s="13"/>
      <c r="K36" s="13"/>
      <c r="L36" s="13"/>
      <c r="M36" s="13"/>
      <c r="N36" s="13"/>
      <c r="O36" s="257"/>
      <c r="P36" s="257"/>
      <c r="Q36" s="13"/>
      <c r="R36" s="13"/>
      <c r="S36" s="13"/>
      <c r="T36" s="13"/>
      <c r="U36" s="13"/>
      <c r="V36" s="13"/>
      <c r="W36" s="13"/>
    </row>
    <row r="37">
      <c r="A37" s="13"/>
      <c r="B37" s="287" t="s">
        <v>137</v>
      </c>
      <c r="D37" s="288">
        <f>sum(D40:D46)</f>
        <v>85</v>
      </c>
      <c r="E37" s="289"/>
      <c r="F37" s="286"/>
      <c r="G37" s="13"/>
      <c r="H37" s="13"/>
      <c r="I37" s="13"/>
      <c r="J37" s="13"/>
      <c r="K37" s="13"/>
      <c r="L37" s="13"/>
      <c r="M37" s="13"/>
      <c r="N37" s="13"/>
      <c r="O37" s="257"/>
      <c r="P37" s="257"/>
      <c r="Q37" s="13"/>
      <c r="R37" s="13"/>
      <c r="S37" s="13"/>
      <c r="T37" s="13"/>
      <c r="U37" s="13"/>
      <c r="V37" s="13"/>
      <c r="W37" s="13"/>
    </row>
    <row r="38">
      <c r="A38" s="13"/>
      <c r="B38" s="11" t="s">
        <v>138</v>
      </c>
      <c r="C38" s="47"/>
      <c r="D38" s="47"/>
      <c r="E38" s="47"/>
      <c r="F38" s="290"/>
      <c r="G38" s="255"/>
      <c r="H38" s="255"/>
      <c r="I38" s="255"/>
      <c r="J38" s="13"/>
      <c r="K38" s="13"/>
      <c r="L38" s="13"/>
      <c r="M38" s="13"/>
      <c r="N38" s="13"/>
      <c r="O38" s="257"/>
      <c r="P38" s="257"/>
      <c r="Q38" s="13"/>
      <c r="R38" s="13"/>
      <c r="S38" s="13"/>
      <c r="T38" s="13"/>
      <c r="U38" s="13"/>
      <c r="V38" s="13"/>
      <c r="W38" s="13"/>
    </row>
    <row r="39">
      <c r="A39" s="13"/>
      <c r="B39" s="291" t="s">
        <v>139</v>
      </c>
      <c r="C39" s="292" t="s">
        <v>140</v>
      </c>
      <c r="D39" s="292" t="s">
        <v>141</v>
      </c>
      <c r="E39" s="292" t="s">
        <v>142</v>
      </c>
      <c r="F39" s="293"/>
      <c r="G39" s="294"/>
      <c r="H39" s="294"/>
      <c r="I39" s="294"/>
      <c r="J39" s="13"/>
      <c r="K39" s="295"/>
      <c r="M39" s="257"/>
      <c r="N39" s="13"/>
      <c r="O39" s="257"/>
      <c r="P39" s="257"/>
      <c r="Q39" s="13"/>
      <c r="R39" s="13"/>
      <c r="S39" s="13"/>
      <c r="T39" s="13"/>
      <c r="U39" s="13"/>
      <c r="V39" s="13"/>
      <c r="W39" s="13"/>
    </row>
    <row r="40">
      <c r="A40" s="296"/>
      <c r="B40" s="297" t="s">
        <v>143</v>
      </c>
      <c r="C40" s="298">
        <v>763.71</v>
      </c>
      <c r="D40" s="299">
        <v>14.0</v>
      </c>
      <c r="E40" s="300">
        <f t="shared" ref="E40:E46" si="1">C40/D40</f>
        <v>54.55071429</v>
      </c>
      <c r="F40" s="301"/>
      <c r="G40" s="302"/>
      <c r="H40" s="299"/>
      <c r="I40" s="302"/>
      <c r="J40" s="255"/>
      <c r="K40" s="255"/>
      <c r="L40" s="255"/>
      <c r="M40" s="255"/>
      <c r="N40" s="13"/>
      <c r="O40" s="257"/>
      <c r="P40" s="257"/>
      <c r="Q40" s="13"/>
      <c r="R40" s="13"/>
      <c r="S40" s="13"/>
      <c r="T40" s="13"/>
      <c r="U40" s="13"/>
      <c r="V40" s="13"/>
      <c r="W40" s="13"/>
    </row>
    <row r="41">
      <c r="A41" s="296"/>
      <c r="B41" s="297" t="s">
        <v>144</v>
      </c>
      <c r="C41" s="298">
        <v>2806.0</v>
      </c>
      <c r="D41" s="299">
        <v>17.0</v>
      </c>
      <c r="E41" s="300">
        <f t="shared" si="1"/>
        <v>165.0588235</v>
      </c>
      <c r="F41" s="301"/>
      <c r="G41" s="302"/>
      <c r="H41" s="299"/>
      <c r="I41" s="302"/>
      <c r="J41" s="294"/>
      <c r="K41" s="294"/>
      <c r="L41" s="294"/>
      <c r="M41" s="13"/>
      <c r="N41" s="257"/>
      <c r="O41" s="257"/>
      <c r="P41" s="13"/>
      <c r="Q41" s="13"/>
      <c r="R41" s="13"/>
      <c r="S41" s="13"/>
      <c r="T41" s="13"/>
      <c r="U41" s="13"/>
      <c r="V41" s="13"/>
    </row>
    <row r="42">
      <c r="A42" s="296"/>
      <c r="B42" s="297" t="s">
        <v>145</v>
      </c>
      <c r="C42" s="298">
        <v>1133.5</v>
      </c>
      <c r="D42" s="299">
        <v>12.0</v>
      </c>
      <c r="E42" s="300">
        <f t="shared" si="1"/>
        <v>94.45833333</v>
      </c>
      <c r="F42" s="301"/>
      <c r="G42" s="302"/>
      <c r="H42" s="299"/>
      <c r="I42" s="302"/>
      <c r="J42" s="285"/>
      <c r="K42" s="303"/>
      <c r="L42" s="304"/>
      <c r="M42" s="13"/>
      <c r="N42" s="257"/>
      <c r="O42" s="257"/>
      <c r="P42" s="13"/>
      <c r="Q42" s="13"/>
      <c r="R42" s="13"/>
      <c r="S42" s="13"/>
      <c r="T42" s="13"/>
      <c r="U42" s="13"/>
      <c r="V42" s="13"/>
    </row>
    <row r="43">
      <c r="A43" s="296"/>
      <c r="B43" s="297" t="s">
        <v>146</v>
      </c>
      <c r="C43" s="298">
        <v>1038.65</v>
      </c>
      <c r="D43" s="299">
        <v>22.0</v>
      </c>
      <c r="E43" s="300">
        <f t="shared" si="1"/>
        <v>47.21136364</v>
      </c>
      <c r="F43" s="301"/>
      <c r="G43" s="302"/>
      <c r="H43" s="299"/>
      <c r="I43" s="302"/>
      <c r="J43" s="285"/>
      <c r="K43" s="303"/>
      <c r="L43" s="304"/>
      <c r="M43" s="13"/>
      <c r="N43" s="257"/>
      <c r="O43" s="257"/>
      <c r="P43" s="13"/>
      <c r="Q43" s="13"/>
      <c r="R43" s="13"/>
      <c r="S43" s="13"/>
      <c r="T43" s="13"/>
      <c r="U43" s="13"/>
      <c r="V43" s="13"/>
    </row>
    <row r="44">
      <c r="A44" s="296"/>
      <c r="B44" s="297" t="s">
        <v>147</v>
      </c>
      <c r="C44" s="298">
        <v>232.0</v>
      </c>
      <c r="D44" s="299">
        <v>2.0</v>
      </c>
      <c r="E44" s="300">
        <f t="shared" si="1"/>
        <v>116</v>
      </c>
      <c r="F44" s="301"/>
      <c r="G44" s="302"/>
      <c r="H44" s="299"/>
      <c r="I44" s="302"/>
      <c r="J44" s="285"/>
      <c r="K44" s="303"/>
      <c r="L44" s="304"/>
      <c r="M44" s="13"/>
      <c r="N44" s="257"/>
      <c r="O44" s="257"/>
      <c r="P44" s="13"/>
      <c r="Q44" s="13"/>
      <c r="R44" s="13"/>
      <c r="S44" s="13"/>
      <c r="T44" s="13"/>
      <c r="U44" s="13"/>
      <c r="V44" s="13"/>
    </row>
    <row r="45">
      <c r="A45" s="305"/>
      <c r="B45" s="297" t="s">
        <v>148</v>
      </c>
      <c r="C45" s="298">
        <v>1922.0</v>
      </c>
      <c r="D45" s="299">
        <v>17.0</v>
      </c>
      <c r="E45" s="300">
        <f t="shared" si="1"/>
        <v>113.0588235</v>
      </c>
      <c r="F45" s="301"/>
      <c r="G45" s="302"/>
      <c r="H45" s="299"/>
      <c r="I45" s="302"/>
      <c r="J45" s="285"/>
      <c r="K45" s="303"/>
      <c r="L45" s="304"/>
      <c r="M45" s="13"/>
      <c r="N45" s="257"/>
      <c r="O45" s="257"/>
      <c r="P45" s="13"/>
      <c r="Q45" s="13"/>
      <c r="R45" s="13"/>
      <c r="S45" s="13"/>
      <c r="T45" s="13"/>
      <c r="U45" s="13"/>
      <c r="V45" s="13"/>
    </row>
    <row r="46">
      <c r="A46" s="296"/>
      <c r="B46" s="297" t="s">
        <v>149</v>
      </c>
      <c r="C46" s="298">
        <v>124.0</v>
      </c>
      <c r="D46" s="299">
        <v>1.0</v>
      </c>
      <c r="E46" s="300">
        <f t="shared" si="1"/>
        <v>124</v>
      </c>
      <c r="F46" s="301"/>
      <c r="G46" s="302"/>
      <c r="H46" s="299"/>
      <c r="I46" s="302"/>
      <c r="J46" s="285"/>
      <c r="K46" s="303"/>
      <c r="L46" s="304"/>
      <c r="M46" s="13"/>
      <c r="N46" s="257"/>
      <c r="O46" s="257"/>
      <c r="P46" s="13"/>
      <c r="Q46" s="13"/>
      <c r="R46" s="13"/>
      <c r="S46" s="13"/>
      <c r="T46" s="13"/>
      <c r="U46" s="13"/>
      <c r="V46" s="13"/>
    </row>
    <row r="47">
      <c r="A47" s="296"/>
      <c r="B47" s="306"/>
      <c r="C47" s="307"/>
      <c r="D47" s="308"/>
      <c r="E47" s="309"/>
      <c r="F47" s="257"/>
      <c r="G47" s="310"/>
      <c r="H47" s="302"/>
      <c r="I47" s="299"/>
      <c r="J47" s="285"/>
      <c r="K47" s="303"/>
      <c r="L47" s="304"/>
      <c r="M47" s="13"/>
      <c r="N47" s="257"/>
      <c r="O47" s="257"/>
      <c r="P47" s="13"/>
      <c r="Q47" s="13"/>
      <c r="R47" s="13"/>
      <c r="S47" s="13"/>
      <c r="T47" s="13"/>
      <c r="U47" s="13"/>
      <c r="V47" s="13"/>
    </row>
    <row r="48">
      <c r="A48" s="296"/>
      <c r="B48" s="257"/>
      <c r="C48" s="311"/>
      <c r="D48" s="312"/>
      <c r="E48" s="289"/>
      <c r="F48" s="257"/>
      <c r="G48" s="310"/>
      <c r="H48" s="302"/>
      <c r="I48" s="299"/>
      <c r="J48" s="285"/>
      <c r="K48" s="303"/>
      <c r="L48" s="304"/>
      <c r="M48" s="13"/>
      <c r="N48" s="257"/>
      <c r="O48" s="257"/>
      <c r="P48" s="13"/>
      <c r="Q48" s="13"/>
      <c r="R48" s="13"/>
      <c r="S48" s="13"/>
      <c r="T48" s="13"/>
      <c r="U48" s="13"/>
      <c r="V48" s="13"/>
    </row>
    <row r="49">
      <c r="A49" s="296"/>
      <c r="B49" s="257"/>
      <c r="C49" s="311"/>
      <c r="D49" s="312"/>
      <c r="E49" s="289"/>
      <c r="F49" s="257"/>
      <c r="G49" s="310"/>
      <c r="H49" s="302"/>
      <c r="I49" s="299"/>
      <c r="J49" s="302"/>
      <c r="K49" s="285"/>
      <c r="L49" s="30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>
      <c r="A50" s="296"/>
      <c r="B50" s="257"/>
      <c r="C50" s="311"/>
      <c r="D50" s="312"/>
      <c r="E50" s="289"/>
      <c r="F50" s="257"/>
      <c r="G50" s="310"/>
      <c r="H50" s="302"/>
      <c r="I50" s="299"/>
      <c r="J50" s="302"/>
      <c r="K50" s="285"/>
      <c r="L50" s="303"/>
      <c r="M50" s="304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296"/>
      <c r="B51" s="257"/>
      <c r="C51" s="311"/>
      <c r="D51" s="312"/>
      <c r="E51" s="289"/>
      <c r="F51" s="257"/>
      <c r="G51" s="310"/>
      <c r="H51" s="299"/>
      <c r="I51" s="299"/>
      <c r="J51" s="302"/>
      <c r="K51" s="285"/>
      <c r="L51" s="303"/>
      <c r="M51" s="304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296"/>
      <c r="B52" s="257"/>
      <c r="C52" s="313"/>
      <c r="D52" s="299"/>
      <c r="E52" s="289"/>
      <c r="F52" s="257"/>
      <c r="G52" s="299"/>
      <c r="H52" s="299"/>
      <c r="I52" s="299"/>
      <c r="J52" s="302"/>
      <c r="K52" s="285"/>
      <c r="L52" s="303"/>
      <c r="M52" s="304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13"/>
      <c r="B53" s="13"/>
      <c r="C53" s="13"/>
      <c r="D53" s="13"/>
      <c r="E53" s="286"/>
      <c r="F53" s="13"/>
      <c r="G53" s="13"/>
      <c r="H53" s="13"/>
      <c r="I53" s="13"/>
      <c r="J53" s="302"/>
      <c r="K53" s="285"/>
      <c r="L53" s="303"/>
      <c r="M53" s="304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7"/>
      <c r="B54" s="13"/>
      <c r="C54" s="13"/>
      <c r="D54" s="13"/>
      <c r="E54" s="286"/>
      <c r="F54" s="13"/>
      <c r="G54" s="13"/>
      <c r="H54" s="13"/>
      <c r="I54" s="13"/>
      <c r="J54" s="302"/>
      <c r="K54" s="285"/>
      <c r="L54" s="303"/>
      <c r="M54" s="304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3"/>
      <c r="B55" s="13"/>
      <c r="C55" s="13"/>
      <c r="D55" s="13"/>
      <c r="E55" s="286"/>
      <c r="F55" s="13"/>
      <c r="G55" s="13"/>
      <c r="H55" s="13"/>
      <c r="I55" s="13"/>
      <c r="J55" s="314"/>
      <c r="K55" s="315"/>
      <c r="L55" s="17"/>
      <c r="M55" s="28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6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3"/>
      <c r="B57" s="13"/>
      <c r="C57" s="13"/>
      <c r="D57" s="13"/>
      <c r="E57" s="286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6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6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6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6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6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6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</sheetData>
  <mergeCells count="11">
    <mergeCell ref="B15:C15"/>
    <mergeCell ref="B37:C37"/>
    <mergeCell ref="B38:E38"/>
    <mergeCell ref="K39:L39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sheetData>
    <row r="1">
      <c r="A1" s="255"/>
      <c r="B1" s="13"/>
      <c r="C1" s="7" t="s">
        <v>150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5"/>
      <c r="B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>
      <c r="A3" s="256" t="s">
        <v>118</v>
      </c>
      <c r="B3" s="13"/>
      <c r="C3" s="13"/>
      <c r="D3" s="13"/>
      <c r="E3" s="13"/>
      <c r="F3" s="13"/>
      <c r="G3" s="13"/>
      <c r="H3" s="13"/>
      <c r="I3" s="13"/>
      <c r="J3" s="257" t="s">
        <v>119</v>
      </c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13"/>
      <c r="V3" s="13"/>
      <c r="W3" s="13"/>
    </row>
    <row r="4">
      <c r="A4" s="258">
        <v>10.0</v>
      </c>
      <c r="B4" s="17"/>
      <c r="C4" s="259"/>
      <c r="D4" s="13"/>
      <c r="E4" s="13"/>
      <c r="F4" s="13"/>
      <c r="G4" s="13"/>
      <c r="H4" s="13"/>
      <c r="I4" s="1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13"/>
      <c r="V4" s="13"/>
      <c r="W4" s="13"/>
    </row>
    <row r="5">
      <c r="A5" s="17"/>
      <c r="B5" s="316" t="s">
        <v>151</v>
      </c>
      <c r="C5" s="12"/>
      <c r="D5" s="13"/>
      <c r="E5" s="316" t="s">
        <v>152</v>
      </c>
      <c r="F5" s="12"/>
      <c r="G5" s="13"/>
      <c r="H5" s="316" t="s">
        <v>153</v>
      </c>
      <c r="I5" s="12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5"/>
      <c r="W5" s="13"/>
    </row>
    <row r="6">
      <c r="A6" s="257"/>
      <c r="B6" s="15" t="s">
        <v>24</v>
      </c>
      <c r="C6" s="16">
        <f>IFERROR(__xludf.DUMMYFUNCTION("SUM(IMPORTRANGE(""1CwrjPhJINZWO4jEU_saNz0V1dzS-UwSgU5fMaUfZ7VY"",""'F24'!N2:N282""))"),11781.0)</f>
        <v>11781</v>
      </c>
      <c r="D6" s="17"/>
      <c r="E6" s="18" t="s">
        <v>24</v>
      </c>
      <c r="F6" s="19">
        <f>IFERROR(__xludf.DUMMYFUNCTION("SUM(IMPORTRANGE(""1CwrjPhJINZWO4jEU_saNz0V1dzS-UwSgU5fMaUfZ7VY"",""'F24'!O2:O282""))"),14605.0)</f>
        <v>14605</v>
      </c>
      <c r="G6" s="13"/>
      <c r="H6" s="20" t="s">
        <v>24</v>
      </c>
      <c r="I6" s="21">
        <f>IFERROR(__xludf.DUMMYFUNCTION("SUM(IMPORTRANGE(""1CwrjPhJINZWO4jEU_saNz0V1dzS-UwSgU5fMaUfZ7VY"",""'F24'!P2:P282""))"),26386.0)</f>
        <v>26386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60"/>
      <c r="V6" s="261"/>
      <c r="W6" s="13"/>
    </row>
    <row r="7">
      <c r="A7" s="257"/>
      <c r="B7" s="15" t="s">
        <v>124</v>
      </c>
      <c r="C7" s="317">
        <f>IFERROR(__xludf.DUMMYFUNCTION("AVERAGE(IMPORTRANGE(""1CwrjPhJINZWO4jEU_saNz0V1dzS-UwSgU5fMaUfZ7VY"",""'F24'!N2:N282""))"),199.67796610169492)</f>
        <v>199.6779661</v>
      </c>
      <c r="D7" s="17"/>
      <c r="E7" s="23" t="s">
        <v>124</v>
      </c>
      <c r="F7" s="318">
        <f>IFERROR(__xludf.DUMMYFUNCTION("AVERAGE(IMPORTRANGE(""1CwrjPhJINZWO4jEU_saNz0V1dzS-UwSgU5fMaUfZ7VY"",""'F24'!O2:O282""))"),231.82539682539684)</f>
        <v>231.8253968</v>
      </c>
      <c r="G7" s="13"/>
      <c r="H7" s="25" t="s">
        <v>124</v>
      </c>
      <c r="I7" s="262">
        <f>IFERROR(__xludf.DUMMYFUNCTION("average(IMPORTRANGE(""1CwrjPhJINZWO4jEU_saNz0V1dzS-UwSgU5fMaUfZ7VY"",""'F24'!P2:P282""))"),412.28125)</f>
        <v>412.28125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63"/>
      <c r="V7" s="28"/>
      <c r="W7" s="13"/>
    </row>
    <row r="8">
      <c r="A8" s="257"/>
      <c r="B8" s="15" t="s">
        <v>30</v>
      </c>
      <c r="C8" s="27" t="s">
        <v>123</v>
      </c>
      <c r="D8" s="28"/>
      <c r="E8" s="23" t="s">
        <v>30</v>
      </c>
      <c r="F8" s="29" t="s">
        <v>123</v>
      </c>
      <c r="G8" s="28"/>
      <c r="H8" s="25" t="s">
        <v>30</v>
      </c>
      <c r="I8" s="30" t="s">
        <v>123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13"/>
      <c r="V8" s="13"/>
      <c r="W8" s="13"/>
    </row>
    <row r="9">
      <c r="A9" s="257"/>
      <c r="B9" s="15" t="s">
        <v>32</v>
      </c>
      <c r="C9" s="27" t="s">
        <v>123</v>
      </c>
      <c r="D9" s="28"/>
      <c r="E9" s="23" t="s">
        <v>32</v>
      </c>
      <c r="F9" s="29" t="s">
        <v>123</v>
      </c>
      <c r="G9" s="28"/>
      <c r="H9" s="25" t="s">
        <v>32</v>
      </c>
      <c r="I9" s="30" t="s">
        <v>123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13"/>
      <c r="V9" s="13"/>
      <c r="W9" s="13"/>
    </row>
    <row r="10">
      <c r="A10" s="257"/>
      <c r="B10" s="15" t="s">
        <v>34</v>
      </c>
      <c r="C10" s="27" t="s">
        <v>123</v>
      </c>
      <c r="D10" s="17"/>
      <c r="E10" s="23" t="s">
        <v>34</v>
      </c>
      <c r="F10" s="29" t="s">
        <v>123</v>
      </c>
      <c r="G10" s="13"/>
      <c r="H10" s="25" t="s">
        <v>34</v>
      </c>
      <c r="I10" s="30" t="s">
        <v>123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13"/>
      <c r="V10" s="13"/>
      <c r="W10" s="13"/>
    </row>
    <row r="11">
      <c r="A11" s="257"/>
      <c r="B11" s="15" t="s">
        <v>36</v>
      </c>
      <c r="C11" s="27" t="s">
        <v>123</v>
      </c>
      <c r="D11" s="17"/>
      <c r="E11" s="23" t="s">
        <v>36</v>
      </c>
      <c r="F11" s="29" t="s">
        <v>123</v>
      </c>
      <c r="G11" s="13"/>
      <c r="H11" s="25" t="s">
        <v>36</v>
      </c>
      <c r="I11" s="30" t="s">
        <v>123</v>
      </c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13"/>
      <c r="V11" s="13"/>
      <c r="W11" s="13"/>
    </row>
    <row r="12">
      <c r="A12" s="268"/>
      <c r="B12" s="37" t="s">
        <v>38</v>
      </c>
      <c r="C12" s="38">
        <f>(C6*'Impact Calculations'!G5)*2000</f>
        <v>7487.17893</v>
      </c>
      <c r="E12" s="39" t="s">
        <v>38</v>
      </c>
      <c r="F12" s="40">
        <f>(F6*'Impact Calculations'!G5)*2000</f>
        <v>9281.91565</v>
      </c>
      <c r="H12" s="41" t="s">
        <v>38</v>
      </c>
      <c r="I12" s="42">
        <f>(I6*'Impact Calculations'!G5)*2000</f>
        <v>16769.09458</v>
      </c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13"/>
      <c r="V12" s="13"/>
      <c r="W12" s="13"/>
    </row>
    <row r="13">
      <c r="A13" s="13"/>
      <c r="B13" s="269"/>
      <c r="C13" s="270"/>
      <c r="D13" s="17"/>
      <c r="E13" s="269"/>
      <c r="F13" s="270"/>
      <c r="G13" s="13"/>
      <c r="H13" s="269"/>
      <c r="I13" s="270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13"/>
      <c r="V14" s="13"/>
      <c r="W14" s="13"/>
    </row>
    <row r="15">
      <c r="A15" s="13"/>
      <c r="B15" s="271" t="s">
        <v>154</v>
      </c>
      <c r="C15" s="272"/>
      <c r="D15" s="13"/>
      <c r="E15" s="271" t="s">
        <v>155</v>
      </c>
      <c r="F15" s="272"/>
      <c r="G15" s="13"/>
      <c r="H15" s="271" t="s">
        <v>156</v>
      </c>
      <c r="I15" s="272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13"/>
      <c r="V15" s="13"/>
      <c r="W15" s="13"/>
    </row>
    <row r="16">
      <c r="A16" s="13"/>
      <c r="B16" s="273" t="s">
        <v>128</v>
      </c>
      <c r="C16" s="274" t="s">
        <v>129</v>
      </c>
      <c r="D16" s="257"/>
      <c r="E16" s="275" t="s">
        <v>130</v>
      </c>
      <c r="F16" s="276" t="s">
        <v>129</v>
      </c>
      <c r="G16" s="13"/>
      <c r="H16" s="277" t="s">
        <v>131</v>
      </c>
      <c r="I16" s="278" t="s">
        <v>129</v>
      </c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13"/>
      <c r="V16" s="13"/>
      <c r="W16" s="13"/>
    </row>
    <row r="17">
      <c r="A17" s="13"/>
      <c r="B17" s="279" t="s">
        <v>132</v>
      </c>
      <c r="C17" s="319">
        <v>188.2142857</v>
      </c>
      <c r="D17" s="257"/>
      <c r="E17" s="279" t="s">
        <v>132</v>
      </c>
      <c r="F17" s="320">
        <v>185.6428571</v>
      </c>
      <c r="G17" s="264"/>
      <c r="H17" s="279" t="s">
        <v>132</v>
      </c>
      <c r="I17" s="280">
        <v>340.5238095</v>
      </c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13"/>
      <c r="V17" s="13"/>
      <c r="W17" s="13"/>
    </row>
    <row r="18">
      <c r="A18" s="13"/>
      <c r="B18" s="279" t="s">
        <v>133</v>
      </c>
      <c r="C18" s="319">
        <v>129.5</v>
      </c>
      <c r="D18" s="257"/>
      <c r="E18" s="279" t="s">
        <v>133</v>
      </c>
      <c r="F18" s="320">
        <v>263.8</v>
      </c>
      <c r="G18" s="264"/>
      <c r="H18" s="279" t="s">
        <v>133</v>
      </c>
      <c r="I18" s="280">
        <v>339.8666667</v>
      </c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13"/>
      <c r="V18" s="13"/>
      <c r="W18" s="13"/>
    </row>
    <row r="19">
      <c r="A19" s="13"/>
      <c r="B19" s="279" t="s">
        <v>134</v>
      </c>
      <c r="C19" s="319">
        <v>266.9230769</v>
      </c>
      <c r="D19" s="257"/>
      <c r="E19" s="279" t="s">
        <v>134</v>
      </c>
      <c r="F19" s="320">
        <v>244.1538462</v>
      </c>
      <c r="G19" s="264"/>
      <c r="H19" s="279" t="s">
        <v>134</v>
      </c>
      <c r="I19" s="280">
        <v>495.8461538</v>
      </c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13"/>
      <c r="V19" s="13"/>
      <c r="W19" s="13"/>
    </row>
    <row r="20">
      <c r="A20" s="13"/>
      <c r="B20" s="279" t="s">
        <v>135</v>
      </c>
      <c r="C20" s="319">
        <v>138.3076923</v>
      </c>
      <c r="D20" s="257"/>
      <c r="E20" s="279" t="s">
        <v>135</v>
      </c>
      <c r="F20" s="320">
        <v>321.8125</v>
      </c>
      <c r="G20" s="264"/>
      <c r="H20" s="279" t="s">
        <v>135</v>
      </c>
      <c r="I20" s="280">
        <v>377.9</v>
      </c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13"/>
      <c r="V20" s="13"/>
      <c r="W20" s="13"/>
    </row>
    <row r="21">
      <c r="A21" s="13"/>
      <c r="B21" s="279" t="s">
        <v>136</v>
      </c>
      <c r="C21" s="321">
        <v>249.2307692</v>
      </c>
      <c r="D21" s="322"/>
      <c r="E21" s="279" t="s">
        <v>136</v>
      </c>
      <c r="F21" s="323">
        <v>138.0833333</v>
      </c>
      <c r="G21" s="324"/>
      <c r="H21" s="279" t="s">
        <v>136</v>
      </c>
      <c r="I21" s="280">
        <v>340.6</v>
      </c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13"/>
      <c r="V21" s="13"/>
      <c r="W21" s="13"/>
    </row>
    <row r="22">
      <c r="A22" s="13"/>
      <c r="B22" s="281"/>
      <c r="C22" s="281"/>
      <c r="D22" s="282"/>
      <c r="E22" s="281"/>
      <c r="F22" s="281"/>
      <c r="G22" s="13"/>
      <c r="H22" s="281"/>
      <c r="I22" s="281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13"/>
      <c r="V22" s="13"/>
      <c r="W22" s="13"/>
    </row>
    <row r="23">
      <c r="A23" s="13"/>
      <c r="B23" s="283"/>
      <c r="C23" s="284"/>
      <c r="D23" s="13"/>
      <c r="E23" s="283"/>
      <c r="F23" s="284"/>
      <c r="G23" s="264"/>
      <c r="H23" s="283"/>
      <c r="I23" s="284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13"/>
      <c r="V23" s="13"/>
      <c r="W23" s="13"/>
    </row>
    <row r="24">
      <c r="A24" s="13"/>
      <c r="B24" s="283"/>
      <c r="C24" s="284"/>
      <c r="D24" s="17"/>
      <c r="E24" s="283"/>
      <c r="F24" s="284"/>
      <c r="G24" s="264"/>
      <c r="H24" s="283"/>
      <c r="I24" s="284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13"/>
      <c r="V24" s="13"/>
      <c r="W24" s="13"/>
    </row>
    <row r="25">
      <c r="A25" s="13"/>
      <c r="B25" s="283"/>
      <c r="C25" s="284"/>
      <c r="D25" s="17"/>
      <c r="E25" s="283"/>
      <c r="F25" s="284"/>
      <c r="G25" s="264"/>
      <c r="H25" s="283"/>
      <c r="I25" s="284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13"/>
      <c r="V25" s="13"/>
      <c r="W25" s="13"/>
    </row>
    <row r="26">
      <c r="A26" s="13"/>
      <c r="B26" s="283"/>
      <c r="C26" s="284"/>
      <c r="D26" s="17"/>
      <c r="E26" s="283"/>
      <c r="F26" s="284"/>
      <c r="G26" s="264"/>
      <c r="H26" s="283"/>
      <c r="I26" s="284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13"/>
      <c r="V26" s="13"/>
      <c r="W26" s="13"/>
    </row>
    <row r="27">
      <c r="A27" s="13"/>
      <c r="B27" s="283"/>
      <c r="C27" s="284"/>
      <c r="D27" s="17"/>
      <c r="E27" s="283"/>
      <c r="F27" s="284"/>
      <c r="G27" s="264"/>
      <c r="H27" s="283"/>
      <c r="I27" s="284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13"/>
      <c r="V27" s="13"/>
      <c r="W27" s="13"/>
    </row>
    <row r="28">
      <c r="A28" s="13"/>
      <c r="B28" s="283"/>
      <c r="C28" s="283"/>
      <c r="D28" s="17"/>
      <c r="E28" s="283"/>
      <c r="F28" s="283"/>
      <c r="G28" s="13"/>
      <c r="H28" s="283"/>
      <c r="I28" s="283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13"/>
      <c r="V28" s="13"/>
      <c r="W28" s="13"/>
    </row>
    <row r="29">
      <c r="A29" s="13"/>
      <c r="B29" s="283"/>
      <c r="C29" s="285"/>
      <c r="D29" s="17"/>
      <c r="E29" s="283"/>
      <c r="F29" s="285"/>
      <c r="G29" s="13"/>
      <c r="H29" s="283"/>
      <c r="I29" s="285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13"/>
      <c r="V29" s="13"/>
      <c r="W29" s="13"/>
    </row>
    <row r="30">
      <c r="A30" s="13"/>
      <c r="B30" s="283"/>
      <c r="C30" s="285"/>
      <c r="D30" s="17"/>
      <c r="E30" s="283"/>
      <c r="F30" s="285"/>
      <c r="G30" s="13"/>
      <c r="H30" s="283"/>
      <c r="I30" s="285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13"/>
      <c r="V30" s="13"/>
      <c r="W30" s="13"/>
    </row>
    <row r="31">
      <c r="A31" s="13"/>
      <c r="B31" s="283"/>
      <c r="C31" s="285"/>
      <c r="D31" s="17"/>
      <c r="E31" s="283"/>
      <c r="F31" s="285"/>
      <c r="G31" s="13"/>
      <c r="H31" s="283"/>
      <c r="I31" s="285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13"/>
      <c r="V31" s="13"/>
      <c r="W31" s="13"/>
    </row>
    <row r="32">
      <c r="A32" s="13"/>
      <c r="B32" s="283"/>
      <c r="C32" s="285"/>
      <c r="D32" s="17"/>
      <c r="E32" s="283"/>
      <c r="F32" s="285"/>
      <c r="G32" s="13"/>
      <c r="H32" s="283"/>
      <c r="I32" s="285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13"/>
      <c r="V32" s="13"/>
      <c r="W32" s="13"/>
    </row>
    <row r="33">
      <c r="A33" s="13"/>
      <c r="B33" s="283"/>
      <c r="C33" s="285"/>
      <c r="D33" s="17"/>
      <c r="E33" s="283"/>
      <c r="F33" s="285"/>
      <c r="G33" s="13"/>
      <c r="H33" s="283"/>
      <c r="I33" s="285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13"/>
      <c r="V33" s="13"/>
      <c r="W33" s="13"/>
    </row>
    <row r="34">
      <c r="A34" s="13"/>
      <c r="B34" s="257"/>
      <c r="C34" s="285"/>
      <c r="D34" s="17"/>
      <c r="E34" s="257"/>
      <c r="F34" s="285"/>
      <c r="G34" s="13"/>
      <c r="H34" s="257"/>
      <c r="I34" s="285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13"/>
      <c r="V35" s="13"/>
      <c r="W35" s="13"/>
    </row>
    <row r="36">
      <c r="A36" s="13"/>
      <c r="B36" s="13"/>
      <c r="C36" s="13"/>
      <c r="D36" s="13"/>
      <c r="E36" s="13"/>
      <c r="F36" s="286"/>
      <c r="G36" s="13"/>
      <c r="H36" s="13"/>
      <c r="I36" s="1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13"/>
      <c r="V36" s="13"/>
      <c r="W36" s="13"/>
    </row>
    <row r="37">
      <c r="A37" s="13"/>
      <c r="B37" s="287" t="s">
        <v>137</v>
      </c>
      <c r="D37" s="288">
        <f>sum(D40:D49)</f>
        <v>277</v>
      </c>
      <c r="E37" s="289"/>
      <c r="F37" s="286"/>
      <c r="G37" s="13"/>
      <c r="H37" s="13"/>
      <c r="I37" s="13"/>
      <c r="J37" s="13"/>
      <c r="K37" s="13"/>
      <c r="L37" s="13"/>
      <c r="M37" s="13"/>
      <c r="N37" s="13"/>
      <c r="O37" s="257"/>
      <c r="P37" s="257"/>
      <c r="Q37" s="13"/>
      <c r="R37" s="13"/>
      <c r="S37" s="13"/>
      <c r="T37" s="13"/>
      <c r="U37" s="13"/>
      <c r="V37" s="13"/>
      <c r="W37" s="13"/>
    </row>
    <row r="38">
      <c r="A38" s="13"/>
      <c r="B38" s="11" t="s">
        <v>138</v>
      </c>
      <c r="C38" s="47"/>
      <c r="D38" s="47"/>
      <c r="E38" s="47"/>
      <c r="F38" s="290"/>
      <c r="G38" s="255"/>
      <c r="H38" s="255"/>
      <c r="I38" s="255"/>
      <c r="J38" s="13"/>
      <c r="K38" s="13"/>
      <c r="L38" s="13"/>
      <c r="M38" s="13"/>
      <c r="N38" s="13"/>
      <c r="O38" s="257"/>
      <c r="P38" s="257"/>
      <c r="Q38" s="13"/>
      <c r="R38" s="13"/>
      <c r="S38" s="13"/>
      <c r="T38" s="13"/>
      <c r="U38" s="13"/>
      <c r="V38" s="13"/>
      <c r="W38" s="13"/>
    </row>
    <row r="39">
      <c r="A39" s="13"/>
      <c r="B39" s="291" t="s">
        <v>139</v>
      </c>
      <c r="C39" s="292" t="s">
        <v>140</v>
      </c>
      <c r="D39" s="292" t="s">
        <v>141</v>
      </c>
      <c r="E39" s="292" t="s">
        <v>142</v>
      </c>
      <c r="F39" s="293"/>
      <c r="G39" s="294"/>
      <c r="H39" s="294"/>
      <c r="I39" s="294"/>
      <c r="J39" s="13"/>
      <c r="K39" s="295"/>
      <c r="M39" s="257"/>
      <c r="N39" s="13"/>
      <c r="O39" s="257"/>
      <c r="P39" s="257"/>
      <c r="Q39" s="13"/>
      <c r="R39" s="13"/>
      <c r="S39" s="13"/>
      <c r="T39" s="13"/>
      <c r="U39" s="13"/>
      <c r="V39" s="13"/>
      <c r="W39" s="13"/>
    </row>
    <row r="40">
      <c r="A40" s="296"/>
      <c r="B40" s="297" t="s">
        <v>145</v>
      </c>
      <c r="C40" s="298">
        <v>1742.0</v>
      </c>
      <c r="D40" s="299">
        <v>32.0</v>
      </c>
      <c r="E40" s="300">
        <v>54.438</v>
      </c>
      <c r="F40" s="301"/>
      <c r="G40" s="302"/>
      <c r="H40" s="299"/>
      <c r="I40" s="302"/>
      <c r="J40" s="255"/>
      <c r="K40" s="255"/>
      <c r="L40" s="255"/>
      <c r="M40" s="255"/>
      <c r="N40" s="13"/>
      <c r="O40" s="257"/>
      <c r="P40" s="257"/>
      <c r="Q40" s="13"/>
      <c r="R40" s="13"/>
      <c r="S40" s="13"/>
      <c r="T40" s="13"/>
      <c r="U40" s="13"/>
      <c r="V40" s="13"/>
      <c r="W40" s="13"/>
    </row>
    <row r="41">
      <c r="A41" s="296"/>
      <c r="B41" s="297" t="s">
        <v>144</v>
      </c>
      <c r="C41" s="298">
        <v>1432.0</v>
      </c>
      <c r="D41" s="299">
        <v>11.0</v>
      </c>
      <c r="E41" s="300">
        <v>130.182</v>
      </c>
      <c r="F41" s="301"/>
      <c r="G41" s="302"/>
      <c r="H41" s="299"/>
      <c r="I41" s="302"/>
      <c r="J41" s="294"/>
      <c r="K41" s="294"/>
      <c r="L41" s="294"/>
      <c r="M41" s="13"/>
      <c r="N41" s="257"/>
      <c r="O41" s="257"/>
      <c r="P41" s="257"/>
      <c r="Q41" s="13"/>
      <c r="R41" s="13"/>
      <c r="S41" s="13"/>
      <c r="T41" s="13"/>
      <c r="U41" s="13"/>
      <c r="V41" s="13"/>
      <c r="W41" s="13"/>
    </row>
    <row r="42">
      <c r="A42" s="296"/>
      <c r="B42" s="297" t="s">
        <v>157</v>
      </c>
      <c r="C42" s="298">
        <v>1474.0</v>
      </c>
      <c r="D42" s="299">
        <v>20.0</v>
      </c>
      <c r="E42" s="300">
        <v>73.7</v>
      </c>
      <c r="F42" s="301"/>
      <c r="G42" s="302"/>
      <c r="H42" s="299"/>
      <c r="I42" s="302"/>
      <c r="J42" s="294"/>
      <c r="K42" s="294"/>
      <c r="L42" s="294"/>
      <c r="M42" s="13"/>
      <c r="N42" s="257"/>
      <c r="O42" s="257"/>
      <c r="P42" s="257"/>
      <c r="Q42" s="13"/>
      <c r="R42" s="13"/>
      <c r="S42" s="13"/>
      <c r="T42" s="13"/>
      <c r="U42" s="13"/>
      <c r="V42" s="13"/>
      <c r="W42" s="13"/>
    </row>
    <row r="43">
      <c r="A43" s="296"/>
      <c r="B43" s="297" t="s">
        <v>158</v>
      </c>
      <c r="C43" s="300">
        <v>440.0</v>
      </c>
      <c r="D43" s="299">
        <v>9.0</v>
      </c>
      <c r="E43" s="300">
        <v>48.889</v>
      </c>
      <c r="F43" s="301"/>
      <c r="G43" s="302"/>
      <c r="H43" s="299"/>
      <c r="I43" s="302"/>
      <c r="J43" s="294"/>
      <c r="K43" s="294"/>
      <c r="L43" s="294"/>
      <c r="M43" s="13"/>
      <c r="N43" s="257"/>
      <c r="O43" s="257"/>
      <c r="P43" s="257"/>
      <c r="Q43" s="13"/>
      <c r="R43" s="13"/>
      <c r="S43" s="13"/>
      <c r="T43" s="13"/>
      <c r="U43" s="13"/>
      <c r="V43" s="13"/>
      <c r="W43" s="13"/>
    </row>
    <row r="44">
      <c r="A44" s="296"/>
      <c r="B44" s="297" t="s">
        <v>159</v>
      </c>
      <c r="C44" s="298">
        <v>990.0</v>
      </c>
      <c r="D44" s="299">
        <v>19.0</v>
      </c>
      <c r="E44" s="300">
        <v>52.105</v>
      </c>
      <c r="F44" s="301"/>
      <c r="G44" s="302"/>
      <c r="H44" s="299"/>
      <c r="I44" s="302"/>
      <c r="J44" s="294"/>
      <c r="K44" s="294"/>
      <c r="L44" s="294"/>
      <c r="M44" s="13"/>
      <c r="N44" s="257"/>
      <c r="O44" s="257"/>
      <c r="P44" s="257"/>
      <c r="Q44" s="13"/>
      <c r="R44" s="13"/>
      <c r="S44" s="13"/>
      <c r="T44" s="13"/>
      <c r="U44" s="13"/>
      <c r="V44" s="13"/>
      <c r="W44" s="13"/>
    </row>
    <row r="45">
      <c r="A45" s="296"/>
      <c r="B45" s="297" t="s">
        <v>143</v>
      </c>
      <c r="C45" s="298">
        <v>1584.0</v>
      </c>
      <c r="D45" s="299">
        <v>32.0</v>
      </c>
      <c r="E45" s="4">
        <v>49.5</v>
      </c>
      <c r="F45" s="301"/>
      <c r="G45" s="302"/>
      <c r="H45" s="299"/>
      <c r="I45" s="302"/>
      <c r="J45" s="285"/>
      <c r="K45" s="303"/>
      <c r="L45" s="304"/>
      <c r="M45" s="13"/>
      <c r="N45" s="257"/>
      <c r="O45" s="257"/>
      <c r="P45" s="257"/>
      <c r="Q45" s="13"/>
      <c r="R45" s="13"/>
      <c r="S45" s="13"/>
      <c r="T45" s="13"/>
      <c r="U45" s="13"/>
      <c r="V45" s="13"/>
      <c r="W45" s="13"/>
    </row>
    <row r="46">
      <c r="A46" s="296"/>
      <c r="B46" s="297" t="s">
        <v>160</v>
      </c>
      <c r="C46" s="298">
        <v>1481.0</v>
      </c>
      <c r="D46" s="299">
        <v>22.0</v>
      </c>
      <c r="E46" s="300">
        <v>67.318</v>
      </c>
      <c r="F46" s="301"/>
      <c r="G46" s="302"/>
      <c r="H46" s="299"/>
      <c r="I46" s="302"/>
      <c r="J46" s="285"/>
      <c r="K46" s="303"/>
      <c r="L46" s="304"/>
      <c r="M46" s="13"/>
      <c r="N46" s="257"/>
      <c r="O46" s="257"/>
      <c r="P46" s="257"/>
      <c r="Q46" s="13"/>
      <c r="R46" s="13"/>
      <c r="S46" s="13"/>
      <c r="T46" s="13"/>
      <c r="U46" s="13"/>
      <c r="V46" s="13"/>
      <c r="W46" s="13"/>
    </row>
    <row r="47">
      <c r="A47" s="296"/>
      <c r="B47" s="297" t="s">
        <v>149</v>
      </c>
      <c r="C47" s="298">
        <v>7855.0</v>
      </c>
      <c r="D47" s="299">
        <v>56.0</v>
      </c>
      <c r="E47" s="300">
        <v>140.268</v>
      </c>
      <c r="F47" s="301"/>
      <c r="G47" s="302"/>
      <c r="H47" s="299"/>
      <c r="I47" s="302"/>
      <c r="J47" s="285"/>
      <c r="K47" s="303"/>
      <c r="L47" s="304"/>
      <c r="M47" s="13"/>
      <c r="N47" s="257"/>
      <c r="O47" s="257"/>
      <c r="P47" s="257"/>
      <c r="Q47" s="13"/>
      <c r="R47" s="13"/>
      <c r="S47" s="13"/>
      <c r="T47" s="13"/>
      <c r="U47" s="13"/>
      <c r="V47" s="13"/>
      <c r="W47" s="13"/>
    </row>
    <row r="48">
      <c r="A48" s="305"/>
      <c r="B48" s="297" t="s">
        <v>161</v>
      </c>
      <c r="C48" s="298">
        <v>7101.0</v>
      </c>
      <c r="D48" s="299">
        <v>57.0</v>
      </c>
      <c r="E48" s="300">
        <v>124.579</v>
      </c>
      <c r="F48" s="301"/>
      <c r="G48" s="302"/>
      <c r="H48" s="299"/>
      <c r="I48" s="302"/>
      <c r="J48" s="285"/>
      <c r="K48" s="303"/>
      <c r="L48" s="304"/>
      <c r="M48" s="13"/>
      <c r="N48" s="257"/>
      <c r="O48" s="257"/>
      <c r="P48" s="257"/>
      <c r="Q48" s="13"/>
      <c r="R48" s="13"/>
      <c r="S48" s="13"/>
      <c r="T48" s="13"/>
      <c r="U48" s="13"/>
      <c r="V48" s="13"/>
      <c r="W48" s="13"/>
    </row>
    <row r="49">
      <c r="A49" s="296"/>
      <c r="B49" s="297" t="s">
        <v>162</v>
      </c>
      <c r="C49" s="298">
        <v>1711.0</v>
      </c>
      <c r="D49" s="299">
        <v>19.0</v>
      </c>
      <c r="E49" s="300">
        <v>90.053</v>
      </c>
      <c r="F49" s="301"/>
      <c r="G49" s="302"/>
      <c r="H49" s="299"/>
      <c r="I49" s="302"/>
      <c r="J49" s="285"/>
      <c r="K49" s="303"/>
      <c r="L49" s="304"/>
      <c r="M49" s="13"/>
      <c r="N49" s="257"/>
      <c r="O49" s="257"/>
      <c r="P49" s="257"/>
      <c r="Q49" s="13"/>
      <c r="R49" s="13"/>
      <c r="S49" s="13"/>
      <c r="T49" s="13"/>
      <c r="U49" s="13"/>
      <c r="V49" s="13"/>
      <c r="W49" s="13"/>
    </row>
    <row r="50">
      <c r="A50" s="296"/>
      <c r="B50" s="306"/>
      <c r="C50" s="307"/>
      <c r="D50" s="308"/>
      <c r="E50" s="309"/>
      <c r="F50" s="257"/>
      <c r="G50" s="310"/>
      <c r="H50" s="302"/>
      <c r="I50" s="299"/>
      <c r="J50" s="285"/>
      <c r="K50" s="303"/>
      <c r="L50" s="304"/>
      <c r="M50" s="13"/>
      <c r="N50" s="257"/>
      <c r="O50" s="257"/>
      <c r="P50" s="257"/>
      <c r="Q50" s="13"/>
      <c r="R50" s="13"/>
      <c r="S50" s="13"/>
      <c r="T50" s="13"/>
      <c r="U50" s="13"/>
      <c r="V50" s="13"/>
      <c r="W50" s="13"/>
    </row>
    <row r="51">
      <c r="A51" s="296"/>
      <c r="B51" s="257"/>
      <c r="C51" s="311"/>
      <c r="D51" s="312"/>
      <c r="E51" s="289"/>
      <c r="F51" s="257"/>
      <c r="G51" s="310"/>
      <c r="H51" s="302"/>
      <c r="I51" s="299"/>
      <c r="J51" s="285"/>
      <c r="K51" s="303"/>
      <c r="L51" s="304"/>
      <c r="M51" s="13"/>
      <c r="N51" s="257"/>
      <c r="O51" s="257"/>
      <c r="P51" s="257"/>
      <c r="Q51" s="13"/>
      <c r="R51" s="13"/>
      <c r="S51" s="13"/>
      <c r="T51" s="13"/>
      <c r="U51" s="13"/>
      <c r="V51" s="13"/>
      <c r="W51" s="13"/>
    </row>
    <row r="52">
      <c r="A52" s="296"/>
      <c r="B52" s="257"/>
      <c r="C52" s="311"/>
      <c r="D52" s="312"/>
      <c r="E52" s="289"/>
      <c r="F52" s="257"/>
      <c r="G52" s="310"/>
      <c r="H52" s="302"/>
      <c r="I52" s="299"/>
      <c r="J52" s="302"/>
      <c r="K52" s="285"/>
      <c r="L52" s="303"/>
      <c r="M52" s="13"/>
      <c r="N52" s="13"/>
      <c r="O52" s="13"/>
      <c r="P52" s="257"/>
      <c r="Q52" s="13"/>
      <c r="R52" s="13"/>
      <c r="S52" s="13"/>
      <c r="T52" s="13"/>
      <c r="U52" s="13"/>
      <c r="V52" s="13"/>
      <c r="W52" s="13"/>
    </row>
    <row r="53">
      <c r="A53" s="296"/>
      <c r="B53" s="257"/>
      <c r="C53" s="311"/>
      <c r="D53" s="312"/>
      <c r="E53" s="289"/>
      <c r="F53" s="257"/>
      <c r="G53" s="310"/>
      <c r="H53" s="302"/>
      <c r="I53" s="299"/>
      <c r="J53" s="302"/>
      <c r="K53" s="285"/>
      <c r="L53" s="303"/>
      <c r="M53" s="304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296"/>
      <c r="B54" s="257"/>
      <c r="C54" s="311"/>
      <c r="D54" s="312"/>
      <c r="E54" s="289"/>
      <c r="F54" s="257"/>
      <c r="G54" s="310"/>
      <c r="H54" s="299"/>
      <c r="I54" s="299"/>
      <c r="J54" s="302"/>
      <c r="K54" s="285"/>
      <c r="L54" s="303"/>
      <c r="M54" s="304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296"/>
      <c r="B55" s="257"/>
      <c r="C55" s="313"/>
      <c r="D55" s="299"/>
      <c r="E55" s="289"/>
      <c r="F55" s="257"/>
      <c r="G55" s="299"/>
      <c r="H55" s="299"/>
      <c r="I55" s="299"/>
      <c r="J55" s="302"/>
      <c r="K55" s="285"/>
      <c r="L55" s="303"/>
      <c r="M55" s="304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6"/>
      <c r="F56" s="13"/>
      <c r="G56" s="13"/>
      <c r="H56" s="13"/>
      <c r="I56" s="13"/>
      <c r="J56" s="302"/>
      <c r="K56" s="285"/>
      <c r="L56" s="303"/>
      <c r="M56" s="304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7"/>
      <c r="B57" s="13"/>
      <c r="C57" s="13"/>
      <c r="D57" s="13"/>
      <c r="E57" s="286"/>
      <c r="F57" s="13"/>
      <c r="G57" s="13"/>
      <c r="H57" s="13"/>
      <c r="I57" s="13"/>
      <c r="J57" s="302"/>
      <c r="K57" s="285"/>
      <c r="L57" s="303"/>
      <c r="M57" s="304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6"/>
      <c r="F58" s="13"/>
      <c r="G58" s="13"/>
      <c r="H58" s="13"/>
      <c r="I58" s="13"/>
      <c r="J58" s="314"/>
      <c r="K58" s="315"/>
      <c r="L58" s="17"/>
      <c r="M58" s="28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6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6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6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6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6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286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286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286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286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  <row r="1014"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</row>
    <row r="1015"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</row>
  </sheetData>
  <mergeCells count="11">
    <mergeCell ref="B15:C15"/>
    <mergeCell ref="B37:C37"/>
    <mergeCell ref="B38:E38"/>
    <mergeCell ref="K39:L39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sheetData>
    <row r="1">
      <c r="A1" s="255"/>
      <c r="B1" s="13"/>
      <c r="C1" s="7" t="s">
        <v>163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5"/>
      <c r="B2" s="13"/>
      <c r="J2" s="13"/>
      <c r="K2" s="257" t="s">
        <v>119</v>
      </c>
      <c r="L2" s="257"/>
      <c r="M2" s="257"/>
      <c r="N2" s="257"/>
      <c r="O2" s="257"/>
      <c r="P2" s="257"/>
      <c r="Q2" s="257"/>
      <c r="R2" s="257"/>
      <c r="S2" s="257"/>
      <c r="T2" s="13"/>
      <c r="U2" s="13"/>
      <c r="V2" s="13"/>
      <c r="W2" s="13"/>
    </row>
    <row r="3">
      <c r="A3" s="256" t="s">
        <v>118</v>
      </c>
      <c r="B3" s="13"/>
      <c r="C3" s="13"/>
      <c r="D3" s="13"/>
      <c r="E3" s="13"/>
      <c r="F3" s="13"/>
      <c r="G3" s="13"/>
      <c r="H3" s="13"/>
      <c r="I3" s="13"/>
      <c r="J3" s="13"/>
      <c r="K3" s="257"/>
      <c r="L3" s="257"/>
      <c r="M3" s="257"/>
      <c r="N3" s="257"/>
      <c r="O3" s="257"/>
      <c r="P3" s="257"/>
      <c r="Q3" s="257"/>
      <c r="R3" s="257"/>
      <c r="S3" s="257"/>
      <c r="T3" s="13"/>
      <c r="U3" s="13"/>
      <c r="V3" s="13"/>
      <c r="W3" s="13"/>
    </row>
    <row r="4">
      <c r="A4" s="258">
        <v>13.0</v>
      </c>
      <c r="B4" s="17"/>
      <c r="C4" s="259"/>
      <c r="D4" s="13"/>
      <c r="E4" s="13"/>
      <c r="F4" s="13"/>
      <c r="G4" s="13"/>
      <c r="H4" s="13"/>
      <c r="I4" s="13"/>
      <c r="J4" s="13"/>
      <c r="K4" s="257"/>
      <c r="L4" s="257"/>
      <c r="M4" s="257"/>
      <c r="N4" s="257"/>
      <c r="O4" s="257"/>
      <c r="P4" s="257"/>
      <c r="Q4" s="257"/>
      <c r="R4" s="257"/>
      <c r="S4" s="257"/>
      <c r="T4" s="13"/>
      <c r="U4" s="13"/>
      <c r="V4" s="13"/>
      <c r="W4" s="13"/>
    </row>
    <row r="5">
      <c r="A5" s="17"/>
      <c r="B5" s="11" t="s">
        <v>164</v>
      </c>
      <c r="C5" s="12"/>
      <c r="D5" s="13"/>
      <c r="E5" s="11" t="s">
        <v>165</v>
      </c>
      <c r="F5" s="12"/>
      <c r="G5" s="13"/>
      <c r="H5" s="11" t="s">
        <v>166</v>
      </c>
      <c r="I5" s="12"/>
      <c r="J5" s="13"/>
      <c r="K5" s="257"/>
      <c r="L5" s="257"/>
      <c r="M5" s="257"/>
      <c r="N5" s="257"/>
      <c r="O5" s="257"/>
      <c r="P5" s="257"/>
      <c r="Q5" s="257"/>
      <c r="R5" s="257"/>
      <c r="S5" s="257"/>
      <c r="T5" s="13"/>
      <c r="U5" s="255"/>
      <c r="W5" s="13"/>
    </row>
    <row r="6">
      <c r="A6" s="257"/>
      <c r="B6" s="15" t="s">
        <v>24</v>
      </c>
      <c r="C6" s="16">
        <f>IFERROR(__xludf.DUMMYFUNCTION("SUM(IMPORTRANGE(""1CwrjPhJINZWO4jEU_saNz0V1dzS-UwSgU5fMaUfZ7VY"",""'S25'!N2:N282""))"),14269.0)</f>
        <v>14269</v>
      </c>
      <c r="D6" s="17"/>
      <c r="E6" s="18" t="s">
        <v>24</v>
      </c>
      <c r="F6" s="19">
        <f>IFERROR(__xludf.DUMMYFUNCTION("SUM(IMPORTRANGE(""1CwrjPhJINZWO4jEU_saNz0V1dzS-UwSgU5fMaUfZ7VY"",""'S25'!O2:O282""))"),16804.0)</f>
        <v>16804</v>
      </c>
      <c r="G6" s="13"/>
      <c r="H6" s="20" t="s">
        <v>24</v>
      </c>
      <c r="I6" s="21">
        <f>IFERROR(__xludf.DUMMYFUNCTION("SUM(IMPORTRANGE(""1CwrjPhJINZWO4jEU_saNz0V1dzS-UwSgU5fMaUfZ7VY"",""'S25'!P2:P282""))"),31073.0)</f>
        <v>31073</v>
      </c>
      <c r="J6" s="13"/>
      <c r="K6" s="257"/>
      <c r="L6" s="257"/>
      <c r="M6" s="257"/>
      <c r="N6" s="257"/>
      <c r="O6" s="257"/>
      <c r="P6" s="257"/>
      <c r="Q6" s="257"/>
      <c r="R6" s="257"/>
      <c r="S6" s="257"/>
      <c r="T6" s="13"/>
      <c r="U6" s="260"/>
      <c r="V6" s="261"/>
      <c r="W6" s="13"/>
    </row>
    <row r="7">
      <c r="A7" s="257"/>
      <c r="B7" s="15" t="s">
        <v>124</v>
      </c>
      <c r="C7" s="317">
        <f>IFERROR(__xludf.DUMMYFUNCTION("AVERAGE(IMPORTRANGE(""1CwrjPhJINZWO4jEU_saNz0V1dzS-UwSgU5fMaUfZ7VY"",""'S25'!N2:N282""))"),237.81666666666666)</f>
        <v>237.8166667</v>
      </c>
      <c r="D7" s="17"/>
      <c r="E7" s="23" t="s">
        <v>124</v>
      </c>
      <c r="F7" s="318">
        <f>IFERROR(__xludf.DUMMYFUNCTION("AVERAGE(IMPORTRANGE(""1CwrjPhJINZWO4jEU_saNz0V1dzS-UwSgU5fMaUfZ7VY"",""'S25'!O2:O282""))"),275.4754098360656)</f>
        <v>275.4754098</v>
      </c>
      <c r="G7" s="13"/>
      <c r="H7" s="25" t="s">
        <v>124</v>
      </c>
      <c r="I7" s="262">
        <f>IFERROR(__xludf.DUMMYFUNCTION("AVERAGE(IMPORTRANGE(""1CwrjPhJINZWO4jEU_saNz0V1dzS-UwSgU5fMaUfZ7VY"",""'S25'!P2:P282""))"),485.515625)</f>
        <v>485.515625</v>
      </c>
      <c r="J7" s="13"/>
      <c r="K7" s="257"/>
      <c r="L7" s="257"/>
      <c r="M7" s="257"/>
      <c r="N7" s="257"/>
      <c r="O7" s="257"/>
      <c r="P7" s="257"/>
      <c r="Q7" s="257"/>
      <c r="R7" s="257"/>
      <c r="S7" s="257"/>
      <c r="T7" s="13"/>
      <c r="U7" s="263"/>
      <c r="V7" s="28"/>
      <c r="W7" s="13"/>
    </row>
    <row r="8">
      <c r="A8" s="257"/>
      <c r="B8" s="15" t="s">
        <v>30</v>
      </c>
      <c r="C8" s="27" t="s">
        <v>123</v>
      </c>
      <c r="D8" s="28"/>
      <c r="E8" s="23" t="s">
        <v>30</v>
      </c>
      <c r="F8" s="29" t="s">
        <v>123</v>
      </c>
      <c r="G8" s="28"/>
      <c r="H8" s="25" t="s">
        <v>30</v>
      </c>
      <c r="I8" s="30" t="s">
        <v>123</v>
      </c>
      <c r="J8" s="13"/>
      <c r="K8" s="257"/>
      <c r="L8" s="257"/>
      <c r="M8" s="257"/>
      <c r="N8" s="257"/>
      <c r="O8" s="257"/>
      <c r="P8" s="257"/>
      <c r="Q8" s="257"/>
      <c r="R8" s="257"/>
      <c r="S8" s="257"/>
      <c r="T8" s="13"/>
      <c r="U8" s="13"/>
      <c r="V8" s="13"/>
      <c r="W8" s="13"/>
    </row>
    <row r="9">
      <c r="A9" s="257"/>
      <c r="B9" s="15" t="s">
        <v>32</v>
      </c>
      <c r="C9" s="27" t="s">
        <v>123</v>
      </c>
      <c r="D9" s="28"/>
      <c r="E9" s="23" t="s">
        <v>32</v>
      </c>
      <c r="F9" s="29" t="s">
        <v>123</v>
      </c>
      <c r="G9" s="28"/>
      <c r="H9" s="25" t="s">
        <v>32</v>
      </c>
      <c r="I9" s="30" t="s">
        <v>123</v>
      </c>
      <c r="J9" s="13"/>
      <c r="K9" s="257"/>
      <c r="L9" s="257"/>
      <c r="M9" s="257"/>
      <c r="N9" s="257"/>
      <c r="O9" s="257"/>
      <c r="P9" s="257"/>
      <c r="Q9" s="257"/>
      <c r="R9" s="257"/>
      <c r="S9" s="257"/>
      <c r="T9" s="13"/>
      <c r="U9" s="13"/>
      <c r="V9" s="13"/>
      <c r="W9" s="13"/>
    </row>
    <row r="10">
      <c r="A10" s="257"/>
      <c r="B10" s="15" t="s">
        <v>34</v>
      </c>
      <c r="C10" s="27" t="s">
        <v>123</v>
      </c>
      <c r="D10" s="17"/>
      <c r="E10" s="23" t="s">
        <v>34</v>
      </c>
      <c r="F10" s="29" t="s">
        <v>123</v>
      </c>
      <c r="G10" s="13"/>
      <c r="H10" s="25" t="s">
        <v>34</v>
      </c>
      <c r="I10" s="30" t="s">
        <v>123</v>
      </c>
      <c r="J10" s="264"/>
      <c r="K10" s="257"/>
      <c r="L10" s="257"/>
      <c r="M10" s="257"/>
      <c r="N10" s="257"/>
      <c r="O10" s="257"/>
      <c r="P10" s="257"/>
      <c r="Q10" s="257"/>
      <c r="R10" s="257"/>
      <c r="S10" s="257"/>
      <c r="T10" s="13"/>
      <c r="U10" s="13"/>
      <c r="V10" s="13"/>
      <c r="W10" s="13"/>
    </row>
    <row r="11">
      <c r="A11" s="257"/>
      <c r="B11" s="15" t="s">
        <v>36</v>
      </c>
      <c r="C11" s="27" t="s">
        <v>123</v>
      </c>
      <c r="D11" s="17"/>
      <c r="E11" s="23" t="s">
        <v>36</v>
      </c>
      <c r="F11" s="29" t="s">
        <v>123</v>
      </c>
      <c r="G11" s="13"/>
      <c r="H11" s="25" t="s">
        <v>36</v>
      </c>
      <c r="I11" s="30" t="s">
        <v>123</v>
      </c>
      <c r="J11" s="13"/>
      <c r="K11" s="257"/>
      <c r="L11" s="257"/>
      <c r="M11" s="257"/>
      <c r="N11" s="257"/>
      <c r="O11" s="257"/>
      <c r="P11" s="257"/>
      <c r="Q11" s="257"/>
      <c r="R11" s="257"/>
      <c r="S11" s="257"/>
      <c r="T11" s="13"/>
      <c r="U11" s="13"/>
      <c r="V11" s="13"/>
      <c r="W11" s="13"/>
    </row>
    <row r="12">
      <c r="A12" s="268"/>
      <c r="B12" s="37" t="s">
        <v>38</v>
      </c>
      <c r="C12" s="38">
        <f>(C6*'Impact Calculations'!G5)*2000</f>
        <v>9068.37757</v>
      </c>
      <c r="E12" s="39" t="s">
        <v>38</v>
      </c>
      <c r="F12" s="40">
        <f>(F6*'Impact Calculations'!G5)*2000</f>
        <v>10679.44612</v>
      </c>
      <c r="H12" s="41" t="s">
        <v>38</v>
      </c>
      <c r="I12" s="42">
        <f>(I6*'Impact Calculations'!G5)*2000</f>
        <v>19747.82369</v>
      </c>
      <c r="J12" s="13"/>
      <c r="K12" s="257"/>
      <c r="L12" s="257"/>
      <c r="M12" s="257"/>
      <c r="N12" s="257"/>
      <c r="O12" s="257"/>
      <c r="P12" s="257"/>
      <c r="Q12" s="257"/>
      <c r="R12" s="257"/>
      <c r="S12" s="257"/>
      <c r="T12" s="13"/>
      <c r="U12" s="13"/>
      <c r="V12" s="13"/>
      <c r="W12" s="13"/>
    </row>
    <row r="13">
      <c r="A13" s="13"/>
      <c r="B13" s="13"/>
      <c r="C13" s="13"/>
      <c r="D13" s="17"/>
      <c r="E13" s="13"/>
      <c r="F13" s="13"/>
      <c r="G13" s="13"/>
      <c r="H13" s="13"/>
      <c r="I13" s="13"/>
      <c r="J13" s="13"/>
      <c r="K13" s="257"/>
      <c r="L13" s="257"/>
      <c r="M13" s="257"/>
      <c r="N13" s="257"/>
      <c r="O13" s="257"/>
      <c r="P13" s="257"/>
      <c r="Q13" s="257"/>
      <c r="R13" s="257"/>
      <c r="S13" s="257"/>
      <c r="T13" s="13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13"/>
      <c r="K14" s="257"/>
      <c r="L14" s="257"/>
      <c r="M14" s="257"/>
      <c r="N14" s="257"/>
      <c r="O14" s="257"/>
      <c r="P14" s="257"/>
      <c r="Q14" s="257"/>
      <c r="R14" s="257"/>
      <c r="S14" s="257"/>
      <c r="T14" s="13"/>
      <c r="U14" s="13"/>
      <c r="V14" s="13"/>
      <c r="W14" s="13"/>
    </row>
    <row r="15">
      <c r="A15" s="13"/>
      <c r="B15" s="271" t="s">
        <v>167</v>
      </c>
      <c r="C15" s="272"/>
      <c r="D15" s="13"/>
      <c r="E15" s="271" t="s">
        <v>168</v>
      </c>
      <c r="F15" s="272"/>
      <c r="G15" s="13"/>
      <c r="H15" s="271" t="s">
        <v>169</v>
      </c>
      <c r="I15" s="272"/>
      <c r="J15" s="13"/>
      <c r="K15" s="257"/>
      <c r="L15" s="257"/>
      <c r="M15" s="257"/>
      <c r="N15" s="257"/>
      <c r="O15" s="257"/>
      <c r="P15" s="257"/>
      <c r="Q15" s="257"/>
      <c r="R15" s="257"/>
      <c r="S15" s="257"/>
      <c r="T15" s="13"/>
      <c r="U15" s="13"/>
      <c r="V15" s="13"/>
      <c r="W15" s="13"/>
    </row>
    <row r="16">
      <c r="A16" s="13"/>
      <c r="B16" s="273" t="s">
        <v>128</v>
      </c>
      <c r="C16" s="274" t="s">
        <v>129</v>
      </c>
      <c r="D16" s="257"/>
      <c r="E16" s="275" t="s">
        <v>130</v>
      </c>
      <c r="F16" s="276" t="s">
        <v>129</v>
      </c>
      <c r="G16" s="13"/>
      <c r="H16" s="277" t="s">
        <v>131</v>
      </c>
      <c r="I16" s="278" t="s">
        <v>129</v>
      </c>
      <c r="J16" s="13"/>
      <c r="K16" s="257"/>
      <c r="L16" s="257"/>
      <c r="M16" s="257"/>
      <c r="N16" s="257"/>
      <c r="O16" s="257"/>
      <c r="P16" s="257"/>
      <c r="Q16" s="257"/>
      <c r="R16" s="257"/>
      <c r="S16" s="257"/>
      <c r="T16" s="13"/>
      <c r="U16" s="13"/>
      <c r="V16" s="13"/>
      <c r="W16" s="13"/>
    </row>
    <row r="17">
      <c r="A17" s="13"/>
      <c r="B17" s="279" t="s">
        <v>132</v>
      </c>
      <c r="C17" s="319">
        <v>236.5454545</v>
      </c>
      <c r="D17" s="257"/>
      <c r="E17" s="279" t="s">
        <v>132</v>
      </c>
      <c r="F17" s="320">
        <v>375.6666667</v>
      </c>
      <c r="G17" s="264"/>
      <c r="H17" s="279" t="s">
        <v>132</v>
      </c>
      <c r="I17" s="280">
        <v>592.5</v>
      </c>
      <c r="J17" s="13"/>
      <c r="K17" s="257"/>
      <c r="L17" s="257"/>
      <c r="M17" s="257"/>
      <c r="N17" s="257"/>
      <c r="O17" s="257"/>
      <c r="P17" s="257"/>
      <c r="Q17" s="257"/>
      <c r="R17" s="257"/>
      <c r="S17" s="257"/>
      <c r="T17" s="13"/>
      <c r="U17" s="13"/>
      <c r="V17" s="13"/>
      <c r="W17" s="13"/>
    </row>
    <row r="18">
      <c r="A18" s="13"/>
      <c r="B18" s="279" t="s">
        <v>133</v>
      </c>
      <c r="C18" s="319">
        <v>218.5</v>
      </c>
      <c r="D18" s="257"/>
      <c r="E18" s="279" t="s">
        <v>133</v>
      </c>
      <c r="F18" s="320">
        <v>322.3333333</v>
      </c>
      <c r="G18" s="264"/>
      <c r="H18" s="279" t="s">
        <v>133</v>
      </c>
      <c r="I18" s="280">
        <v>499.2307692</v>
      </c>
      <c r="J18" s="13"/>
      <c r="K18" s="257"/>
      <c r="L18" s="257"/>
      <c r="M18" s="257"/>
      <c r="N18" s="257"/>
      <c r="O18" s="257"/>
      <c r="P18" s="257"/>
      <c r="Q18" s="257"/>
      <c r="R18" s="257"/>
      <c r="S18" s="257"/>
      <c r="T18" s="13"/>
      <c r="U18" s="13"/>
      <c r="V18" s="13"/>
      <c r="W18" s="13"/>
    </row>
    <row r="19">
      <c r="A19" s="13"/>
      <c r="B19" s="279" t="s">
        <v>134</v>
      </c>
      <c r="C19" s="319">
        <v>231.8461538</v>
      </c>
      <c r="D19" s="257"/>
      <c r="E19" s="279" t="s">
        <v>134</v>
      </c>
      <c r="F19" s="320">
        <v>277.4615385</v>
      </c>
      <c r="G19" s="264"/>
      <c r="H19" s="279" t="s">
        <v>134</v>
      </c>
      <c r="I19" s="280">
        <v>509.3076923</v>
      </c>
      <c r="J19" s="13"/>
      <c r="K19" s="257"/>
      <c r="L19" s="257"/>
      <c r="M19" s="257"/>
      <c r="N19" s="257"/>
      <c r="O19" s="257"/>
      <c r="P19" s="257"/>
      <c r="Q19" s="257"/>
      <c r="R19" s="257"/>
      <c r="S19" s="257"/>
      <c r="T19" s="13"/>
      <c r="U19" s="13"/>
      <c r="V19" s="13"/>
      <c r="W19" s="13"/>
    </row>
    <row r="20">
      <c r="A20" s="13"/>
      <c r="B20" s="279" t="s">
        <v>135</v>
      </c>
      <c r="C20" s="319">
        <v>230.0833333</v>
      </c>
      <c r="D20" s="257"/>
      <c r="E20" s="279" t="s">
        <v>135</v>
      </c>
      <c r="F20" s="320">
        <v>265.3846154</v>
      </c>
      <c r="G20" s="264"/>
      <c r="H20" s="279" t="s">
        <v>135</v>
      </c>
      <c r="I20" s="280">
        <v>477.7692308</v>
      </c>
      <c r="J20" s="13"/>
      <c r="K20" s="257"/>
      <c r="L20" s="257"/>
      <c r="M20" s="257"/>
      <c r="N20" s="257"/>
      <c r="O20" s="257"/>
      <c r="P20" s="257"/>
      <c r="Q20" s="257"/>
      <c r="R20" s="257"/>
      <c r="S20" s="257"/>
      <c r="T20" s="13"/>
      <c r="U20" s="13"/>
      <c r="V20" s="13"/>
      <c r="W20" s="13"/>
    </row>
    <row r="21">
      <c r="A21" s="13"/>
      <c r="B21" s="279" t="s">
        <v>136</v>
      </c>
      <c r="C21" s="321">
        <v>272.5</v>
      </c>
      <c r="D21" s="322"/>
      <c r="E21" s="279" t="s">
        <v>136</v>
      </c>
      <c r="F21" s="323">
        <v>133.0</v>
      </c>
      <c r="G21" s="324"/>
      <c r="H21" s="279" t="s">
        <v>136</v>
      </c>
      <c r="I21" s="280">
        <v>364.0769231</v>
      </c>
      <c r="J21" s="13"/>
      <c r="K21" s="257"/>
      <c r="L21" s="257"/>
      <c r="M21" s="257"/>
      <c r="N21" s="257"/>
      <c r="O21" s="257"/>
      <c r="P21" s="257"/>
      <c r="Q21" s="257"/>
      <c r="R21" s="257"/>
      <c r="S21" s="257"/>
      <c r="T21" s="13"/>
      <c r="U21" s="13"/>
      <c r="V21" s="13"/>
      <c r="W21" s="13"/>
    </row>
    <row r="22">
      <c r="A22" s="13"/>
      <c r="B22" s="281"/>
      <c r="C22" s="281"/>
      <c r="D22" s="282"/>
      <c r="E22" s="281"/>
      <c r="F22" s="281"/>
      <c r="G22" s="13"/>
      <c r="H22" s="281"/>
      <c r="I22" s="281"/>
      <c r="J22" s="13"/>
      <c r="K22" s="257"/>
      <c r="L22" s="257"/>
      <c r="M22" s="257"/>
      <c r="N22" s="257"/>
      <c r="O22" s="257"/>
      <c r="P22" s="257"/>
      <c r="Q22" s="257"/>
      <c r="R22" s="257"/>
      <c r="S22" s="257"/>
      <c r="T22" s="13"/>
      <c r="U22" s="13"/>
      <c r="V22" s="13"/>
      <c r="W22" s="13"/>
    </row>
    <row r="23">
      <c r="A23" s="13"/>
      <c r="B23" s="283"/>
      <c r="C23" s="284"/>
      <c r="D23" s="13"/>
      <c r="E23" s="283"/>
      <c r="F23" s="284"/>
      <c r="G23" s="264"/>
      <c r="H23" s="283"/>
      <c r="I23" s="284"/>
      <c r="J23" s="13"/>
      <c r="K23" s="257"/>
      <c r="L23" s="257"/>
      <c r="M23" s="257"/>
      <c r="N23" s="257"/>
      <c r="O23" s="257"/>
      <c r="P23" s="257"/>
      <c r="Q23" s="257"/>
      <c r="R23" s="257"/>
      <c r="S23" s="257"/>
      <c r="T23" s="13"/>
      <c r="U23" s="13"/>
      <c r="V23" s="13"/>
      <c r="W23" s="13"/>
    </row>
    <row r="24">
      <c r="A24" s="13"/>
      <c r="B24" s="283"/>
      <c r="C24" s="284"/>
      <c r="D24" s="17"/>
      <c r="E24" s="283"/>
      <c r="F24" s="284"/>
      <c r="G24" s="264"/>
      <c r="H24" s="283"/>
      <c r="I24" s="284"/>
      <c r="J24" s="13"/>
      <c r="K24" s="257"/>
      <c r="L24" s="257"/>
      <c r="M24" s="257"/>
      <c r="N24" s="257"/>
      <c r="O24" s="257"/>
      <c r="P24" s="257"/>
      <c r="Q24" s="257"/>
      <c r="R24" s="257"/>
      <c r="S24" s="257"/>
      <c r="T24" s="13"/>
      <c r="U24" s="13"/>
      <c r="V24" s="13"/>
      <c r="W24" s="13"/>
    </row>
    <row r="25">
      <c r="A25" s="13"/>
      <c r="B25" s="283"/>
      <c r="C25" s="284"/>
      <c r="D25" s="17"/>
      <c r="E25" s="283"/>
      <c r="F25" s="284"/>
      <c r="G25" s="264"/>
      <c r="H25" s="283"/>
      <c r="I25" s="284"/>
      <c r="J25" s="13"/>
      <c r="K25" s="257"/>
      <c r="L25" s="257"/>
      <c r="M25" s="257"/>
      <c r="N25" s="257"/>
      <c r="O25" s="257"/>
      <c r="P25" s="257"/>
      <c r="Q25" s="257"/>
      <c r="R25" s="257"/>
      <c r="S25" s="257"/>
      <c r="T25" s="13"/>
      <c r="U25" s="13"/>
      <c r="V25" s="13"/>
      <c r="W25" s="13"/>
    </row>
    <row r="26">
      <c r="A26" s="13"/>
      <c r="B26" s="283"/>
      <c r="C26" s="284"/>
      <c r="D26" s="17"/>
      <c r="E26" s="283"/>
      <c r="F26" s="284"/>
      <c r="G26" s="264"/>
      <c r="H26" s="283"/>
      <c r="I26" s="284"/>
      <c r="J26" s="13"/>
      <c r="K26" s="257"/>
      <c r="L26" s="257"/>
      <c r="M26" s="257"/>
      <c r="N26" s="257"/>
      <c r="O26" s="257"/>
      <c r="P26" s="257"/>
      <c r="Q26" s="257"/>
      <c r="R26" s="257"/>
      <c r="S26" s="257"/>
      <c r="T26" s="13"/>
      <c r="U26" s="13"/>
      <c r="V26" s="13"/>
      <c r="W26" s="13"/>
    </row>
    <row r="27">
      <c r="A27" s="13"/>
      <c r="B27" s="283"/>
      <c r="C27" s="284"/>
      <c r="D27" s="17"/>
      <c r="E27" s="283"/>
      <c r="F27" s="284"/>
      <c r="G27" s="264"/>
      <c r="H27" s="283"/>
      <c r="I27" s="284"/>
      <c r="J27" s="13"/>
      <c r="K27" s="257"/>
      <c r="L27" s="257"/>
      <c r="M27" s="257"/>
      <c r="N27" s="257"/>
      <c r="O27" s="257"/>
      <c r="P27" s="257"/>
      <c r="Q27" s="257"/>
      <c r="R27" s="257"/>
      <c r="S27" s="257"/>
      <c r="T27" s="13"/>
      <c r="U27" s="13"/>
      <c r="V27" s="13"/>
      <c r="W27" s="13"/>
    </row>
    <row r="28">
      <c r="A28" s="13"/>
      <c r="B28" s="283"/>
      <c r="C28" s="283"/>
      <c r="D28" s="17"/>
      <c r="E28" s="283"/>
      <c r="F28" s="283"/>
      <c r="G28" s="13"/>
      <c r="H28" s="283"/>
      <c r="I28" s="283"/>
      <c r="J28" s="13"/>
      <c r="K28" s="257"/>
      <c r="L28" s="257"/>
      <c r="M28" s="257"/>
      <c r="N28" s="257"/>
      <c r="O28" s="257"/>
      <c r="P28" s="257"/>
      <c r="Q28" s="257"/>
      <c r="R28" s="257"/>
      <c r="S28" s="257"/>
      <c r="T28" s="13"/>
      <c r="U28" s="13"/>
      <c r="V28" s="13"/>
      <c r="W28" s="13"/>
    </row>
    <row r="29">
      <c r="A29" s="13"/>
      <c r="B29" s="283"/>
      <c r="C29" s="285"/>
      <c r="D29" s="17"/>
      <c r="E29" s="283"/>
      <c r="F29" s="285"/>
      <c r="G29" s="13"/>
      <c r="H29" s="283"/>
      <c r="I29" s="285"/>
      <c r="J29" s="13"/>
      <c r="K29" s="257"/>
      <c r="L29" s="257"/>
      <c r="M29" s="257"/>
      <c r="N29" s="257"/>
      <c r="O29" s="257"/>
      <c r="P29" s="257"/>
      <c r="Q29" s="257"/>
      <c r="R29" s="257"/>
      <c r="S29" s="257"/>
      <c r="T29" s="13"/>
      <c r="U29" s="13"/>
      <c r="V29" s="13"/>
      <c r="W29" s="13"/>
    </row>
    <row r="30">
      <c r="A30" s="13"/>
      <c r="B30" s="283"/>
      <c r="C30" s="285"/>
      <c r="D30" s="17"/>
      <c r="E30" s="283"/>
      <c r="F30" s="285"/>
      <c r="G30" s="13"/>
      <c r="H30" s="283"/>
      <c r="I30" s="285"/>
      <c r="J30" s="13"/>
      <c r="K30" s="257"/>
      <c r="L30" s="257"/>
      <c r="M30" s="257"/>
      <c r="N30" s="257"/>
      <c r="O30" s="257"/>
      <c r="P30" s="257"/>
      <c r="Q30" s="257"/>
      <c r="R30" s="257"/>
      <c r="S30" s="257"/>
      <c r="T30" s="13"/>
      <c r="U30" s="13"/>
      <c r="V30" s="13"/>
      <c r="W30" s="13"/>
    </row>
    <row r="31">
      <c r="A31" s="13"/>
      <c r="B31" s="283"/>
      <c r="C31" s="285"/>
      <c r="D31" s="17"/>
      <c r="E31" s="283"/>
      <c r="F31" s="285"/>
      <c r="G31" s="13"/>
      <c r="H31" s="283"/>
      <c r="I31" s="285"/>
      <c r="J31" s="13"/>
      <c r="K31" s="257"/>
      <c r="L31" s="257"/>
      <c r="M31" s="257"/>
      <c r="N31" s="257"/>
      <c r="O31" s="257"/>
      <c r="P31" s="257"/>
      <c r="Q31" s="257"/>
      <c r="R31" s="257"/>
      <c r="S31" s="257"/>
      <c r="T31" s="13"/>
      <c r="U31" s="13"/>
      <c r="V31" s="13"/>
      <c r="W31" s="13"/>
    </row>
    <row r="32">
      <c r="A32" s="13"/>
      <c r="B32" s="283"/>
      <c r="C32" s="285"/>
      <c r="D32" s="17"/>
      <c r="E32" s="283"/>
      <c r="F32" s="285"/>
      <c r="G32" s="13"/>
      <c r="H32" s="283"/>
      <c r="I32" s="285"/>
      <c r="J32" s="13"/>
      <c r="K32" s="257"/>
      <c r="L32" s="257"/>
      <c r="M32" s="257"/>
      <c r="N32" s="257"/>
      <c r="O32" s="257"/>
      <c r="P32" s="257"/>
      <c r="Q32" s="257"/>
      <c r="R32" s="257"/>
      <c r="S32" s="257"/>
      <c r="T32" s="13"/>
      <c r="U32" s="13"/>
      <c r="V32" s="13"/>
      <c r="W32" s="13"/>
    </row>
    <row r="33">
      <c r="A33" s="13"/>
      <c r="B33" s="283"/>
      <c r="C33" s="285"/>
      <c r="D33" s="17"/>
      <c r="E33" s="283"/>
      <c r="F33" s="285"/>
      <c r="G33" s="13"/>
      <c r="H33" s="283"/>
      <c r="I33" s="285"/>
      <c r="J33" s="13"/>
      <c r="K33" s="257"/>
      <c r="L33" s="257"/>
      <c r="M33" s="257"/>
      <c r="N33" s="257"/>
      <c r="O33" s="257"/>
      <c r="P33" s="257"/>
      <c r="Q33" s="257"/>
      <c r="R33" s="257"/>
      <c r="S33" s="257"/>
      <c r="T33" s="13"/>
      <c r="U33" s="13"/>
      <c r="V33" s="13"/>
      <c r="W33" s="13"/>
    </row>
    <row r="34">
      <c r="A34" s="13"/>
      <c r="B34" s="257"/>
      <c r="C34" s="285"/>
      <c r="D34" s="17"/>
      <c r="E34" s="257"/>
      <c r="F34" s="285"/>
      <c r="G34" s="13"/>
      <c r="H34" s="257"/>
      <c r="I34" s="285"/>
      <c r="J34" s="13"/>
      <c r="K34" s="257"/>
      <c r="L34" s="257"/>
      <c r="M34" s="257"/>
      <c r="N34" s="257"/>
      <c r="O34" s="257"/>
      <c r="P34" s="257"/>
      <c r="Q34" s="257"/>
      <c r="R34" s="257"/>
      <c r="S34" s="257"/>
      <c r="T34" s="13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257"/>
      <c r="L35" s="257"/>
      <c r="M35" s="257"/>
      <c r="N35" s="257"/>
      <c r="O35" s="257"/>
      <c r="P35" s="257"/>
      <c r="Q35" s="257"/>
      <c r="R35" s="257"/>
      <c r="S35" s="257"/>
      <c r="T35" s="13"/>
      <c r="U35" s="13"/>
      <c r="V35" s="13"/>
      <c r="W35" s="13"/>
    </row>
    <row r="36">
      <c r="A36" s="13"/>
      <c r="B36" s="13"/>
      <c r="C36" s="13"/>
      <c r="D36" s="13"/>
      <c r="E36" s="13"/>
      <c r="F36" s="286"/>
      <c r="G36" s="13"/>
      <c r="H36" s="13"/>
      <c r="I36" s="13"/>
      <c r="J36" s="13"/>
      <c r="K36" s="257"/>
      <c r="L36" s="257"/>
      <c r="M36" s="257"/>
      <c r="N36" s="257"/>
      <c r="O36" s="257"/>
      <c r="P36" s="257"/>
      <c r="Q36" s="257"/>
      <c r="R36" s="257"/>
      <c r="S36" s="257"/>
      <c r="T36" s="13"/>
      <c r="U36" s="13"/>
      <c r="V36" s="13"/>
      <c r="W36" s="13"/>
    </row>
    <row r="37">
      <c r="A37" s="13"/>
      <c r="B37" s="287" t="s">
        <v>137</v>
      </c>
      <c r="D37" s="288">
        <f>sum(D40:D46)</f>
        <v>147</v>
      </c>
      <c r="E37" s="289"/>
      <c r="F37" s="286"/>
      <c r="G37" s="13"/>
      <c r="H37" s="13"/>
      <c r="I37" s="13"/>
      <c r="J37" s="13"/>
      <c r="K37" s="257"/>
      <c r="L37" s="257"/>
      <c r="M37" s="257"/>
      <c r="N37" s="257"/>
      <c r="O37" s="257"/>
      <c r="P37" s="257"/>
      <c r="Q37" s="257"/>
      <c r="R37" s="257"/>
      <c r="S37" s="257"/>
      <c r="T37" s="13"/>
      <c r="U37" s="13"/>
      <c r="V37" s="13"/>
      <c r="W37" s="13"/>
    </row>
    <row r="38">
      <c r="A38" s="13"/>
      <c r="B38" s="11" t="s">
        <v>138</v>
      </c>
      <c r="C38" s="47"/>
      <c r="D38" s="47"/>
      <c r="E38" s="47"/>
      <c r="F38" s="290"/>
      <c r="G38" s="255"/>
      <c r="H38" s="255"/>
      <c r="I38" s="255"/>
      <c r="J38" s="13"/>
      <c r="K38" s="257"/>
      <c r="L38" s="257"/>
      <c r="M38" s="257"/>
      <c r="N38" s="257"/>
      <c r="O38" s="257"/>
      <c r="P38" s="257"/>
      <c r="Q38" s="257"/>
      <c r="R38" s="257"/>
      <c r="S38" s="257"/>
      <c r="T38" s="13"/>
      <c r="U38" s="13"/>
      <c r="V38" s="13"/>
      <c r="W38" s="13"/>
    </row>
    <row r="39">
      <c r="A39" s="13"/>
      <c r="B39" s="291" t="s">
        <v>139</v>
      </c>
      <c r="C39" s="292" t="s">
        <v>140</v>
      </c>
      <c r="D39" s="292" t="s">
        <v>141</v>
      </c>
      <c r="E39" s="292" t="s">
        <v>142</v>
      </c>
      <c r="F39" s="293"/>
      <c r="G39" s="294"/>
      <c r="H39" s="294"/>
      <c r="I39" s="294"/>
      <c r="J39" s="13"/>
      <c r="K39" s="257"/>
      <c r="L39" s="257"/>
      <c r="M39" s="257"/>
      <c r="N39" s="257"/>
      <c r="O39" s="257"/>
      <c r="P39" s="257"/>
      <c r="Q39" s="257"/>
      <c r="R39" s="257"/>
      <c r="S39" s="257"/>
      <c r="T39" s="13"/>
      <c r="U39" s="13"/>
      <c r="V39" s="13"/>
      <c r="W39" s="13"/>
    </row>
    <row r="40">
      <c r="A40" s="296"/>
      <c r="B40" s="297" t="s">
        <v>170</v>
      </c>
      <c r="C40" s="298">
        <v>2162.0</v>
      </c>
      <c r="D40" s="299">
        <v>27.0</v>
      </c>
      <c r="E40" s="300">
        <v>80.07407407</v>
      </c>
      <c r="F40" s="301"/>
      <c r="G40" s="302"/>
      <c r="H40" s="299"/>
      <c r="I40" s="302"/>
      <c r="J40" s="255"/>
      <c r="K40" s="255"/>
      <c r="L40" s="255"/>
      <c r="M40" s="255"/>
      <c r="N40" s="13"/>
      <c r="O40" s="257"/>
      <c r="P40" s="257"/>
      <c r="Q40" s="13"/>
      <c r="R40" s="13"/>
      <c r="S40" s="13"/>
      <c r="T40" s="13"/>
      <c r="U40" s="13"/>
      <c r="V40" s="13"/>
      <c r="W40" s="13"/>
    </row>
    <row r="41">
      <c r="A41" s="296"/>
      <c r="B41" s="297" t="s">
        <v>171</v>
      </c>
      <c r="C41" s="298">
        <v>2760.0</v>
      </c>
      <c r="D41" s="299">
        <v>22.0</v>
      </c>
      <c r="E41" s="300">
        <v>125.4545455</v>
      </c>
      <c r="F41" s="301"/>
      <c r="G41" s="302"/>
      <c r="H41" s="299"/>
      <c r="I41" s="302"/>
      <c r="J41" s="294"/>
      <c r="K41" s="294"/>
      <c r="L41" s="294"/>
      <c r="M41" s="13"/>
      <c r="N41" s="257"/>
      <c r="O41" s="257"/>
      <c r="P41" s="257"/>
      <c r="Q41" s="13"/>
      <c r="R41" s="13"/>
      <c r="S41" s="13"/>
      <c r="T41" s="13"/>
      <c r="U41" s="13"/>
      <c r="V41" s="13"/>
      <c r="W41" s="13"/>
    </row>
    <row r="42">
      <c r="A42" s="296"/>
      <c r="B42" s="297" t="s">
        <v>161</v>
      </c>
      <c r="C42" s="298">
        <v>4882.0</v>
      </c>
      <c r="D42" s="4">
        <v>29.0</v>
      </c>
      <c r="E42" s="300">
        <v>168.3448276</v>
      </c>
      <c r="F42" s="301"/>
      <c r="G42" s="302"/>
      <c r="H42" s="299"/>
      <c r="I42" s="302"/>
      <c r="J42" s="285"/>
      <c r="K42" s="303"/>
      <c r="L42" s="304"/>
      <c r="M42" s="13"/>
      <c r="N42" s="257"/>
      <c r="O42" s="257"/>
      <c r="P42" s="257"/>
      <c r="Q42" s="13"/>
      <c r="R42" s="13"/>
      <c r="S42" s="13"/>
      <c r="T42" s="13"/>
      <c r="U42" s="13"/>
      <c r="V42" s="13"/>
      <c r="W42" s="13"/>
    </row>
    <row r="43">
      <c r="A43" s="296"/>
      <c r="B43" s="297" t="s">
        <v>172</v>
      </c>
      <c r="C43" s="300">
        <v>3738.0</v>
      </c>
      <c r="D43" s="257">
        <v>22.0</v>
      </c>
      <c r="E43" s="300">
        <v>169.9090909</v>
      </c>
      <c r="F43" s="301"/>
      <c r="G43" s="302"/>
      <c r="H43" s="299"/>
      <c r="I43" s="302"/>
      <c r="J43" s="285"/>
      <c r="K43" s="303"/>
      <c r="L43" s="304"/>
      <c r="M43" s="13"/>
      <c r="N43" s="257"/>
      <c r="O43" s="257"/>
      <c r="P43" s="257"/>
      <c r="Q43" s="13"/>
      <c r="R43" s="13"/>
      <c r="S43" s="13"/>
      <c r="T43" s="13"/>
      <c r="U43" s="13"/>
      <c r="V43" s="13"/>
      <c r="W43" s="13"/>
    </row>
    <row r="44">
      <c r="A44" s="296"/>
      <c r="B44" s="297" t="s">
        <v>173</v>
      </c>
      <c r="C44" s="298">
        <v>2518.0</v>
      </c>
      <c r="D44" s="257">
        <v>21.0</v>
      </c>
      <c r="E44" s="300">
        <v>119.9047619</v>
      </c>
      <c r="F44" s="301"/>
      <c r="G44" s="302"/>
      <c r="H44" s="299"/>
      <c r="I44" s="302"/>
      <c r="J44" s="285"/>
      <c r="K44" s="303"/>
      <c r="L44" s="304"/>
      <c r="M44" s="13"/>
      <c r="N44" s="257"/>
      <c r="O44" s="257"/>
      <c r="P44" s="257"/>
      <c r="Q44" s="13"/>
      <c r="R44" s="13"/>
      <c r="S44" s="13"/>
      <c r="T44" s="13"/>
      <c r="U44" s="13"/>
      <c r="V44" s="13"/>
      <c r="W44" s="13"/>
    </row>
    <row r="45">
      <c r="A45" s="296"/>
      <c r="B45" s="297" t="s">
        <v>174</v>
      </c>
      <c r="C45" s="298">
        <v>775.0</v>
      </c>
      <c r="D45" s="299">
        <v>3.0</v>
      </c>
      <c r="E45" s="325">
        <v>258.3333333</v>
      </c>
      <c r="F45" s="301"/>
      <c r="G45" s="302"/>
      <c r="H45" s="299"/>
      <c r="I45" s="302"/>
      <c r="J45" s="285"/>
      <c r="K45" s="303"/>
      <c r="L45" s="304"/>
      <c r="M45" s="13"/>
      <c r="N45" s="257"/>
      <c r="O45" s="257"/>
      <c r="P45" s="257"/>
      <c r="Q45" s="13"/>
      <c r="R45" s="13"/>
      <c r="S45" s="13"/>
      <c r="T45" s="13"/>
      <c r="U45" s="13"/>
      <c r="V45" s="13"/>
      <c r="W45" s="13"/>
    </row>
    <row r="46">
      <c r="A46" s="296"/>
      <c r="B46" s="297" t="s">
        <v>175</v>
      </c>
      <c r="C46" s="298">
        <v>2217.0</v>
      </c>
      <c r="D46" s="299">
        <v>23.0</v>
      </c>
      <c r="E46" s="300">
        <v>96.39130435</v>
      </c>
      <c r="F46" s="301"/>
      <c r="G46" s="302"/>
      <c r="H46" s="299"/>
      <c r="I46" s="302"/>
      <c r="J46" s="285"/>
      <c r="K46" s="303"/>
      <c r="L46" s="304"/>
      <c r="M46" s="13"/>
      <c r="N46" s="257"/>
      <c r="O46" s="257"/>
      <c r="P46" s="257"/>
      <c r="Q46" s="13"/>
      <c r="R46" s="13"/>
      <c r="S46" s="13"/>
      <c r="T46" s="13"/>
      <c r="U46" s="13"/>
      <c r="V46" s="13"/>
      <c r="W46" s="13"/>
    </row>
    <row r="47">
      <c r="A47" s="296"/>
      <c r="B47" s="297" t="s">
        <v>144</v>
      </c>
      <c r="C47" s="298">
        <v>1250.0</v>
      </c>
      <c r="D47" s="299">
        <v>7.0</v>
      </c>
      <c r="E47" s="300">
        <v>178.5714286</v>
      </c>
      <c r="F47" s="301"/>
      <c r="G47" s="310"/>
      <c r="H47" s="302"/>
      <c r="I47" s="299"/>
      <c r="J47" s="285"/>
      <c r="K47" s="303"/>
      <c r="L47" s="304"/>
      <c r="M47" s="13"/>
      <c r="N47" s="257"/>
      <c r="O47" s="257"/>
      <c r="P47" s="257"/>
      <c r="Q47" s="13"/>
      <c r="R47" s="13"/>
      <c r="S47" s="13"/>
      <c r="T47" s="13"/>
      <c r="U47" s="13"/>
      <c r="V47" s="13"/>
      <c r="W47" s="13"/>
    </row>
    <row r="48">
      <c r="A48" s="305"/>
      <c r="B48" s="297" t="s">
        <v>176</v>
      </c>
      <c r="C48" s="298">
        <v>3283.0</v>
      </c>
      <c r="D48" s="299">
        <v>31.0</v>
      </c>
      <c r="E48" s="300">
        <v>105.9032258</v>
      </c>
      <c r="F48" s="301"/>
      <c r="G48" s="310"/>
      <c r="H48" s="302"/>
      <c r="I48" s="299"/>
      <c r="J48" s="285"/>
      <c r="K48" s="303"/>
      <c r="L48" s="304"/>
      <c r="M48" s="13"/>
      <c r="N48" s="257"/>
      <c r="O48" s="257"/>
      <c r="P48" s="257"/>
      <c r="Q48" s="13"/>
      <c r="R48" s="13"/>
      <c r="S48" s="13"/>
      <c r="T48" s="13"/>
      <c r="U48" s="13"/>
      <c r="V48" s="13"/>
      <c r="W48" s="13"/>
    </row>
    <row r="49">
      <c r="A49" s="296"/>
      <c r="B49" s="297" t="s">
        <v>177</v>
      </c>
      <c r="C49" s="298">
        <v>1841.0</v>
      </c>
      <c r="D49" s="299">
        <v>13.0</v>
      </c>
      <c r="E49" s="300">
        <v>141.6153846</v>
      </c>
      <c r="F49" s="301"/>
      <c r="G49" s="310"/>
      <c r="H49" s="302"/>
      <c r="I49" s="299"/>
      <c r="J49" s="302"/>
      <c r="K49" s="285"/>
      <c r="L49" s="303"/>
      <c r="M49" s="13"/>
      <c r="N49" s="13"/>
      <c r="O49" s="13"/>
      <c r="P49" s="257"/>
      <c r="Q49" s="13"/>
      <c r="R49" s="13"/>
      <c r="S49" s="13"/>
      <c r="T49" s="13"/>
      <c r="U49" s="13"/>
      <c r="V49" s="13"/>
      <c r="W49" s="13"/>
    </row>
    <row r="50">
      <c r="A50" s="296"/>
      <c r="B50" s="297" t="s">
        <v>159</v>
      </c>
      <c r="C50" s="298">
        <v>2910.0</v>
      </c>
      <c r="D50" s="299">
        <v>22.0</v>
      </c>
      <c r="E50" s="300">
        <v>132.2727273</v>
      </c>
      <c r="F50" s="301"/>
      <c r="G50" s="310"/>
      <c r="H50" s="302"/>
      <c r="I50" s="299"/>
      <c r="J50" s="302"/>
      <c r="K50" s="285"/>
      <c r="L50" s="303"/>
      <c r="M50" s="304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305"/>
      <c r="B51" s="297" t="s">
        <v>178</v>
      </c>
      <c r="C51" s="298">
        <v>1645.0</v>
      </c>
      <c r="D51" s="299">
        <v>21.0</v>
      </c>
      <c r="E51" s="300">
        <v>78.33333333</v>
      </c>
      <c r="F51" s="301"/>
      <c r="G51" s="310"/>
      <c r="H51" s="299"/>
      <c r="I51" s="299"/>
      <c r="J51" s="302"/>
      <c r="K51" s="285"/>
      <c r="L51" s="303"/>
      <c r="M51" s="304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296"/>
      <c r="B52" s="297" t="s">
        <v>145</v>
      </c>
      <c r="C52" s="298">
        <v>1184.0</v>
      </c>
      <c r="D52" s="299">
        <v>21.0</v>
      </c>
      <c r="E52" s="300">
        <v>56.38095238</v>
      </c>
      <c r="F52" s="301"/>
      <c r="G52" s="299"/>
      <c r="H52" s="299"/>
      <c r="I52" s="299"/>
      <c r="J52" s="302"/>
      <c r="K52" s="285"/>
      <c r="L52" s="303"/>
      <c r="M52" s="304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296"/>
      <c r="B53" s="326"/>
      <c r="C53" s="307"/>
      <c r="D53" s="308"/>
      <c r="E53" s="309"/>
      <c r="F53" s="257"/>
      <c r="G53" s="13"/>
      <c r="H53" s="13"/>
      <c r="I53" s="13"/>
      <c r="J53" s="302"/>
      <c r="K53" s="285"/>
      <c r="L53" s="303"/>
      <c r="M53" s="304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7"/>
      <c r="B54" s="13"/>
      <c r="C54" s="13"/>
      <c r="D54" s="13"/>
      <c r="E54" s="286"/>
      <c r="F54" s="13"/>
      <c r="G54" s="13"/>
      <c r="H54" s="13"/>
      <c r="I54" s="13"/>
      <c r="J54" s="302"/>
      <c r="K54" s="285"/>
      <c r="L54" s="303"/>
      <c r="M54" s="304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3"/>
      <c r="B55" s="13"/>
      <c r="C55" s="13"/>
      <c r="D55" s="13"/>
      <c r="E55" s="286"/>
      <c r="F55" s="13"/>
      <c r="G55" s="13"/>
      <c r="H55" s="13"/>
      <c r="I55" s="13"/>
      <c r="J55" s="314"/>
      <c r="K55" s="315"/>
      <c r="L55" s="17"/>
      <c r="M55" s="28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6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3"/>
      <c r="B57" s="13"/>
      <c r="C57" s="13"/>
      <c r="D57" s="13"/>
      <c r="E57" s="286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6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6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6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6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6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6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286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</sheetData>
  <mergeCells count="10">
    <mergeCell ref="B15:C15"/>
    <mergeCell ref="B37:C37"/>
    <mergeCell ref="B38:E38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75"/>
  <sheetData>
    <row r="1">
      <c r="A1" s="255"/>
      <c r="B1" s="13"/>
      <c r="C1" s="7" t="s">
        <v>179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255"/>
      <c r="B2" s="13"/>
      <c r="J2" s="257" t="s">
        <v>119</v>
      </c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13"/>
      <c r="V2" s="13"/>
      <c r="W2" s="13"/>
    </row>
    <row r="3">
      <c r="A3" s="256" t="s">
        <v>118</v>
      </c>
      <c r="B3" s="13"/>
      <c r="C3" s="13"/>
      <c r="D3" s="13"/>
      <c r="E3" s="13"/>
      <c r="F3" s="13"/>
      <c r="G3" s="13"/>
      <c r="H3" s="13"/>
      <c r="I3" s="1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13"/>
      <c r="V3" s="13"/>
      <c r="W3" s="13"/>
    </row>
    <row r="4">
      <c r="A4" s="258">
        <v>14.0</v>
      </c>
      <c r="B4" s="17"/>
      <c r="C4" s="259"/>
      <c r="D4" s="13"/>
      <c r="E4" s="13"/>
      <c r="F4" s="13"/>
      <c r="G4" s="13"/>
      <c r="H4" s="13"/>
      <c r="I4" s="1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13"/>
      <c r="V4" s="13"/>
      <c r="W4" s="13"/>
    </row>
    <row r="5">
      <c r="A5" s="17"/>
      <c r="B5" s="11" t="s">
        <v>180</v>
      </c>
      <c r="C5" s="12"/>
      <c r="D5" s="13"/>
      <c r="E5" s="11" t="s">
        <v>181</v>
      </c>
      <c r="F5" s="12"/>
      <c r="G5" s="13"/>
      <c r="H5" s="11" t="s">
        <v>182</v>
      </c>
      <c r="I5" s="12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5"/>
      <c r="W5" s="13"/>
    </row>
    <row r="6">
      <c r="A6" s="257"/>
      <c r="B6" s="15" t="s">
        <v>24</v>
      </c>
      <c r="C6" s="16">
        <v>20069.0</v>
      </c>
      <c r="D6" s="17"/>
      <c r="E6" s="18" t="s">
        <v>24</v>
      </c>
      <c r="F6" s="19">
        <v>16525.0</v>
      </c>
      <c r="G6" s="13"/>
      <c r="H6" s="20" t="s">
        <v>24</v>
      </c>
      <c r="I6" s="21">
        <v>36594.0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60"/>
      <c r="V6" s="261"/>
      <c r="W6" s="13"/>
    </row>
    <row r="7">
      <c r="A7" s="257"/>
      <c r="B7" s="15" t="s">
        <v>124</v>
      </c>
      <c r="C7" s="317">
        <v>271.88</v>
      </c>
      <c r="D7" s="17"/>
      <c r="E7" s="23" t="s">
        <v>124</v>
      </c>
      <c r="F7" s="318">
        <v>266.82</v>
      </c>
      <c r="G7" s="13"/>
      <c r="H7" s="25" t="s">
        <v>124</v>
      </c>
      <c r="I7" s="262">
        <v>502.7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63"/>
      <c r="V7" s="28"/>
      <c r="W7" s="13"/>
    </row>
    <row r="8">
      <c r="A8" s="257"/>
      <c r="B8" s="15" t="s">
        <v>30</v>
      </c>
      <c r="C8" s="27">
        <v>51.42</v>
      </c>
      <c r="D8" s="28"/>
      <c r="E8" s="23" t="s">
        <v>30</v>
      </c>
      <c r="F8" s="29">
        <v>41.84</v>
      </c>
      <c r="G8" s="28"/>
      <c r="H8" s="25" t="s">
        <v>30</v>
      </c>
      <c r="I8" s="30">
        <v>46.41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13"/>
      <c r="V8" s="13"/>
      <c r="W8" s="13"/>
    </row>
    <row r="9">
      <c r="A9" s="257"/>
      <c r="B9" s="15" t="s">
        <v>32</v>
      </c>
      <c r="C9" s="27">
        <v>56.36</v>
      </c>
      <c r="D9" s="28"/>
      <c r="E9" s="23" t="s">
        <v>32</v>
      </c>
      <c r="F9" s="29">
        <v>45.2</v>
      </c>
      <c r="G9" s="28"/>
      <c r="H9" s="25" t="s">
        <v>32</v>
      </c>
      <c r="I9" s="30">
        <v>50.98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13"/>
      <c r="V9" s="13"/>
      <c r="W9" s="13"/>
    </row>
    <row r="10">
      <c r="A10" s="257"/>
      <c r="B10" s="15" t="s">
        <v>34</v>
      </c>
      <c r="C10" s="31">
        <v>270.43</v>
      </c>
      <c r="D10" s="17"/>
      <c r="E10" s="23" t="s">
        <v>34</v>
      </c>
      <c r="F10" s="32">
        <v>296.63</v>
      </c>
      <c r="G10" s="13"/>
      <c r="H10" s="25" t="s">
        <v>34</v>
      </c>
      <c r="I10" s="33">
        <v>567.07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13"/>
      <c r="V10" s="13"/>
      <c r="W10" s="13"/>
    </row>
    <row r="11">
      <c r="A11" s="257"/>
      <c r="B11" s="15" t="s">
        <v>36</v>
      </c>
      <c r="C11" s="34">
        <v>0.2253587962962963</v>
      </c>
      <c r="D11" s="17"/>
      <c r="E11" s="23" t="s">
        <v>36</v>
      </c>
      <c r="F11" s="35">
        <v>0.26297453703703705</v>
      </c>
      <c r="G11" s="13"/>
      <c r="H11" s="25" t="s">
        <v>36</v>
      </c>
      <c r="I11" s="36">
        <v>0.454375</v>
      </c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13"/>
      <c r="V11" s="13"/>
      <c r="W11" s="13"/>
    </row>
    <row r="12">
      <c r="A12" s="268"/>
      <c r="B12" s="37" t="s">
        <v>38</v>
      </c>
      <c r="C12" s="38">
        <f>(C6*'Impact Calculations'!G5)*2000</f>
        <v>12754.45157</v>
      </c>
      <c r="E12" s="39" t="s">
        <v>38</v>
      </c>
      <c r="F12" s="40">
        <f>(F6*'Impact Calculations'!G5)*2000</f>
        <v>10502.13325</v>
      </c>
      <c r="H12" s="41" t="s">
        <v>38</v>
      </c>
      <c r="I12" s="42">
        <f>(I6*'Impact Calculations'!G5)*2000</f>
        <v>23256.58482</v>
      </c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13"/>
      <c r="V12" s="13"/>
      <c r="W12" s="13"/>
    </row>
    <row r="13">
      <c r="A13" s="13"/>
      <c r="B13" s="13"/>
      <c r="C13" s="13"/>
      <c r="D13" s="17"/>
      <c r="E13" s="13"/>
      <c r="F13" s="13"/>
      <c r="G13" s="13"/>
      <c r="H13" s="13"/>
      <c r="I13" s="13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13"/>
      <c r="V13" s="13"/>
      <c r="W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13"/>
      <c r="V14" s="13"/>
      <c r="W14" s="13"/>
    </row>
    <row r="15">
      <c r="A15" s="13"/>
      <c r="B15" s="271" t="s">
        <v>183</v>
      </c>
      <c r="C15" s="272"/>
      <c r="D15" s="13"/>
      <c r="E15" s="271" t="s">
        <v>184</v>
      </c>
      <c r="F15" s="272"/>
      <c r="G15" s="13"/>
      <c r="H15" s="271" t="s">
        <v>185</v>
      </c>
      <c r="I15" s="272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13"/>
      <c r="V15" s="13"/>
      <c r="W15" s="13"/>
    </row>
    <row r="16">
      <c r="A16" s="13"/>
      <c r="B16" s="273" t="s">
        <v>128</v>
      </c>
      <c r="C16" s="274" t="s">
        <v>129</v>
      </c>
      <c r="D16" s="257"/>
      <c r="E16" s="275" t="s">
        <v>130</v>
      </c>
      <c r="F16" s="276" t="s">
        <v>129</v>
      </c>
      <c r="G16" s="13"/>
      <c r="H16" s="277" t="s">
        <v>131</v>
      </c>
      <c r="I16" s="278" t="s">
        <v>129</v>
      </c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13"/>
      <c r="V16" s="13"/>
      <c r="W16" s="13"/>
    </row>
    <row r="17">
      <c r="A17" s="13"/>
      <c r="B17" s="279" t="s">
        <v>132</v>
      </c>
      <c r="C17" s="327">
        <v>338.0</v>
      </c>
      <c r="D17" s="257"/>
      <c r="E17" s="279" t="s">
        <v>132</v>
      </c>
      <c r="F17" s="328">
        <v>370.0</v>
      </c>
      <c r="G17" s="264"/>
      <c r="H17" s="279" t="s">
        <v>132</v>
      </c>
      <c r="I17" s="329">
        <v>708.0</v>
      </c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13"/>
      <c r="V17" s="13"/>
      <c r="W17" s="13"/>
    </row>
    <row r="18">
      <c r="A18" s="13"/>
      <c r="B18" s="279" t="s">
        <v>133</v>
      </c>
      <c r="C18" s="327">
        <v>163.0</v>
      </c>
      <c r="D18" s="257"/>
      <c r="E18" s="279" t="s">
        <v>133</v>
      </c>
      <c r="F18" s="328">
        <v>310.0</v>
      </c>
      <c r="G18" s="264"/>
      <c r="H18" s="279" t="s">
        <v>133</v>
      </c>
      <c r="I18" s="329">
        <v>473.0</v>
      </c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13"/>
      <c r="V18" s="13"/>
      <c r="W18" s="13"/>
    </row>
    <row r="19">
      <c r="A19" s="13"/>
      <c r="B19" s="279" t="s">
        <v>134</v>
      </c>
      <c r="C19" s="327">
        <v>346.0</v>
      </c>
      <c r="D19" s="257"/>
      <c r="E19" s="279" t="s">
        <v>134</v>
      </c>
      <c r="F19" s="328">
        <v>230.0</v>
      </c>
      <c r="G19" s="264"/>
      <c r="H19" s="279" t="s">
        <v>134</v>
      </c>
      <c r="I19" s="329">
        <v>576.0</v>
      </c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13"/>
      <c r="V19" s="13"/>
      <c r="W19" s="13"/>
    </row>
    <row r="20">
      <c r="A20" s="13"/>
      <c r="B20" s="279" t="s">
        <v>135</v>
      </c>
      <c r="C20" s="327">
        <v>224.0</v>
      </c>
      <c r="D20" s="257"/>
      <c r="E20" s="279" t="s">
        <v>135</v>
      </c>
      <c r="F20" s="328">
        <v>262.0</v>
      </c>
      <c r="G20" s="264"/>
      <c r="H20" s="279" t="s">
        <v>135</v>
      </c>
      <c r="I20" s="329">
        <v>485.0</v>
      </c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13"/>
      <c r="V20" s="13"/>
      <c r="W20" s="13"/>
    </row>
    <row r="21">
      <c r="A21" s="13"/>
      <c r="B21" s="279" t="s">
        <v>136</v>
      </c>
      <c r="C21" s="327">
        <v>321.0</v>
      </c>
      <c r="D21" s="257"/>
      <c r="E21" s="279" t="s">
        <v>136</v>
      </c>
      <c r="F21" s="328">
        <v>76.0</v>
      </c>
      <c r="G21" s="264"/>
      <c r="H21" s="279" t="s">
        <v>136</v>
      </c>
      <c r="I21" s="329">
        <v>397.0</v>
      </c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13"/>
      <c r="V21" s="13"/>
      <c r="W21" s="13"/>
    </row>
    <row r="22">
      <c r="A22" s="13"/>
      <c r="B22" s="273" t="s">
        <v>128</v>
      </c>
      <c r="C22" s="274" t="s">
        <v>186</v>
      </c>
      <c r="D22" s="282"/>
      <c r="E22" s="275" t="s">
        <v>130</v>
      </c>
      <c r="F22" s="276" t="s">
        <v>186</v>
      </c>
      <c r="G22" s="13"/>
      <c r="H22" s="277" t="s">
        <v>131</v>
      </c>
      <c r="I22" s="278" t="s">
        <v>186</v>
      </c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13"/>
      <c r="V22" s="13"/>
      <c r="W22" s="13"/>
    </row>
    <row r="23">
      <c r="A23" s="13"/>
      <c r="B23" s="279" t="s">
        <v>132</v>
      </c>
      <c r="C23" s="27">
        <v>46.38</v>
      </c>
      <c r="D23" s="13"/>
      <c r="E23" s="279" t="s">
        <v>132</v>
      </c>
      <c r="F23" s="29">
        <v>50.32</v>
      </c>
      <c r="G23" s="264"/>
      <c r="H23" s="279" t="s">
        <v>132</v>
      </c>
      <c r="I23" s="30">
        <v>45.57</v>
      </c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13"/>
      <c r="V23" s="13"/>
      <c r="W23" s="13"/>
    </row>
    <row r="24">
      <c r="A24" s="13"/>
      <c r="B24" s="279" t="s">
        <v>133</v>
      </c>
      <c r="C24" s="27">
        <v>46.56</v>
      </c>
      <c r="D24" s="17"/>
      <c r="E24" s="279" t="s">
        <v>133</v>
      </c>
      <c r="F24" s="29">
        <v>37.38</v>
      </c>
      <c r="G24" s="264"/>
      <c r="H24" s="279" t="s">
        <v>133</v>
      </c>
      <c r="I24" s="30">
        <v>36.22</v>
      </c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13"/>
      <c r="V24" s="13"/>
      <c r="W24" s="13"/>
    </row>
    <row r="25">
      <c r="A25" s="13"/>
      <c r="B25" s="279" t="s">
        <v>134</v>
      </c>
      <c r="C25" s="27">
        <v>70.05</v>
      </c>
      <c r="D25" s="17"/>
      <c r="E25" s="279" t="s">
        <v>134</v>
      </c>
      <c r="F25" s="29">
        <v>40.01</v>
      </c>
      <c r="G25" s="264"/>
      <c r="H25" s="279" t="s">
        <v>134</v>
      </c>
      <c r="I25" s="30">
        <v>54.52</v>
      </c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13"/>
      <c r="V25" s="13"/>
      <c r="W25" s="13"/>
    </row>
    <row r="26">
      <c r="A26" s="13"/>
      <c r="B26" s="279" t="s">
        <v>135</v>
      </c>
      <c r="C26" s="27">
        <v>42.65</v>
      </c>
      <c r="D26" s="17"/>
      <c r="E26" s="279" t="s">
        <v>135</v>
      </c>
      <c r="F26" s="29">
        <v>45.15</v>
      </c>
      <c r="G26" s="264"/>
      <c r="H26" s="279" t="s">
        <v>135</v>
      </c>
      <c r="I26" s="30">
        <v>42.87</v>
      </c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13"/>
      <c r="V26" s="13"/>
      <c r="W26" s="13"/>
    </row>
    <row r="27">
      <c r="A27" s="13"/>
      <c r="B27" s="330" t="s">
        <v>136</v>
      </c>
      <c r="C27" s="38">
        <v>65.42</v>
      </c>
      <c r="D27" s="17"/>
      <c r="E27" s="330" t="s">
        <v>136</v>
      </c>
      <c r="F27" s="40">
        <v>49.25</v>
      </c>
      <c r="G27" s="264"/>
      <c r="H27" s="330" t="s">
        <v>136</v>
      </c>
      <c r="I27" s="42">
        <v>60.16</v>
      </c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13"/>
      <c r="V27" s="13"/>
      <c r="W27" s="13"/>
    </row>
    <row r="28">
      <c r="A28" s="13"/>
      <c r="B28" s="273" t="s">
        <v>128</v>
      </c>
      <c r="C28" s="274" t="s">
        <v>187</v>
      </c>
      <c r="D28" s="17"/>
      <c r="E28" s="275" t="s">
        <v>130</v>
      </c>
      <c r="F28" s="276" t="s">
        <v>187</v>
      </c>
      <c r="G28" s="13"/>
      <c r="H28" s="277" t="s">
        <v>131</v>
      </c>
      <c r="I28" s="278" t="s">
        <v>187</v>
      </c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13"/>
      <c r="V28" s="13"/>
      <c r="W28" s="13"/>
    </row>
    <row r="29">
      <c r="A29" s="13"/>
      <c r="B29" s="279" t="s">
        <v>132</v>
      </c>
      <c r="C29" s="34">
        <v>0.30637731481481484</v>
      </c>
      <c r="D29" s="17"/>
      <c r="E29" s="279" t="s">
        <v>132</v>
      </c>
      <c r="F29" s="35">
        <v>0.3359722222222222</v>
      </c>
      <c r="G29" s="13"/>
      <c r="H29" s="279" t="s">
        <v>132</v>
      </c>
      <c r="I29" s="36">
        <v>0.6118055555555556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13"/>
      <c r="V29" s="13"/>
      <c r="W29" s="13"/>
    </row>
    <row r="30">
      <c r="A30" s="13"/>
      <c r="B30" s="279" t="s">
        <v>133</v>
      </c>
      <c r="C30" s="34">
        <v>0.14881944444444445</v>
      </c>
      <c r="D30" s="17"/>
      <c r="E30" s="279" t="s">
        <v>133</v>
      </c>
      <c r="F30" s="35">
        <v>0.32893518518518516</v>
      </c>
      <c r="G30" s="13"/>
      <c r="H30" s="279" t="s">
        <v>133</v>
      </c>
      <c r="I30" s="36">
        <v>0.45295138888888886</v>
      </c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13"/>
      <c r="V30" s="13"/>
      <c r="W30" s="13"/>
    </row>
    <row r="31">
      <c r="A31" s="13"/>
      <c r="B31" s="279" t="s">
        <v>134</v>
      </c>
      <c r="C31" s="34">
        <v>0.23819444444444443</v>
      </c>
      <c r="D31" s="17"/>
      <c r="E31" s="279" t="s">
        <v>134</v>
      </c>
      <c r="F31" s="35">
        <v>0.2526967592592593</v>
      </c>
      <c r="G31" s="13"/>
      <c r="H31" s="279" t="s">
        <v>134</v>
      </c>
      <c r="I31" s="36">
        <v>0.4628125</v>
      </c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13"/>
      <c r="V31" s="13"/>
      <c r="W31" s="13"/>
    </row>
    <row r="32">
      <c r="A32" s="13"/>
      <c r="B32" s="279" t="s">
        <v>135</v>
      </c>
      <c r="C32" s="34">
        <v>0.21020833333333333</v>
      </c>
      <c r="D32" s="17"/>
      <c r="E32" s="279" t="s">
        <v>135</v>
      </c>
      <c r="F32" s="35">
        <v>0.26166666666666666</v>
      </c>
      <c r="G32" s="13"/>
      <c r="H32" s="279" t="s">
        <v>135</v>
      </c>
      <c r="I32" s="36">
        <v>0.471875</v>
      </c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13"/>
      <c r="V32" s="13"/>
      <c r="W32" s="13"/>
    </row>
    <row r="33">
      <c r="A33" s="13"/>
      <c r="B33" s="330" t="s">
        <v>136</v>
      </c>
      <c r="C33" s="331">
        <v>0.21638888888888888</v>
      </c>
      <c r="D33" s="17"/>
      <c r="E33" s="330" t="s">
        <v>136</v>
      </c>
      <c r="F33" s="332">
        <v>0.059224537037037034</v>
      </c>
      <c r="G33" s="13"/>
      <c r="H33" s="330" t="s">
        <v>136</v>
      </c>
      <c r="I33" s="333">
        <v>0.2578472222222222</v>
      </c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13"/>
      <c r="V33" s="13"/>
      <c r="W33" s="13"/>
    </row>
    <row r="34">
      <c r="A34" s="13"/>
      <c r="B34" s="257"/>
      <c r="C34" s="285"/>
      <c r="D34" s="17"/>
      <c r="E34" s="257"/>
      <c r="F34" s="285"/>
      <c r="G34" s="13"/>
      <c r="H34" s="257"/>
      <c r="I34" s="285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13"/>
      <c r="V34" s="13"/>
      <c r="W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257"/>
      <c r="O35" s="257"/>
      <c r="P35" s="257"/>
      <c r="Q35" s="257"/>
      <c r="R35" s="257"/>
      <c r="S35" s="257"/>
      <c r="T35" s="257"/>
      <c r="U35" s="13"/>
      <c r="V35" s="13"/>
      <c r="W35" s="13"/>
    </row>
    <row r="36">
      <c r="A36" s="13"/>
      <c r="B36" s="13"/>
      <c r="C36" s="13"/>
      <c r="D36" s="13"/>
      <c r="E36" s="13"/>
      <c r="F36" s="286"/>
      <c r="G36" s="13"/>
      <c r="H36" s="13"/>
      <c r="I36" s="13"/>
      <c r="J36" s="13"/>
      <c r="K36" s="13"/>
      <c r="L36" s="13"/>
      <c r="M36" s="13"/>
      <c r="N36" s="257"/>
      <c r="O36" s="257"/>
      <c r="P36" s="257"/>
      <c r="Q36" s="257"/>
      <c r="R36" s="257"/>
      <c r="S36" s="257"/>
      <c r="T36" s="257"/>
      <c r="U36" s="13"/>
      <c r="V36" s="13"/>
      <c r="W36" s="13"/>
    </row>
    <row r="37">
      <c r="A37" s="13"/>
      <c r="B37" s="287" t="s">
        <v>137</v>
      </c>
      <c r="D37" s="288">
        <v>307.0</v>
      </c>
      <c r="E37" s="289"/>
      <c r="F37" s="286"/>
      <c r="G37" s="13"/>
      <c r="H37" s="13"/>
      <c r="I37" s="13"/>
      <c r="J37" s="13"/>
      <c r="K37" s="287" t="s">
        <v>188</v>
      </c>
      <c r="M37" s="288">
        <v>35.0</v>
      </c>
      <c r="N37" s="13"/>
      <c r="O37" s="257"/>
      <c r="P37" s="257"/>
      <c r="Q37" s="13"/>
      <c r="R37" s="13"/>
      <c r="S37" s="13"/>
      <c r="T37" s="13"/>
      <c r="U37" s="13"/>
      <c r="V37" s="13"/>
      <c r="W37" s="13"/>
    </row>
    <row r="38">
      <c r="A38" s="13"/>
      <c r="B38" s="11" t="s">
        <v>138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12"/>
      <c r="N38" s="13"/>
      <c r="O38" s="257"/>
      <c r="P38" s="257"/>
      <c r="Q38" s="13"/>
      <c r="R38" s="13"/>
      <c r="S38" s="13"/>
      <c r="T38" s="13"/>
      <c r="U38" s="13"/>
      <c r="V38" s="13"/>
      <c r="W38" s="13"/>
    </row>
    <row r="39">
      <c r="A39" s="13"/>
      <c r="B39" s="291" t="s">
        <v>139</v>
      </c>
      <c r="C39" s="292" t="s">
        <v>140</v>
      </c>
      <c r="D39" s="292" t="s">
        <v>189</v>
      </c>
      <c r="E39" s="292" t="s">
        <v>190</v>
      </c>
      <c r="F39" s="292" t="s">
        <v>191</v>
      </c>
      <c r="G39" s="334" t="s">
        <v>192</v>
      </c>
      <c r="H39" s="292" t="s">
        <v>141</v>
      </c>
      <c r="I39" s="292" t="s">
        <v>193</v>
      </c>
      <c r="J39" s="292" t="s">
        <v>194</v>
      </c>
      <c r="K39" s="292" t="s">
        <v>195</v>
      </c>
      <c r="L39" s="292" t="s">
        <v>196</v>
      </c>
      <c r="M39" s="292" t="s">
        <v>142</v>
      </c>
      <c r="N39" s="13"/>
      <c r="O39" s="257"/>
      <c r="P39" s="257"/>
      <c r="Q39" s="13"/>
      <c r="R39" s="13"/>
      <c r="S39" s="13"/>
      <c r="T39" s="13"/>
      <c r="U39" s="13"/>
      <c r="V39" s="13"/>
      <c r="W39" s="13"/>
    </row>
    <row r="40">
      <c r="A40" s="296" t="b">
        <v>0</v>
      </c>
      <c r="B40" s="297" t="s">
        <v>197</v>
      </c>
      <c r="C40" s="311">
        <v>3001.0</v>
      </c>
      <c r="D40" s="312">
        <v>3878.0</v>
      </c>
      <c r="E40" s="335">
        <v>1.4095</v>
      </c>
      <c r="F40" s="257" t="s">
        <v>198</v>
      </c>
      <c r="G40" s="310">
        <v>30.0</v>
      </c>
      <c r="H40" s="302">
        <v>25.0</v>
      </c>
      <c r="I40" s="299">
        <v>0.0</v>
      </c>
      <c r="J40" s="336">
        <v>5.0</v>
      </c>
      <c r="K40" s="285">
        <v>1.65625</v>
      </c>
      <c r="L40" s="337">
        <v>75.5</v>
      </c>
      <c r="M40" s="338">
        <v>120.04</v>
      </c>
      <c r="N40" s="13"/>
      <c r="O40" s="257"/>
      <c r="P40" s="257"/>
      <c r="Q40" s="13"/>
      <c r="R40" s="13"/>
      <c r="S40" s="13"/>
      <c r="T40" s="13"/>
      <c r="U40" s="13"/>
      <c r="V40" s="13"/>
      <c r="W40" s="13"/>
    </row>
    <row r="41">
      <c r="A41" s="296" t="b">
        <v>0</v>
      </c>
      <c r="B41" s="297" t="s">
        <v>199</v>
      </c>
      <c r="C41" s="311">
        <v>1997.0</v>
      </c>
      <c r="D41" s="312">
        <v>2374.0</v>
      </c>
      <c r="E41" s="339">
        <v>0.9804</v>
      </c>
      <c r="F41" s="257" t="s">
        <v>198</v>
      </c>
      <c r="G41" s="310">
        <v>38.0</v>
      </c>
      <c r="H41" s="302">
        <v>32.0</v>
      </c>
      <c r="I41" s="299">
        <v>3.0</v>
      </c>
      <c r="J41" s="340">
        <v>3.0</v>
      </c>
      <c r="K41" s="285">
        <v>1.8645833333333333</v>
      </c>
      <c r="L41" s="341">
        <v>44.63</v>
      </c>
      <c r="M41" s="342">
        <v>62.41</v>
      </c>
      <c r="N41" s="13"/>
      <c r="O41" s="257"/>
      <c r="P41" s="257"/>
      <c r="Q41" s="13"/>
      <c r="R41" s="13"/>
      <c r="S41" s="13"/>
      <c r="T41" s="13"/>
      <c r="U41" s="13"/>
      <c r="V41" s="13"/>
      <c r="W41" s="13"/>
    </row>
    <row r="42">
      <c r="A42" s="296" t="b">
        <v>0</v>
      </c>
      <c r="B42" s="297" t="s">
        <v>200</v>
      </c>
      <c r="C42" s="311">
        <v>1329.0</v>
      </c>
      <c r="D42" s="312">
        <v>2308.0</v>
      </c>
      <c r="E42" s="343">
        <v>1.16</v>
      </c>
      <c r="F42" s="257" t="s">
        <v>198</v>
      </c>
      <c r="G42" s="310">
        <v>10.0</v>
      </c>
      <c r="H42" s="302">
        <v>9.0</v>
      </c>
      <c r="I42" s="299">
        <v>2.0</v>
      </c>
      <c r="J42" s="344">
        <v>-1.0</v>
      </c>
      <c r="K42" s="285">
        <v>1.0402777777777779</v>
      </c>
      <c r="L42" s="345">
        <v>53.23</v>
      </c>
      <c r="M42" s="346">
        <v>147.67</v>
      </c>
      <c r="N42" s="13"/>
      <c r="O42" s="257"/>
      <c r="P42" s="257"/>
      <c r="Q42" s="13"/>
      <c r="R42" s="13"/>
      <c r="S42" s="13"/>
      <c r="T42" s="13"/>
      <c r="U42" s="13"/>
      <c r="V42" s="13"/>
      <c r="W42" s="13"/>
    </row>
    <row r="43">
      <c r="A43" s="296" t="b">
        <v>0</v>
      </c>
      <c r="B43" s="297" t="s">
        <v>201</v>
      </c>
      <c r="C43" s="311">
        <v>4323.0</v>
      </c>
      <c r="D43" s="312">
        <v>5631.0</v>
      </c>
      <c r="E43" s="347">
        <v>1.1714</v>
      </c>
      <c r="F43" s="257" t="s">
        <v>202</v>
      </c>
      <c r="G43" s="310">
        <v>41.0</v>
      </c>
      <c r="H43" s="302">
        <v>33.0</v>
      </c>
      <c r="I43" s="299">
        <v>4.0</v>
      </c>
      <c r="J43" s="348">
        <v>4.0</v>
      </c>
      <c r="K43" s="285">
        <v>3.0527777777777776</v>
      </c>
      <c r="L43" s="349">
        <v>59.0</v>
      </c>
      <c r="M43" s="350">
        <v>131.0</v>
      </c>
      <c r="N43" s="13"/>
      <c r="O43" s="257"/>
      <c r="P43" s="257"/>
      <c r="Q43" s="13"/>
      <c r="R43" s="13"/>
      <c r="S43" s="13"/>
      <c r="T43" s="13"/>
      <c r="U43" s="13"/>
      <c r="V43" s="13"/>
      <c r="W43" s="13"/>
    </row>
    <row r="44">
      <c r="A44" s="296" t="b">
        <v>1</v>
      </c>
      <c r="B44" s="297" t="s">
        <v>177</v>
      </c>
      <c r="C44" s="311">
        <v>1699.0</v>
      </c>
      <c r="D44" s="312">
        <v>2644.0</v>
      </c>
      <c r="E44" s="351">
        <v>0.904</v>
      </c>
      <c r="F44" s="257" t="s">
        <v>202</v>
      </c>
      <c r="G44" s="310">
        <v>30.0</v>
      </c>
      <c r="H44" s="302">
        <v>15.0</v>
      </c>
      <c r="I44" s="299">
        <v>3.0</v>
      </c>
      <c r="J44" s="352">
        <v>12.0</v>
      </c>
      <c r="K44" s="285">
        <v>2.25</v>
      </c>
      <c r="L44" s="353">
        <v>31.46</v>
      </c>
      <c r="M44" s="354">
        <v>113.27</v>
      </c>
      <c r="N44" s="13"/>
      <c r="O44" s="257"/>
      <c r="P44" s="257"/>
      <c r="Q44" s="13"/>
      <c r="R44" s="13"/>
      <c r="S44" s="13"/>
      <c r="T44" s="13"/>
      <c r="U44" s="13"/>
      <c r="V44" s="13"/>
      <c r="W44" s="13"/>
    </row>
    <row r="45">
      <c r="A45" s="305" t="b">
        <v>0</v>
      </c>
      <c r="B45" s="297" t="s">
        <v>172</v>
      </c>
      <c r="C45" s="311">
        <v>3119.0</v>
      </c>
      <c r="D45" s="312">
        <v>3952.0</v>
      </c>
      <c r="E45" s="355">
        <v>0.8023</v>
      </c>
      <c r="F45" s="257" t="s">
        <v>198</v>
      </c>
      <c r="G45" s="310">
        <v>31.0</v>
      </c>
      <c r="H45" s="302">
        <v>28.0</v>
      </c>
      <c r="I45" s="299">
        <v>1.0</v>
      </c>
      <c r="J45" s="356">
        <v>2.0</v>
      </c>
      <c r="K45" s="285">
        <v>3.0659722222222223</v>
      </c>
      <c r="L45" s="357">
        <v>42.39</v>
      </c>
      <c r="M45" s="358">
        <v>111.39</v>
      </c>
      <c r="N45" s="13"/>
      <c r="O45" s="257"/>
      <c r="P45" s="257"/>
      <c r="Q45" s="13"/>
      <c r="R45" s="13"/>
      <c r="S45" s="13"/>
      <c r="T45" s="13"/>
      <c r="U45" s="13"/>
      <c r="V45" s="13"/>
      <c r="W45" s="13"/>
    </row>
    <row r="46">
      <c r="A46" s="296" t="b">
        <v>0</v>
      </c>
      <c r="B46" s="297" t="s">
        <v>178</v>
      </c>
      <c r="C46" s="311">
        <v>2692.0</v>
      </c>
      <c r="D46" s="312">
        <v>3307.0</v>
      </c>
      <c r="E46" s="359">
        <v>0.8898</v>
      </c>
      <c r="F46" s="257" t="s">
        <v>198</v>
      </c>
      <c r="G46" s="310">
        <v>31.0</v>
      </c>
      <c r="H46" s="302">
        <v>33.0</v>
      </c>
      <c r="I46" s="299">
        <v>0.0</v>
      </c>
      <c r="J46" s="360">
        <v>-2.0</v>
      </c>
      <c r="K46" s="285">
        <v>2.8743055555555554</v>
      </c>
      <c r="L46" s="361">
        <v>39.02</v>
      </c>
      <c r="M46" s="362">
        <v>81.58</v>
      </c>
      <c r="N46" s="13"/>
      <c r="O46" s="257"/>
      <c r="P46" s="257"/>
      <c r="Q46" s="13"/>
      <c r="R46" s="13"/>
      <c r="S46" s="13"/>
      <c r="T46" s="13"/>
      <c r="U46" s="13"/>
      <c r="V46" s="13"/>
      <c r="W46" s="13"/>
    </row>
    <row r="47">
      <c r="A47" s="296" t="b">
        <v>0</v>
      </c>
      <c r="B47" s="297" t="s">
        <v>176</v>
      </c>
      <c r="C47" s="311">
        <v>89.0</v>
      </c>
      <c r="D47" s="312">
        <v>767.0</v>
      </c>
      <c r="E47" s="363">
        <v>0.7411</v>
      </c>
      <c r="F47" s="257" t="s">
        <v>202</v>
      </c>
      <c r="G47" s="310">
        <v>11.0</v>
      </c>
      <c r="H47" s="302">
        <v>2.0</v>
      </c>
      <c r="I47" s="299">
        <v>0.0</v>
      </c>
      <c r="J47" s="364">
        <v>9.0</v>
      </c>
      <c r="K47" s="285">
        <v>0.10416666666666667</v>
      </c>
      <c r="L47" s="365">
        <v>35.6</v>
      </c>
      <c r="M47" s="366">
        <v>44.5</v>
      </c>
      <c r="N47" s="13"/>
      <c r="O47" s="257"/>
      <c r="P47" s="257"/>
      <c r="Q47" s="13"/>
      <c r="R47" s="13"/>
      <c r="S47" s="13"/>
      <c r="T47" s="13"/>
      <c r="U47" s="13"/>
      <c r="V47" s="13"/>
      <c r="W47" s="13"/>
    </row>
    <row r="48">
      <c r="A48" s="296" t="b">
        <v>0</v>
      </c>
      <c r="B48" s="297" t="s">
        <v>203</v>
      </c>
      <c r="C48" s="311">
        <v>4195.0</v>
      </c>
      <c r="D48" s="312">
        <v>4947.0</v>
      </c>
      <c r="E48" s="367">
        <v>0.9223</v>
      </c>
      <c r="F48" s="257" t="s">
        <v>202</v>
      </c>
      <c r="G48" s="310">
        <v>30.0</v>
      </c>
      <c r="H48" s="302">
        <v>28.0</v>
      </c>
      <c r="I48" s="299">
        <v>2.0</v>
      </c>
      <c r="J48" s="368">
        <v>0.0</v>
      </c>
      <c r="K48" s="285">
        <v>3.5243055555555554</v>
      </c>
      <c r="L48" s="369">
        <v>49.6</v>
      </c>
      <c r="M48" s="370">
        <v>149.82</v>
      </c>
      <c r="N48" s="13"/>
      <c r="O48" s="257"/>
      <c r="P48" s="257"/>
      <c r="Q48" s="13"/>
      <c r="R48" s="13"/>
      <c r="S48" s="13"/>
      <c r="T48" s="13"/>
      <c r="U48" s="13"/>
      <c r="V48" s="13"/>
      <c r="W48" s="13"/>
    </row>
    <row r="49">
      <c r="A49" s="296" t="b">
        <v>0</v>
      </c>
      <c r="B49" s="297" t="s">
        <v>204</v>
      </c>
      <c r="C49" s="311">
        <v>800.0</v>
      </c>
      <c r="D49" s="312">
        <v>800.0</v>
      </c>
      <c r="E49" s="371">
        <v>1.0012</v>
      </c>
      <c r="F49" s="257" t="s">
        <v>205</v>
      </c>
      <c r="G49" s="310">
        <v>19.0</v>
      </c>
      <c r="H49" s="302">
        <v>11.0</v>
      </c>
      <c r="I49" s="299">
        <v>1.0</v>
      </c>
      <c r="J49" s="372">
        <v>7.0</v>
      </c>
      <c r="K49" s="285">
        <v>1.3916666666666666</v>
      </c>
      <c r="L49" s="373">
        <v>23.95</v>
      </c>
      <c r="M49" s="374">
        <v>72.73</v>
      </c>
      <c r="N49" s="13"/>
      <c r="O49" s="257"/>
      <c r="P49" s="257"/>
      <c r="Q49" s="13"/>
      <c r="R49" s="13"/>
      <c r="S49" s="13"/>
      <c r="T49" s="13"/>
      <c r="U49" s="13"/>
      <c r="V49" s="13"/>
      <c r="W49" s="13"/>
    </row>
    <row r="50">
      <c r="A50" s="296" t="b">
        <v>0</v>
      </c>
      <c r="B50" s="297" t="s">
        <v>206</v>
      </c>
      <c r="C50" s="311">
        <v>1076.0</v>
      </c>
      <c r="D50" s="312">
        <v>1076.0</v>
      </c>
      <c r="E50" s="375">
        <v>0.8378</v>
      </c>
      <c r="F50" s="257" t="s">
        <v>202</v>
      </c>
      <c r="G50" s="310">
        <v>7.0</v>
      </c>
      <c r="H50" s="302">
        <v>8.0</v>
      </c>
      <c r="I50" s="299">
        <v>1.0</v>
      </c>
      <c r="J50" s="360">
        <v>-2.0</v>
      </c>
      <c r="K50" s="285">
        <v>0.8590277777777777</v>
      </c>
      <c r="L50" s="376">
        <v>52.19</v>
      </c>
      <c r="M50" s="377">
        <v>134.5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>
      <c r="A51" s="296" t="b">
        <v>0</v>
      </c>
      <c r="B51" s="297" t="s">
        <v>207</v>
      </c>
      <c r="C51" s="311">
        <v>798.0</v>
      </c>
      <c r="D51" s="312">
        <v>798.0</v>
      </c>
      <c r="E51" s="378">
        <v>1.1178</v>
      </c>
      <c r="F51" s="257" t="s">
        <v>208</v>
      </c>
      <c r="G51" s="310">
        <v>8.0</v>
      </c>
      <c r="H51" s="302">
        <v>8.0</v>
      </c>
      <c r="I51" s="299">
        <v>0.0</v>
      </c>
      <c r="J51" s="368">
        <v>0.0</v>
      </c>
      <c r="K51" s="285">
        <v>0.5576388888888889</v>
      </c>
      <c r="L51" s="379">
        <v>59.63</v>
      </c>
      <c r="M51" s="380">
        <v>99.75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>
      <c r="A52" s="296" t="b">
        <v>0</v>
      </c>
      <c r="B52" s="297" t="s">
        <v>209</v>
      </c>
      <c r="C52" s="311">
        <v>540.0</v>
      </c>
      <c r="D52" s="312">
        <v>540.0</v>
      </c>
      <c r="E52" s="381">
        <v>0.5113</v>
      </c>
      <c r="F52" s="257" t="s">
        <v>202</v>
      </c>
      <c r="G52" s="310">
        <v>8.0</v>
      </c>
      <c r="H52" s="299">
        <v>9.0</v>
      </c>
      <c r="I52" s="299">
        <v>1.0</v>
      </c>
      <c r="J52" s="360">
        <v>-2.0</v>
      </c>
      <c r="K52" s="285">
        <v>0.7784722222222222</v>
      </c>
      <c r="L52" s="382">
        <v>28.9</v>
      </c>
      <c r="M52" s="383">
        <v>60.0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>
      <c r="A53" s="296" t="b">
        <v>0</v>
      </c>
      <c r="B53" s="384" t="s">
        <v>210</v>
      </c>
      <c r="C53" s="385">
        <v>659.0</v>
      </c>
      <c r="D53" s="386">
        <v>659.0</v>
      </c>
      <c r="E53" s="387">
        <v>1.0059</v>
      </c>
      <c r="F53" s="388" t="s">
        <v>202</v>
      </c>
      <c r="G53" s="386">
        <v>7.0</v>
      </c>
      <c r="H53" s="386">
        <v>6.0</v>
      </c>
      <c r="I53" s="386">
        <v>1.0</v>
      </c>
      <c r="J53" s="389">
        <v>0.0</v>
      </c>
      <c r="K53" s="390">
        <v>0.6083333333333333</v>
      </c>
      <c r="L53" s="391">
        <v>45.14</v>
      </c>
      <c r="M53" s="392">
        <v>109.83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>
      <c r="A54" s="13"/>
      <c r="B54" s="13"/>
      <c r="C54" s="13"/>
      <c r="D54" s="13"/>
      <c r="E54" s="286"/>
      <c r="F54" s="13"/>
      <c r="G54" s="13"/>
      <c r="H54" s="13"/>
      <c r="I54" s="13"/>
      <c r="J54" s="314"/>
      <c r="K54" s="315"/>
      <c r="L54" s="17"/>
      <c r="M54" s="28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>
      <c r="A55" s="17"/>
      <c r="B55" s="13"/>
      <c r="C55" s="13"/>
      <c r="D55" s="13"/>
      <c r="E55" s="286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>
      <c r="A56" s="13"/>
      <c r="B56" s="13"/>
      <c r="C56" s="13"/>
      <c r="D56" s="13"/>
      <c r="E56" s="286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>
      <c r="A57" s="13"/>
      <c r="B57" s="13"/>
      <c r="C57" s="13"/>
      <c r="D57" s="13"/>
      <c r="E57" s="286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>
      <c r="A58" s="13"/>
      <c r="B58" s="13"/>
      <c r="C58" s="13"/>
      <c r="D58" s="13"/>
      <c r="E58" s="286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>
      <c r="A59" s="13"/>
      <c r="B59" s="13"/>
      <c r="C59" s="13"/>
      <c r="D59" s="13"/>
      <c r="E59" s="286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>
      <c r="A60" s="13"/>
      <c r="B60" s="13"/>
      <c r="C60" s="13"/>
      <c r="D60" s="13"/>
      <c r="E60" s="286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>
      <c r="A61" s="13"/>
      <c r="B61" s="13"/>
      <c r="C61" s="13"/>
      <c r="D61" s="13"/>
      <c r="E61" s="286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>
      <c r="A62" s="13"/>
      <c r="B62" s="13"/>
      <c r="C62" s="13"/>
      <c r="D62" s="13"/>
      <c r="E62" s="286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>
      <c r="A63" s="13"/>
      <c r="B63" s="13"/>
      <c r="C63" s="13"/>
      <c r="D63" s="13"/>
      <c r="E63" s="286"/>
      <c r="F63" s="13"/>
      <c r="G63" s="13"/>
      <c r="H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>
      <c r="A64" s="13"/>
      <c r="B64" s="13"/>
      <c r="C64" s="13"/>
      <c r="D64" s="13"/>
      <c r="E64" s="286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>
      <c r="A65" s="13"/>
      <c r="B65" s="13"/>
      <c r="C65" s="13"/>
      <c r="D65" s="13"/>
      <c r="E65" s="286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>
      <c r="A66" s="13"/>
      <c r="B66" s="13"/>
      <c r="C66" s="13"/>
      <c r="D66" s="13"/>
      <c r="E66" s="286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>
      <c r="A67" s="13"/>
      <c r="B67" s="13"/>
      <c r="C67" s="13"/>
      <c r="D67" s="13"/>
      <c r="E67" s="286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</sheetData>
  <mergeCells count="11">
    <mergeCell ref="B15:C15"/>
    <mergeCell ref="B37:C37"/>
    <mergeCell ref="K37:L37"/>
    <mergeCell ref="B38:M38"/>
    <mergeCell ref="C1:I2"/>
    <mergeCell ref="B5:C5"/>
    <mergeCell ref="E5:F5"/>
    <mergeCell ref="H5:I5"/>
    <mergeCell ref="U5:V5"/>
    <mergeCell ref="E15:F15"/>
    <mergeCell ref="H15:I15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sheetData>
    <row r="1">
      <c r="C1" s="7" t="s">
        <v>211</v>
      </c>
    </row>
    <row r="3">
      <c r="A3" s="393" t="str">
        <f>IFERROR(__xludf.DUMMYFUNCTION("IMPORTRANGE(""https://docs.google.com/spreadsheets/d/1P6EripOCRq6G1GNfS6HgdpZe7urZNpBheFHpX0WVjzc/edit?gid=1185132683#gid=1185132683"",""'Master Sheet'!A1:I31"")"),"# of ambassadors")</f>
        <v># of ambassadors</v>
      </c>
      <c r="B3" s="13"/>
      <c r="C3" s="13"/>
      <c r="D3" s="13"/>
      <c r="E3" s="13"/>
      <c r="F3" s="13"/>
      <c r="G3" s="13"/>
      <c r="H3" s="13"/>
      <c r="I3" s="13"/>
    </row>
    <row r="4">
      <c r="A4" s="394">
        <f>IFERROR(__xludf.DUMMYFUNCTION("""COMPUTED_VALUE"""),14.0)</f>
        <v>14</v>
      </c>
      <c r="B4" s="17"/>
      <c r="C4" s="395"/>
      <c r="D4" s="13"/>
      <c r="E4" s="13"/>
      <c r="F4" s="13"/>
      <c r="G4" s="13"/>
      <c r="H4" s="13"/>
      <c r="I4" s="13"/>
    </row>
    <row r="5">
      <c r="A5" s="17"/>
      <c r="B5" s="316" t="str">
        <f>IFERROR(__xludf.DUMMYFUNCTION("""COMPUTED_VALUE"""),"Mainfare Total Data")</f>
        <v>Mainfare Total Data</v>
      </c>
      <c r="C5" s="12"/>
      <c r="D5" s="13"/>
      <c r="E5" s="316" t="str">
        <f>IFERROR(__xludf.DUMMYFUNCTION("""COMPUTED_VALUE"""),"Butterfield Total Data")</f>
        <v>Butterfield Total Data</v>
      </c>
      <c r="F5" s="12"/>
      <c r="G5" s="13"/>
      <c r="H5" s="316" t="str">
        <f>IFERROR(__xludf.DUMMYFUNCTION("""COMPUTED_VALUE"""),"Total Data")</f>
        <v>Total Data</v>
      </c>
      <c r="I5" s="12"/>
    </row>
    <row r="6">
      <c r="A6" s="13" t="str">
        <f>IFERROR(__xludf.DUMMYFUNCTION("""COMPUTED_VALUE"""),"The total lbs collected (since hrs data been collected)")</f>
        <v>The total lbs collected (since hrs data been collected)</v>
      </c>
      <c r="B6" s="396" t="str">
        <f>IFERROR(__xludf.DUMMYFUNCTION("""COMPUTED_VALUE"""),"Total lbs")</f>
        <v>Total lbs</v>
      </c>
      <c r="C6" s="397">
        <f>IFERROR(__xludf.DUMMYFUNCTION("""COMPUTED_VALUE"""),17917.0)</f>
        <v>17917</v>
      </c>
      <c r="D6" s="17"/>
      <c r="E6" s="398" t="str">
        <f>IFERROR(__xludf.DUMMYFUNCTION("""COMPUTED_VALUE"""),"Total lbs")</f>
        <v>Total lbs</v>
      </c>
      <c r="F6" s="399">
        <f>IFERROR(__xludf.DUMMYFUNCTION("""COMPUTED_VALUE"""),16092.0)</f>
        <v>16092</v>
      </c>
      <c r="G6" s="13"/>
      <c r="H6" s="400" t="str">
        <f>IFERROR(__xludf.DUMMYFUNCTION("""COMPUTED_VALUE"""),"Total lbs")</f>
        <v>Total lbs</v>
      </c>
      <c r="I6" s="401">
        <f>IFERROR(__xludf.DUMMYFUNCTION("""COMPUTED_VALUE"""),34009.0)</f>
        <v>34009</v>
      </c>
    </row>
    <row r="7">
      <c r="A7" s="13" t="str">
        <f>IFERROR(__xludf.DUMMYFUNCTION("""COMPUTED_VALUE"""),"The average of the total lbs collected each day (since hrs data been collected)")</f>
        <v>The average of the total lbs collected each day (since hrs data been collected)</v>
      </c>
      <c r="B7" s="396" t="str">
        <f>IFERROR(__xludf.DUMMYFUNCTION("""COMPUTED_VALUE"""),"avg lb p/wrkday")</f>
        <v>avg lb p/wrkday</v>
      </c>
      <c r="C7" s="402">
        <f>IFERROR(__xludf.DUMMYFUNCTION("""COMPUTED_VALUE"""),267.4179104477612)</f>
        <v>267.4179104</v>
      </c>
      <c r="D7" s="17"/>
      <c r="E7" s="403" t="str">
        <f>IFERROR(__xludf.DUMMYFUNCTION("""COMPUTED_VALUE"""),"avg lb p/wrkday")</f>
        <v>avg lb p/wrkday</v>
      </c>
      <c r="F7" s="404">
        <f>IFERROR(__xludf.DUMMYFUNCTION("""COMPUTED_VALUE"""),255.42857142857144)</f>
        <v>255.4285714</v>
      </c>
      <c r="G7" s="13"/>
      <c r="H7" s="405" t="str">
        <f>IFERROR(__xludf.DUMMYFUNCTION("""COMPUTED_VALUE"""),"avg lb p/wrkday")</f>
        <v>avg lb p/wrkday</v>
      </c>
      <c r="I7" s="406">
        <f>IFERROR(__xludf.DUMMYFUNCTION("""COMPUTED_VALUE"""),507.5970149253731)</f>
        <v>507.5970149</v>
      </c>
    </row>
    <row r="8">
      <c r="A8" s="13" t="str">
        <f>IFERROR(__xludf.DUMMYFUNCTION("""COMPUTED_VALUE"""),"The total lbs collected over the total hours worked")</f>
        <v>The total lbs collected over the total hours worked</v>
      </c>
      <c r="B8" s="396" t="str">
        <f>IFERROR(__xludf.DUMMYFUNCTION("""COMPUTED_VALUE"""),"Total lbs/hr")</f>
        <v>Total lbs/hr</v>
      </c>
      <c r="C8" s="407">
        <f>IFERROR(__xludf.DUMMYFUNCTION("""COMPUTED_VALUE"""),60.99058209418418)</f>
        <v>60.99058209</v>
      </c>
      <c r="D8" s="28"/>
      <c r="E8" s="403" t="str">
        <f>IFERROR(__xludf.DUMMYFUNCTION("""COMPUTED_VALUE"""),"Total lbs/hr")</f>
        <v>Total lbs/hr</v>
      </c>
      <c r="F8" s="408">
        <f>IFERROR(__xludf.DUMMYFUNCTION("""COMPUTED_VALUE"""),42.43484375703223)</f>
        <v>42.43484376</v>
      </c>
      <c r="G8" s="28"/>
      <c r="H8" s="405" t="str">
        <f>IFERROR(__xludf.DUMMYFUNCTION("""COMPUTED_VALUE"""),"Total lbs/hr")</f>
        <v>Total lbs/hr</v>
      </c>
      <c r="I8" s="409">
        <f>IFERROR(__xludf.DUMMYFUNCTION("""COMPUTED_VALUE"""),50.53468387027706)</f>
        <v>50.53468387</v>
      </c>
      <c r="N8" s="4" t="s">
        <v>119</v>
      </c>
    </row>
    <row r="9">
      <c r="A9" s="13" t="str">
        <f>IFERROR(__xludf.DUMMYFUNCTION("""COMPUTED_VALUE"""),"The average of the hourly rate of each ambassador")</f>
        <v>The average of the hourly rate of each ambassador</v>
      </c>
      <c r="B9" s="396" t="str">
        <f>IFERROR(__xludf.DUMMYFUNCTION("""COMPUTED_VALUE"""),"avg ambassador lb p/hr")</f>
        <v>avg ambassador lb p/hr</v>
      </c>
      <c r="C9" s="407">
        <f>IFERROR(__xludf.DUMMYFUNCTION("""COMPUTED_VALUE"""),58.966613390488156)</f>
        <v>58.96661339</v>
      </c>
      <c r="D9" s="28"/>
      <c r="E9" s="403" t="str">
        <f>IFERROR(__xludf.DUMMYFUNCTION("""COMPUTED_VALUE"""),"avg ambassador lb p/hr")</f>
        <v>avg ambassador lb p/hr</v>
      </c>
      <c r="F9" s="408">
        <f>IFERROR(__xludf.DUMMYFUNCTION("""COMPUTED_VALUE"""),42.696513299901056)</f>
        <v>42.6965133</v>
      </c>
      <c r="G9" s="28"/>
      <c r="H9" s="405" t="str">
        <f>IFERROR(__xludf.DUMMYFUNCTION("""COMPUTED_VALUE"""),"avg ambassador lb p/hr")</f>
        <v>avg ambassador lb p/hr</v>
      </c>
      <c r="I9" s="409">
        <f>IFERROR(__xludf.DUMMYFUNCTION("""COMPUTED_VALUE"""),51.29753596732159)</f>
        <v>51.29753597</v>
      </c>
    </row>
    <row r="10">
      <c r="A10" s="13" t="str">
        <f>IFERROR(__xludf.DUMMYFUNCTION("""COMPUTED_VALUE"""),"The total hours worked")</f>
        <v>The total hours worked</v>
      </c>
      <c r="B10" s="396" t="str">
        <f>IFERROR(__xludf.DUMMYFUNCTION("""COMPUTED_VALUE"""),"Total hours")</f>
        <v>Total hours</v>
      </c>
      <c r="C10" s="410">
        <f>IFERROR(__xludf.DUMMYFUNCTION("""COMPUTED_VALUE"""),293.7666666688281)</f>
        <v>293.7666667</v>
      </c>
      <c r="D10" s="17"/>
      <c r="E10" s="403" t="str">
        <f>IFERROR(__xludf.DUMMYFUNCTION("""COMPUTED_VALUE"""),"Total hours")</f>
        <v>Total hours</v>
      </c>
      <c r="F10" s="411">
        <f>IFERROR(__xludf.DUMMYFUNCTION("""COMPUTED_VALUE"""),379.21666666519207)</f>
        <v>379.2166667</v>
      </c>
      <c r="G10" s="13"/>
      <c r="H10" s="405" t="str">
        <f>IFERROR(__xludf.DUMMYFUNCTION("""COMPUTED_VALUE"""),"Total hours")</f>
        <v>Total hours</v>
      </c>
      <c r="I10" s="412">
        <f>IFERROR(__xludf.DUMMYFUNCTION("""COMPUTED_VALUE"""),672.9833333340202)</f>
        <v>672.9833333</v>
      </c>
    </row>
    <row r="11">
      <c r="A11" s="13" t="str">
        <f>IFERROR(__xludf.DUMMYFUNCTION("""COMPUTED_VALUE"""),"The average of all of the hours worked each day")</f>
        <v>The average of all of the hours worked each day</v>
      </c>
      <c r="B11" s="413" t="str">
        <f>IFERROR(__xludf.DUMMYFUNCTION("""COMPUTED_VALUE"""),"avg hrs/day")</f>
        <v>avg hrs/day</v>
      </c>
      <c r="C11" s="414">
        <f>IFERROR(__xludf.DUMMYFUNCTION("""COMPUTED_VALUE"""),0.18269071310250506)</f>
        <v>0.1826907131</v>
      </c>
      <c r="D11" s="17"/>
      <c r="E11" s="415" t="str">
        <f>IFERROR(__xludf.DUMMYFUNCTION("""COMPUTED_VALUE"""),"avg hrs/day")</f>
        <v>avg hrs/day</v>
      </c>
      <c r="F11" s="416">
        <f>IFERROR(__xludf.DUMMYFUNCTION("""COMPUTED_VALUE"""),0.25080467372036513)</f>
        <v>0.2508046737</v>
      </c>
      <c r="G11" s="13"/>
      <c r="H11" s="417" t="str">
        <f>IFERROR(__xludf.DUMMYFUNCTION("""COMPUTED_VALUE"""),"avg hrs/day")</f>
        <v>avg hrs/day</v>
      </c>
      <c r="I11" s="418">
        <f>IFERROR(__xludf.DUMMYFUNCTION("""COMPUTED_VALUE"""),0.4185219734664305)</f>
        <v>0.4185219735</v>
      </c>
    </row>
    <row r="12">
      <c r="A12" s="419" t="str">
        <f>IFERROR(__xludf.DUMMYFUNCTION("""COMPUTED_VALUE"""),"The number of lbs of CO2 not emitted due to diversion")</f>
        <v>The number of lbs of CO2 not emitted due to diversion</v>
      </c>
      <c r="B12" s="420" t="str">
        <f>IFERROR(__xludf.DUMMYFUNCTION("""COMPUTED_VALUE"""),"Impact [lbs of Co2e]")</f>
        <v>Impact [lbs of Co2e]</v>
      </c>
      <c r="C12" s="421">
        <f>IFERROR(__xludf.DUMMYFUNCTION("""COMPUTED_VALUE"""),11386.791009999997)</f>
        <v>11386.79101</v>
      </c>
      <c r="D12" s="17"/>
      <c r="E12" s="422" t="str">
        <f>IFERROR(__xludf.DUMMYFUNCTION("""COMPUTED_VALUE"""),"Impact [lbs of Co2e]")</f>
        <v>Impact [lbs of Co2e]</v>
      </c>
      <c r="F12" s="423">
        <f>IFERROR(__xludf.DUMMYFUNCTION("""COMPUTED_VALUE"""),10226.94876)</f>
        <v>10226.94876</v>
      </c>
      <c r="G12" s="13"/>
      <c r="H12" s="424" t="str">
        <f>IFERROR(__xludf.DUMMYFUNCTION("""COMPUTED_VALUE"""),"Impact [lbs of Co2e]")</f>
        <v>Impact [lbs of Co2e]</v>
      </c>
      <c r="I12" s="425">
        <f>IFERROR(__xludf.DUMMYFUNCTION("""COMPUTED_VALUE"""),21613.73977)</f>
        <v>21613.73977</v>
      </c>
    </row>
    <row r="13">
      <c r="A13" s="13"/>
      <c r="B13" s="264"/>
      <c r="C13" s="28"/>
      <c r="D13" s="17"/>
      <c r="E13" s="264"/>
      <c r="F13" s="28"/>
      <c r="G13" s="13"/>
      <c r="H13" s="264"/>
      <c r="I13" s="28"/>
      <c r="J13" s="13"/>
      <c r="K13" s="13"/>
      <c r="L13" s="13"/>
      <c r="M13" s="13"/>
    </row>
    <row r="14">
      <c r="A14" s="13"/>
      <c r="B14" s="13"/>
      <c r="C14" s="13"/>
      <c r="D14" s="17"/>
      <c r="E14" s="13"/>
      <c r="F14" s="13"/>
      <c r="G14" s="13"/>
      <c r="H14" s="13"/>
      <c r="I14" s="13"/>
      <c r="J14" s="13"/>
      <c r="K14" s="13"/>
      <c r="L14" s="13"/>
      <c r="M14" s="13"/>
      <c r="S14" s="4" t="s">
        <v>119</v>
      </c>
    </row>
    <row r="15">
      <c r="A15" s="13"/>
      <c r="B15" s="426" t="str">
        <f>IFERROR(__xludf.DUMMYFUNCTION("""COMPUTED_VALUE"""),"Mainfare Weekday Data")</f>
        <v>Mainfare Weekday Data</v>
      </c>
      <c r="C15" s="272"/>
      <c r="D15" s="13"/>
      <c r="E15" s="426" t="str">
        <f>IFERROR(__xludf.DUMMYFUNCTION("""COMPUTED_VALUE"""),"Butterfield Weekday Data")</f>
        <v>Butterfield Weekday Data</v>
      </c>
      <c r="F15" s="272"/>
      <c r="G15" s="13"/>
      <c r="H15" s="426" t="str">
        <f>IFERROR(__xludf.DUMMYFUNCTION("""COMPUTED_VALUE"""),"Total Weekday Data")</f>
        <v>Total Weekday Data</v>
      </c>
      <c r="I15" s="272"/>
      <c r="J15" s="13"/>
      <c r="K15" s="13"/>
      <c r="L15" s="13"/>
      <c r="M15" s="13"/>
    </row>
    <row r="16">
      <c r="A16" s="13"/>
      <c r="B16" s="427" t="str">
        <f>IFERROR(__xludf.DUMMYFUNCTION("""COMPUTED_VALUE"""),"avg MF wkdy")</f>
        <v>avg MF wkdy</v>
      </c>
      <c r="C16" s="428" t="str">
        <f>IFERROR(__xludf.DUMMYFUNCTION("""COMPUTED_VALUE"""),"Avg lb's/WD")</f>
        <v>Avg lb's/WD</v>
      </c>
      <c r="D16" s="13" t="str">
        <f>IFERROR(__xludf.DUMMYFUNCTION("""COMPUTED_VALUE"""),"weekdays")</f>
        <v>weekdays</v>
      </c>
      <c r="E16" s="429" t="str">
        <f>IFERROR(__xludf.DUMMYFUNCTION("""COMPUTED_VALUE"""),"avg BF wkdy")</f>
        <v>avg BF wkdy</v>
      </c>
      <c r="F16" s="430" t="str">
        <f>IFERROR(__xludf.DUMMYFUNCTION("""COMPUTED_VALUE"""),"Avg lb's/WD")</f>
        <v>Avg lb's/WD</v>
      </c>
      <c r="G16" s="13"/>
      <c r="H16" s="431" t="str">
        <f>IFERROR(__xludf.DUMMYFUNCTION("""COMPUTED_VALUE"""),"avg wkdy")</f>
        <v>avg wkdy</v>
      </c>
      <c r="I16" s="432" t="str">
        <f>IFERROR(__xludf.DUMMYFUNCTION("""COMPUTED_VALUE"""),"Avg lb's/WD")</f>
        <v>Avg lb's/WD</v>
      </c>
      <c r="J16" s="13"/>
      <c r="K16" s="13"/>
      <c r="L16" s="13"/>
      <c r="M16" s="13"/>
      <c r="O16" s="4" t="s">
        <v>119</v>
      </c>
    </row>
    <row r="17">
      <c r="A17" s="13"/>
      <c r="B17" s="433" t="str">
        <f>IFERROR(__xludf.DUMMYFUNCTION("""COMPUTED_VALUE"""),"Mon")</f>
        <v>Mon</v>
      </c>
      <c r="C17" s="434">
        <f>IFERROR(__xludf.DUMMYFUNCTION("""COMPUTED_VALUE"""),312.25)</f>
        <v>312.25</v>
      </c>
      <c r="D17" s="13" t="str">
        <f>IFERROR(__xludf.DUMMYFUNCTION("""COMPUTED_VALUE"""),"Monday")</f>
        <v>Monday</v>
      </c>
      <c r="E17" s="433" t="str">
        <f>IFERROR(__xludf.DUMMYFUNCTION("""COMPUTED_VALUE"""),"Mon")</f>
        <v>Mon</v>
      </c>
      <c r="F17" s="435">
        <f>IFERROR(__xludf.DUMMYFUNCTION("""COMPUTED_VALUE"""),205.75)</f>
        <v>205.75</v>
      </c>
      <c r="G17" s="264"/>
      <c r="H17" s="433" t="str">
        <f>IFERROR(__xludf.DUMMYFUNCTION("""COMPUTED_VALUE"""),"Mon")</f>
        <v>Mon</v>
      </c>
      <c r="I17" s="436">
        <f>IFERROR(__xludf.DUMMYFUNCTION("""COMPUTED_VALUE"""),518.0)</f>
        <v>518</v>
      </c>
      <c r="J17" s="13"/>
      <c r="K17" s="13"/>
      <c r="L17" s="13"/>
      <c r="M17" s="13"/>
    </row>
    <row r="18">
      <c r="A18" s="13"/>
      <c r="B18" s="433" t="str">
        <f>IFERROR(__xludf.DUMMYFUNCTION("""COMPUTED_VALUE"""),"Tues")</f>
        <v>Tues</v>
      </c>
      <c r="C18" s="434">
        <f>IFERROR(__xludf.DUMMYFUNCTION("""COMPUTED_VALUE"""),316.7142857142857)</f>
        <v>316.7142857</v>
      </c>
      <c r="D18" s="13" t="str">
        <f>IFERROR(__xludf.DUMMYFUNCTION("""COMPUTED_VALUE"""),"Tuesday")</f>
        <v>Tuesday</v>
      </c>
      <c r="E18" s="433" t="str">
        <f>IFERROR(__xludf.DUMMYFUNCTION("""COMPUTED_VALUE"""),"Tues")</f>
        <v>Tues</v>
      </c>
      <c r="F18" s="435">
        <f>IFERROR(__xludf.DUMMYFUNCTION("""COMPUTED_VALUE"""),281.15384615384613)</f>
        <v>281.1538462</v>
      </c>
      <c r="G18" s="264"/>
      <c r="H18" s="433" t="str">
        <f>IFERROR(__xludf.DUMMYFUNCTION("""COMPUTED_VALUE"""),"Tues")</f>
        <v>Tues</v>
      </c>
      <c r="I18" s="436">
        <f>IFERROR(__xludf.DUMMYFUNCTION("""COMPUTED_VALUE"""),597.8681318681319)</f>
        <v>597.8681319</v>
      </c>
      <c r="J18" s="13"/>
      <c r="K18" s="13"/>
      <c r="L18" s="13"/>
      <c r="M18" s="13"/>
    </row>
    <row r="19">
      <c r="A19" s="13"/>
      <c r="B19" s="433" t="str">
        <f>IFERROR(__xludf.DUMMYFUNCTION("""COMPUTED_VALUE"""),"Wed")</f>
        <v>Wed</v>
      </c>
      <c r="C19" s="434">
        <f>IFERROR(__xludf.DUMMYFUNCTION("""COMPUTED_VALUE"""),231.76923076923077)</f>
        <v>231.7692308</v>
      </c>
      <c r="D19" s="13" t="str">
        <f>IFERROR(__xludf.DUMMYFUNCTION("""COMPUTED_VALUE"""),"Wednesday")</f>
        <v>Wednesday</v>
      </c>
      <c r="E19" s="433" t="str">
        <f>IFERROR(__xludf.DUMMYFUNCTION("""COMPUTED_VALUE"""),"Wed")</f>
        <v>Wed</v>
      </c>
      <c r="F19" s="435">
        <f>IFERROR(__xludf.DUMMYFUNCTION("""COMPUTED_VALUE"""),299.1666666666667)</f>
        <v>299.1666667</v>
      </c>
      <c r="G19" s="264"/>
      <c r="H19" s="433" t="str">
        <f>IFERROR(__xludf.DUMMYFUNCTION("""COMPUTED_VALUE"""),"Wed")</f>
        <v>Wed</v>
      </c>
      <c r="I19" s="436">
        <f>IFERROR(__xludf.DUMMYFUNCTION("""COMPUTED_VALUE"""),530.9358974358975)</f>
        <v>530.9358974</v>
      </c>
      <c r="J19" s="13"/>
      <c r="K19" s="13"/>
      <c r="L19" s="13"/>
      <c r="M19" s="13"/>
    </row>
    <row r="20">
      <c r="A20" s="13"/>
      <c r="B20" s="433" t="str">
        <f>IFERROR(__xludf.DUMMYFUNCTION("""COMPUTED_VALUE"""),"Thur")</f>
        <v>Thur</v>
      </c>
      <c r="C20" s="434">
        <f>IFERROR(__xludf.DUMMYFUNCTION("""COMPUTED_VALUE"""),178.0)</f>
        <v>178</v>
      </c>
      <c r="D20" s="13" t="str">
        <f>IFERROR(__xludf.DUMMYFUNCTION("""COMPUTED_VALUE"""),"Thursday")</f>
        <v>Thursday</v>
      </c>
      <c r="E20" s="433" t="str">
        <f>IFERROR(__xludf.DUMMYFUNCTION("""COMPUTED_VALUE"""),"Thur")</f>
        <v>Thur</v>
      </c>
      <c r="F20" s="435">
        <f>IFERROR(__xludf.DUMMYFUNCTION("""COMPUTED_VALUE"""),373.7692307692308)</f>
        <v>373.7692308</v>
      </c>
      <c r="G20" s="264"/>
      <c r="H20" s="433" t="str">
        <f>IFERROR(__xludf.DUMMYFUNCTION("""COMPUTED_VALUE"""),"Thur")</f>
        <v>Thur</v>
      </c>
      <c r="I20" s="436">
        <f>IFERROR(__xludf.DUMMYFUNCTION("""COMPUTED_VALUE"""),551.7692307692307)</f>
        <v>551.7692308</v>
      </c>
      <c r="J20" s="13"/>
      <c r="K20" s="13"/>
      <c r="L20" s="13"/>
      <c r="M20" s="13"/>
    </row>
    <row r="21">
      <c r="A21" s="13"/>
      <c r="B21" s="433" t="str">
        <f>IFERROR(__xludf.DUMMYFUNCTION("""COMPUTED_VALUE"""),"Fri")</f>
        <v>Fri</v>
      </c>
      <c r="C21" s="434">
        <f>IFERROR(__xludf.DUMMYFUNCTION("""COMPUTED_VALUE"""),302.2142857142857)</f>
        <v>302.2142857</v>
      </c>
      <c r="D21" s="13" t="str">
        <f>IFERROR(__xludf.DUMMYFUNCTION("""COMPUTED_VALUE"""),"Friday")</f>
        <v>Friday</v>
      </c>
      <c r="E21" s="433" t="str">
        <f>IFERROR(__xludf.DUMMYFUNCTION("""COMPUTED_VALUE"""),"Fri")</f>
        <v>Fri</v>
      </c>
      <c r="F21" s="435">
        <f>IFERROR(__xludf.DUMMYFUNCTION("""COMPUTED_VALUE"""),116.84615384615384)</f>
        <v>116.8461538</v>
      </c>
      <c r="G21" s="264"/>
      <c r="H21" s="433" t="str">
        <f>IFERROR(__xludf.DUMMYFUNCTION("""COMPUTED_VALUE"""),"Fri")</f>
        <v>Fri</v>
      </c>
      <c r="I21" s="436">
        <f>IFERROR(__xludf.DUMMYFUNCTION("""COMPUTED_VALUE"""),419.0604395604396)</f>
        <v>419.0604396</v>
      </c>
      <c r="J21" s="13"/>
      <c r="K21" s="13"/>
      <c r="L21" s="13"/>
      <c r="M21" s="13"/>
    </row>
    <row r="22">
      <c r="A22" s="13"/>
      <c r="B22" s="427" t="str">
        <f>IFERROR(__xludf.DUMMYFUNCTION("""COMPUTED_VALUE"""),"avg MF wkdy")</f>
        <v>avg MF wkdy</v>
      </c>
      <c r="C22" s="428" t="str">
        <f>IFERROR(__xludf.DUMMYFUNCTION("""COMPUTED_VALUE"""),"Avg lb's/hr/WD")</f>
        <v>Avg lb's/hr/WD</v>
      </c>
      <c r="D22" s="17" t="str">
        <f>IFERROR(__xludf.DUMMYFUNCTION("""COMPUTED_VALUE"""),"Saturday")</f>
        <v>Saturday</v>
      </c>
      <c r="E22" s="429" t="str">
        <f>IFERROR(__xludf.DUMMYFUNCTION("""COMPUTED_VALUE"""),"avg BF wkdy")</f>
        <v>avg BF wkdy</v>
      </c>
      <c r="F22" s="430" t="str">
        <f>IFERROR(__xludf.DUMMYFUNCTION("""COMPUTED_VALUE"""),"Avg lb's/hr/WD")</f>
        <v>Avg lb's/hr/WD</v>
      </c>
      <c r="G22" s="13"/>
      <c r="H22" s="431" t="str">
        <f>IFERROR(__xludf.DUMMYFUNCTION("""COMPUTED_VALUE"""),"avg wkdy")</f>
        <v>avg wkdy</v>
      </c>
      <c r="I22" s="432" t="str">
        <f>IFERROR(__xludf.DUMMYFUNCTION("""COMPUTED_VALUE"""),"Avg lb's/hr/WD")</f>
        <v>Avg lb's/hr/WD</v>
      </c>
      <c r="J22" s="13"/>
      <c r="K22" s="13"/>
      <c r="L22" s="13"/>
      <c r="M22" s="13"/>
    </row>
    <row r="23">
      <c r="A23" s="13"/>
      <c r="B23" s="433" t="str">
        <f>IFERROR(__xludf.DUMMYFUNCTION("""COMPUTED_VALUE"""),"Mon")</f>
        <v>Mon</v>
      </c>
      <c r="C23" s="407">
        <f>IFERROR(__xludf.DUMMYFUNCTION("""COMPUTED_VALUE"""),61.124314312145884)</f>
        <v>61.12431431</v>
      </c>
      <c r="D23" s="13"/>
      <c r="E23" s="433" t="str">
        <f>IFERROR(__xludf.DUMMYFUNCTION("""COMPUTED_VALUE"""),"Mon")</f>
        <v>Mon</v>
      </c>
      <c r="F23" s="408">
        <f>IFERROR(__xludf.DUMMYFUNCTION("""COMPUTED_VALUE"""),40.7802109335484)</f>
        <v>40.78021093</v>
      </c>
      <c r="G23" s="264"/>
      <c r="H23" s="433" t="str">
        <f>IFERROR(__xludf.DUMMYFUNCTION("""COMPUTED_VALUE"""),"Mon")</f>
        <v>Mon</v>
      </c>
      <c r="I23" s="409">
        <f>IFERROR(__xludf.DUMMYFUNCTION("""COMPUTED_VALUE"""),48.94093928655625)</f>
        <v>48.94093929</v>
      </c>
      <c r="J23" s="13"/>
      <c r="K23" s="13"/>
      <c r="L23" s="13"/>
      <c r="M23" s="13"/>
    </row>
    <row r="24">
      <c r="A24" s="13"/>
      <c r="B24" s="433" t="str">
        <f>IFERROR(__xludf.DUMMYFUNCTION("""COMPUTED_VALUE"""),"Tues")</f>
        <v>Tues</v>
      </c>
      <c r="C24" s="407">
        <f>IFERROR(__xludf.DUMMYFUNCTION("""COMPUTED_VALUE"""),73.63230351462434)</f>
        <v>73.63230351</v>
      </c>
      <c r="D24" s="17"/>
      <c r="E24" s="433" t="str">
        <f>IFERROR(__xludf.DUMMYFUNCTION("""COMPUTED_VALUE"""),"Tues")</f>
        <v>Tues</v>
      </c>
      <c r="F24" s="408">
        <f>IFERROR(__xludf.DUMMYFUNCTION("""COMPUTED_VALUE"""),51.97143691521045)</f>
        <v>51.97143692</v>
      </c>
      <c r="G24" s="264"/>
      <c r="H24" s="433" t="str">
        <f>IFERROR(__xludf.DUMMYFUNCTION("""COMPUTED_VALUE"""),"Tues")</f>
        <v>Tues</v>
      </c>
      <c r="I24" s="409">
        <f>IFERROR(__xludf.DUMMYFUNCTION("""COMPUTED_VALUE"""),60.59120428873315)</f>
        <v>60.59120429</v>
      </c>
      <c r="J24" s="13"/>
      <c r="K24" s="13"/>
      <c r="L24" s="13"/>
      <c r="M24" s="13"/>
    </row>
    <row r="25">
      <c r="A25" s="13"/>
      <c r="B25" s="433" t="str">
        <f>IFERROR(__xludf.DUMMYFUNCTION("""COMPUTED_VALUE"""),"Wed")</f>
        <v>Wed</v>
      </c>
      <c r="C25" s="407">
        <f>IFERROR(__xludf.DUMMYFUNCTION("""COMPUTED_VALUE"""),46.195151254591565)</f>
        <v>46.19515125</v>
      </c>
      <c r="D25" s="17"/>
      <c r="E25" s="433" t="str">
        <f>IFERROR(__xludf.DUMMYFUNCTION("""COMPUTED_VALUE"""),"Wed")</f>
        <v>Wed</v>
      </c>
      <c r="F25" s="408">
        <f>IFERROR(__xludf.DUMMYFUNCTION("""COMPUTED_VALUE"""),43.897060769346915)</f>
        <v>43.89706077</v>
      </c>
      <c r="G25" s="264"/>
      <c r="H25" s="433" t="str">
        <f>IFERROR(__xludf.DUMMYFUNCTION("""COMPUTED_VALUE"""),"Wed")</f>
        <v>Wed</v>
      </c>
      <c r="I25" s="409">
        <f>IFERROR(__xludf.DUMMYFUNCTION("""COMPUTED_VALUE"""),37.623025763478545)</f>
        <v>37.62302576</v>
      </c>
      <c r="J25" s="13"/>
      <c r="K25" s="13"/>
      <c r="L25" s="13"/>
      <c r="M25" s="13"/>
    </row>
    <row r="26">
      <c r="A26" s="13"/>
      <c r="B26" s="433" t="str">
        <f>IFERROR(__xludf.DUMMYFUNCTION("""COMPUTED_VALUE"""),"Thur")</f>
        <v>Thur</v>
      </c>
      <c r="C26" s="407">
        <f>IFERROR(__xludf.DUMMYFUNCTION("""COMPUTED_VALUE"""),56.62021951996427)</f>
        <v>56.62021952</v>
      </c>
      <c r="D26" s="17"/>
      <c r="E26" s="433" t="str">
        <f>IFERROR(__xludf.DUMMYFUNCTION("""COMPUTED_VALUE"""),"Thur")</f>
        <v>Thur</v>
      </c>
      <c r="F26" s="408">
        <f>IFERROR(__xludf.DUMMYFUNCTION("""COMPUTED_VALUE"""),41.00314410590195)</f>
        <v>41.00314411</v>
      </c>
      <c r="G26" s="264"/>
      <c r="H26" s="433" t="str">
        <f>IFERROR(__xludf.DUMMYFUNCTION("""COMPUTED_VALUE"""),"Thur")</f>
        <v>Thur</v>
      </c>
      <c r="I26" s="409">
        <f>IFERROR(__xludf.DUMMYFUNCTION("""COMPUTED_VALUE"""),47.03720747966842)</f>
        <v>47.03720748</v>
      </c>
      <c r="J26" s="13"/>
      <c r="K26" s="13"/>
      <c r="L26" s="13"/>
      <c r="M26" s="13"/>
    </row>
    <row r="27">
      <c r="A27" s="13"/>
      <c r="B27" s="437" t="str">
        <f>IFERROR(__xludf.DUMMYFUNCTION("""COMPUTED_VALUE"""),"Fri")</f>
        <v>Fri</v>
      </c>
      <c r="C27" s="421">
        <f>IFERROR(__xludf.DUMMYFUNCTION("""COMPUTED_VALUE"""),61.19405968512087)</f>
        <v>61.19405969</v>
      </c>
      <c r="D27" s="17"/>
      <c r="E27" s="437" t="str">
        <f>IFERROR(__xludf.DUMMYFUNCTION("""COMPUTED_VALUE"""),"Fri")</f>
        <v>Fri</v>
      </c>
      <c r="F27" s="423">
        <f>IFERROR(__xludf.DUMMYFUNCTION("""COMPUTED_VALUE"""),34.51982303807809)</f>
        <v>34.51982304</v>
      </c>
      <c r="G27" s="264"/>
      <c r="H27" s="437" t="str">
        <f>IFERROR(__xludf.DUMMYFUNCTION("""COMPUTED_VALUE"""),"Fri")</f>
        <v>Fri</v>
      </c>
      <c r="I27" s="425">
        <f>IFERROR(__xludf.DUMMYFUNCTION("""COMPUTED_VALUE"""),48.3232783090128)</f>
        <v>48.32327831</v>
      </c>
      <c r="J27" s="13"/>
      <c r="K27" s="13"/>
      <c r="L27" s="13"/>
      <c r="M27" s="13"/>
    </row>
    <row r="28">
      <c r="A28" s="13"/>
      <c r="B28" s="427" t="str">
        <f>IFERROR(__xludf.DUMMYFUNCTION("""COMPUTED_VALUE"""),"avg MF wkdy")</f>
        <v>avg MF wkdy</v>
      </c>
      <c r="C28" s="428" t="str">
        <f>IFERROR(__xludf.DUMMYFUNCTION("""COMPUTED_VALUE"""),"Avg hr/WD")</f>
        <v>Avg hr/WD</v>
      </c>
      <c r="D28" s="17"/>
      <c r="E28" s="429" t="str">
        <f>IFERROR(__xludf.DUMMYFUNCTION("""COMPUTED_VALUE"""),"avg BF wkdy")</f>
        <v>avg BF wkdy</v>
      </c>
      <c r="F28" s="430" t="str">
        <f>IFERROR(__xludf.DUMMYFUNCTION("""COMPUTED_VALUE"""),"Avg hr/WD")</f>
        <v>Avg hr/WD</v>
      </c>
      <c r="G28" s="13"/>
      <c r="H28" s="431" t="str">
        <f>IFERROR(__xludf.DUMMYFUNCTION("""COMPUTED_VALUE"""),"avg wkdy")</f>
        <v>avg wkdy</v>
      </c>
      <c r="I28" s="432" t="str">
        <f>IFERROR(__xludf.DUMMYFUNCTION("""COMPUTED_VALUE"""),"Avg hr/WD")</f>
        <v>Avg hr/WD</v>
      </c>
      <c r="J28" s="13"/>
      <c r="K28" s="13"/>
      <c r="L28" s="13"/>
      <c r="M28" s="13"/>
    </row>
    <row r="29">
      <c r="A29" s="13"/>
      <c r="B29" s="433" t="str">
        <f>IFERROR(__xludf.DUMMYFUNCTION("""COMPUTED_VALUE"""),"Mon")</f>
        <v>Mon</v>
      </c>
      <c r="C29" s="414">
        <f>IFERROR(__xludf.DUMMYFUNCTION("""COMPUTED_VALUE"""),0.22019675926154983)</f>
        <v>0.2201967593</v>
      </c>
      <c r="D29" s="17"/>
      <c r="E29" s="433" t="str">
        <f>IFERROR(__xludf.DUMMYFUNCTION("""COMPUTED_VALUE"""),"Mon")</f>
        <v>Mon</v>
      </c>
      <c r="F29" s="416">
        <f>IFERROR(__xludf.DUMMYFUNCTION("""COMPUTED_VALUE"""),0.2267361111110707)</f>
        <v>0.2267361111</v>
      </c>
      <c r="G29" s="13"/>
      <c r="H29" s="433" t="str">
        <f>IFERROR(__xludf.DUMMYFUNCTION("""COMPUTED_VALUE"""),"Mon")</f>
        <v>Mon</v>
      </c>
      <c r="I29" s="418">
        <f>IFERROR(__xludf.DUMMYFUNCTION("""COMPUTED_VALUE"""),0.4469328703726205)</f>
        <v>0.4469328704</v>
      </c>
      <c r="J29" s="13"/>
      <c r="K29" s="13"/>
      <c r="L29" s="13"/>
      <c r="M29" s="13"/>
    </row>
    <row r="30">
      <c r="A30" s="13"/>
      <c r="B30" s="433" t="str">
        <f>IFERROR(__xludf.DUMMYFUNCTION("""COMPUTED_VALUE"""),"Tues")</f>
        <v>Tues</v>
      </c>
      <c r="C30" s="414">
        <f>IFERROR(__xludf.DUMMYFUNCTION("""COMPUTED_VALUE"""),0.18928571428281546)</f>
        <v>0.1892857143</v>
      </c>
      <c r="D30" s="17"/>
      <c r="E30" s="433" t="str">
        <f>IFERROR(__xludf.DUMMYFUNCTION("""COMPUTED_VALUE"""),"Tues")</f>
        <v>Tues</v>
      </c>
      <c r="F30" s="416">
        <f>IFERROR(__xludf.DUMMYFUNCTION("""COMPUTED_VALUE"""),0.23974358974228382)</f>
        <v>0.2397435897</v>
      </c>
      <c r="G30" s="13"/>
      <c r="H30" s="433" t="str">
        <f>IFERROR(__xludf.DUMMYFUNCTION("""COMPUTED_VALUE"""),"Tues")</f>
        <v>Tues</v>
      </c>
      <c r="I30" s="418">
        <f>IFERROR(__xludf.DUMMYFUNCTION("""COMPUTED_VALUE"""),0.41190476190065045)</f>
        <v>0.4119047619</v>
      </c>
      <c r="J30" s="13"/>
      <c r="K30" s="13"/>
      <c r="L30" s="13"/>
      <c r="M30" s="13"/>
    </row>
    <row r="31">
      <c r="A31" s="13"/>
      <c r="B31" s="433" t="str">
        <f>IFERROR(__xludf.DUMMYFUNCTION("""COMPUTED_VALUE"""),"Wed")</f>
        <v>Wed</v>
      </c>
      <c r="C31" s="414">
        <f>IFERROR(__xludf.DUMMYFUNCTION("""COMPUTED_VALUE"""),0.16207264957707734)</f>
        <v>0.1620726496</v>
      </c>
      <c r="D31" s="17"/>
      <c r="E31" s="433" t="str">
        <f>IFERROR(__xludf.DUMMYFUNCTION("""COMPUTED_VALUE"""),"Wed")</f>
        <v>Wed</v>
      </c>
      <c r="F31" s="416">
        <f>IFERROR(__xludf.DUMMYFUNCTION("""COMPUTED_VALUE"""),0.28674768518323146)</f>
        <v>0.2867476852</v>
      </c>
      <c r="G31" s="13"/>
      <c r="H31" s="433" t="str">
        <f>IFERROR(__xludf.DUMMYFUNCTION("""COMPUTED_VALUE"""),"Wed")</f>
        <v>Wed</v>
      </c>
      <c r="I31" s="418">
        <f>IFERROR(__xludf.DUMMYFUNCTION("""COMPUTED_VALUE"""),0.4267628205154448)</f>
        <v>0.4267628205</v>
      </c>
      <c r="J31" s="13"/>
      <c r="K31" s="13"/>
      <c r="L31" s="13"/>
      <c r="M31" s="13"/>
    </row>
    <row r="32">
      <c r="A32" s="13"/>
      <c r="B32" s="433" t="str">
        <f>IFERROR(__xludf.DUMMYFUNCTION("""COMPUTED_VALUE"""),"Thur")</f>
        <v>Thur</v>
      </c>
      <c r="C32" s="414">
        <f>IFERROR(__xludf.DUMMYFUNCTION("""COMPUTED_VALUE"""),0.13229166666739425)</f>
        <v>0.1322916667</v>
      </c>
      <c r="D32" s="17"/>
      <c r="E32" s="433" t="str">
        <f>IFERROR(__xludf.DUMMYFUNCTION("""COMPUTED_VALUE"""),"Thur")</f>
        <v>Thur</v>
      </c>
      <c r="F32" s="416">
        <f>IFERROR(__xludf.DUMMYFUNCTION("""COMPUTED_VALUE"""),0.3547542735020845)</f>
        <v>0.3547542735</v>
      </c>
      <c r="G32" s="13"/>
      <c r="H32" s="433" t="str">
        <f>IFERROR(__xludf.DUMMYFUNCTION("""COMPUTED_VALUE"""),"Thur")</f>
        <v>Thur</v>
      </c>
      <c r="I32" s="418">
        <f>IFERROR(__xludf.DUMMYFUNCTION("""COMPUTED_VALUE"""),0.4617063492050442)</f>
        <v>0.4617063492</v>
      </c>
      <c r="J32" s="13"/>
      <c r="K32" s="13"/>
      <c r="L32" s="13"/>
      <c r="M32" s="13"/>
    </row>
    <row r="33">
      <c r="A33" s="13"/>
      <c r="B33" s="437" t="str">
        <f>IFERROR(__xludf.DUMMYFUNCTION("""COMPUTED_VALUE"""),"Fri")</f>
        <v>Fri</v>
      </c>
      <c r="C33" s="438">
        <f>IFERROR(__xludf.DUMMYFUNCTION("""COMPUTED_VALUE"""),0.21349206349459277)</f>
        <v>0.2134920635</v>
      </c>
      <c r="D33" s="17"/>
      <c r="E33" s="437" t="str">
        <f>IFERROR(__xludf.DUMMYFUNCTION("""COMPUTED_VALUE"""),"Fri")</f>
        <v>Fri</v>
      </c>
      <c r="F33" s="439">
        <f>IFERROR(__xludf.DUMMYFUNCTION("""COMPUTED_VALUE"""),0.14695512820573764)</f>
        <v>0.1469551282</v>
      </c>
      <c r="G33" s="13"/>
      <c r="H33" s="437" t="str">
        <f>IFERROR(__xludf.DUMMYFUNCTION("""COMPUTED_VALUE"""),"Fri")</f>
        <v>Fri</v>
      </c>
      <c r="I33" s="440">
        <f>IFERROR(__xludf.DUMMYFUNCTION("""COMPUTED_VALUE"""),0.349950396828492)</f>
        <v>0.3499503968</v>
      </c>
      <c r="J33" s="13"/>
      <c r="K33" s="13"/>
      <c r="L33" s="13"/>
      <c r="M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7">
      <c r="A37" s="13" t="str">
        <f>IFERROR(__xludf.DUMMYFUNCTION("IMPORTRANGE(""https://docs.google.com/spreadsheets/d/1P6EripOCRq6G1GNfS6HgdpZe7urZNpBheFHpX0WVjzc/edit?gid=1185132683#gid=1185132683"",""'Master Sheet'!A35:L51"")"),"")</f>
        <v/>
      </c>
      <c r="B37" s="441" t="str">
        <f>IFERROR(__xludf.DUMMYFUNCTION("""COMPUTED_VALUE"""),"[all time] shifts worked:")</f>
        <v>[all time] shifts worked:</v>
      </c>
      <c r="D37" s="442">
        <f>IFERROR(__xludf.DUMMYFUNCTION("""COMPUTED_VALUE"""),273.0)</f>
        <v>273</v>
      </c>
      <c r="E37" s="443">
        <f>IFERROR(__xludf.DUMMYFUNCTION("""COMPUTED_VALUE"""),1.255843839540592)</f>
        <v>1.25584384</v>
      </c>
      <c r="F37" s="286"/>
      <c r="G37" s="13"/>
      <c r="H37" s="13"/>
      <c r="I37" s="13"/>
      <c r="J37" s="441" t="str">
        <f>IFERROR(__xludf.DUMMYFUNCTION("""COMPUTED_VALUE"""),"[all time] shifts missed")</f>
        <v>[all time] shifts missed</v>
      </c>
      <c r="K37" s="272"/>
      <c r="L37" s="444">
        <f>IFERROR(__xludf.DUMMYFUNCTION("""COMPUTED_VALUE"""),102.0)</f>
        <v>102</v>
      </c>
    </row>
    <row r="38">
      <c r="A38" s="13"/>
      <c r="B38" s="316" t="str">
        <f>IFERROR(__xludf.DUMMYFUNCTION("""COMPUTED_VALUE"""),"Ambassador Data")</f>
        <v>Ambassador Data</v>
      </c>
      <c r="C38" s="47"/>
      <c r="D38" s="47"/>
      <c r="E38" s="47"/>
      <c r="F38" s="47"/>
      <c r="G38" s="47"/>
      <c r="H38" s="47"/>
      <c r="I38" s="47"/>
      <c r="J38" s="47"/>
      <c r="K38" s="47"/>
      <c r="L38" s="12"/>
      <c r="T38" s="4" t="s">
        <v>119</v>
      </c>
    </row>
    <row r="39">
      <c r="A39" s="13"/>
      <c r="B39" s="445" t="str">
        <f>IFERROR(__xludf.DUMMYFUNCTION("""COMPUTED_VALUE"""),"Ambassador")</f>
        <v>Ambassador</v>
      </c>
      <c r="C39" s="446" t="str">
        <f>IFERROR(__xludf.DUMMYFUNCTION("""COMPUTED_VALUE"""),"total lbs")</f>
        <v>total lbs</v>
      </c>
      <c r="D39" s="446" t="str">
        <f>IFERROR(__xludf.DUMMYFUNCTION("""COMPUTED_VALUE"""),"score")</f>
        <v>score</v>
      </c>
      <c r="E39" s="446" t="str">
        <f>IFERROR(__xludf.DUMMYFUNCTION("""COMPUTED_VALUE"""),"avg period")</f>
        <v>avg period</v>
      </c>
      <c r="F39" s="446" t="str">
        <f>IFERROR(__xludf.DUMMYFUNCTION("""COMPUTED_VALUE"""),"expected shifts as of 4/29/2026")</f>
        <v>expected shifts as of 4/29/2026</v>
      </c>
      <c r="G39" s="446" t="str">
        <f>IFERROR(__xludf.DUMMYFUNCTION("""COMPUTED_VALUE"""),"shifts worked")</f>
        <v>shifts worked</v>
      </c>
      <c r="H39" s="446" t="str">
        <f>IFERROR(__xludf.DUMMYFUNCTION("""COMPUTED_VALUE"""),"Worked Shifts")</f>
        <v>Worked Shifts</v>
      </c>
      <c r="I39" s="446" t="str">
        <f>IFERROR(__xludf.DUMMYFUNCTION("""COMPUTED_VALUE"""),"skipped shifts")</f>
        <v>skipped shifts</v>
      </c>
      <c r="J39" s="446" t="str">
        <f>IFERROR(__xludf.DUMMYFUNCTION("""COMPUTED_VALUE"""),"total hrs")</f>
        <v>total hrs</v>
      </c>
      <c r="K39" s="446" t="str">
        <f>IFERROR(__xludf.DUMMYFUNCTION("""COMPUTED_VALUE"""),"lb/hr")</f>
        <v>lb/hr</v>
      </c>
      <c r="L39" s="447" t="str">
        <f>IFERROR(__xludf.DUMMYFUNCTION("""COMPUTED_VALUE"""),"lb/shift")</f>
        <v>lb/shift</v>
      </c>
    </row>
    <row r="40">
      <c r="A40" s="448" t="b">
        <f>IFERROR(__xludf.DUMMYFUNCTION("""COMPUTED_VALUE"""),FALSE)</f>
        <v>0</v>
      </c>
      <c r="B40" s="449" t="str">
        <f>IFERROR(__xludf.DUMMYFUNCTION("""COMPUTED_VALUE"""),"Alexis Sylvestre")</f>
        <v>Alexis Sylvestre</v>
      </c>
      <c r="C40" s="450">
        <f>IFERROR(__xludf.DUMMYFUNCTION("""COMPUTED_VALUE"""),193.0)</f>
        <v>193</v>
      </c>
      <c r="D40" s="443">
        <f>IFERROR(__xludf.DUMMYFUNCTION("""COMPUTED_VALUE"""),0.8168182335458827)</f>
        <v>0.8168182335</v>
      </c>
      <c r="E40" s="443" t="str">
        <f>IFERROR(__xludf.DUMMYFUNCTION("""COMPUTED_VALUE"""),"Dinner")</f>
        <v>Dinner</v>
      </c>
      <c r="F40" s="451">
        <f>IFERROR(__xludf.DUMMYFUNCTION("""COMPUTED_VALUE"""),24.0)</f>
        <v>24</v>
      </c>
      <c r="G40" s="314">
        <f>IFERROR(__xludf.DUMMYFUNCTION("""COMPUTED_VALUE"""),3.0)</f>
        <v>3</v>
      </c>
      <c r="H40" s="314">
        <f>IFERROR(__xludf.DUMMYFUNCTION("""COMPUTED_VALUE"""),0.125)</f>
        <v>0.125</v>
      </c>
      <c r="I40" s="314">
        <f>IFERROR(__xludf.DUMMYFUNCTION("""COMPUTED_VALUE"""),21.0)</f>
        <v>21</v>
      </c>
      <c r="J40" s="452">
        <f>IFERROR(__xludf.DUMMYFUNCTION("""COMPUTED_VALUE"""),0.20138888889050577)</f>
        <v>0.2013888889</v>
      </c>
      <c r="K40" s="453">
        <f>IFERROR(__xludf.DUMMYFUNCTION("""COMPUTED_VALUE"""),39.93103448243803)</f>
        <v>39.93103448</v>
      </c>
      <c r="L40" s="454">
        <f>IFERROR(__xludf.DUMMYFUNCTION("""COMPUTED_VALUE"""),64.33333333333333)</f>
        <v>64.33333333</v>
      </c>
    </row>
    <row r="41">
      <c r="A41" s="448" t="b">
        <f>IFERROR(__xludf.DUMMYFUNCTION("""COMPUTED_VALUE"""),TRUE)</f>
        <v>1</v>
      </c>
      <c r="B41" s="455" t="str">
        <f>IFERROR(__xludf.DUMMYFUNCTION("""COMPUTED_VALUE"""),"Arjya Aich")</f>
        <v>Arjya Aich</v>
      </c>
      <c r="C41" s="450">
        <f>IFERROR(__xludf.DUMMYFUNCTION("""COMPUTED_VALUE"""),837.0)</f>
        <v>837</v>
      </c>
      <c r="D41" s="443">
        <f>IFERROR(__xludf.DUMMYFUNCTION("""COMPUTED_VALUE"""),0.7212173274084146)</f>
        <v>0.7212173274</v>
      </c>
      <c r="E41" s="443" t="str">
        <f>IFERROR(__xludf.DUMMYFUNCTION("""COMPUTED_VALUE"""),"Dinner")</f>
        <v>Dinner</v>
      </c>
      <c r="F41" s="451">
        <f>IFERROR(__xludf.DUMMYFUNCTION("""COMPUTED_VALUE"""),43.0)</f>
        <v>43</v>
      </c>
      <c r="G41" s="314">
        <f>IFERROR(__xludf.DUMMYFUNCTION("""COMPUTED_VALUE"""),11.0)</f>
        <v>11</v>
      </c>
      <c r="H41" s="314">
        <f>IFERROR(__xludf.DUMMYFUNCTION("""COMPUTED_VALUE"""),0.2558139534883721)</f>
        <v>0.2558139535</v>
      </c>
      <c r="I41" s="314">
        <f>IFERROR(__xludf.DUMMYFUNCTION("""COMPUTED_VALUE"""),32.0)</f>
        <v>32</v>
      </c>
      <c r="J41" s="452">
        <f>IFERROR(__xludf.DUMMYFUNCTION("""COMPUTED_VALUE"""),1.281250000007276)</f>
        <v>1.28125</v>
      </c>
      <c r="K41" s="453">
        <f>IFERROR(__xludf.DUMMYFUNCTION("""COMPUTED_VALUE"""),27.219512194967376)</f>
        <v>27.21951219</v>
      </c>
      <c r="L41" s="454">
        <f>IFERROR(__xludf.DUMMYFUNCTION("""COMPUTED_VALUE"""),76.0909090909091)</f>
        <v>76.09090909</v>
      </c>
    </row>
    <row r="42">
      <c r="A42" s="456" t="b">
        <f>IFERROR(__xludf.DUMMYFUNCTION("""COMPUTED_VALUE"""),FALSE)</f>
        <v>0</v>
      </c>
      <c r="B42" s="449" t="str">
        <f>IFERROR(__xludf.DUMMYFUNCTION("""COMPUTED_VALUE"""),"Brynn Hornig")</f>
        <v>Brynn Hornig</v>
      </c>
      <c r="C42" s="450">
        <f>IFERROR(__xludf.DUMMYFUNCTION("""COMPUTED_VALUE"""),3497.0)</f>
        <v>3497</v>
      </c>
      <c r="D42" s="443">
        <f>IFERROR(__xludf.DUMMYFUNCTION("""COMPUTED_VALUE"""),1.132529522355279)</f>
        <v>1.132529522</v>
      </c>
      <c r="E42" s="443" t="str">
        <f>IFERROR(__xludf.DUMMYFUNCTION("""COMPUTED_VALUE"""),"Lunch")</f>
        <v>Lunch</v>
      </c>
      <c r="F42" s="451">
        <f>IFERROR(__xludf.DUMMYFUNCTION("""COMPUTED_VALUE"""),33.0)</f>
        <v>33</v>
      </c>
      <c r="G42" s="314">
        <f>IFERROR(__xludf.DUMMYFUNCTION("""COMPUTED_VALUE"""),34.0)</f>
        <v>34</v>
      </c>
      <c r="H42" s="314">
        <f>IFERROR(__xludf.DUMMYFUNCTION("""COMPUTED_VALUE"""),1.0303030303030303)</f>
        <v>1.03030303</v>
      </c>
      <c r="I42" s="314">
        <f>IFERROR(__xludf.DUMMYFUNCTION("""COMPUTED_VALUE"""),-1.0)</f>
        <v>-1</v>
      </c>
      <c r="J42" s="452">
        <f>IFERROR(__xludf.DUMMYFUNCTION("""COMPUTED_VALUE"""),3.765277777778263)</f>
        <v>3.765277778</v>
      </c>
      <c r="K42" s="453">
        <f>IFERROR(__xludf.DUMMYFUNCTION("""COMPUTED_VALUE"""),38.69789745480873)</f>
        <v>38.69789745</v>
      </c>
      <c r="L42" s="454">
        <f>IFERROR(__xludf.DUMMYFUNCTION("""COMPUTED_VALUE"""),102.8529411764706)</f>
        <v>102.8529412</v>
      </c>
    </row>
    <row r="43">
      <c r="A43" s="457" t="b">
        <f>IFERROR(__xludf.DUMMYFUNCTION("""COMPUTED_VALUE"""),FALSE)</f>
        <v>0</v>
      </c>
      <c r="B43" s="455" t="str">
        <f>IFERROR(__xludf.DUMMYFUNCTION("""COMPUTED_VALUE"""),"Denise Romanszysn")</f>
        <v>Denise Romanszysn</v>
      </c>
      <c r="C43" s="450">
        <f>IFERROR(__xludf.DUMMYFUNCTION("""COMPUTED_VALUE"""),1347.0)</f>
        <v>1347</v>
      </c>
      <c r="D43" s="443">
        <f>IFERROR(__xludf.DUMMYFUNCTION("""COMPUTED_VALUE"""),1.5802533044981155)</f>
        <v>1.580253304</v>
      </c>
      <c r="E43" s="443" t="str">
        <f>IFERROR(__xludf.DUMMYFUNCTION("""COMPUTED_VALUE"""),"Breakfast")</f>
        <v>Breakfast</v>
      </c>
      <c r="F43" s="451">
        <f>IFERROR(__xludf.DUMMYFUNCTION("""COMPUTED_VALUE"""),31.0)</f>
        <v>31</v>
      </c>
      <c r="G43" s="314">
        <f>IFERROR(__xludf.DUMMYFUNCTION("""COMPUTED_VALUE"""),12.0)</f>
        <v>12</v>
      </c>
      <c r="H43" s="314">
        <f>IFERROR(__xludf.DUMMYFUNCTION("""COMPUTED_VALUE"""),0.3870967741935484)</f>
        <v>0.3870967742</v>
      </c>
      <c r="I43" s="314">
        <f>IFERROR(__xludf.DUMMYFUNCTION("""COMPUTED_VALUE"""),19.0)</f>
        <v>19</v>
      </c>
      <c r="J43" s="452">
        <f>IFERROR(__xludf.DUMMYFUNCTION("""COMPUTED_VALUE"""),0.9847222222451819)</f>
        <v>0.9847222222</v>
      </c>
      <c r="K43" s="453">
        <f>IFERROR(__xludf.DUMMYFUNCTION("""COMPUTED_VALUE"""),56.99576868696446)</f>
        <v>56.99576869</v>
      </c>
      <c r="L43" s="454">
        <f>IFERROR(__xludf.DUMMYFUNCTION("""COMPUTED_VALUE"""),112.25)</f>
        <v>112.25</v>
      </c>
    </row>
    <row r="44">
      <c r="A44" s="448" t="b">
        <f>IFERROR(__xludf.DUMMYFUNCTION("""COMPUTED_VALUE"""),FALSE)</f>
        <v>0</v>
      </c>
      <c r="B44" s="455" t="str">
        <f>IFERROR(__xludf.DUMMYFUNCTION("""COMPUTED_VALUE"""),"Emmett Khan")</f>
        <v>Emmett Khan</v>
      </c>
      <c r="C44" s="450">
        <f>IFERROR(__xludf.DUMMYFUNCTION("""COMPUTED_VALUE"""),2083.0)</f>
        <v>2083</v>
      </c>
      <c r="D44" s="443">
        <f>IFERROR(__xludf.DUMMYFUNCTION("""COMPUTED_VALUE"""),1.2475438460356)</f>
        <v>1.247543846</v>
      </c>
      <c r="E44" s="443" t="str">
        <f>IFERROR(__xludf.DUMMYFUNCTION("""COMPUTED_VALUE"""),"Dinner")</f>
        <v>Dinner</v>
      </c>
      <c r="F44" s="451">
        <f>IFERROR(__xludf.DUMMYFUNCTION("""COMPUTED_VALUE"""),22.0)</f>
        <v>22</v>
      </c>
      <c r="G44" s="314">
        <f>IFERROR(__xludf.DUMMYFUNCTION("""COMPUTED_VALUE"""),22.0)</f>
        <v>22</v>
      </c>
      <c r="H44" s="314">
        <f>IFERROR(__xludf.DUMMYFUNCTION("""COMPUTED_VALUE"""),1.0)</f>
        <v>1</v>
      </c>
      <c r="I44" s="314">
        <f>IFERROR(__xludf.DUMMYFUNCTION("""COMPUTED_VALUE"""),0.0)</f>
        <v>0</v>
      </c>
      <c r="J44" s="452">
        <f>IFERROR(__xludf.DUMMYFUNCTION("""COMPUTED_VALUE"""),1.3687500000063058)</f>
        <v>1.36875</v>
      </c>
      <c r="K44" s="453">
        <f>IFERROR(__xludf.DUMMYFUNCTION("""COMPUTED_VALUE"""),63.40943683380224)</f>
        <v>63.40943683</v>
      </c>
      <c r="L44" s="454">
        <f>IFERROR(__xludf.DUMMYFUNCTION("""COMPUTED_VALUE"""),94.68181818181819)</f>
        <v>94.68181818</v>
      </c>
    </row>
    <row r="45">
      <c r="A45" s="448" t="b">
        <f>IFERROR(__xludf.DUMMYFUNCTION("""COMPUTED_VALUE"""),FALSE)</f>
        <v>0</v>
      </c>
      <c r="B45" s="455" t="str">
        <f>IFERROR(__xludf.DUMMYFUNCTION("""COMPUTED_VALUE"""),"Evan Morgan")</f>
        <v>Evan Morgan</v>
      </c>
      <c r="C45" s="450">
        <f>IFERROR(__xludf.DUMMYFUNCTION("""COMPUTED_VALUE"""),1475.0)</f>
        <v>1475</v>
      </c>
      <c r="D45" s="443">
        <f>IFERROR(__xludf.DUMMYFUNCTION("""COMPUTED_VALUE"""),0.7187400010814504)</f>
        <v>0.7187400011</v>
      </c>
      <c r="E45" s="443" t="str">
        <f>IFERROR(__xludf.DUMMYFUNCTION("""COMPUTED_VALUE"""),"Lunch")</f>
        <v>Lunch</v>
      </c>
      <c r="F45" s="451">
        <f>IFERROR(__xludf.DUMMYFUNCTION("""COMPUTED_VALUE"""),32.0)</f>
        <v>32</v>
      </c>
      <c r="G45" s="314">
        <f>IFERROR(__xludf.DUMMYFUNCTION("""COMPUTED_VALUE"""),25.0)</f>
        <v>25</v>
      </c>
      <c r="H45" s="314">
        <f>IFERROR(__xludf.DUMMYFUNCTION("""COMPUTED_VALUE"""),0.78125)</f>
        <v>0.78125</v>
      </c>
      <c r="I45" s="314">
        <f>IFERROR(__xludf.DUMMYFUNCTION("""COMPUTED_VALUE"""),7.0)</f>
        <v>7</v>
      </c>
      <c r="J45" s="452">
        <f>IFERROR(__xludf.DUMMYFUNCTION("""COMPUTED_VALUE"""),1.276388888967631)</f>
        <v>1.276388889</v>
      </c>
      <c r="K45" s="453">
        <f>IFERROR(__xludf.DUMMYFUNCTION("""COMPUTED_VALUE"""),48.15016321792183)</f>
        <v>48.15016322</v>
      </c>
      <c r="L45" s="454">
        <f>IFERROR(__xludf.DUMMYFUNCTION("""COMPUTED_VALUE"""),59.0)</f>
        <v>59</v>
      </c>
    </row>
    <row r="46">
      <c r="A46" s="448" t="b">
        <f>IFERROR(__xludf.DUMMYFUNCTION("""COMPUTED_VALUE"""),FALSE)</f>
        <v>0</v>
      </c>
      <c r="B46" s="455" t="str">
        <f>IFERROR(__xludf.DUMMYFUNCTION("""COMPUTED_VALUE"""),"Kaylie Forgue")</f>
        <v>Kaylie Forgue</v>
      </c>
      <c r="C46" s="450">
        <f>IFERROR(__xludf.DUMMYFUNCTION("""COMPUTED_VALUE"""),2702.0)</f>
        <v>2702</v>
      </c>
      <c r="D46" s="443">
        <f>IFERROR(__xludf.DUMMYFUNCTION("""COMPUTED_VALUE"""),1.7982508294335553)</f>
        <v>1.798250829</v>
      </c>
      <c r="E46" s="443" t="str">
        <f>IFERROR(__xludf.DUMMYFUNCTION("""COMPUTED_VALUE"""),"Breakfast")</f>
        <v>Breakfast</v>
      </c>
      <c r="F46" s="451">
        <f>IFERROR(__xludf.DUMMYFUNCTION("""COMPUTED_VALUE"""),30.0)</f>
        <v>30</v>
      </c>
      <c r="G46" s="314">
        <f>IFERROR(__xludf.DUMMYFUNCTION("""COMPUTED_VALUE"""),29.0)</f>
        <v>29</v>
      </c>
      <c r="H46" s="314">
        <f>IFERROR(__xludf.DUMMYFUNCTION("""COMPUTED_VALUE"""),0.9666666666666667)</f>
        <v>0.9666666667</v>
      </c>
      <c r="I46" s="314">
        <f>IFERROR(__xludf.DUMMYFUNCTION("""COMPUTED_VALUE"""),1.0)</f>
        <v>1</v>
      </c>
      <c r="J46" s="452">
        <f>IFERROR(__xludf.DUMMYFUNCTION("""COMPUTED_VALUE"""),2.1763888888943863)</f>
        <v>2.176388889</v>
      </c>
      <c r="K46" s="453">
        <f>IFERROR(__xludf.DUMMYFUNCTION("""COMPUTED_VALUE"""),51.72941927236455)</f>
        <v>51.72941927</v>
      </c>
      <c r="L46" s="454">
        <f>IFERROR(__xludf.DUMMYFUNCTION("""COMPUTED_VALUE"""),93.17241379310344)</f>
        <v>93.17241379</v>
      </c>
    </row>
    <row r="47">
      <c r="A47" s="448" t="b">
        <f>IFERROR(__xludf.DUMMYFUNCTION("""COMPUTED_VALUE"""),FALSE)</f>
        <v>0</v>
      </c>
      <c r="B47" s="455" t="str">
        <f>IFERROR(__xludf.DUMMYFUNCTION("""COMPUTED_VALUE"""),"Kyra Turner")</f>
        <v>Kyra Turner</v>
      </c>
      <c r="C47" s="450">
        <f>IFERROR(__xludf.DUMMYFUNCTION("""COMPUTED_VALUE"""),4226.0)</f>
        <v>4226</v>
      </c>
      <c r="D47" s="443">
        <f>IFERROR(__xludf.DUMMYFUNCTION("""COMPUTED_VALUE"""),1.8056518316919286)</f>
        <v>1.805651832</v>
      </c>
      <c r="E47" s="443" t="str">
        <f>IFERROR(__xludf.DUMMYFUNCTION("""COMPUTED_VALUE"""),"Lunch")</f>
        <v>Lunch</v>
      </c>
      <c r="F47" s="451">
        <f>IFERROR(__xludf.DUMMYFUNCTION("""COMPUTED_VALUE"""),23.0)</f>
        <v>23</v>
      </c>
      <c r="G47" s="314">
        <f>IFERROR(__xludf.DUMMYFUNCTION("""COMPUTED_VALUE"""),23.0)</f>
        <v>23</v>
      </c>
      <c r="H47" s="314">
        <f>IFERROR(__xludf.DUMMYFUNCTION("""COMPUTED_VALUE"""),1.0)</f>
        <v>1</v>
      </c>
      <c r="I47" s="314">
        <f>IFERROR(__xludf.DUMMYFUNCTION("""COMPUTED_VALUE"""),0.0)</f>
        <v>0</v>
      </c>
      <c r="J47" s="452">
        <f>IFERROR(__xludf.DUMMYFUNCTION("""COMPUTED_VALUE"""),2.583333333300996)</f>
        <v>2.583333333</v>
      </c>
      <c r="K47" s="453">
        <f>IFERROR(__xludf.DUMMYFUNCTION("""COMPUTED_VALUE"""),68.16129032343387)</f>
        <v>68.16129032</v>
      </c>
      <c r="L47" s="454">
        <f>IFERROR(__xludf.DUMMYFUNCTION("""COMPUTED_VALUE"""),183.7391304347826)</f>
        <v>183.7391304</v>
      </c>
    </row>
    <row r="48">
      <c r="A48" s="448" t="b">
        <f>IFERROR(__xludf.DUMMYFUNCTION("""COMPUTED_VALUE"""),FALSE)</f>
        <v>0</v>
      </c>
      <c r="B48" s="455" t="str">
        <f>IFERROR(__xludf.DUMMYFUNCTION("""COMPUTED_VALUE"""),"Laila Maisuria")</f>
        <v>Laila Maisuria</v>
      </c>
      <c r="C48" s="450">
        <f>IFERROR(__xludf.DUMMYFUNCTION("""COMPUTED_VALUE"""),769.0)</f>
        <v>769</v>
      </c>
      <c r="D48" s="443">
        <f>IFERROR(__xludf.DUMMYFUNCTION("""COMPUTED_VALUE"""),0.9563401027565535)</f>
        <v>0.9563401028</v>
      </c>
      <c r="E48" s="443" t="str">
        <f>IFERROR(__xludf.DUMMYFUNCTION("""COMPUTED_VALUE"""),"Dinner")</f>
        <v>Dinner</v>
      </c>
      <c r="F48" s="451">
        <f>IFERROR(__xludf.DUMMYFUNCTION("""COMPUTED_VALUE"""),13.0)</f>
        <v>13</v>
      </c>
      <c r="G48" s="314">
        <f>IFERROR(__xludf.DUMMYFUNCTION("""COMPUTED_VALUE"""),6.0)</f>
        <v>6</v>
      </c>
      <c r="H48" s="314">
        <f>IFERROR(__xludf.DUMMYFUNCTION("""COMPUTED_VALUE"""),0.46153846153846156)</f>
        <v>0.4615384615</v>
      </c>
      <c r="I48" s="314">
        <f>IFERROR(__xludf.DUMMYFUNCTION("""COMPUTED_VALUE"""),7.0)</f>
        <v>7</v>
      </c>
      <c r="J48" s="452">
        <f>IFERROR(__xludf.DUMMYFUNCTION("""COMPUTED_VALUE"""),0.7006944444365217)</f>
        <v>0.7006944444</v>
      </c>
      <c r="K48" s="453">
        <f>IFERROR(__xludf.DUMMYFUNCTION("""COMPUTED_VALUE"""),45.72844400448137)</f>
        <v>45.728444</v>
      </c>
      <c r="L48" s="454">
        <f>IFERROR(__xludf.DUMMYFUNCTION("""COMPUTED_VALUE"""),128.16666666666666)</f>
        <v>128.1666667</v>
      </c>
    </row>
    <row r="49">
      <c r="A49" s="448" t="b">
        <f>IFERROR(__xludf.DUMMYFUNCTION("""COMPUTED_VALUE"""),FALSE)</f>
        <v>0</v>
      </c>
      <c r="B49" s="455" t="str">
        <f>IFERROR(__xludf.DUMMYFUNCTION("""COMPUTED_VALUE"""),"Leah Bucci")</f>
        <v>Leah Bucci</v>
      </c>
      <c r="C49" s="450">
        <f>IFERROR(__xludf.DUMMYFUNCTION("""COMPUTED_VALUE"""),4062.0)</f>
        <v>4062</v>
      </c>
      <c r="D49" s="443">
        <f>IFERROR(__xludf.DUMMYFUNCTION("""COMPUTED_VALUE"""),1.1599329176495163)</f>
        <v>1.159932918</v>
      </c>
      <c r="E49" s="443" t="str">
        <f>IFERROR(__xludf.DUMMYFUNCTION("""COMPUTED_VALUE"""),"Dinner")</f>
        <v>Dinner</v>
      </c>
      <c r="F49" s="451">
        <f>IFERROR(__xludf.DUMMYFUNCTION("""COMPUTED_VALUE"""),29.0)</f>
        <v>29</v>
      </c>
      <c r="G49" s="314">
        <f>IFERROR(__xludf.DUMMYFUNCTION("""COMPUTED_VALUE"""),26.0)</f>
        <v>26</v>
      </c>
      <c r="H49" s="314">
        <f>IFERROR(__xludf.DUMMYFUNCTION("""COMPUTED_VALUE"""),0.896551724137931)</f>
        <v>0.8965517241</v>
      </c>
      <c r="I49" s="314">
        <f>IFERROR(__xludf.DUMMYFUNCTION("""COMPUTED_VALUE"""),3.0)</f>
        <v>3</v>
      </c>
      <c r="J49" s="452">
        <f>IFERROR(__xludf.DUMMYFUNCTION("""COMPUTED_VALUE"""),3.1361111111036735)</f>
        <v>3.136111111</v>
      </c>
      <c r="K49" s="453">
        <f>IFERROR(__xludf.DUMMYFUNCTION("""COMPUTED_VALUE"""),53.96811337479584)</f>
        <v>53.96811337</v>
      </c>
      <c r="L49" s="454">
        <f>IFERROR(__xludf.DUMMYFUNCTION("""COMPUTED_VALUE"""),156.23076923076923)</f>
        <v>156.2307692</v>
      </c>
    </row>
    <row r="50">
      <c r="A50" s="448" t="b">
        <f>IFERROR(__xludf.DUMMYFUNCTION("""COMPUTED_VALUE"""),FALSE)</f>
        <v>0</v>
      </c>
      <c r="B50" s="455" t="str">
        <f>IFERROR(__xludf.DUMMYFUNCTION("""COMPUTED_VALUE"""),"Maureen Surgot")</f>
        <v>Maureen Surgot</v>
      </c>
      <c r="C50" s="458">
        <f>IFERROR(__xludf.DUMMYFUNCTION("""COMPUTED_VALUE"""),3159.0)</f>
        <v>3159</v>
      </c>
      <c r="D50" s="286">
        <f>IFERROR(__xludf.DUMMYFUNCTION("""COMPUTED_VALUE"""),1.0405187715265314)</f>
        <v>1.040518772</v>
      </c>
      <c r="E50" s="443" t="str">
        <f>IFERROR(__xludf.DUMMYFUNCTION("""COMPUTED_VALUE"""),"Dinner")</f>
        <v>Dinner</v>
      </c>
      <c r="F50" s="451">
        <f>IFERROR(__xludf.DUMMYFUNCTION("""COMPUTED_VALUE"""),21.0)</f>
        <v>21</v>
      </c>
      <c r="G50" s="314">
        <f>IFERROR(__xludf.DUMMYFUNCTION("""COMPUTED_VALUE"""),19.0)</f>
        <v>19</v>
      </c>
      <c r="H50" s="314">
        <f>IFERROR(__xludf.DUMMYFUNCTION("""COMPUTED_VALUE"""),0.9047619047619048)</f>
        <v>0.9047619048</v>
      </c>
      <c r="I50" s="314">
        <f>IFERROR(__xludf.DUMMYFUNCTION("""COMPUTED_VALUE"""),2.0)</f>
        <v>2</v>
      </c>
      <c r="J50" s="452">
        <f>IFERROR(__xludf.DUMMYFUNCTION("""COMPUTED_VALUE"""),2.7986111110876664)</f>
        <v>2.798611111</v>
      </c>
      <c r="K50" s="453">
        <f>IFERROR(__xludf.DUMMYFUNCTION("""COMPUTED_VALUE"""),47.03225806491013)</f>
        <v>47.03225806</v>
      </c>
      <c r="L50" s="454">
        <f>IFERROR(__xludf.DUMMYFUNCTION("""COMPUTED_VALUE"""),166.26315789473685)</f>
        <v>166.2631579</v>
      </c>
    </row>
    <row r="51">
      <c r="A51" s="448" t="b">
        <f>IFERROR(__xludf.DUMMYFUNCTION("""COMPUTED_VALUE"""),FALSE)</f>
        <v>0</v>
      </c>
      <c r="B51" s="455" t="str">
        <f>IFERROR(__xludf.DUMMYFUNCTION("""COMPUTED_VALUE"""),"Oluwatimilehin Shodipe")</f>
        <v>Oluwatimilehin Shodipe</v>
      </c>
      <c r="C51" s="458">
        <f>IFERROR(__xludf.DUMMYFUNCTION("""COMPUTED_VALUE"""),2591.0)</f>
        <v>2591</v>
      </c>
      <c r="D51" s="286">
        <f>IFERROR(__xludf.DUMMYFUNCTION("""COMPUTED_VALUE"""),1.1003270047387097)</f>
        <v>1.100327005</v>
      </c>
      <c r="E51" s="443" t="str">
        <f>IFERROR(__xludf.DUMMYFUNCTION("""COMPUTED_VALUE"""),"Lunch")</f>
        <v>Lunch</v>
      </c>
      <c r="F51" s="451">
        <f>IFERROR(__xludf.DUMMYFUNCTION("""COMPUTED_VALUE"""),32.0)</f>
        <v>32</v>
      </c>
      <c r="G51" s="314">
        <f>IFERROR(__xludf.DUMMYFUNCTION("""COMPUTED_VALUE"""),26.0)</f>
        <v>26</v>
      </c>
      <c r="H51" s="314">
        <f>IFERROR(__xludf.DUMMYFUNCTION("""COMPUTED_VALUE"""),0.8125)</f>
        <v>0.8125</v>
      </c>
      <c r="I51" s="314">
        <f>IFERROR(__xludf.DUMMYFUNCTION("""COMPUTED_VALUE"""),6.0)</f>
        <v>6</v>
      </c>
      <c r="J51" s="452">
        <f>IFERROR(__xludf.DUMMYFUNCTION("""COMPUTED_VALUE"""),2.2249999999831847)</f>
        <v>2.225</v>
      </c>
      <c r="K51" s="453">
        <f>IFERROR(__xludf.DUMMYFUNCTION("""COMPUTED_VALUE"""),48.520599251303025)</f>
        <v>48.52059925</v>
      </c>
      <c r="L51" s="454">
        <f>IFERROR(__xludf.DUMMYFUNCTION("""COMPUTED_VALUE"""),99.65384615384616)</f>
        <v>99.65384615</v>
      </c>
    </row>
    <row r="52">
      <c r="A52" s="448" t="b">
        <f>IFERROR(__xludf.DUMMYFUNCTION("""COMPUTED_VALUE"""),FALSE)</f>
        <v>0</v>
      </c>
      <c r="B52" s="455" t="str">
        <f>IFERROR(__xludf.DUMMYFUNCTION("""COMPUTED_VALUE"""),"Orpheus Wilson")</f>
        <v>Orpheus Wilson</v>
      </c>
      <c r="C52" s="458">
        <f>IFERROR(__xludf.DUMMYFUNCTION("""COMPUTED_VALUE"""),2477.0)</f>
        <v>2477</v>
      </c>
      <c r="D52" s="286">
        <f>IFERROR(__xludf.DUMMYFUNCTION("""COMPUTED_VALUE"""),1.6583022149533952)</f>
        <v>1.658302215</v>
      </c>
      <c r="E52" s="443" t="str">
        <f>IFERROR(__xludf.DUMMYFUNCTION("""COMPUTED_VALUE"""),"Dinner")</f>
        <v>Dinner</v>
      </c>
      <c r="F52" s="451">
        <f>IFERROR(__xludf.DUMMYFUNCTION("""COMPUTED_VALUE"""),20.0)</f>
        <v>20</v>
      </c>
      <c r="G52" s="314">
        <f>IFERROR(__xludf.DUMMYFUNCTION("""COMPUTED_VALUE"""),19.0)</f>
        <v>19</v>
      </c>
      <c r="H52" s="286">
        <f>IFERROR(__xludf.DUMMYFUNCTION("""COMPUTED_VALUE"""),0.95)</f>
        <v>0.95</v>
      </c>
      <c r="I52" s="314">
        <f>IFERROR(__xludf.DUMMYFUNCTION("""COMPUTED_VALUE"""),1.0)</f>
        <v>1</v>
      </c>
      <c r="J52" s="452">
        <f>IFERROR(__xludf.DUMMYFUNCTION("""COMPUTED_VALUE"""),1.3638888889170226)</f>
        <v>1.363888889</v>
      </c>
      <c r="K52" s="453">
        <f>IFERROR(__xludf.DUMMYFUNCTION("""COMPUTED_VALUE"""),75.67209775811321)</f>
        <v>75.67209776</v>
      </c>
      <c r="L52" s="454">
        <f>IFERROR(__xludf.DUMMYFUNCTION("""COMPUTED_VALUE"""),130.3684210526316)</f>
        <v>130.3684211</v>
      </c>
    </row>
    <row r="53">
      <c r="A53" s="448" t="b">
        <f>IFERROR(__xludf.DUMMYFUNCTION("""COMPUTED_VALUE"""),FALSE)</f>
        <v>0</v>
      </c>
      <c r="B53" s="459" t="str">
        <f>IFERROR(__xludf.DUMMYFUNCTION("""COMPUTED_VALUE"""),"Sophia Kluck")</f>
        <v>Sophia Kluck</v>
      </c>
      <c r="C53" s="460">
        <f>IFERROR(__xludf.DUMMYFUNCTION("""COMPUTED_VALUE"""),1261.0)</f>
        <v>1261</v>
      </c>
      <c r="D53" s="461">
        <f>IFERROR(__xludf.DUMMYFUNCTION("""COMPUTED_VALUE"""),1.1094416161644332)</f>
        <v>1.109441616</v>
      </c>
      <c r="E53" s="461" t="str">
        <f>IFERROR(__xludf.DUMMYFUNCTION("""COMPUTED_VALUE"""),"Breakfast")</f>
        <v>Breakfast</v>
      </c>
      <c r="F53" s="462">
        <f>IFERROR(__xludf.DUMMYFUNCTION("""COMPUTED_VALUE"""),22.0)</f>
        <v>22</v>
      </c>
      <c r="G53" s="463">
        <f>IFERROR(__xludf.DUMMYFUNCTION("""COMPUTED_VALUE"""),17.0)</f>
        <v>17</v>
      </c>
      <c r="H53" s="464">
        <f>IFERROR(__xludf.DUMMYFUNCTION("""COMPUTED_VALUE"""),0.7727272727272727)</f>
        <v>0.7727272727</v>
      </c>
      <c r="I53" s="463">
        <f>IFERROR(__xludf.DUMMYFUNCTION("""COMPUTED_VALUE"""),5.0)</f>
        <v>5</v>
      </c>
      <c r="J53" s="465">
        <f>IFERROR(__xludf.DUMMYFUNCTION("""COMPUTED_VALUE"""),1.4951388888657675)</f>
        <v>1.495138889</v>
      </c>
      <c r="K53" s="466">
        <f>IFERROR(__xludf.DUMMYFUNCTION("""COMPUTED_VALUE"""),35.14166279664191)</f>
        <v>35.1416628</v>
      </c>
      <c r="L53" s="467">
        <f>IFERROR(__xludf.DUMMYFUNCTION("""COMPUTED_VALUE"""),74.17647058823529)</f>
        <v>74.17647059</v>
      </c>
    </row>
  </sheetData>
  <mergeCells count="10">
    <mergeCell ref="B37:C37"/>
    <mergeCell ref="J37:K37"/>
    <mergeCell ref="B38:L38"/>
    <mergeCell ref="C1:I2"/>
    <mergeCell ref="B5:C5"/>
    <mergeCell ref="E5:F5"/>
    <mergeCell ref="H5:I5"/>
    <mergeCell ref="B15:C15"/>
    <mergeCell ref="E15:F15"/>
    <mergeCell ref="H15:I15"/>
  </mergeCells>
  <conditionalFormatting sqref="D40:D53">
    <cfRule type="colorScale" priority="1">
      <colorScale>
        <cfvo type="min"/>
        <cfvo type="formula" val="1"/>
        <cfvo type="max"/>
        <color rgb="FFE06666"/>
        <color rgb="FFD9EAD3"/>
        <color rgb="FF57BB8A"/>
      </colorScale>
    </cfRule>
  </conditionalFormatting>
  <conditionalFormatting sqref="I40:I53">
    <cfRule type="colorScale" priority="2">
      <colorScale>
        <cfvo type="formula" val="0"/>
        <cfvo type="formula" val="2"/>
        <cfvo type="max"/>
        <color rgb="FF34A853"/>
        <color rgb="FFF4CCCC"/>
        <color rgb="FFCC0000"/>
      </colorScale>
    </cfRule>
  </conditionalFormatting>
  <conditionalFormatting sqref="J40:J53">
    <cfRule type="colorScale" priority="3">
      <colorScale>
        <cfvo type="min"/>
        <cfvo type="percentile" val="50"/>
        <cfvo type="max"/>
        <color rgb="FFF4CCCC"/>
        <color rgb="FFFFFFFF"/>
        <color rgb="FF93C47D"/>
      </colorScale>
    </cfRule>
  </conditionalFormatting>
  <conditionalFormatting sqref="K40:K53">
    <cfRule type="colorScale" priority="4">
      <colorScale>
        <cfvo type="min"/>
        <cfvo type="formula" val="48"/>
        <cfvo type="max"/>
        <color rgb="FFE06666"/>
        <color rgb="FFFFFFFF"/>
        <color rgb="FF6AA84F"/>
      </colorScale>
    </cfRule>
  </conditionalFormatting>
  <conditionalFormatting sqref="L40:L53">
    <cfRule type="colorScale" priority="5">
      <colorScale>
        <cfvo type="min"/>
        <cfvo type="percentile" val="50"/>
        <cfvo type="max"/>
        <color rgb="FFF4CCCC"/>
        <color rgb="FFFFFFFF"/>
        <color rgb="FFB6D7A8"/>
      </colorScale>
    </cfRule>
  </conditionalFormatting>
  <drawing r:id="rId2"/>
  <legacyDrawing r:id="rId3"/>
</worksheet>
</file>